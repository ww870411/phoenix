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<sst xmlns="http://schemas.openxmlformats.org/spreadsheetml/2006/main" count="129" uniqueCount="32">
  <si>
    <t>2026年度春节期间各单位主要指标统计表</t>
  </si>
  <si>
    <t>统计主体</t>
  </si>
  <si>
    <t>指标</t>
  </si>
  <si>
    <t>计量单位</t>
  </si>
  <si>
    <t>本期</t>
  </si>
  <si>
    <t>同期</t>
  </si>
  <si>
    <t>差异</t>
  </si>
  <si>
    <t>全口径</t>
  </si>
  <si>
    <t>气温</t>
  </si>
  <si>
    <t>℃</t>
  </si>
  <si>
    <t>原煤消耗量
（剔除庄河改造）</t>
  </si>
  <si>
    <t>吨</t>
  </si>
  <si>
    <t>当日总投诉量</t>
  </si>
  <si>
    <t>件</t>
  </si>
  <si>
    <t>当日净投诉量</t>
  </si>
  <si>
    <t>运行汽炉数</t>
  </si>
  <si>
    <t>台</t>
  </si>
  <si>
    <t>运行汽轮机数</t>
  </si>
  <si>
    <t>运行水炉数</t>
  </si>
  <si>
    <t>运行锅炉房锅炉数</t>
  </si>
  <si>
    <t>主城区</t>
  </si>
  <si>
    <t>原煤消耗量</t>
  </si>
  <si>
    <t>北海热电联产</t>
  </si>
  <si>
    <t>北海水炉</t>
  </si>
  <si>
    <t>香海电厂</t>
  </si>
  <si>
    <t>金州热电</t>
  </si>
  <si>
    <t>北方热电</t>
  </si>
  <si>
    <t>金普公司</t>
  </si>
  <si>
    <t>庄河环海</t>
  </si>
  <si>
    <t>外购热量</t>
  </si>
  <si>
    <t>GJ</t>
  </si>
  <si>
    <t>其中：
张屯原煤消耗量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</si>
</sst>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804]m&quot;月&quot;d&quot;日&quot;"/>
    <numFmt numFmtId="177" formatCode="m&quot;月&quot;d&quot;日&quot;;@"/>
    <numFmt numFmtId="178" formatCode="0.00_ "/>
    <numFmt numFmtId="179" formatCode="0.0%"/>
    <numFmt numFmtId="180" formatCode="0_ "/>
  </numFmts>
  <fonts count="24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1">
      <alignment vertical="center"/>
    </xf>
    <xf numFmtId="0" fontId="10" fillId="0" borderId="21">
      <alignment vertical="center"/>
    </xf>
    <xf numFmtId="0" fontId="11" fillId="0" borderId="22">
      <alignment vertical="center"/>
    </xf>
    <xf numFmtId="0" fontId="11" fillId="0" borderId="0">
      <alignment vertical="center"/>
    </xf>
    <xf numFmtId="0" fontId="12" fillId="5" borderId="23">
      <alignment vertical="center"/>
    </xf>
    <xf numFmtId="0" fontId="13" fillId="6" borderId="24">
      <alignment vertical="center"/>
    </xf>
    <xf numFmtId="0" fontId="14" fillId="6" borderId="23">
      <alignment vertical="center"/>
    </xf>
    <xf numFmtId="0" fontId="15" fillId="7" borderId="25">
      <alignment vertical="center"/>
    </xf>
    <xf numFmtId="0" fontId="16" fillId="0" borderId="26">
      <alignment vertical="center"/>
    </xf>
    <xf numFmtId="0" fontId="17" fillId="0" borderId="27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  <xf numFmtId="176" fontId="23" fillId="0" borderId="0">
      <protection locked="0"/>
    </xf>
  </cellStyleXfs>
  <cellXfs count="58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7" fontId="2" fillId="2" borderId="3" xfId="0" applyNumberFormat="1" applyFont="1" applyFill="1" applyBorder="1" applyAlignment="1">
      <alignment horizontal="center" vertical="center"/>
    </xf>
    <xf numFmtId="177" fontId="2" fillId="2" borderId="4" xfId="0" applyNumberFormat="1" applyFont="1" applyFill="1" applyBorder="1" applyAlignment="1">
      <alignment horizontal="center" vertical="center"/>
    </xf>
    <xf numFmtId="177" fontId="2" fillId="2" borderId="5" xfId="0" applyNumberFormat="1" applyFont="1" applyFill="1" applyBorder="1" applyAlignment="1">
      <alignment horizontal="center" vertical="center"/>
    </xf>
    <xf numFmtId="177" fontId="2" fillId="3" borderId="3" xfId="0" applyNumberFormat="1" applyFont="1" applyFill="1" applyBorder="1" applyAlignment="1">
      <alignment horizontal="center" vertical="center"/>
    </xf>
    <xf numFmtId="177" fontId="2" fillId="3" borderId="4" xfId="0" applyNumberFormat="1" applyFont="1" applyFill="1" applyBorder="1" applyAlignment="1">
      <alignment horizontal="center" vertical="center"/>
    </xf>
    <xf numFmtId="177" fontId="2" fillId="3" borderId="5" xfId="0" applyNumberFormat="1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7" xfId="0" applyBorder="1" applyAlignment="1"/>
    <xf numFmtId="0" fontId="2" fillId="2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78" fontId="3" fillId="0" borderId="11" xfId="0" applyNumberFormat="1" applyFont="1" applyBorder="1" applyAlignment="1">
      <alignment horizontal="center" vertical="center"/>
    </xf>
    <xf numFmtId="179" fontId="3" fillId="0" borderId="11" xfId="0" applyNumberFormat="1" applyFont="1" applyBorder="1" applyAlignment="1">
      <alignment horizontal="center" vertical="center"/>
    </xf>
    <xf numFmtId="179" fontId="3" fillId="0" borderId="1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180" fontId="3" fillId="0" borderId="13" xfId="0" applyNumberFormat="1" applyFont="1" applyBorder="1" applyAlignment="1">
      <alignment horizontal="center" vertical="center"/>
    </xf>
    <xf numFmtId="179" fontId="3" fillId="0" borderId="13" xfId="0" applyNumberFormat="1" applyFont="1" applyBorder="1" applyAlignment="1">
      <alignment horizontal="center" vertical="center"/>
    </xf>
    <xf numFmtId="179" fontId="3" fillId="0" borderId="14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5" xfId="0" applyBorder="1" applyAlignment="1"/>
    <xf numFmtId="0" fontId="2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80" fontId="3" fillId="0" borderId="16" xfId="0" applyNumberFormat="1" applyFont="1" applyBorder="1" applyAlignment="1">
      <alignment horizontal="center" vertical="center"/>
    </xf>
    <xf numFmtId="179" fontId="3" fillId="0" borderId="16" xfId="0" applyNumberFormat="1" applyFont="1" applyBorder="1" applyAlignment="1">
      <alignment horizontal="center" vertical="center"/>
    </xf>
    <xf numFmtId="179" fontId="3" fillId="0" borderId="17" xfId="0" applyNumberFormat="1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180" fontId="3" fillId="2" borderId="11" xfId="0" applyNumberFormat="1" applyFont="1" applyFill="1" applyBorder="1" applyAlignment="1">
      <alignment horizontal="center" vertical="center"/>
    </xf>
    <xf numFmtId="179" fontId="3" fillId="2" borderId="11" xfId="0" applyNumberFormat="1" applyFont="1" applyFill="1" applyBorder="1" applyAlignment="1">
      <alignment horizontal="center" vertical="center"/>
    </xf>
    <xf numFmtId="179" fontId="3" fillId="2" borderId="12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180" fontId="3" fillId="2" borderId="13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9" fontId="3" fillId="2" borderId="13" xfId="0" applyNumberFormat="1" applyFont="1" applyFill="1" applyBorder="1" applyAlignment="1">
      <alignment horizontal="center" vertical="center"/>
    </xf>
    <xf numFmtId="179" fontId="3" fillId="2" borderId="14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180" fontId="3" fillId="2" borderId="16" xfId="0" applyNumberFormat="1" applyFont="1" applyFill="1" applyBorder="1" applyAlignment="1">
      <alignment horizontal="center" vertical="center"/>
    </xf>
    <xf numFmtId="179" fontId="3" fillId="2" borderId="16" xfId="0" applyNumberFormat="1" applyFont="1" applyFill="1" applyBorder="1" applyAlignment="1">
      <alignment horizontal="center" vertical="center"/>
    </xf>
    <xf numFmtId="179" fontId="3" fillId="2" borderId="17" xfId="0" applyNumberFormat="1" applyFont="1" applyFill="1" applyBorder="1" applyAlignment="1">
      <alignment horizontal="center" vertical="center"/>
    </xf>
    <xf numFmtId="180" fontId="3" fillId="0" borderId="11" xfId="0" applyNumberFormat="1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80" fontId="3" fillId="2" borderId="8" xfId="0" applyNumberFormat="1" applyFont="1" applyFill="1" applyBorder="1" applyAlignment="1">
      <alignment horizontal="center" vertical="center"/>
    </xf>
    <xf numFmtId="179" fontId="3" fillId="2" borderId="8" xfId="0" applyNumberFormat="1" applyFont="1" applyFill="1" applyBorder="1" applyAlignment="1">
      <alignment horizontal="center" vertical="center"/>
    </xf>
    <xf numFmtId="179" fontId="3" fillId="2" borderId="9" xfId="0" applyNumberFormat="1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19" xfId="0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7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6"/>
  <sheetViews>
    <sheetView tabSelected="1" zoomScale="70" zoomScaleNormal="70" workbookViewId="0">
      <pane xSplit="3" ySplit="3" topLeftCell="O31" activePane="bottomRight" state="frozen"/>
      <selection/>
      <selection pane="topRight"/>
      <selection pane="bottomLeft"/>
      <selection pane="bottomRight" activeCell="AA52" sqref="AA52"/>
    </sheetView>
  </sheetViews>
  <sheetFormatPr defaultColWidth="8.72727272727273" defaultRowHeight="14"/>
  <cols>
    <col min="1" max="1" width="14" style="1" customWidth="1"/>
    <col min="2" max="2" width="22.5909090909091" style="1" customWidth="1"/>
    <col min="3" max="33" width="13.8818181818182" style="1" customWidth="1"/>
  </cols>
  <sheetData>
    <row r="1" ht="42" customHeight="1" spans="1:33">
      <c r="A1" s="2" t="s">
        <v>0</v>
      </c>
    </row>
    <row r="2" ht="37" customHeight="1" spans="1:33">
      <c r="A2" s="3" t="s">
        <v>1</v>
      </c>
      <c r="B2" s="4" t="s">
        <v>2</v>
      </c>
      <c r="C2" s="4" t="s">
        <v>3</v>
      </c>
      <c r="D2" s="5">
        <v>46067</v>
      </c>
      <c r="E2" s="6"/>
      <c r="F2" s="7"/>
      <c r="G2" s="5">
        <v>46068</v>
      </c>
      <c r="H2" s="6"/>
      <c r="I2" s="7"/>
      <c r="J2" s="5">
        <v>46069</v>
      </c>
      <c r="K2" s="6"/>
      <c r="L2" s="7"/>
      <c r="M2" s="5">
        <v>46070</v>
      </c>
      <c r="N2" s="6"/>
      <c r="O2" s="7"/>
      <c r="P2" s="5">
        <v>46071</v>
      </c>
      <c r="Q2" s="6"/>
      <c r="R2" s="7"/>
      <c r="S2" s="5">
        <v>46072</v>
      </c>
      <c r="T2" s="6"/>
      <c r="U2" s="7"/>
      <c r="V2" s="5">
        <v>46073</v>
      </c>
      <c r="W2" s="6"/>
      <c r="X2" s="7"/>
      <c r="Y2" s="5">
        <v>46074</v>
      </c>
      <c r="Z2" s="6"/>
      <c r="AA2" s="7"/>
      <c r="AB2" s="5">
        <v>46075</v>
      </c>
      <c r="AC2" s="6"/>
      <c r="AD2" s="7"/>
      <c r="AE2" s="8">
        <v>46076</v>
      </c>
      <c r="AF2" s="9"/>
      <c r="AG2" s="10"/>
    </row>
    <row r="3" ht="37" customHeight="1" spans="1:33">
      <c r="A3" s="11"/>
      <c r="B3" s="12"/>
      <c r="C3" s="12"/>
      <c r="D3" s="13" t="s">
        <v>4</v>
      </c>
      <c r="E3" s="13" t="s">
        <v>5</v>
      </c>
      <c r="F3" s="13" t="s">
        <v>6</v>
      </c>
      <c r="G3" s="13" t="s">
        <v>4</v>
      </c>
      <c r="H3" s="13" t="s">
        <v>5</v>
      </c>
      <c r="I3" s="13" t="s">
        <v>6</v>
      </c>
      <c r="J3" s="13" t="s">
        <v>4</v>
      </c>
      <c r="K3" s="13" t="s">
        <v>5</v>
      </c>
      <c r="L3" s="13" t="s">
        <v>6</v>
      </c>
      <c r="M3" s="13" t="s">
        <v>4</v>
      </c>
      <c r="N3" s="13" t="s">
        <v>5</v>
      </c>
      <c r="O3" s="13" t="s">
        <v>6</v>
      </c>
      <c r="P3" s="13" t="s">
        <v>4</v>
      </c>
      <c r="Q3" s="13" t="s">
        <v>5</v>
      </c>
      <c r="R3" s="13" t="s">
        <v>6</v>
      </c>
      <c r="S3" s="13" t="s">
        <v>4</v>
      </c>
      <c r="T3" s="13" t="s">
        <v>5</v>
      </c>
      <c r="U3" s="13" t="s">
        <v>6</v>
      </c>
      <c r="V3" s="13" t="s">
        <v>4</v>
      </c>
      <c r="W3" s="13" t="s">
        <v>5</v>
      </c>
      <c r="X3" s="13" t="s">
        <v>6</v>
      </c>
      <c r="Y3" s="13" t="s">
        <v>4</v>
      </c>
      <c r="Z3" s="13" t="s">
        <v>5</v>
      </c>
      <c r="AA3" s="13" t="s">
        <v>6</v>
      </c>
      <c r="AB3" s="13" t="s">
        <v>4</v>
      </c>
      <c r="AC3" s="13" t="s">
        <v>5</v>
      </c>
      <c r="AD3" s="13" t="s">
        <v>6</v>
      </c>
      <c r="AE3" s="14" t="s">
        <v>4</v>
      </c>
      <c r="AF3" s="14" t="s">
        <v>5</v>
      </c>
      <c r="AG3" s="15" t="s">
        <v>6</v>
      </c>
    </row>
    <row r="4" customFormat="1" ht="37" customHeight="1" spans="1:33">
      <c r="A4" s="16" t="s">
        <v>7</v>
      </c>
      <c r="B4" s="17" t="s">
        <v>8</v>
      </c>
      <c r="C4" s="18" t="s">
        <v>9</v>
      </c>
      <c r="D4" s="19">
        <v>3.3</v>
      </c>
      <c r="E4" s="19">
        <v>4.2</v>
      </c>
      <c r="F4" s="20">
        <f t="shared" ref="F4:F46" si="0">IF(D4="","-",IFERROR((D4-E4)/E4,"-"))</f>
        <v>-0.214285714285714</v>
      </c>
      <c r="G4" s="19">
        <v>4.3</v>
      </c>
      <c r="H4" s="19">
        <v>5.4</v>
      </c>
      <c r="I4" s="20">
        <f t="shared" ref="I4:I46" si="1">IF(G4="","-",IFERROR((G4-H4)/H4,"-"))</f>
        <v>-0.203703703703704</v>
      </c>
      <c r="J4" s="19">
        <v>-0.9</v>
      </c>
      <c r="K4" s="19">
        <v>1</v>
      </c>
      <c r="L4" s="20">
        <f t="shared" ref="L4:L46" si="2">IF(J4="","-",IFERROR((J4-K4)/K4,"-"))</f>
        <v>-1.9</v>
      </c>
      <c r="M4" s="19">
        <v>-3.3</v>
      </c>
      <c r="N4" s="19">
        <v>-1.4</v>
      </c>
      <c r="O4" s="20">
        <f t="shared" ref="O4:O46" si="3">IF(M4="","-",IFERROR((M4-N4)/N4,"-"))</f>
        <v>1.35714285714286</v>
      </c>
      <c r="P4" s="19">
        <v>-4.1</v>
      </c>
      <c r="Q4" s="19">
        <v>-2</v>
      </c>
      <c r="R4" s="20">
        <f t="shared" ref="R4:R46" si="4">IF(P4="","-",IFERROR((P4-Q4)/Q4,"-"))</f>
        <v>1.05</v>
      </c>
      <c r="S4" s="19">
        <v>-2.4</v>
      </c>
      <c r="T4" s="19">
        <v>-1.4</v>
      </c>
      <c r="U4" s="20">
        <f t="shared" ref="U4:U46" si="5">IF(S4="","-",IFERROR((S4-T4)/T4,"-"))</f>
        <v>0.714285714285714</v>
      </c>
      <c r="V4" s="19">
        <v>-4.5</v>
      </c>
      <c r="W4" s="19">
        <v>-2.6</v>
      </c>
      <c r="X4" s="20">
        <f t="shared" ref="X4:X46" si="6">IF(V4="","-",IFERROR((V4-W4)/W4,"-"))</f>
        <v>0.730769230769231</v>
      </c>
      <c r="Y4" s="19">
        <v>-4.8</v>
      </c>
      <c r="Z4" s="19">
        <v>-3</v>
      </c>
      <c r="AA4" s="20">
        <f t="shared" ref="AA4:AA46" si="7">IF(Y4="","-",IFERROR((Y4-Z4)/Z4,"-"))</f>
        <v>0.6</v>
      </c>
      <c r="AB4" s="19">
        <v>-4.5</v>
      </c>
      <c r="AC4" s="19">
        <v>-3</v>
      </c>
      <c r="AD4" s="20">
        <f t="shared" ref="AD4:AD46" si="8">IF(AB4="","-",IFERROR((AB4-AC4)/AC4,"-"))</f>
        <v>0.5</v>
      </c>
      <c r="AE4" s="19">
        <v>-5.3</v>
      </c>
      <c r="AF4" s="19">
        <v>-3.5</v>
      </c>
      <c r="AG4" s="21">
        <f t="shared" ref="AG4:AG46" si="9">IF(AE4="","-",IFERROR((AE4-AF4)/AF4,"-"))</f>
        <v>0.514285714285714</v>
      </c>
    </row>
    <row r="5" ht="37" customHeight="1" spans="1:33">
      <c r="A5" s="11"/>
      <c r="B5" s="22" t="s">
        <v>10</v>
      </c>
      <c r="C5" s="23" t="s">
        <v>11</v>
      </c>
      <c r="D5" s="24">
        <f>D12+D26+D32+D37+D43</f>
        <v>5727.72</v>
      </c>
      <c r="E5" s="24">
        <f>E12+E26+E32+E37+E43</f>
        <v>5551.94</v>
      </c>
      <c r="F5" s="25">
        <f t="shared" si="0"/>
        <v>0.0316610049820424</v>
      </c>
      <c r="G5" s="24">
        <f>G12+G26+G32+G37+G43</f>
        <v>5903.34</v>
      </c>
      <c r="H5" s="24">
        <f>H12+H26+H32+H37+H43</f>
        <v>5655.58</v>
      </c>
      <c r="I5" s="25">
        <f t="shared" si="1"/>
        <v>0.0438080621262541</v>
      </c>
      <c r="J5" s="24">
        <f>J12+J26+J32+J37+J43</f>
        <v>5800.29</v>
      </c>
      <c r="K5" s="24">
        <f>K12+K26+K32+K37+K43</f>
        <v>5605.3</v>
      </c>
      <c r="L5" s="25">
        <f t="shared" si="2"/>
        <v>0.0347867197117014</v>
      </c>
      <c r="M5" s="24">
        <f>M12+M26+M32+M37+M43</f>
        <v>6212.56</v>
      </c>
      <c r="N5" s="24">
        <f>N12+N26+N32+N37+N43</f>
        <v>5963.72</v>
      </c>
      <c r="O5" s="25">
        <f t="shared" si="3"/>
        <v>0.041725634335616</v>
      </c>
      <c r="P5" s="24">
        <f>P12+P26+P32+P37+P43</f>
        <v>6310.34</v>
      </c>
      <c r="Q5" s="24">
        <f>Q12+Q26+Q32+Q37+Q43</f>
        <v>6044.25</v>
      </c>
      <c r="R5" s="25">
        <f t="shared" si="4"/>
        <v>0.0440236588493196</v>
      </c>
      <c r="S5" s="24">
        <f>S12+S26+S32+S37+S43</f>
        <v>6155.07</v>
      </c>
      <c r="T5" s="24">
        <f>T12+T26+T32+T37+T43</f>
        <v>5916.68</v>
      </c>
      <c r="U5" s="25">
        <f t="shared" si="5"/>
        <v>0.0402911768086155</v>
      </c>
      <c r="V5" s="24">
        <f>V12+V26+V32+V37+V43</f>
        <v>6278.39</v>
      </c>
      <c r="W5" s="24">
        <f>W12+W26+W32+W37+W43</f>
        <v>5969.6</v>
      </c>
      <c r="X5" s="25">
        <f t="shared" si="6"/>
        <v>0.051727083891718</v>
      </c>
      <c r="Y5" s="24">
        <f>Y12+Y26+Y32+Y37+Y43</f>
        <v>6938</v>
      </c>
      <c r="Z5" s="24">
        <f>Z12+Z26+Z32+Z37+Z43</f>
        <v>6687.5</v>
      </c>
      <c r="AA5" s="25">
        <f t="shared" si="7"/>
        <v>0.0374579439252336</v>
      </c>
      <c r="AB5" s="24">
        <f>AB12+AB26+AB32+AB37+AB43</f>
        <v>7008.14</v>
      </c>
      <c r="AC5" s="24">
        <f>AC12+AC26+AC32+AC37+AC43</f>
        <v>6765.21</v>
      </c>
      <c r="AD5" s="25">
        <f t="shared" si="8"/>
        <v>0.035908715324432</v>
      </c>
      <c r="AE5" s="24">
        <f>AE12+AE26+AE32+AE37+AE43</f>
        <v>6902.81</v>
      </c>
      <c r="AF5" s="24">
        <f>AF12+AF26+AF32+AF37+AF43</f>
        <v>6571.24</v>
      </c>
      <c r="AG5" s="26">
        <f t="shared" si="9"/>
        <v>0.0504577522659347</v>
      </c>
    </row>
    <row r="6" ht="37" customHeight="1" spans="1:33">
      <c r="A6" s="11"/>
      <c r="B6" s="27" t="s">
        <v>12</v>
      </c>
      <c r="C6" s="23" t="s">
        <v>13</v>
      </c>
      <c r="D6" s="24">
        <f>D13+D27+D33+D38+D44</f>
        <v>35</v>
      </c>
      <c r="E6" s="24">
        <f>E13+E27+E33+E38+E44</f>
        <v>35</v>
      </c>
      <c r="F6" s="25">
        <f t="shared" si="0"/>
        <v>0</v>
      </c>
      <c r="G6" s="24">
        <f>G13+G27+G33+G38+G44</f>
        <v>31</v>
      </c>
      <c r="H6" s="24">
        <f>H13+H27+H33+H38+H44</f>
        <v>32</v>
      </c>
      <c r="I6" s="25">
        <f t="shared" si="1"/>
        <v>-0.03125</v>
      </c>
      <c r="J6" s="24">
        <f>J13+J27+J33+J38+J44</f>
        <v>28</v>
      </c>
      <c r="K6" s="24">
        <f>K13+K27+K33+K38+K44</f>
        <v>27</v>
      </c>
      <c r="L6" s="25">
        <f t="shared" si="2"/>
        <v>0.037037037037037</v>
      </c>
      <c r="M6" s="24">
        <f>M13+M27+M33+M38+M44</f>
        <v>44</v>
      </c>
      <c r="N6" s="24">
        <f>N13+N27+N33+N38+N44</f>
        <v>44</v>
      </c>
      <c r="O6" s="25">
        <f t="shared" si="3"/>
        <v>0</v>
      </c>
      <c r="P6" s="24">
        <f>P13+P27+P33+P38+P44</f>
        <v>77</v>
      </c>
      <c r="Q6" s="24">
        <f>Q13+Q27+Q33+Q38+Q44</f>
        <v>75</v>
      </c>
      <c r="R6" s="25">
        <f t="shared" si="4"/>
        <v>0.0266666666666667</v>
      </c>
      <c r="S6" s="24">
        <f>S13+S27+S33+S38+S44</f>
        <v>90</v>
      </c>
      <c r="T6" s="24">
        <f>T13+T27+T33+T38+T44</f>
        <v>91</v>
      </c>
      <c r="U6" s="25">
        <f t="shared" si="5"/>
        <v>-0.010989010989011</v>
      </c>
      <c r="V6" s="24">
        <f>V13+V27+V33+V38+V44</f>
        <v>107</v>
      </c>
      <c r="W6" s="24">
        <f>W13+W27+W33+W38+W44</f>
        <v>106</v>
      </c>
      <c r="X6" s="25">
        <f t="shared" si="6"/>
        <v>0.00943396226415094</v>
      </c>
      <c r="Y6" s="24">
        <f>Y13+Y27+Y33+Y38+Y44</f>
        <v>122</v>
      </c>
      <c r="Z6" s="24">
        <f>Z13+Z27+Z33+Z38+Z44</f>
        <v>122</v>
      </c>
      <c r="AA6" s="25">
        <f t="shared" si="7"/>
        <v>0</v>
      </c>
      <c r="AB6" s="24">
        <f>AB13+AB27+AB33+AB38+AB44</f>
        <v>71</v>
      </c>
      <c r="AC6" s="24">
        <f>AC13+AC27+AC33+AC38+AC44</f>
        <v>72</v>
      </c>
      <c r="AD6" s="25">
        <f t="shared" si="8"/>
        <v>-0.0138888888888889</v>
      </c>
      <c r="AE6" s="24">
        <f>AE13+AE27+AE33+AE38+AE44</f>
        <v>62</v>
      </c>
      <c r="AF6" s="24">
        <f>AF13+AF27+AF33+AF38+AF44</f>
        <v>63</v>
      </c>
      <c r="AG6" s="26">
        <f t="shared" si="9"/>
        <v>-0.0158730158730159</v>
      </c>
    </row>
    <row r="7" ht="37" customHeight="1" spans="1:33">
      <c r="A7" s="11"/>
      <c r="B7" s="27" t="s">
        <v>14</v>
      </c>
      <c r="C7" s="23" t="s">
        <v>13</v>
      </c>
      <c r="D7" s="24">
        <f>D14+D28+D34+D39+D45</f>
        <v>9</v>
      </c>
      <c r="E7" s="24">
        <f>E14+E28+E34+E39+E45</f>
        <v>8</v>
      </c>
      <c r="F7" s="25">
        <f t="shared" si="0"/>
        <v>0.125</v>
      </c>
      <c r="G7" s="24">
        <f>G14+G28+G34+G39+G45</f>
        <v>9</v>
      </c>
      <c r="H7" s="24">
        <f>H14+H28+H34+H39+H45</f>
        <v>9</v>
      </c>
      <c r="I7" s="25">
        <f t="shared" si="1"/>
        <v>0</v>
      </c>
      <c r="J7" s="24">
        <f>J14+J28+J34+J39+J45</f>
        <v>12</v>
      </c>
      <c r="K7" s="24">
        <f>K14+K28+K34+K39+K45</f>
        <v>13</v>
      </c>
      <c r="L7" s="25">
        <f t="shared" si="2"/>
        <v>-0.0769230769230769</v>
      </c>
      <c r="M7" s="24">
        <f>M14+M28+M34+M39+M45</f>
        <v>17</v>
      </c>
      <c r="N7" s="24">
        <f>N14+N28+N34+N39+N45</f>
        <v>17</v>
      </c>
      <c r="O7" s="25">
        <f t="shared" si="3"/>
        <v>0</v>
      </c>
      <c r="P7" s="24">
        <f>P14+P28+P34+P39+P45</f>
        <v>18</v>
      </c>
      <c r="Q7" s="24">
        <f>Q14+Q28+Q34+Q39+Q45</f>
        <v>19</v>
      </c>
      <c r="R7" s="25">
        <f t="shared" si="4"/>
        <v>-0.0526315789473684</v>
      </c>
      <c r="S7" s="24">
        <f>S14+S28+S34+S39+S45</f>
        <v>4</v>
      </c>
      <c r="T7" s="24">
        <f>T14+T28+T34+T39+T45</f>
        <v>5</v>
      </c>
      <c r="U7" s="25">
        <f t="shared" si="5"/>
        <v>-0.2</v>
      </c>
      <c r="V7" s="24">
        <f>V14+V28+V34+V39+V45</f>
        <v>6</v>
      </c>
      <c r="W7" s="24">
        <f>W14+W28+W34+W39+W45</f>
        <v>8</v>
      </c>
      <c r="X7" s="25">
        <f t="shared" si="6"/>
        <v>-0.25</v>
      </c>
      <c r="Y7" s="24">
        <f>Y14+Y28+Y34+Y39+Y45</f>
        <v>9</v>
      </c>
      <c r="Z7" s="24">
        <f>Z14+Z28+Z34+Z39+Z45</f>
        <v>11</v>
      </c>
      <c r="AA7" s="25">
        <f t="shared" si="7"/>
        <v>-0.181818181818182</v>
      </c>
      <c r="AB7" s="24">
        <f>AB14+AB28+AB34+AB39+AB45</f>
        <v>13</v>
      </c>
      <c r="AC7" s="24">
        <f>AC14+AC28+AC34+AC39+AC45</f>
        <v>13</v>
      </c>
      <c r="AD7" s="25">
        <f t="shared" si="8"/>
        <v>0</v>
      </c>
      <c r="AE7" s="24">
        <f>AE14+AE28+AE34+AE39+AE45</f>
        <v>14</v>
      </c>
      <c r="AF7" s="24">
        <f>AF14+AF28+AF34+AF39+AF45</f>
        <v>15</v>
      </c>
      <c r="AG7" s="26">
        <f t="shared" si="9"/>
        <v>-0.0666666666666667</v>
      </c>
    </row>
    <row r="8" ht="37" customHeight="1" spans="1:33">
      <c r="A8" s="11"/>
      <c r="B8" s="27" t="s">
        <v>15</v>
      </c>
      <c r="C8" s="23" t="s">
        <v>16</v>
      </c>
      <c r="D8" s="24">
        <f>D15+D29+D35</f>
        <v>11</v>
      </c>
      <c r="E8" s="24">
        <f>E15+E29+E35</f>
        <v>11</v>
      </c>
      <c r="F8" s="25">
        <f t="shared" si="0"/>
        <v>0</v>
      </c>
      <c r="G8" s="24">
        <f>G15+G29+G35</f>
        <v>11</v>
      </c>
      <c r="H8" s="24">
        <f>H15+H29+H35</f>
        <v>11</v>
      </c>
      <c r="I8" s="25">
        <f t="shared" si="1"/>
        <v>0</v>
      </c>
      <c r="J8" s="24">
        <f>J15+J29+J35</f>
        <v>12</v>
      </c>
      <c r="K8" s="24">
        <f>K15+K29+K35</f>
        <v>12</v>
      </c>
      <c r="L8" s="25">
        <f t="shared" si="2"/>
        <v>0</v>
      </c>
      <c r="M8" s="24">
        <f>M15+M29+M35</f>
        <v>11</v>
      </c>
      <c r="N8" s="24">
        <f>N15+N29+N35</f>
        <v>11</v>
      </c>
      <c r="O8" s="25">
        <f t="shared" si="3"/>
        <v>0</v>
      </c>
      <c r="P8" s="24">
        <f>P15+P29+P35</f>
        <v>11</v>
      </c>
      <c r="Q8" s="24">
        <f>Q15+Q29+Q35</f>
        <v>11</v>
      </c>
      <c r="R8" s="25">
        <f t="shared" si="4"/>
        <v>0</v>
      </c>
      <c r="S8" s="24">
        <f>S15+S29+S35</f>
        <v>11</v>
      </c>
      <c r="T8" s="24">
        <f>T15+T29+T35</f>
        <v>11</v>
      </c>
      <c r="U8" s="25">
        <f t="shared" si="5"/>
        <v>0</v>
      </c>
      <c r="V8" s="24">
        <f>V15+V29+V35</f>
        <v>12</v>
      </c>
      <c r="W8" s="24">
        <f>W15+W29+W35</f>
        <v>12</v>
      </c>
      <c r="X8" s="25">
        <f t="shared" si="6"/>
        <v>0</v>
      </c>
      <c r="Y8" s="24">
        <f>Y15+Y29+Y35</f>
        <v>12</v>
      </c>
      <c r="Z8" s="24">
        <f>Z15+Z29+Z35</f>
        <v>12</v>
      </c>
      <c r="AA8" s="25">
        <f t="shared" si="7"/>
        <v>0</v>
      </c>
      <c r="AB8" s="24">
        <f>AB15+AB29+AB35</f>
        <v>12</v>
      </c>
      <c r="AC8" s="24">
        <f>AC15+AC29+AC35</f>
        <v>12</v>
      </c>
      <c r="AD8" s="25">
        <f t="shared" si="8"/>
        <v>0</v>
      </c>
      <c r="AE8" s="24">
        <f>AE15+AE29+AE35</f>
        <v>10</v>
      </c>
      <c r="AF8" s="24">
        <f>AF15+AF29+AF35</f>
        <v>10</v>
      </c>
      <c r="AG8" s="26">
        <f t="shared" si="9"/>
        <v>0</v>
      </c>
    </row>
    <row r="9" ht="37" customHeight="1" spans="1:33">
      <c r="A9" s="11"/>
      <c r="B9" s="27" t="s">
        <v>17</v>
      </c>
      <c r="C9" s="23" t="s">
        <v>16</v>
      </c>
      <c r="D9" s="24">
        <f>D16+D30+D36</f>
        <v>10</v>
      </c>
      <c r="E9" s="24">
        <f>E16+E30+E36</f>
        <v>10</v>
      </c>
      <c r="F9" s="25">
        <f t="shared" si="0"/>
        <v>0</v>
      </c>
      <c r="G9" s="24">
        <f>G16+G30+G36</f>
        <v>10</v>
      </c>
      <c r="H9" s="24">
        <f>H16+H30+H36</f>
        <v>10</v>
      </c>
      <c r="I9" s="25">
        <f t="shared" si="1"/>
        <v>0</v>
      </c>
      <c r="J9" s="24">
        <f>J16+J30+J36</f>
        <v>10</v>
      </c>
      <c r="K9" s="24">
        <f>K16+K30+K36</f>
        <v>10</v>
      </c>
      <c r="L9" s="25">
        <f t="shared" si="2"/>
        <v>0</v>
      </c>
      <c r="M9" s="24">
        <f>M16+M30+M36</f>
        <v>9</v>
      </c>
      <c r="N9" s="24">
        <f>N16+N30+N36</f>
        <v>9</v>
      </c>
      <c r="O9" s="25">
        <f t="shared" si="3"/>
        <v>0</v>
      </c>
      <c r="P9" s="24">
        <f>P16+P30+P36</f>
        <v>9</v>
      </c>
      <c r="Q9" s="24">
        <f>Q16+Q30+Q36</f>
        <v>9</v>
      </c>
      <c r="R9" s="25">
        <f t="shared" si="4"/>
        <v>0</v>
      </c>
      <c r="S9" s="24">
        <f>S16+S30+S36</f>
        <v>9</v>
      </c>
      <c r="T9" s="24">
        <f>T16+T30+T36</f>
        <v>9</v>
      </c>
      <c r="U9" s="25">
        <f t="shared" si="5"/>
        <v>0</v>
      </c>
      <c r="V9" s="24">
        <f>V16+V30+V36</f>
        <v>9</v>
      </c>
      <c r="W9" s="24">
        <f>W16+W30+W36</f>
        <v>9</v>
      </c>
      <c r="X9" s="25">
        <f t="shared" si="6"/>
        <v>0</v>
      </c>
      <c r="Y9" s="24">
        <f>Y16+Y30+Y36</f>
        <v>9</v>
      </c>
      <c r="Z9" s="24">
        <f>Z16+Z30+Z36</f>
        <v>9</v>
      </c>
      <c r="AA9" s="25">
        <f t="shared" si="7"/>
        <v>0</v>
      </c>
      <c r="AB9" s="24">
        <f>AB16+AB30+AB36</f>
        <v>9</v>
      </c>
      <c r="AC9" s="24">
        <f>AC16+AC30+AC36</f>
        <v>9</v>
      </c>
      <c r="AD9" s="25">
        <f t="shared" si="8"/>
        <v>0</v>
      </c>
      <c r="AE9" s="24">
        <f>AE16+AE30+AE36</f>
        <v>8</v>
      </c>
      <c r="AF9" s="24">
        <f>AF16+AF30+AF36</f>
        <v>8</v>
      </c>
      <c r="AG9" s="26">
        <f t="shared" si="9"/>
        <v>0</v>
      </c>
    </row>
    <row r="10" ht="37" customHeight="1" spans="1:33">
      <c r="A10" s="11"/>
      <c r="B10" s="27" t="s">
        <v>18</v>
      </c>
      <c r="C10" s="23" t="s">
        <v>16</v>
      </c>
      <c r="D10" s="24">
        <f>D17+D31</f>
        <v>1</v>
      </c>
      <c r="E10" s="24">
        <f>E17+E31</f>
        <v>1</v>
      </c>
      <c r="F10" s="25">
        <f t="shared" si="0"/>
        <v>0</v>
      </c>
      <c r="G10" s="24">
        <f>G17+G31</f>
        <v>1</v>
      </c>
      <c r="H10" s="24">
        <f>H17+H31</f>
        <v>1</v>
      </c>
      <c r="I10" s="25">
        <f t="shared" si="1"/>
        <v>0</v>
      </c>
      <c r="J10" s="24">
        <f>J17+J31</f>
        <v>1</v>
      </c>
      <c r="K10" s="24">
        <f>K17+K31</f>
        <v>1</v>
      </c>
      <c r="L10" s="25">
        <f t="shared" si="2"/>
        <v>0</v>
      </c>
      <c r="M10" s="24">
        <f>M17+M31</f>
        <v>2</v>
      </c>
      <c r="N10" s="24">
        <f>N17+N31</f>
        <v>2</v>
      </c>
      <c r="O10" s="25">
        <f t="shared" si="3"/>
        <v>0</v>
      </c>
      <c r="P10" s="24">
        <f>P17+P31</f>
        <v>2</v>
      </c>
      <c r="Q10" s="24">
        <f>Q17+Q31</f>
        <v>2</v>
      </c>
      <c r="R10" s="25">
        <f t="shared" si="4"/>
        <v>0</v>
      </c>
      <c r="S10" s="24">
        <f>S17+S31</f>
        <v>2</v>
      </c>
      <c r="T10" s="24">
        <f>T17+T31</f>
        <v>2</v>
      </c>
      <c r="U10" s="25">
        <f t="shared" si="5"/>
        <v>0</v>
      </c>
      <c r="V10" s="24">
        <f>V17+V31</f>
        <v>1</v>
      </c>
      <c r="W10" s="24">
        <f>W17+W31</f>
        <v>1</v>
      </c>
      <c r="X10" s="25">
        <f t="shared" si="6"/>
        <v>0</v>
      </c>
      <c r="Y10" s="24">
        <f>Y17+Y31</f>
        <v>2</v>
      </c>
      <c r="Z10" s="24">
        <f>Z17+Z31</f>
        <v>2</v>
      </c>
      <c r="AA10" s="25">
        <f t="shared" si="7"/>
        <v>0</v>
      </c>
      <c r="AB10" s="24">
        <f>AB17+AB31</f>
        <v>2</v>
      </c>
      <c r="AC10" s="24">
        <f>AC17+AC31</f>
        <v>2</v>
      </c>
      <c r="AD10" s="25">
        <f t="shared" si="8"/>
        <v>0</v>
      </c>
      <c r="AE10" s="24">
        <f>AE17+AE31</f>
        <v>3</v>
      </c>
      <c r="AF10" s="24">
        <f>AF17+AF31</f>
        <v>3</v>
      </c>
      <c r="AG10" s="26">
        <f t="shared" si="9"/>
        <v>0</v>
      </c>
    </row>
    <row r="11" ht="37" customHeight="1" spans="1:33">
      <c r="A11" s="28"/>
      <c r="B11" s="29" t="s">
        <v>19</v>
      </c>
      <c r="C11" s="30" t="s">
        <v>16</v>
      </c>
      <c r="D11" s="31">
        <f>D40+D46</f>
        <v>12</v>
      </c>
      <c r="E11" s="31">
        <f>E40+E46</f>
        <v>22</v>
      </c>
      <c r="F11" s="32">
        <f t="shared" si="0"/>
        <v>-0.454545454545455</v>
      </c>
      <c r="G11" s="31">
        <f>G40+G46</f>
        <v>12</v>
      </c>
      <c r="H11" s="31">
        <f>H40+H46</f>
        <v>22</v>
      </c>
      <c r="I11" s="32">
        <f t="shared" si="1"/>
        <v>-0.454545454545455</v>
      </c>
      <c r="J11" s="31">
        <f>J40+J46</f>
        <v>12</v>
      </c>
      <c r="K11" s="31">
        <f>K40+K46</f>
        <v>22</v>
      </c>
      <c r="L11" s="32">
        <f t="shared" si="2"/>
        <v>-0.454545454545455</v>
      </c>
      <c r="M11" s="31">
        <f>M40+M46</f>
        <v>12</v>
      </c>
      <c r="N11" s="31">
        <f>N40+N46</f>
        <v>22</v>
      </c>
      <c r="O11" s="32">
        <f t="shared" si="3"/>
        <v>-0.454545454545455</v>
      </c>
      <c r="P11" s="31">
        <f>P40+P46</f>
        <v>12</v>
      </c>
      <c r="Q11" s="31">
        <f>Q40+Q46</f>
        <v>22</v>
      </c>
      <c r="R11" s="32">
        <f t="shared" si="4"/>
        <v>-0.454545454545455</v>
      </c>
      <c r="S11" s="31">
        <f>S40+S46</f>
        <v>12</v>
      </c>
      <c r="T11" s="31">
        <f>T40+T46</f>
        <v>22</v>
      </c>
      <c r="U11" s="32">
        <f t="shared" si="5"/>
        <v>-0.454545454545455</v>
      </c>
      <c r="V11" s="31">
        <f>V40+V46</f>
        <v>12</v>
      </c>
      <c r="W11" s="31">
        <f>W40+W46</f>
        <v>22</v>
      </c>
      <c r="X11" s="32">
        <f t="shared" si="6"/>
        <v>-0.454545454545455</v>
      </c>
      <c r="Y11" s="31">
        <f>Y40+Y46</f>
        <v>12</v>
      </c>
      <c r="Z11" s="31">
        <f>Z40+Z46</f>
        <v>22</v>
      </c>
      <c r="AA11" s="32">
        <f t="shared" si="7"/>
        <v>-0.454545454545455</v>
      </c>
      <c r="AB11" s="31">
        <f>AB40+AB46</f>
        <v>12</v>
      </c>
      <c r="AC11" s="31">
        <f>AC40+AC46</f>
        <v>22</v>
      </c>
      <c r="AD11" s="32">
        <f t="shared" si="8"/>
        <v>-0.454545454545455</v>
      </c>
      <c r="AE11" s="31">
        <f>AE40+AE46</f>
        <v>12</v>
      </c>
      <c r="AF11" s="31">
        <f>AF40+AF46</f>
        <v>22</v>
      </c>
      <c r="AG11" s="33">
        <f t="shared" si="9"/>
        <v>-0.454545454545455</v>
      </c>
    </row>
    <row r="12" ht="37" customHeight="1" spans="1:33">
      <c r="A12" s="34" t="s">
        <v>20</v>
      </c>
      <c r="B12" s="35" t="s">
        <v>21</v>
      </c>
      <c r="C12" s="36" t="s">
        <v>11</v>
      </c>
      <c r="D12" s="37">
        <f>D18+D21+D23</f>
        <v>4153</v>
      </c>
      <c r="E12" s="37">
        <f>E18+E21+E23</f>
        <v>4049</v>
      </c>
      <c r="F12" s="38">
        <f t="shared" si="0"/>
        <v>0.0256853544084959</v>
      </c>
      <c r="G12" s="37">
        <f>G18+G21+G23</f>
        <v>4410</v>
      </c>
      <c r="H12" s="37">
        <f>H18+H21+H23</f>
        <v>4233</v>
      </c>
      <c r="I12" s="38">
        <f t="shared" si="1"/>
        <v>0.0418143160878809</v>
      </c>
      <c r="J12" s="37">
        <f>J18+J21+J23</f>
        <v>4189</v>
      </c>
      <c r="K12" s="37">
        <f>K18+K21+K23</f>
        <v>4064</v>
      </c>
      <c r="L12" s="38">
        <f t="shared" si="2"/>
        <v>0.030757874015748</v>
      </c>
      <c r="M12" s="37">
        <f>M18+M21+M23</f>
        <v>4407</v>
      </c>
      <c r="N12" s="37">
        <f>N18+N21+N23</f>
        <v>4219</v>
      </c>
      <c r="O12" s="38">
        <f t="shared" si="3"/>
        <v>0.0445603223512681</v>
      </c>
      <c r="P12" s="37">
        <f>P18+P21+P23</f>
        <v>4511</v>
      </c>
      <c r="Q12" s="37">
        <f>Q18+Q21+Q23</f>
        <v>4323</v>
      </c>
      <c r="R12" s="38">
        <f t="shared" si="4"/>
        <v>0.0434883182974786</v>
      </c>
      <c r="S12" s="37">
        <f>S18+S21+S23</f>
        <v>4308</v>
      </c>
      <c r="T12" s="37">
        <f>T18+T21+T23</f>
        <v>4131</v>
      </c>
      <c r="U12" s="38">
        <f t="shared" si="5"/>
        <v>0.0428467683369644</v>
      </c>
      <c r="V12" s="37">
        <f>V18+V21+V23</f>
        <v>4403</v>
      </c>
      <c r="W12" s="37">
        <f>W18+W21+W23</f>
        <v>4175</v>
      </c>
      <c r="X12" s="38">
        <f t="shared" si="6"/>
        <v>0.0546107784431138</v>
      </c>
      <c r="Y12" s="37">
        <f>Y18+Y21+Y23</f>
        <v>5050</v>
      </c>
      <c r="Z12" s="37">
        <f>Z18+Z21+Z23</f>
        <v>4858</v>
      </c>
      <c r="AA12" s="38">
        <f t="shared" si="7"/>
        <v>0.0395224372169617</v>
      </c>
      <c r="AB12" s="37">
        <f>AB18+AB21+AB23</f>
        <v>5115</v>
      </c>
      <c r="AC12" s="37">
        <f>AC18+AC21+AC23</f>
        <v>4950</v>
      </c>
      <c r="AD12" s="38">
        <f t="shared" si="8"/>
        <v>0.0333333333333333</v>
      </c>
      <c r="AE12" s="37">
        <f>AE18+AE21+AE23</f>
        <v>5128</v>
      </c>
      <c r="AF12" s="37">
        <f>AF18+AF21+AF23</f>
        <v>4867</v>
      </c>
      <c r="AG12" s="39">
        <f t="shared" si="9"/>
        <v>0.053626463940826</v>
      </c>
    </row>
    <row r="13" ht="37" customHeight="1" spans="1:33">
      <c r="A13" s="11"/>
      <c r="B13" s="40" t="s">
        <v>12</v>
      </c>
      <c r="C13" s="41" t="s">
        <v>13</v>
      </c>
      <c r="D13" s="42">
        <v>24</v>
      </c>
      <c r="E13" s="43">
        <v>25</v>
      </c>
      <c r="F13" s="44">
        <f t="shared" si="0"/>
        <v>-0.04</v>
      </c>
      <c r="G13" s="42">
        <v>18</v>
      </c>
      <c r="H13" s="42">
        <v>18</v>
      </c>
      <c r="I13" s="44">
        <f t="shared" si="1"/>
        <v>0</v>
      </c>
      <c r="J13" s="42">
        <v>12</v>
      </c>
      <c r="K13" s="42">
        <v>12</v>
      </c>
      <c r="L13" s="44">
        <f t="shared" si="2"/>
        <v>0</v>
      </c>
      <c r="M13" s="42">
        <v>19</v>
      </c>
      <c r="N13" s="42">
        <v>19</v>
      </c>
      <c r="O13" s="44">
        <f t="shared" si="3"/>
        <v>0</v>
      </c>
      <c r="P13" s="42">
        <v>56</v>
      </c>
      <c r="Q13" s="42">
        <v>56</v>
      </c>
      <c r="R13" s="44">
        <f t="shared" si="4"/>
        <v>0</v>
      </c>
      <c r="S13" s="42">
        <v>84</v>
      </c>
      <c r="T13" s="42">
        <v>85</v>
      </c>
      <c r="U13" s="44">
        <f t="shared" si="5"/>
        <v>-0.0117647058823529</v>
      </c>
      <c r="V13" s="42">
        <v>95</v>
      </c>
      <c r="W13" s="42">
        <v>96</v>
      </c>
      <c r="X13" s="44">
        <f t="shared" si="6"/>
        <v>-0.0104166666666667</v>
      </c>
      <c r="Y13" s="42">
        <v>108</v>
      </c>
      <c r="Z13" s="42">
        <v>109</v>
      </c>
      <c r="AA13" s="44">
        <f t="shared" si="7"/>
        <v>-0.00917431192660551</v>
      </c>
      <c r="AB13" s="42">
        <v>58</v>
      </c>
      <c r="AC13" s="42">
        <v>58</v>
      </c>
      <c r="AD13" s="44">
        <f t="shared" si="8"/>
        <v>0</v>
      </c>
      <c r="AE13" s="42">
        <v>36</v>
      </c>
      <c r="AF13" s="42">
        <v>36</v>
      </c>
      <c r="AG13" s="45">
        <f t="shared" si="9"/>
        <v>0</v>
      </c>
    </row>
    <row r="14" ht="37" customHeight="1" spans="1:33">
      <c r="A14" s="11"/>
      <c r="B14" s="40" t="s">
        <v>14</v>
      </c>
      <c r="C14" s="41" t="s">
        <v>13</v>
      </c>
      <c r="D14" s="42">
        <v>0</v>
      </c>
      <c r="E14" s="42">
        <v>0</v>
      </c>
      <c r="F14" s="44" t="str">
        <f t="shared" si="0"/>
        <v>-</v>
      </c>
      <c r="G14" s="42">
        <v>0</v>
      </c>
      <c r="H14" s="42">
        <v>0</v>
      </c>
      <c r="I14" s="44" t="str">
        <f t="shared" si="1"/>
        <v>-</v>
      </c>
      <c r="J14" s="42">
        <v>0</v>
      </c>
      <c r="K14" s="42">
        <v>0</v>
      </c>
      <c r="L14" s="44" t="str">
        <f t="shared" si="2"/>
        <v>-</v>
      </c>
      <c r="M14" s="42">
        <v>0</v>
      </c>
      <c r="N14" s="42">
        <v>0</v>
      </c>
      <c r="O14" s="44" t="str">
        <f t="shared" si="3"/>
        <v>-</v>
      </c>
      <c r="P14" s="42">
        <v>0</v>
      </c>
      <c r="Q14" s="42">
        <v>0</v>
      </c>
      <c r="R14" s="44" t="str">
        <f t="shared" si="4"/>
        <v>-</v>
      </c>
      <c r="S14" s="42">
        <v>0</v>
      </c>
      <c r="T14" s="42">
        <v>0</v>
      </c>
      <c r="U14" s="44" t="str">
        <f t="shared" si="5"/>
        <v>-</v>
      </c>
      <c r="V14" s="42">
        <v>0</v>
      </c>
      <c r="W14" s="42">
        <v>0</v>
      </c>
      <c r="X14" s="44" t="str">
        <f t="shared" si="6"/>
        <v>-</v>
      </c>
      <c r="Y14" s="42">
        <v>1</v>
      </c>
      <c r="Z14" s="42">
        <v>1</v>
      </c>
      <c r="AA14" s="44">
        <f t="shared" si="7"/>
        <v>0</v>
      </c>
      <c r="AB14" s="42">
        <v>1</v>
      </c>
      <c r="AC14" s="42">
        <v>0</v>
      </c>
      <c r="AD14" s="44" t="str">
        <f t="shared" si="8"/>
        <v>-</v>
      </c>
      <c r="AE14" s="42">
        <v>0</v>
      </c>
      <c r="AF14" s="42">
        <v>0</v>
      </c>
      <c r="AG14" s="45" t="str">
        <f t="shared" si="9"/>
        <v>-</v>
      </c>
    </row>
    <row r="15" ht="37" customHeight="1" spans="1:33">
      <c r="A15" s="11"/>
      <c r="B15" s="40" t="s">
        <v>15</v>
      </c>
      <c r="C15" s="41" t="s">
        <v>16</v>
      </c>
      <c r="D15" s="42">
        <f>D19+D24</f>
        <v>6</v>
      </c>
      <c r="E15" s="42">
        <f>E19+E24</f>
        <v>6</v>
      </c>
      <c r="F15" s="44">
        <f t="shared" si="0"/>
        <v>0</v>
      </c>
      <c r="G15" s="42">
        <f>G19+G24</f>
        <v>6</v>
      </c>
      <c r="H15" s="42">
        <f>H19+H24</f>
        <v>6</v>
      </c>
      <c r="I15" s="44">
        <f t="shared" si="1"/>
        <v>0</v>
      </c>
      <c r="J15" s="42">
        <f>J19+J24</f>
        <v>6</v>
      </c>
      <c r="K15" s="42">
        <f>K19+K24</f>
        <v>6</v>
      </c>
      <c r="L15" s="44">
        <f t="shared" si="2"/>
        <v>0</v>
      </c>
      <c r="M15" s="42">
        <f>M19+M24</f>
        <v>5</v>
      </c>
      <c r="N15" s="42">
        <f>N19+N24</f>
        <v>5</v>
      </c>
      <c r="O15" s="44">
        <f t="shared" si="3"/>
        <v>0</v>
      </c>
      <c r="P15" s="42">
        <f>P19+P24</f>
        <v>5</v>
      </c>
      <c r="Q15" s="42">
        <f>Q19+Q24</f>
        <v>5</v>
      </c>
      <c r="R15" s="44">
        <f t="shared" si="4"/>
        <v>0</v>
      </c>
      <c r="S15" s="42">
        <f>S19+S24</f>
        <v>5</v>
      </c>
      <c r="T15" s="42">
        <f>T19+T24</f>
        <v>5</v>
      </c>
      <c r="U15" s="44">
        <f t="shared" si="5"/>
        <v>0</v>
      </c>
      <c r="V15" s="42">
        <f>V19+V24</f>
        <v>6</v>
      </c>
      <c r="W15" s="42">
        <f>W19+W24</f>
        <v>6</v>
      </c>
      <c r="X15" s="44">
        <f t="shared" si="6"/>
        <v>0</v>
      </c>
      <c r="Y15" s="42">
        <f>Y19+Y24</f>
        <v>6</v>
      </c>
      <c r="Z15" s="42">
        <f>Z19+Z24</f>
        <v>6</v>
      </c>
      <c r="AA15" s="44">
        <f t="shared" si="7"/>
        <v>0</v>
      </c>
      <c r="AB15" s="42">
        <f>AB19+AB24</f>
        <v>6</v>
      </c>
      <c r="AC15" s="42">
        <f>AC19+AC24</f>
        <v>6</v>
      </c>
      <c r="AD15" s="44">
        <f t="shared" si="8"/>
        <v>0</v>
      </c>
      <c r="AE15" s="42">
        <f>AE19+AE24</f>
        <v>5</v>
      </c>
      <c r="AF15" s="42">
        <f>AF19+AF24</f>
        <v>5</v>
      </c>
      <c r="AG15" s="45">
        <f t="shared" si="9"/>
        <v>0</v>
      </c>
    </row>
    <row r="16" ht="37" customHeight="1" spans="1:33">
      <c r="A16" s="11"/>
      <c r="B16" s="40" t="s">
        <v>17</v>
      </c>
      <c r="C16" s="41" t="s">
        <v>16</v>
      </c>
      <c r="D16" s="42">
        <f>D20+D25</f>
        <v>6</v>
      </c>
      <c r="E16" s="42">
        <f>E20+E25</f>
        <v>6</v>
      </c>
      <c r="F16" s="44">
        <f t="shared" si="0"/>
        <v>0</v>
      </c>
      <c r="G16" s="42">
        <f>G20+G25</f>
        <v>6</v>
      </c>
      <c r="H16" s="42">
        <f>H20+H25</f>
        <v>6</v>
      </c>
      <c r="I16" s="44">
        <f t="shared" si="1"/>
        <v>0</v>
      </c>
      <c r="J16" s="42">
        <f>J20+J25</f>
        <v>6</v>
      </c>
      <c r="K16" s="42">
        <f>K20+K25</f>
        <v>6</v>
      </c>
      <c r="L16" s="44">
        <f t="shared" si="2"/>
        <v>0</v>
      </c>
      <c r="M16" s="42">
        <f>M20+M25</f>
        <v>5</v>
      </c>
      <c r="N16" s="42">
        <f>N20+N25</f>
        <v>5</v>
      </c>
      <c r="O16" s="44">
        <f t="shared" si="3"/>
        <v>0</v>
      </c>
      <c r="P16" s="42">
        <f>P20+P25</f>
        <v>5</v>
      </c>
      <c r="Q16" s="42">
        <f>Q20+Q25</f>
        <v>5</v>
      </c>
      <c r="R16" s="44">
        <f t="shared" si="4"/>
        <v>0</v>
      </c>
      <c r="S16" s="42">
        <f>S20+S25</f>
        <v>5</v>
      </c>
      <c r="T16" s="42">
        <f>T20+T25</f>
        <v>5</v>
      </c>
      <c r="U16" s="44">
        <f t="shared" si="5"/>
        <v>0</v>
      </c>
      <c r="V16" s="42">
        <f>V20+V25</f>
        <v>5</v>
      </c>
      <c r="W16" s="42">
        <f>W20+W25</f>
        <v>5</v>
      </c>
      <c r="X16" s="44">
        <f t="shared" si="6"/>
        <v>0</v>
      </c>
      <c r="Y16" s="42">
        <f>Y20+Y25</f>
        <v>5</v>
      </c>
      <c r="Z16" s="42">
        <f>Z20+Z25</f>
        <v>5</v>
      </c>
      <c r="AA16" s="44">
        <f t="shared" si="7"/>
        <v>0</v>
      </c>
      <c r="AB16" s="42">
        <f>AB20+AB25</f>
        <v>5</v>
      </c>
      <c r="AC16" s="42">
        <f>AC20+AC25</f>
        <v>5</v>
      </c>
      <c r="AD16" s="44">
        <f t="shared" si="8"/>
        <v>0</v>
      </c>
      <c r="AE16" s="42">
        <f>AE20+AE25</f>
        <v>4</v>
      </c>
      <c r="AF16" s="42">
        <f>AF20+AF25</f>
        <v>4</v>
      </c>
      <c r="AG16" s="45">
        <f t="shared" si="9"/>
        <v>0</v>
      </c>
    </row>
    <row r="17" ht="37" customHeight="1" spans="1:33">
      <c r="A17" s="28"/>
      <c r="B17" s="46" t="s">
        <v>18</v>
      </c>
      <c r="C17" s="47" t="s">
        <v>16</v>
      </c>
      <c r="D17" s="48">
        <f>D22</f>
        <v>1</v>
      </c>
      <c r="E17" s="48">
        <f>E22</f>
        <v>1</v>
      </c>
      <c r="F17" s="49">
        <f t="shared" si="0"/>
        <v>0</v>
      </c>
      <c r="G17" s="48">
        <f>G22</f>
        <v>1</v>
      </c>
      <c r="H17" s="48">
        <f>H22</f>
        <v>1</v>
      </c>
      <c r="I17" s="49">
        <f t="shared" si="1"/>
        <v>0</v>
      </c>
      <c r="J17" s="48">
        <f>J22</f>
        <v>1</v>
      </c>
      <c r="K17" s="48">
        <f>K22</f>
        <v>1</v>
      </c>
      <c r="L17" s="49">
        <f t="shared" si="2"/>
        <v>0</v>
      </c>
      <c r="M17" s="48">
        <f>M22</f>
        <v>2</v>
      </c>
      <c r="N17" s="48">
        <f>N22</f>
        <v>2</v>
      </c>
      <c r="O17" s="49">
        <f t="shared" si="3"/>
        <v>0</v>
      </c>
      <c r="P17" s="48">
        <f>P22</f>
        <v>2</v>
      </c>
      <c r="Q17" s="48">
        <f>Q22</f>
        <v>2</v>
      </c>
      <c r="R17" s="49">
        <f t="shared" si="4"/>
        <v>0</v>
      </c>
      <c r="S17" s="48">
        <f>S22</f>
        <v>2</v>
      </c>
      <c r="T17" s="48">
        <f>T22</f>
        <v>2</v>
      </c>
      <c r="U17" s="49">
        <f t="shared" si="5"/>
        <v>0</v>
      </c>
      <c r="V17" s="48">
        <f>V22</f>
        <v>1</v>
      </c>
      <c r="W17" s="48">
        <f>W22</f>
        <v>1</v>
      </c>
      <c r="X17" s="49">
        <f t="shared" si="6"/>
        <v>0</v>
      </c>
      <c r="Y17" s="48">
        <f>Y22</f>
        <v>2</v>
      </c>
      <c r="Z17" s="48">
        <f>Z22</f>
        <v>2</v>
      </c>
      <c r="AA17" s="49">
        <f t="shared" si="7"/>
        <v>0</v>
      </c>
      <c r="AB17" s="48">
        <f>AB22</f>
        <v>2</v>
      </c>
      <c r="AC17" s="48">
        <f>AC22</f>
        <v>2</v>
      </c>
      <c r="AD17" s="49">
        <f t="shared" si="8"/>
        <v>0</v>
      </c>
      <c r="AE17" s="48">
        <f>AE22</f>
        <v>3</v>
      </c>
      <c r="AF17" s="48">
        <f>AF22</f>
        <v>3</v>
      </c>
      <c r="AG17" s="50">
        <f t="shared" si="9"/>
        <v>0</v>
      </c>
    </row>
    <row r="18" ht="37" customHeight="1" spans="1:33">
      <c r="A18" s="16" t="s">
        <v>22</v>
      </c>
      <c r="B18" s="17" t="s">
        <v>21</v>
      </c>
      <c r="C18" s="18" t="s">
        <v>11</v>
      </c>
      <c r="D18" s="51">
        <v>2036</v>
      </c>
      <c r="E18" s="51">
        <v>1993</v>
      </c>
      <c r="F18" s="20">
        <f t="shared" si="0"/>
        <v>0.0215755143000502</v>
      </c>
      <c r="G18" s="51">
        <v>1962</v>
      </c>
      <c r="H18" s="51">
        <v>1867</v>
      </c>
      <c r="I18" s="20">
        <f t="shared" si="1"/>
        <v>0.0508837707552223</v>
      </c>
      <c r="J18" s="51">
        <v>1858</v>
      </c>
      <c r="K18" s="51">
        <v>1817</v>
      </c>
      <c r="L18" s="20">
        <f t="shared" si="2"/>
        <v>0.0225646670335718</v>
      </c>
      <c r="M18" s="51">
        <v>1927</v>
      </c>
      <c r="N18" s="51">
        <v>1826</v>
      </c>
      <c r="O18" s="20">
        <f t="shared" si="3"/>
        <v>0.0553121577217963</v>
      </c>
      <c r="P18" s="51">
        <v>1431</v>
      </c>
      <c r="Q18" s="51">
        <v>1395</v>
      </c>
      <c r="R18" s="20">
        <f t="shared" si="4"/>
        <v>0.0258064516129032</v>
      </c>
      <c r="S18" s="51">
        <v>1381</v>
      </c>
      <c r="T18" s="51">
        <v>1307</v>
      </c>
      <c r="U18" s="20">
        <f t="shared" si="5"/>
        <v>0.0566182096403979</v>
      </c>
      <c r="V18" s="51">
        <v>1568</v>
      </c>
      <c r="W18" s="51">
        <v>1491</v>
      </c>
      <c r="X18" s="20">
        <f t="shared" si="6"/>
        <v>0.0516431924882629</v>
      </c>
      <c r="Y18" s="51">
        <v>2029</v>
      </c>
      <c r="Z18" s="51">
        <v>1930</v>
      </c>
      <c r="AA18" s="20">
        <f t="shared" si="7"/>
        <v>0.0512953367875648</v>
      </c>
      <c r="AB18" s="51">
        <v>1975</v>
      </c>
      <c r="AC18" s="51">
        <v>1925</v>
      </c>
      <c r="AD18" s="20">
        <f t="shared" si="8"/>
        <v>0.025974025974026</v>
      </c>
      <c r="AE18" s="51">
        <v>2105</v>
      </c>
      <c r="AF18" s="51">
        <v>1996</v>
      </c>
      <c r="AG18" s="21">
        <f t="shared" si="9"/>
        <v>0.0546092184368737</v>
      </c>
    </row>
    <row r="19" ht="37" customHeight="1" spans="1:33">
      <c r="A19" s="11"/>
      <c r="B19" s="27" t="s">
        <v>15</v>
      </c>
      <c r="C19" s="23" t="s">
        <v>16</v>
      </c>
      <c r="D19" s="24">
        <v>3</v>
      </c>
      <c r="E19" s="24">
        <v>3</v>
      </c>
      <c r="F19" s="25">
        <f t="shared" si="0"/>
        <v>0</v>
      </c>
      <c r="G19" s="24">
        <v>3</v>
      </c>
      <c r="H19" s="24">
        <v>3</v>
      </c>
      <c r="I19" s="25">
        <f t="shared" si="1"/>
        <v>0</v>
      </c>
      <c r="J19" s="24">
        <v>3</v>
      </c>
      <c r="K19" s="24">
        <v>3</v>
      </c>
      <c r="L19" s="25">
        <f t="shared" si="2"/>
        <v>0</v>
      </c>
      <c r="M19" s="24">
        <v>2</v>
      </c>
      <c r="N19" s="24">
        <v>2</v>
      </c>
      <c r="O19" s="25">
        <f t="shared" si="3"/>
        <v>0</v>
      </c>
      <c r="P19" s="24">
        <v>2</v>
      </c>
      <c r="Q19" s="24">
        <v>2</v>
      </c>
      <c r="R19" s="25">
        <f t="shared" si="4"/>
        <v>0</v>
      </c>
      <c r="S19" s="24">
        <v>2</v>
      </c>
      <c r="T19" s="24">
        <v>2</v>
      </c>
      <c r="U19" s="25">
        <f t="shared" si="5"/>
        <v>0</v>
      </c>
      <c r="V19" s="24">
        <v>3</v>
      </c>
      <c r="W19" s="24">
        <v>3</v>
      </c>
      <c r="X19" s="25">
        <f t="shared" si="6"/>
        <v>0</v>
      </c>
      <c r="Y19" s="24">
        <v>3</v>
      </c>
      <c r="Z19" s="24">
        <v>3</v>
      </c>
      <c r="AA19" s="25">
        <f t="shared" si="7"/>
        <v>0</v>
      </c>
      <c r="AB19" s="24">
        <v>3</v>
      </c>
      <c r="AC19" s="24">
        <v>3</v>
      </c>
      <c r="AD19" s="25">
        <f t="shared" si="8"/>
        <v>0</v>
      </c>
      <c r="AE19" s="24">
        <v>3</v>
      </c>
      <c r="AF19" s="24">
        <v>3</v>
      </c>
      <c r="AG19" s="26">
        <f t="shared" si="9"/>
        <v>0</v>
      </c>
    </row>
    <row r="20" ht="37" customHeight="1" spans="1:33">
      <c r="A20" s="28"/>
      <c r="B20" s="29" t="s">
        <v>17</v>
      </c>
      <c r="C20" s="30" t="s">
        <v>16</v>
      </c>
      <c r="D20" s="31">
        <v>3</v>
      </c>
      <c r="E20" s="31">
        <v>3</v>
      </c>
      <c r="F20" s="32">
        <f t="shared" si="0"/>
        <v>0</v>
      </c>
      <c r="G20" s="31">
        <v>3</v>
      </c>
      <c r="H20" s="31">
        <v>3</v>
      </c>
      <c r="I20" s="32">
        <f t="shared" si="1"/>
        <v>0</v>
      </c>
      <c r="J20" s="31">
        <v>3</v>
      </c>
      <c r="K20" s="31">
        <v>3</v>
      </c>
      <c r="L20" s="32">
        <f t="shared" si="2"/>
        <v>0</v>
      </c>
      <c r="M20" s="31">
        <v>2</v>
      </c>
      <c r="N20" s="31">
        <v>2</v>
      </c>
      <c r="O20" s="32">
        <f t="shared" si="3"/>
        <v>0</v>
      </c>
      <c r="P20" s="31">
        <v>2</v>
      </c>
      <c r="Q20" s="31">
        <v>2</v>
      </c>
      <c r="R20" s="32">
        <f t="shared" si="4"/>
        <v>0</v>
      </c>
      <c r="S20" s="31">
        <v>2</v>
      </c>
      <c r="T20" s="31">
        <v>2</v>
      </c>
      <c r="U20" s="32">
        <f t="shared" si="5"/>
        <v>0</v>
      </c>
      <c r="V20" s="31">
        <v>2</v>
      </c>
      <c r="W20" s="31">
        <v>2</v>
      </c>
      <c r="X20" s="32">
        <f t="shared" si="6"/>
        <v>0</v>
      </c>
      <c r="Y20" s="31">
        <v>2</v>
      </c>
      <c r="Z20" s="31">
        <v>2</v>
      </c>
      <c r="AA20" s="32">
        <f t="shared" si="7"/>
        <v>0</v>
      </c>
      <c r="AB20" s="31">
        <v>2</v>
      </c>
      <c r="AC20" s="31">
        <v>2</v>
      </c>
      <c r="AD20" s="32">
        <f t="shared" si="8"/>
        <v>0</v>
      </c>
      <c r="AE20" s="31">
        <v>2</v>
      </c>
      <c r="AF20" s="31">
        <v>2</v>
      </c>
      <c r="AG20" s="33">
        <f t="shared" si="9"/>
        <v>0</v>
      </c>
    </row>
    <row r="21" ht="37" customHeight="1" spans="1:33">
      <c r="A21" s="34" t="s">
        <v>23</v>
      </c>
      <c r="B21" s="35" t="s">
        <v>21</v>
      </c>
      <c r="C21" s="36" t="s">
        <v>11</v>
      </c>
      <c r="D21" s="37">
        <v>0</v>
      </c>
      <c r="E21" s="37">
        <v>0</v>
      </c>
      <c r="F21" s="38" t="str">
        <f t="shared" si="0"/>
        <v>-</v>
      </c>
      <c r="G21" s="37">
        <v>525</v>
      </c>
      <c r="H21" s="37">
        <v>514</v>
      </c>
      <c r="I21" s="38">
        <f t="shared" si="1"/>
        <v>0.0214007782101167</v>
      </c>
      <c r="J21" s="37">
        <v>507</v>
      </c>
      <c r="K21" s="37">
        <v>494</v>
      </c>
      <c r="L21" s="38">
        <f t="shared" si="2"/>
        <v>0.0263157894736842</v>
      </c>
      <c r="M21" s="37">
        <v>602</v>
      </c>
      <c r="N21" s="37">
        <v>577</v>
      </c>
      <c r="O21" s="38">
        <f t="shared" si="3"/>
        <v>0.0433275563258232</v>
      </c>
      <c r="P21" s="37">
        <v>1066</v>
      </c>
      <c r="Q21" s="37">
        <v>1008</v>
      </c>
      <c r="R21" s="38">
        <f t="shared" si="4"/>
        <v>0.0575396825396825</v>
      </c>
      <c r="S21" s="37">
        <v>1098</v>
      </c>
      <c r="T21" s="37">
        <v>1065</v>
      </c>
      <c r="U21" s="38">
        <f t="shared" si="5"/>
        <v>0.0309859154929577</v>
      </c>
      <c r="V21" s="37">
        <v>766</v>
      </c>
      <c r="W21" s="37">
        <v>724</v>
      </c>
      <c r="X21" s="38">
        <f t="shared" si="6"/>
        <v>0.0580110497237569</v>
      </c>
      <c r="Y21" s="37">
        <v>935</v>
      </c>
      <c r="Z21" s="37">
        <v>889</v>
      </c>
      <c r="AA21" s="38">
        <f t="shared" si="7"/>
        <v>0.0517435320584927</v>
      </c>
      <c r="AB21" s="37">
        <v>1047</v>
      </c>
      <c r="AC21" s="37">
        <v>1007</v>
      </c>
      <c r="AD21" s="38">
        <f t="shared" si="8"/>
        <v>0.0397219463753724</v>
      </c>
      <c r="AE21" s="37">
        <v>1362</v>
      </c>
      <c r="AF21" s="37">
        <v>1295</v>
      </c>
      <c r="AG21" s="39">
        <f t="shared" si="9"/>
        <v>0.0517374517374517</v>
      </c>
    </row>
    <row r="22" ht="37" customHeight="1" spans="1:33">
      <c r="A22" s="28"/>
      <c r="B22" s="46" t="s">
        <v>18</v>
      </c>
      <c r="C22" s="47" t="s">
        <v>16</v>
      </c>
      <c r="D22" s="48">
        <v>1</v>
      </c>
      <c r="E22" s="48">
        <v>1</v>
      </c>
      <c r="F22" s="49">
        <f t="shared" si="0"/>
        <v>0</v>
      </c>
      <c r="G22" s="48">
        <v>1</v>
      </c>
      <c r="H22" s="48">
        <v>1</v>
      </c>
      <c r="I22" s="49">
        <f t="shared" si="1"/>
        <v>0</v>
      </c>
      <c r="J22" s="48">
        <v>1</v>
      </c>
      <c r="K22" s="48">
        <v>1</v>
      </c>
      <c r="L22" s="49">
        <f t="shared" si="2"/>
        <v>0</v>
      </c>
      <c r="M22" s="48">
        <v>2</v>
      </c>
      <c r="N22" s="48">
        <v>2</v>
      </c>
      <c r="O22" s="49">
        <f t="shared" si="3"/>
        <v>0</v>
      </c>
      <c r="P22" s="48">
        <v>2</v>
      </c>
      <c r="Q22" s="48">
        <v>2</v>
      </c>
      <c r="R22" s="49">
        <f t="shared" si="4"/>
        <v>0</v>
      </c>
      <c r="S22" s="48">
        <v>2</v>
      </c>
      <c r="T22" s="48">
        <v>2</v>
      </c>
      <c r="U22" s="49">
        <f t="shared" si="5"/>
        <v>0</v>
      </c>
      <c r="V22" s="48">
        <v>1</v>
      </c>
      <c r="W22" s="48">
        <v>1</v>
      </c>
      <c r="X22" s="49">
        <f t="shared" si="6"/>
        <v>0</v>
      </c>
      <c r="Y22" s="48">
        <v>2</v>
      </c>
      <c r="Z22" s="48">
        <v>2</v>
      </c>
      <c r="AA22" s="49">
        <f t="shared" si="7"/>
        <v>0</v>
      </c>
      <c r="AB22" s="48">
        <v>2</v>
      </c>
      <c r="AC22" s="48">
        <v>2</v>
      </c>
      <c r="AD22" s="49">
        <f t="shared" si="8"/>
        <v>0</v>
      </c>
      <c r="AE22" s="48">
        <v>3</v>
      </c>
      <c r="AF22" s="48">
        <v>3</v>
      </c>
      <c r="AG22" s="50">
        <f t="shared" si="9"/>
        <v>0</v>
      </c>
    </row>
    <row r="23" ht="37" customHeight="1" spans="1:33">
      <c r="A23" s="16" t="s">
        <v>24</v>
      </c>
      <c r="B23" s="17" t="s">
        <v>21</v>
      </c>
      <c r="C23" s="18" t="s">
        <v>11</v>
      </c>
      <c r="D23" s="51">
        <v>2117</v>
      </c>
      <c r="E23" s="51">
        <v>2056</v>
      </c>
      <c r="F23" s="20">
        <f t="shared" si="0"/>
        <v>0.0296692607003891</v>
      </c>
      <c r="G23" s="51">
        <v>1923</v>
      </c>
      <c r="H23" s="51">
        <v>1852</v>
      </c>
      <c r="I23" s="20">
        <f t="shared" si="1"/>
        <v>0.0383369330453564</v>
      </c>
      <c r="J23" s="51">
        <v>1824</v>
      </c>
      <c r="K23" s="51">
        <v>1753</v>
      </c>
      <c r="L23" s="20">
        <f t="shared" si="2"/>
        <v>0.0405019965772961</v>
      </c>
      <c r="M23" s="51">
        <v>1878</v>
      </c>
      <c r="N23" s="51">
        <v>1816</v>
      </c>
      <c r="O23" s="20">
        <f t="shared" si="3"/>
        <v>0.0341409691629956</v>
      </c>
      <c r="P23" s="51">
        <v>2014</v>
      </c>
      <c r="Q23" s="51">
        <v>1920</v>
      </c>
      <c r="R23" s="20">
        <f t="shared" si="4"/>
        <v>0.0489583333333333</v>
      </c>
      <c r="S23" s="51">
        <v>1829</v>
      </c>
      <c r="T23" s="51">
        <v>1759</v>
      </c>
      <c r="U23" s="20">
        <f t="shared" si="5"/>
        <v>0.0397953382603752</v>
      </c>
      <c r="V23" s="51">
        <v>2069</v>
      </c>
      <c r="W23" s="51">
        <v>1960</v>
      </c>
      <c r="X23" s="20">
        <f t="shared" si="6"/>
        <v>0.0556122448979592</v>
      </c>
      <c r="Y23" s="51">
        <v>2086</v>
      </c>
      <c r="Z23" s="51">
        <v>2039</v>
      </c>
      <c r="AA23" s="20">
        <f t="shared" si="7"/>
        <v>0.0230505149583129</v>
      </c>
      <c r="AB23" s="51">
        <v>2093</v>
      </c>
      <c r="AC23" s="51">
        <v>2018</v>
      </c>
      <c r="AD23" s="20">
        <f t="shared" si="8"/>
        <v>0.0371655104063429</v>
      </c>
      <c r="AE23" s="51">
        <v>1661</v>
      </c>
      <c r="AF23" s="51">
        <v>1576</v>
      </c>
      <c r="AG23" s="21">
        <f t="shared" si="9"/>
        <v>0.0539340101522843</v>
      </c>
    </row>
    <row r="24" ht="37" customHeight="1" spans="1:33">
      <c r="A24" s="11"/>
      <c r="B24" s="27" t="s">
        <v>15</v>
      </c>
      <c r="C24" s="23" t="s">
        <v>16</v>
      </c>
      <c r="D24" s="24">
        <v>3</v>
      </c>
      <c r="E24" s="24">
        <v>3</v>
      </c>
      <c r="F24" s="25">
        <f t="shared" si="0"/>
        <v>0</v>
      </c>
      <c r="G24" s="24">
        <v>3</v>
      </c>
      <c r="H24" s="24">
        <v>3</v>
      </c>
      <c r="I24" s="25">
        <f t="shared" si="1"/>
        <v>0</v>
      </c>
      <c r="J24" s="24">
        <v>3</v>
      </c>
      <c r="K24" s="24">
        <v>3</v>
      </c>
      <c r="L24" s="25">
        <f t="shared" si="2"/>
        <v>0</v>
      </c>
      <c r="M24" s="24">
        <v>3</v>
      </c>
      <c r="N24" s="24">
        <v>3</v>
      </c>
      <c r="O24" s="25">
        <f t="shared" si="3"/>
        <v>0</v>
      </c>
      <c r="P24" s="24">
        <v>3</v>
      </c>
      <c r="Q24" s="24">
        <v>3</v>
      </c>
      <c r="R24" s="25">
        <f t="shared" si="4"/>
        <v>0</v>
      </c>
      <c r="S24" s="24">
        <v>3</v>
      </c>
      <c r="T24" s="24">
        <v>3</v>
      </c>
      <c r="U24" s="25">
        <f t="shared" si="5"/>
        <v>0</v>
      </c>
      <c r="V24" s="24">
        <v>3</v>
      </c>
      <c r="W24" s="24">
        <v>3</v>
      </c>
      <c r="X24" s="25">
        <f t="shared" si="6"/>
        <v>0</v>
      </c>
      <c r="Y24" s="24">
        <v>3</v>
      </c>
      <c r="Z24" s="24">
        <v>3</v>
      </c>
      <c r="AA24" s="25">
        <f t="shared" si="7"/>
        <v>0</v>
      </c>
      <c r="AB24" s="24">
        <v>3</v>
      </c>
      <c r="AC24" s="24">
        <v>3</v>
      </c>
      <c r="AD24" s="25">
        <f t="shared" si="8"/>
        <v>0</v>
      </c>
      <c r="AE24" s="24">
        <v>2</v>
      </c>
      <c r="AF24" s="24">
        <v>2</v>
      </c>
      <c r="AG24" s="26">
        <f t="shared" si="9"/>
        <v>0</v>
      </c>
    </row>
    <row r="25" ht="37" customHeight="1" spans="1:33">
      <c r="A25" s="28"/>
      <c r="B25" s="29" t="s">
        <v>17</v>
      </c>
      <c r="C25" s="30" t="s">
        <v>16</v>
      </c>
      <c r="D25" s="31">
        <v>3</v>
      </c>
      <c r="E25" s="31">
        <v>3</v>
      </c>
      <c r="F25" s="32">
        <f t="shared" si="0"/>
        <v>0</v>
      </c>
      <c r="G25" s="31">
        <v>3</v>
      </c>
      <c r="H25" s="31">
        <v>3</v>
      </c>
      <c r="I25" s="32">
        <f t="shared" si="1"/>
        <v>0</v>
      </c>
      <c r="J25" s="31">
        <v>3</v>
      </c>
      <c r="K25" s="31">
        <v>3</v>
      </c>
      <c r="L25" s="32">
        <f t="shared" si="2"/>
        <v>0</v>
      </c>
      <c r="M25" s="31">
        <v>3</v>
      </c>
      <c r="N25" s="31">
        <v>3</v>
      </c>
      <c r="O25" s="32">
        <f t="shared" si="3"/>
        <v>0</v>
      </c>
      <c r="P25" s="31">
        <v>3</v>
      </c>
      <c r="Q25" s="31">
        <v>3</v>
      </c>
      <c r="R25" s="32">
        <f t="shared" si="4"/>
        <v>0</v>
      </c>
      <c r="S25" s="31">
        <v>3</v>
      </c>
      <c r="T25" s="31">
        <v>3</v>
      </c>
      <c r="U25" s="32">
        <f t="shared" si="5"/>
        <v>0</v>
      </c>
      <c r="V25" s="31">
        <v>3</v>
      </c>
      <c r="W25" s="31">
        <v>3</v>
      </c>
      <c r="X25" s="32">
        <f t="shared" si="6"/>
        <v>0</v>
      </c>
      <c r="Y25" s="31">
        <v>3</v>
      </c>
      <c r="Z25" s="31">
        <v>3</v>
      </c>
      <c r="AA25" s="32">
        <f t="shared" si="7"/>
        <v>0</v>
      </c>
      <c r="AB25" s="31">
        <v>3</v>
      </c>
      <c r="AC25" s="31">
        <v>3</v>
      </c>
      <c r="AD25" s="32">
        <f t="shared" si="8"/>
        <v>0</v>
      </c>
      <c r="AE25" s="31">
        <v>2</v>
      </c>
      <c r="AF25" s="31">
        <v>2</v>
      </c>
      <c r="AG25" s="33">
        <f t="shared" si="9"/>
        <v>0</v>
      </c>
    </row>
    <row r="26" ht="37" customHeight="1" spans="1:33">
      <c r="A26" s="34" t="s">
        <v>25</v>
      </c>
      <c r="B26" s="35" t="s">
        <v>21</v>
      </c>
      <c r="C26" s="36" t="s">
        <v>11</v>
      </c>
      <c r="D26" s="37">
        <v>839</v>
      </c>
      <c r="E26" s="37">
        <v>793</v>
      </c>
      <c r="F26" s="38">
        <f t="shared" si="0"/>
        <v>0.0580075662042875</v>
      </c>
      <c r="G26" s="37">
        <v>747</v>
      </c>
      <c r="H26" s="37">
        <v>713</v>
      </c>
      <c r="I26" s="38">
        <f t="shared" si="1"/>
        <v>0.0476858345021038</v>
      </c>
      <c r="J26" s="37">
        <v>823</v>
      </c>
      <c r="K26" s="37">
        <v>792</v>
      </c>
      <c r="L26" s="38">
        <f t="shared" si="2"/>
        <v>0.0391414141414141</v>
      </c>
      <c r="M26" s="37">
        <v>1034</v>
      </c>
      <c r="N26" s="37">
        <v>1001</v>
      </c>
      <c r="O26" s="38">
        <f t="shared" si="3"/>
        <v>0.032967032967033</v>
      </c>
      <c r="P26" s="37">
        <v>1049</v>
      </c>
      <c r="Q26" s="37">
        <v>1002</v>
      </c>
      <c r="R26" s="38">
        <f t="shared" si="4"/>
        <v>0.0469061876247505</v>
      </c>
      <c r="S26" s="37">
        <v>1031</v>
      </c>
      <c r="T26" s="37">
        <v>1004</v>
      </c>
      <c r="U26" s="38">
        <f t="shared" si="5"/>
        <v>0.0268924302788845</v>
      </c>
      <c r="V26" s="37">
        <v>1090</v>
      </c>
      <c r="W26" s="37">
        <v>1046</v>
      </c>
      <c r="X26" s="38">
        <f t="shared" si="6"/>
        <v>0.0420650095602294</v>
      </c>
      <c r="Y26" s="37">
        <v>1104</v>
      </c>
      <c r="Z26" s="37">
        <v>1066</v>
      </c>
      <c r="AA26" s="38">
        <f t="shared" si="7"/>
        <v>0.0356472795497186</v>
      </c>
      <c r="AB26" s="37">
        <v>1052</v>
      </c>
      <c r="AC26" s="37">
        <v>1018</v>
      </c>
      <c r="AD26" s="38">
        <f t="shared" si="8"/>
        <v>0.0333988212180747</v>
      </c>
      <c r="AE26" s="37">
        <v>968</v>
      </c>
      <c r="AF26" s="37">
        <v>925</v>
      </c>
      <c r="AG26" s="39">
        <f t="shared" si="9"/>
        <v>0.0464864864864865</v>
      </c>
    </row>
    <row r="27" ht="37" customHeight="1" spans="1:33">
      <c r="A27" s="11"/>
      <c r="B27" s="40" t="s">
        <v>12</v>
      </c>
      <c r="C27" s="41" t="s">
        <v>13</v>
      </c>
      <c r="D27" s="42">
        <v>4</v>
      </c>
      <c r="E27" s="42">
        <v>4</v>
      </c>
      <c r="F27" s="44">
        <f t="shared" si="0"/>
        <v>0</v>
      </c>
      <c r="G27" s="42">
        <v>10</v>
      </c>
      <c r="H27" s="42">
        <v>10</v>
      </c>
      <c r="I27" s="44">
        <f t="shared" si="1"/>
        <v>0</v>
      </c>
      <c r="J27" s="42">
        <v>9</v>
      </c>
      <c r="K27" s="42">
        <v>9</v>
      </c>
      <c r="L27" s="44">
        <f t="shared" si="2"/>
        <v>0</v>
      </c>
      <c r="M27" s="42">
        <v>19</v>
      </c>
      <c r="N27" s="42">
        <v>18</v>
      </c>
      <c r="O27" s="44">
        <f t="shared" si="3"/>
        <v>0.0555555555555556</v>
      </c>
      <c r="P27" s="42">
        <v>8</v>
      </c>
      <c r="Q27" s="42">
        <v>8</v>
      </c>
      <c r="R27" s="44">
        <f t="shared" si="4"/>
        <v>0</v>
      </c>
      <c r="S27" s="42">
        <v>3</v>
      </c>
      <c r="T27" s="42">
        <v>3</v>
      </c>
      <c r="U27" s="44">
        <f t="shared" si="5"/>
        <v>0</v>
      </c>
      <c r="V27" s="42">
        <v>6</v>
      </c>
      <c r="W27" s="42">
        <v>5</v>
      </c>
      <c r="X27" s="44">
        <f t="shared" si="6"/>
        <v>0.2</v>
      </c>
      <c r="Y27" s="42">
        <v>8</v>
      </c>
      <c r="Z27" s="42">
        <v>8</v>
      </c>
      <c r="AA27" s="44">
        <f t="shared" si="7"/>
        <v>0</v>
      </c>
      <c r="AB27" s="42">
        <v>9</v>
      </c>
      <c r="AC27" s="42">
        <v>10</v>
      </c>
      <c r="AD27" s="44">
        <f t="shared" si="8"/>
        <v>-0.1</v>
      </c>
      <c r="AE27" s="42">
        <v>12</v>
      </c>
      <c r="AF27" s="42">
        <v>12</v>
      </c>
      <c r="AG27" s="45">
        <f t="shared" si="9"/>
        <v>0</v>
      </c>
    </row>
    <row r="28" ht="37" customHeight="1" spans="1:33">
      <c r="A28" s="11"/>
      <c r="B28" s="40" t="s">
        <v>14</v>
      </c>
      <c r="C28" s="41" t="s">
        <v>13</v>
      </c>
      <c r="D28" s="42">
        <v>4</v>
      </c>
      <c r="E28" s="42">
        <v>3</v>
      </c>
      <c r="F28" s="44">
        <f t="shared" si="0"/>
        <v>0.333333333333333</v>
      </c>
      <c r="G28" s="42">
        <v>9</v>
      </c>
      <c r="H28" s="42">
        <v>9</v>
      </c>
      <c r="I28" s="44">
        <f t="shared" si="1"/>
        <v>0</v>
      </c>
      <c r="J28" s="42">
        <v>8</v>
      </c>
      <c r="K28" s="42">
        <v>9</v>
      </c>
      <c r="L28" s="44">
        <f t="shared" si="2"/>
        <v>-0.111111111111111</v>
      </c>
      <c r="M28" s="42">
        <v>14</v>
      </c>
      <c r="N28" s="42">
        <v>14</v>
      </c>
      <c r="O28" s="44">
        <f t="shared" si="3"/>
        <v>0</v>
      </c>
      <c r="P28" s="42">
        <v>8</v>
      </c>
      <c r="Q28" s="42">
        <v>8</v>
      </c>
      <c r="R28" s="44">
        <f t="shared" si="4"/>
        <v>0</v>
      </c>
      <c r="S28" s="42">
        <v>2</v>
      </c>
      <c r="T28" s="42">
        <v>3</v>
      </c>
      <c r="U28" s="44">
        <f t="shared" si="5"/>
        <v>-0.333333333333333</v>
      </c>
      <c r="V28" s="42">
        <v>3</v>
      </c>
      <c r="W28" s="42">
        <v>4</v>
      </c>
      <c r="X28" s="44">
        <f t="shared" si="6"/>
        <v>-0.25</v>
      </c>
      <c r="Y28" s="42">
        <v>7</v>
      </c>
      <c r="Z28" s="42">
        <v>8</v>
      </c>
      <c r="AA28" s="44">
        <f t="shared" si="7"/>
        <v>-0.125</v>
      </c>
      <c r="AB28" s="42">
        <v>9</v>
      </c>
      <c r="AC28" s="42">
        <v>10</v>
      </c>
      <c r="AD28" s="44">
        <f t="shared" si="8"/>
        <v>-0.1</v>
      </c>
      <c r="AE28" s="42">
        <v>11</v>
      </c>
      <c r="AF28" s="42">
        <v>11</v>
      </c>
      <c r="AG28" s="45">
        <f t="shared" si="9"/>
        <v>0</v>
      </c>
    </row>
    <row r="29" ht="37" customHeight="1" spans="1:33">
      <c r="A29" s="11"/>
      <c r="B29" s="40" t="s">
        <v>15</v>
      </c>
      <c r="C29" s="41" t="s">
        <v>16</v>
      </c>
      <c r="D29" s="42">
        <v>3</v>
      </c>
      <c r="E29" s="42">
        <v>3</v>
      </c>
      <c r="F29" s="44">
        <f t="shared" si="0"/>
        <v>0</v>
      </c>
      <c r="G29" s="42">
        <v>3</v>
      </c>
      <c r="H29" s="42">
        <v>3</v>
      </c>
      <c r="I29" s="44">
        <f t="shared" si="1"/>
        <v>0</v>
      </c>
      <c r="J29" s="42">
        <v>4</v>
      </c>
      <c r="K29" s="42">
        <v>4</v>
      </c>
      <c r="L29" s="44">
        <f t="shared" si="2"/>
        <v>0</v>
      </c>
      <c r="M29" s="42">
        <v>4</v>
      </c>
      <c r="N29" s="42">
        <v>4</v>
      </c>
      <c r="O29" s="44">
        <f t="shared" si="3"/>
        <v>0</v>
      </c>
      <c r="P29" s="42">
        <v>4</v>
      </c>
      <c r="Q29" s="42">
        <v>4</v>
      </c>
      <c r="R29" s="44">
        <f t="shared" si="4"/>
        <v>0</v>
      </c>
      <c r="S29" s="42">
        <v>4</v>
      </c>
      <c r="T29" s="42">
        <v>4</v>
      </c>
      <c r="U29" s="44">
        <f t="shared" si="5"/>
        <v>0</v>
      </c>
      <c r="V29" s="42">
        <v>4</v>
      </c>
      <c r="W29" s="42">
        <v>4</v>
      </c>
      <c r="X29" s="44">
        <f t="shared" si="6"/>
        <v>0</v>
      </c>
      <c r="Y29" s="42">
        <v>4</v>
      </c>
      <c r="Z29" s="42">
        <v>4</v>
      </c>
      <c r="AA29" s="44">
        <f t="shared" si="7"/>
        <v>0</v>
      </c>
      <c r="AB29" s="42">
        <v>4</v>
      </c>
      <c r="AC29" s="42">
        <v>4</v>
      </c>
      <c r="AD29" s="44">
        <f t="shared" si="8"/>
        <v>0</v>
      </c>
      <c r="AE29" s="42">
        <v>3</v>
      </c>
      <c r="AF29" s="42">
        <v>3</v>
      </c>
      <c r="AG29" s="45">
        <f t="shared" si="9"/>
        <v>0</v>
      </c>
    </row>
    <row r="30" ht="37" customHeight="1" spans="1:33">
      <c r="A30" s="11"/>
      <c r="B30" s="40" t="s">
        <v>17</v>
      </c>
      <c r="C30" s="41" t="s">
        <v>16</v>
      </c>
      <c r="D30" s="42">
        <v>3</v>
      </c>
      <c r="E30" s="42">
        <v>3</v>
      </c>
      <c r="F30" s="44">
        <f t="shared" si="0"/>
        <v>0</v>
      </c>
      <c r="G30" s="42">
        <v>3</v>
      </c>
      <c r="H30" s="42">
        <v>3</v>
      </c>
      <c r="I30" s="44">
        <f t="shared" si="1"/>
        <v>0</v>
      </c>
      <c r="J30" s="42">
        <v>3</v>
      </c>
      <c r="K30" s="42">
        <v>3</v>
      </c>
      <c r="L30" s="44">
        <f t="shared" si="2"/>
        <v>0</v>
      </c>
      <c r="M30" s="42">
        <v>3</v>
      </c>
      <c r="N30" s="42">
        <v>3</v>
      </c>
      <c r="O30" s="44">
        <f t="shared" si="3"/>
        <v>0</v>
      </c>
      <c r="P30" s="42">
        <v>3</v>
      </c>
      <c r="Q30" s="42">
        <v>3</v>
      </c>
      <c r="R30" s="44">
        <f t="shared" si="4"/>
        <v>0</v>
      </c>
      <c r="S30" s="42">
        <v>3</v>
      </c>
      <c r="T30" s="42">
        <v>3</v>
      </c>
      <c r="U30" s="44">
        <f t="shared" si="5"/>
        <v>0</v>
      </c>
      <c r="V30" s="42">
        <v>3</v>
      </c>
      <c r="W30" s="42">
        <v>3</v>
      </c>
      <c r="X30" s="44">
        <f t="shared" si="6"/>
        <v>0</v>
      </c>
      <c r="Y30" s="42">
        <v>3</v>
      </c>
      <c r="Z30" s="42">
        <v>3</v>
      </c>
      <c r="AA30" s="44">
        <f t="shared" si="7"/>
        <v>0</v>
      </c>
      <c r="AB30" s="42">
        <v>3</v>
      </c>
      <c r="AC30" s="42">
        <v>3</v>
      </c>
      <c r="AD30" s="44">
        <f t="shared" si="8"/>
        <v>0</v>
      </c>
      <c r="AE30" s="42">
        <v>3</v>
      </c>
      <c r="AF30" s="42">
        <v>3</v>
      </c>
      <c r="AG30" s="45">
        <f t="shared" si="9"/>
        <v>0</v>
      </c>
    </row>
    <row r="31" ht="37" customHeight="1" spans="1:33">
      <c r="A31" s="28"/>
      <c r="B31" s="46" t="s">
        <v>18</v>
      </c>
      <c r="C31" s="47" t="s">
        <v>16</v>
      </c>
      <c r="D31" s="48">
        <v>0</v>
      </c>
      <c r="E31" s="48">
        <v>0</v>
      </c>
      <c r="F31" s="49" t="str">
        <f t="shared" si="0"/>
        <v>-</v>
      </c>
      <c r="G31" s="48">
        <v>0</v>
      </c>
      <c r="H31" s="48">
        <v>0</v>
      </c>
      <c r="I31" s="49" t="str">
        <f t="shared" si="1"/>
        <v>-</v>
      </c>
      <c r="J31" s="48">
        <v>0</v>
      </c>
      <c r="K31" s="48">
        <v>0</v>
      </c>
      <c r="L31" s="49" t="str">
        <f t="shared" si="2"/>
        <v>-</v>
      </c>
      <c r="M31" s="48">
        <v>0</v>
      </c>
      <c r="N31" s="48">
        <v>0</v>
      </c>
      <c r="O31" s="49" t="str">
        <f t="shared" si="3"/>
        <v>-</v>
      </c>
      <c r="P31" s="48">
        <v>0</v>
      </c>
      <c r="Q31" s="48">
        <v>0</v>
      </c>
      <c r="R31" s="49" t="str">
        <f t="shared" si="4"/>
        <v>-</v>
      </c>
      <c r="S31" s="48">
        <v>0</v>
      </c>
      <c r="T31" s="48">
        <v>0</v>
      </c>
      <c r="U31" s="49" t="str">
        <f t="shared" si="5"/>
        <v>-</v>
      </c>
      <c r="V31" s="48">
        <v>0</v>
      </c>
      <c r="W31" s="48">
        <v>0</v>
      </c>
      <c r="X31" s="49" t="str">
        <f t="shared" si="6"/>
        <v>-</v>
      </c>
      <c r="Y31" s="48">
        <v>0</v>
      </c>
      <c r="Z31" s="48">
        <v>0</v>
      </c>
      <c r="AA31" s="49" t="str">
        <f t="shared" si="7"/>
        <v>-</v>
      </c>
      <c r="AB31" s="48">
        <v>0</v>
      </c>
      <c r="AC31" s="48">
        <v>0</v>
      </c>
      <c r="AD31" s="49" t="str">
        <f t="shared" si="8"/>
        <v>-</v>
      </c>
      <c r="AE31" s="48">
        <v>0</v>
      </c>
      <c r="AF31" s="48">
        <v>0</v>
      </c>
      <c r="AG31" s="50" t="str">
        <f t="shared" si="9"/>
        <v>-</v>
      </c>
    </row>
    <row r="32" ht="37" customHeight="1" spans="1:33">
      <c r="A32" s="16" t="s">
        <v>26</v>
      </c>
      <c r="B32" s="17" t="s">
        <v>21</v>
      </c>
      <c r="C32" s="18" t="s">
        <v>11</v>
      </c>
      <c r="D32" s="51">
        <v>454.32</v>
      </c>
      <c r="E32" s="51">
        <v>439.94</v>
      </c>
      <c r="F32" s="20">
        <f t="shared" si="0"/>
        <v>0.0326862754011911</v>
      </c>
      <c r="G32" s="51">
        <v>441.04</v>
      </c>
      <c r="H32" s="51">
        <v>418.58</v>
      </c>
      <c r="I32" s="20">
        <f t="shared" si="1"/>
        <v>0.0536576042811411</v>
      </c>
      <c r="J32" s="51">
        <v>469.39</v>
      </c>
      <c r="K32" s="51">
        <v>444.8</v>
      </c>
      <c r="L32" s="20">
        <f t="shared" si="2"/>
        <v>0.0552832733812949</v>
      </c>
      <c r="M32" s="51">
        <v>454.36</v>
      </c>
      <c r="N32" s="51">
        <v>438.72</v>
      </c>
      <c r="O32" s="20">
        <f t="shared" si="3"/>
        <v>0.0356491611962071</v>
      </c>
      <c r="P32" s="51">
        <v>464.44</v>
      </c>
      <c r="Q32" s="51">
        <v>444.75</v>
      </c>
      <c r="R32" s="20">
        <f t="shared" si="4"/>
        <v>0.0442720629567173</v>
      </c>
      <c r="S32" s="51">
        <v>471.87</v>
      </c>
      <c r="T32" s="51">
        <v>449.68</v>
      </c>
      <c r="U32" s="20">
        <f t="shared" si="5"/>
        <v>0.049346201743462</v>
      </c>
      <c r="V32" s="51">
        <v>467.59</v>
      </c>
      <c r="W32" s="51">
        <v>442.1</v>
      </c>
      <c r="X32" s="20">
        <f t="shared" si="6"/>
        <v>0.057656638769509</v>
      </c>
      <c r="Y32" s="51">
        <v>464</v>
      </c>
      <c r="Z32" s="51">
        <v>452</v>
      </c>
      <c r="AA32" s="20">
        <f t="shared" si="7"/>
        <v>0.0265486725663717</v>
      </c>
      <c r="AB32" s="51">
        <v>511.84</v>
      </c>
      <c r="AC32" s="51">
        <v>484.21</v>
      </c>
      <c r="AD32" s="20">
        <f t="shared" si="8"/>
        <v>0.0570620185456723</v>
      </c>
      <c r="AE32" s="51">
        <v>470.91</v>
      </c>
      <c r="AF32" s="51">
        <v>452.74</v>
      </c>
      <c r="AG32" s="21">
        <f t="shared" si="9"/>
        <v>0.0401334099041393</v>
      </c>
    </row>
    <row r="33" ht="37" customHeight="1" spans="1:33">
      <c r="A33" s="11"/>
      <c r="B33" s="27" t="s">
        <v>12</v>
      </c>
      <c r="C33" s="23" t="s">
        <v>13</v>
      </c>
      <c r="D33" s="24">
        <v>2</v>
      </c>
      <c r="E33" s="24">
        <v>1</v>
      </c>
      <c r="F33" s="25">
        <f t="shared" si="0"/>
        <v>1</v>
      </c>
      <c r="G33" s="24">
        <v>0</v>
      </c>
      <c r="H33" s="24">
        <v>0</v>
      </c>
      <c r="I33" s="25" t="str">
        <f t="shared" si="1"/>
        <v>-</v>
      </c>
      <c r="J33" s="24">
        <v>3</v>
      </c>
      <c r="K33" s="24">
        <v>2</v>
      </c>
      <c r="L33" s="25">
        <f t="shared" si="2"/>
        <v>0.5</v>
      </c>
      <c r="M33" s="24">
        <v>0</v>
      </c>
      <c r="N33" s="24">
        <v>0</v>
      </c>
      <c r="O33" s="25" t="str">
        <f t="shared" si="3"/>
        <v>-</v>
      </c>
      <c r="P33" s="24">
        <v>3</v>
      </c>
      <c r="Q33" s="24">
        <v>3</v>
      </c>
      <c r="R33" s="25">
        <f t="shared" si="4"/>
        <v>0</v>
      </c>
      <c r="S33" s="24">
        <v>1</v>
      </c>
      <c r="T33" s="24">
        <v>1</v>
      </c>
      <c r="U33" s="25">
        <f t="shared" si="5"/>
        <v>0</v>
      </c>
      <c r="V33" s="24">
        <v>3</v>
      </c>
      <c r="W33" s="24">
        <v>2</v>
      </c>
      <c r="X33" s="25">
        <f t="shared" si="6"/>
        <v>0.5</v>
      </c>
      <c r="Y33" s="24">
        <v>5</v>
      </c>
      <c r="Z33" s="24">
        <v>5</v>
      </c>
      <c r="AA33" s="25">
        <f t="shared" si="7"/>
        <v>0</v>
      </c>
      <c r="AB33" s="24">
        <v>3</v>
      </c>
      <c r="AC33" s="24">
        <v>3</v>
      </c>
      <c r="AD33" s="25">
        <f t="shared" si="8"/>
        <v>0</v>
      </c>
      <c r="AE33" s="24">
        <v>5</v>
      </c>
      <c r="AF33" s="24">
        <v>6</v>
      </c>
      <c r="AG33" s="26">
        <f t="shared" si="9"/>
        <v>-0.166666666666667</v>
      </c>
    </row>
    <row r="34" ht="37" customHeight="1" spans="1:33">
      <c r="A34" s="11"/>
      <c r="B34" s="27" t="s">
        <v>14</v>
      </c>
      <c r="C34" s="23" t="s">
        <v>13</v>
      </c>
      <c r="D34" s="24">
        <v>0</v>
      </c>
      <c r="E34" s="24">
        <v>0</v>
      </c>
      <c r="F34" s="25" t="str">
        <f t="shared" si="0"/>
        <v>-</v>
      </c>
      <c r="G34" s="24">
        <v>0</v>
      </c>
      <c r="H34" s="24">
        <v>0</v>
      </c>
      <c r="I34" s="25" t="str">
        <f t="shared" si="1"/>
        <v>-</v>
      </c>
      <c r="J34" s="24">
        <v>1</v>
      </c>
      <c r="K34" s="24">
        <v>0</v>
      </c>
      <c r="L34" s="25" t="str">
        <f t="shared" si="2"/>
        <v>-</v>
      </c>
      <c r="M34" s="24">
        <v>0</v>
      </c>
      <c r="N34" s="24">
        <v>0</v>
      </c>
      <c r="O34" s="25" t="str">
        <f t="shared" si="3"/>
        <v>-</v>
      </c>
      <c r="P34" s="24">
        <v>2</v>
      </c>
      <c r="Q34" s="24">
        <v>3</v>
      </c>
      <c r="R34" s="25">
        <f t="shared" si="4"/>
        <v>-0.333333333333333</v>
      </c>
      <c r="S34" s="24">
        <v>0</v>
      </c>
      <c r="T34" s="24">
        <v>0</v>
      </c>
      <c r="U34" s="25" t="str">
        <f t="shared" si="5"/>
        <v>-</v>
      </c>
      <c r="V34" s="24">
        <v>0</v>
      </c>
      <c r="W34" s="24">
        <v>1</v>
      </c>
      <c r="X34" s="25">
        <f t="shared" si="6"/>
        <v>-1</v>
      </c>
      <c r="Y34" s="24">
        <v>1</v>
      </c>
      <c r="Z34" s="24">
        <v>2</v>
      </c>
      <c r="AA34" s="25">
        <f t="shared" si="7"/>
        <v>-0.5</v>
      </c>
      <c r="AB34" s="24">
        <v>2</v>
      </c>
      <c r="AC34" s="24">
        <v>2</v>
      </c>
      <c r="AD34" s="25">
        <f t="shared" si="8"/>
        <v>0</v>
      </c>
      <c r="AE34" s="24">
        <v>0</v>
      </c>
      <c r="AF34" s="24">
        <v>1</v>
      </c>
      <c r="AG34" s="26">
        <f t="shared" si="9"/>
        <v>-1</v>
      </c>
    </row>
    <row r="35" ht="37" customHeight="1" spans="1:33">
      <c r="A35" s="11"/>
      <c r="B35" s="27" t="s">
        <v>15</v>
      </c>
      <c r="C35" s="23" t="s">
        <v>16</v>
      </c>
      <c r="D35" s="24">
        <v>2</v>
      </c>
      <c r="E35" s="24">
        <v>2</v>
      </c>
      <c r="F35" s="25">
        <f t="shared" si="0"/>
        <v>0</v>
      </c>
      <c r="G35" s="24">
        <v>2</v>
      </c>
      <c r="H35" s="24">
        <v>2</v>
      </c>
      <c r="I35" s="25">
        <f t="shared" si="1"/>
        <v>0</v>
      </c>
      <c r="J35" s="24">
        <v>2</v>
      </c>
      <c r="K35" s="24">
        <v>2</v>
      </c>
      <c r="L35" s="25">
        <f t="shared" si="2"/>
        <v>0</v>
      </c>
      <c r="M35" s="24">
        <v>2</v>
      </c>
      <c r="N35" s="24">
        <v>2</v>
      </c>
      <c r="O35" s="25">
        <f t="shared" si="3"/>
        <v>0</v>
      </c>
      <c r="P35" s="24">
        <v>2</v>
      </c>
      <c r="Q35" s="24">
        <v>2</v>
      </c>
      <c r="R35" s="25">
        <f t="shared" si="4"/>
        <v>0</v>
      </c>
      <c r="S35" s="24">
        <v>2</v>
      </c>
      <c r="T35" s="24">
        <v>2</v>
      </c>
      <c r="U35" s="25">
        <f t="shared" si="5"/>
        <v>0</v>
      </c>
      <c r="V35" s="24">
        <v>2</v>
      </c>
      <c r="W35" s="24">
        <v>2</v>
      </c>
      <c r="X35" s="25">
        <f t="shared" si="6"/>
        <v>0</v>
      </c>
      <c r="Y35" s="24">
        <v>2</v>
      </c>
      <c r="Z35" s="24">
        <v>2</v>
      </c>
      <c r="AA35" s="25">
        <f t="shared" si="7"/>
        <v>0</v>
      </c>
      <c r="AB35" s="24">
        <v>2</v>
      </c>
      <c r="AC35" s="24">
        <v>2</v>
      </c>
      <c r="AD35" s="25">
        <f t="shared" si="8"/>
        <v>0</v>
      </c>
      <c r="AE35" s="24">
        <v>2</v>
      </c>
      <c r="AF35" s="24">
        <v>2</v>
      </c>
      <c r="AG35" s="26">
        <f t="shared" si="9"/>
        <v>0</v>
      </c>
    </row>
    <row r="36" ht="37" customHeight="1" spans="1:33">
      <c r="A36" s="28"/>
      <c r="B36" s="29" t="s">
        <v>17</v>
      </c>
      <c r="C36" s="30" t="s">
        <v>16</v>
      </c>
      <c r="D36" s="31">
        <v>1</v>
      </c>
      <c r="E36" s="31">
        <v>1</v>
      </c>
      <c r="F36" s="32">
        <f t="shared" si="0"/>
        <v>0</v>
      </c>
      <c r="G36" s="31">
        <v>1</v>
      </c>
      <c r="H36" s="31">
        <v>1</v>
      </c>
      <c r="I36" s="32">
        <f t="shared" si="1"/>
        <v>0</v>
      </c>
      <c r="J36" s="31">
        <v>1</v>
      </c>
      <c r="K36" s="31">
        <v>1</v>
      </c>
      <c r="L36" s="32">
        <f t="shared" si="2"/>
        <v>0</v>
      </c>
      <c r="M36" s="31">
        <v>1</v>
      </c>
      <c r="N36" s="31">
        <v>1</v>
      </c>
      <c r="O36" s="32">
        <f t="shared" si="3"/>
        <v>0</v>
      </c>
      <c r="P36" s="31">
        <v>1</v>
      </c>
      <c r="Q36" s="31">
        <v>1</v>
      </c>
      <c r="R36" s="32">
        <f t="shared" si="4"/>
        <v>0</v>
      </c>
      <c r="S36" s="31">
        <v>1</v>
      </c>
      <c r="T36" s="31">
        <v>1</v>
      </c>
      <c r="U36" s="32">
        <f t="shared" si="5"/>
        <v>0</v>
      </c>
      <c r="V36" s="31">
        <v>1</v>
      </c>
      <c r="W36" s="31">
        <v>1</v>
      </c>
      <c r="X36" s="32">
        <f t="shared" si="6"/>
        <v>0</v>
      </c>
      <c r="Y36" s="31">
        <v>1</v>
      </c>
      <c r="Z36" s="31">
        <v>1</v>
      </c>
      <c r="AA36" s="32">
        <f t="shared" si="7"/>
        <v>0</v>
      </c>
      <c r="AB36" s="31">
        <v>1</v>
      </c>
      <c r="AC36" s="31">
        <v>1</v>
      </c>
      <c r="AD36" s="32">
        <f t="shared" si="8"/>
        <v>0</v>
      </c>
      <c r="AE36" s="31">
        <v>1</v>
      </c>
      <c r="AF36" s="31">
        <v>1</v>
      </c>
      <c r="AG36" s="33">
        <f t="shared" si="9"/>
        <v>0</v>
      </c>
    </row>
    <row r="37" ht="37" customHeight="1" spans="1:33">
      <c r="A37" s="3" t="s">
        <v>27</v>
      </c>
      <c r="B37" s="35" t="s">
        <v>21</v>
      </c>
      <c r="C37" s="36" t="s">
        <v>11</v>
      </c>
      <c r="D37" s="37">
        <v>268</v>
      </c>
      <c r="E37" s="37">
        <v>257</v>
      </c>
      <c r="F37" s="38">
        <f t="shared" si="0"/>
        <v>0.0428015564202335</v>
      </c>
      <c r="G37" s="37">
        <v>298</v>
      </c>
      <c r="H37" s="37">
        <v>284</v>
      </c>
      <c r="I37" s="38">
        <f t="shared" si="1"/>
        <v>0.0492957746478873</v>
      </c>
      <c r="J37" s="37">
        <v>310</v>
      </c>
      <c r="K37" s="37">
        <v>296</v>
      </c>
      <c r="L37" s="38">
        <f t="shared" si="2"/>
        <v>0.0472972972972973</v>
      </c>
      <c r="M37" s="37">
        <v>307</v>
      </c>
      <c r="N37" s="37">
        <v>295</v>
      </c>
      <c r="O37" s="38">
        <f t="shared" si="3"/>
        <v>0.0406779661016949</v>
      </c>
      <c r="P37" s="37">
        <v>276</v>
      </c>
      <c r="Q37" s="37">
        <v>265</v>
      </c>
      <c r="R37" s="38">
        <f t="shared" si="4"/>
        <v>0.0415094339622641</v>
      </c>
      <c r="S37" s="37">
        <v>336</v>
      </c>
      <c r="T37" s="37">
        <v>324</v>
      </c>
      <c r="U37" s="38">
        <f t="shared" si="5"/>
        <v>0.037037037037037</v>
      </c>
      <c r="V37" s="37">
        <v>309</v>
      </c>
      <c r="W37" s="37">
        <v>298</v>
      </c>
      <c r="X37" s="38">
        <f t="shared" si="6"/>
        <v>0.0369127516778524</v>
      </c>
      <c r="Y37" s="37">
        <v>308</v>
      </c>
      <c r="Z37" s="37">
        <v>300</v>
      </c>
      <c r="AA37" s="38">
        <f t="shared" si="7"/>
        <v>0.0266666666666667</v>
      </c>
      <c r="AB37" s="37">
        <v>317</v>
      </c>
      <c r="AC37" s="37">
        <v>301</v>
      </c>
      <c r="AD37" s="38">
        <f t="shared" si="8"/>
        <v>0.053156146179402</v>
      </c>
      <c r="AE37" s="37">
        <v>323</v>
      </c>
      <c r="AF37" s="37">
        <v>314</v>
      </c>
      <c r="AG37" s="39">
        <f t="shared" si="9"/>
        <v>0.0286624203821656</v>
      </c>
    </row>
    <row r="38" ht="37" customHeight="1" spans="1:33">
      <c r="A38" s="11"/>
      <c r="B38" s="40" t="s">
        <v>12</v>
      </c>
      <c r="C38" s="41" t="s">
        <v>13</v>
      </c>
      <c r="D38" s="42">
        <v>0</v>
      </c>
      <c r="E38" s="42">
        <v>0</v>
      </c>
      <c r="F38" s="44" t="str">
        <f t="shared" si="0"/>
        <v>-</v>
      </c>
      <c r="G38" s="42">
        <v>0</v>
      </c>
      <c r="H38" s="42">
        <v>0</v>
      </c>
      <c r="I38" s="44" t="str">
        <f t="shared" si="1"/>
        <v>-</v>
      </c>
      <c r="J38" s="42">
        <v>0</v>
      </c>
      <c r="K38" s="42">
        <v>0</v>
      </c>
      <c r="L38" s="44" t="str">
        <f t="shared" si="2"/>
        <v>-</v>
      </c>
      <c r="M38" s="42">
        <v>4</v>
      </c>
      <c r="N38" s="42">
        <v>5</v>
      </c>
      <c r="O38" s="44">
        <f t="shared" si="3"/>
        <v>-0.2</v>
      </c>
      <c r="P38" s="42">
        <v>1</v>
      </c>
      <c r="Q38" s="42">
        <v>0</v>
      </c>
      <c r="R38" s="44" t="str">
        <f t="shared" si="4"/>
        <v>-</v>
      </c>
      <c r="S38" s="42">
        <v>0</v>
      </c>
      <c r="T38" s="42">
        <v>0</v>
      </c>
      <c r="U38" s="44" t="str">
        <f t="shared" si="5"/>
        <v>-</v>
      </c>
      <c r="V38" s="42">
        <v>0</v>
      </c>
      <c r="W38" s="42">
        <v>0</v>
      </c>
      <c r="X38" s="44" t="str">
        <f t="shared" si="6"/>
        <v>-</v>
      </c>
      <c r="Y38" s="42">
        <v>1</v>
      </c>
      <c r="Z38" s="42">
        <v>0</v>
      </c>
      <c r="AA38" s="44" t="str">
        <f t="shared" si="7"/>
        <v>-</v>
      </c>
      <c r="AB38" s="42">
        <v>0</v>
      </c>
      <c r="AC38" s="42">
        <v>0</v>
      </c>
      <c r="AD38" s="44" t="str">
        <f t="shared" si="8"/>
        <v>-</v>
      </c>
      <c r="AE38" s="42">
        <v>4</v>
      </c>
      <c r="AF38" s="42">
        <v>5</v>
      </c>
      <c r="AG38" s="45">
        <f t="shared" si="9"/>
        <v>-0.2</v>
      </c>
    </row>
    <row r="39" ht="37" customHeight="1" spans="1:33">
      <c r="A39" s="11"/>
      <c r="B39" s="40" t="s">
        <v>14</v>
      </c>
      <c r="C39" s="41" t="s">
        <v>13</v>
      </c>
      <c r="D39" s="42">
        <v>0</v>
      </c>
      <c r="E39" s="42">
        <v>0</v>
      </c>
      <c r="F39" s="44" t="str">
        <f t="shared" si="0"/>
        <v>-</v>
      </c>
      <c r="G39" s="42">
        <v>0</v>
      </c>
      <c r="H39" s="42">
        <v>0</v>
      </c>
      <c r="I39" s="44" t="str">
        <f t="shared" si="1"/>
        <v>-</v>
      </c>
      <c r="J39" s="42">
        <v>0</v>
      </c>
      <c r="K39" s="42">
        <v>0</v>
      </c>
      <c r="L39" s="44" t="str">
        <f t="shared" si="2"/>
        <v>-</v>
      </c>
      <c r="M39" s="42">
        <v>2</v>
      </c>
      <c r="N39" s="42">
        <v>2</v>
      </c>
      <c r="O39" s="44">
        <f t="shared" si="3"/>
        <v>0</v>
      </c>
      <c r="P39" s="42">
        <v>0</v>
      </c>
      <c r="Q39" s="42">
        <v>0</v>
      </c>
      <c r="R39" s="44" t="str">
        <f t="shared" si="4"/>
        <v>-</v>
      </c>
      <c r="S39" s="42">
        <v>0</v>
      </c>
      <c r="T39" s="42">
        <v>0</v>
      </c>
      <c r="U39" s="44" t="str">
        <f t="shared" si="5"/>
        <v>-</v>
      </c>
      <c r="V39" s="42">
        <v>0</v>
      </c>
      <c r="W39" s="42">
        <v>0</v>
      </c>
      <c r="X39" s="44" t="str">
        <f t="shared" si="6"/>
        <v>-</v>
      </c>
      <c r="Y39" s="42">
        <v>0</v>
      </c>
      <c r="Z39" s="42">
        <v>0</v>
      </c>
      <c r="AA39" s="44" t="str">
        <f t="shared" si="7"/>
        <v>-</v>
      </c>
      <c r="AB39" s="42">
        <v>0</v>
      </c>
      <c r="AC39" s="42">
        <v>0</v>
      </c>
      <c r="AD39" s="44" t="str">
        <f t="shared" si="8"/>
        <v>-</v>
      </c>
      <c r="AE39" s="42">
        <v>3</v>
      </c>
      <c r="AF39" s="42">
        <v>3</v>
      </c>
      <c r="AG39" s="45">
        <f t="shared" si="9"/>
        <v>0</v>
      </c>
    </row>
    <row r="40" ht="37" customHeight="1" spans="1:33">
      <c r="A40" s="11"/>
      <c r="B40" s="13" t="s">
        <v>19</v>
      </c>
      <c r="C40" s="52" t="s">
        <v>16</v>
      </c>
      <c r="D40" s="53">
        <v>11</v>
      </c>
      <c r="E40" s="53">
        <v>11</v>
      </c>
      <c r="F40" s="54">
        <f t="shared" si="0"/>
        <v>0</v>
      </c>
      <c r="G40" s="53">
        <v>11</v>
      </c>
      <c r="H40" s="53">
        <v>11</v>
      </c>
      <c r="I40" s="54">
        <f t="shared" si="1"/>
        <v>0</v>
      </c>
      <c r="J40" s="53">
        <v>11</v>
      </c>
      <c r="K40" s="53">
        <v>11</v>
      </c>
      <c r="L40" s="54">
        <f t="shared" si="2"/>
        <v>0</v>
      </c>
      <c r="M40" s="53">
        <v>11</v>
      </c>
      <c r="N40" s="53">
        <v>11</v>
      </c>
      <c r="O40" s="54">
        <f t="shared" si="3"/>
        <v>0</v>
      </c>
      <c r="P40" s="53">
        <v>11</v>
      </c>
      <c r="Q40" s="53">
        <v>11</v>
      </c>
      <c r="R40" s="54">
        <f t="shared" si="4"/>
        <v>0</v>
      </c>
      <c r="S40" s="53">
        <v>11</v>
      </c>
      <c r="T40" s="53">
        <v>11</v>
      </c>
      <c r="U40" s="54">
        <f t="shared" si="5"/>
        <v>0</v>
      </c>
      <c r="V40" s="53">
        <v>11</v>
      </c>
      <c r="W40" s="53">
        <v>11</v>
      </c>
      <c r="X40" s="54">
        <f t="shared" si="6"/>
        <v>0</v>
      </c>
      <c r="Y40" s="53">
        <v>11</v>
      </c>
      <c r="Z40" s="53">
        <v>11</v>
      </c>
      <c r="AA40" s="54">
        <f t="shared" si="7"/>
        <v>0</v>
      </c>
      <c r="AB40" s="53">
        <v>11</v>
      </c>
      <c r="AC40" s="53">
        <v>11</v>
      </c>
      <c r="AD40" s="54">
        <f t="shared" si="8"/>
        <v>0</v>
      </c>
      <c r="AE40" s="53">
        <v>11</v>
      </c>
      <c r="AF40" s="53">
        <v>11</v>
      </c>
      <c r="AG40" s="55">
        <f t="shared" si="9"/>
        <v>0</v>
      </c>
    </row>
    <row r="41" ht="37" customHeight="1" spans="1:33">
      <c r="A41" s="56" t="s">
        <v>28</v>
      </c>
      <c r="B41" s="17" t="s">
        <v>29</v>
      </c>
      <c r="C41" s="18" t="s">
        <v>30</v>
      </c>
      <c r="D41" s="51">
        <v>0</v>
      </c>
      <c r="E41" s="51">
        <v>0</v>
      </c>
      <c r="F41" s="20" t="str">
        <f t="shared" si="0"/>
        <v>-</v>
      </c>
      <c r="G41" s="51">
        <v>0</v>
      </c>
      <c r="H41" s="51">
        <v>0</v>
      </c>
      <c r="I41" s="20" t="str">
        <f t="shared" si="1"/>
        <v>-</v>
      </c>
      <c r="J41" s="51">
        <v>0</v>
      </c>
      <c r="K41" s="51">
        <v>0</v>
      </c>
      <c r="L41" s="20" t="str">
        <f t="shared" si="2"/>
        <v>-</v>
      </c>
      <c r="M41" s="51">
        <v>0</v>
      </c>
      <c r="N41" s="51">
        <v>0</v>
      </c>
      <c r="O41" s="20" t="str">
        <f t="shared" si="3"/>
        <v>-</v>
      </c>
      <c r="P41" s="51">
        <v>0</v>
      </c>
      <c r="Q41" s="51">
        <v>0</v>
      </c>
      <c r="R41" s="20" t="str">
        <f t="shared" si="4"/>
        <v>-</v>
      </c>
      <c r="S41" s="51">
        <v>0</v>
      </c>
      <c r="T41" s="51">
        <v>0</v>
      </c>
      <c r="U41" s="20" t="str">
        <f t="shared" si="5"/>
        <v>-</v>
      </c>
      <c r="V41" s="51">
        <v>0</v>
      </c>
      <c r="W41" s="51">
        <v>0</v>
      </c>
      <c r="X41" s="20" t="str">
        <f t="shared" si="6"/>
        <v>-</v>
      </c>
      <c r="Y41" s="51">
        <v>0</v>
      </c>
      <c r="Z41" s="51">
        <v>0</v>
      </c>
      <c r="AA41" s="20" t="str">
        <f t="shared" si="7"/>
        <v>-</v>
      </c>
      <c r="AB41" s="51">
        <v>0</v>
      </c>
      <c r="AC41" s="51">
        <v>0</v>
      </c>
      <c r="AD41" s="20" t="str">
        <f t="shared" si="8"/>
        <v>-</v>
      </c>
      <c r="AE41" s="51">
        <v>0</v>
      </c>
      <c r="AF41" s="51">
        <v>0</v>
      </c>
      <c r="AG41" s="21" t="str">
        <f t="shared" si="9"/>
        <v>-</v>
      </c>
    </row>
    <row r="42" ht="37" customHeight="1" spans="1:33">
      <c r="A42" s="11"/>
      <c r="B42" s="27" t="s">
        <v>21</v>
      </c>
      <c r="C42" s="23" t="s">
        <v>11</v>
      </c>
      <c r="D42" s="24">
        <v>13.4</v>
      </c>
      <c r="E42" s="24">
        <v>434.6</v>
      </c>
      <c r="F42" s="25">
        <f t="shared" si="0"/>
        <v>-0.969167050161068</v>
      </c>
      <c r="G42" s="24">
        <v>7.3</v>
      </c>
      <c r="H42" s="24">
        <v>401.4</v>
      </c>
      <c r="I42" s="25">
        <f t="shared" si="1"/>
        <v>-0.98181365221724</v>
      </c>
      <c r="J42" s="24">
        <v>8.9</v>
      </c>
      <c r="K42" s="24">
        <v>423.3</v>
      </c>
      <c r="L42" s="25">
        <f t="shared" si="2"/>
        <v>-0.978974722419088</v>
      </c>
      <c r="M42" s="24">
        <v>10.2</v>
      </c>
      <c r="N42" s="24">
        <v>397.6</v>
      </c>
      <c r="O42" s="25">
        <f t="shared" si="3"/>
        <v>-0.974346076458753</v>
      </c>
      <c r="P42" s="24">
        <v>9.9</v>
      </c>
      <c r="Q42" s="24">
        <v>390.3</v>
      </c>
      <c r="R42" s="25">
        <f t="shared" si="4"/>
        <v>-0.974634896233667</v>
      </c>
      <c r="S42" s="24">
        <v>8.2</v>
      </c>
      <c r="T42" s="24">
        <v>409.2</v>
      </c>
      <c r="U42" s="25">
        <f t="shared" si="5"/>
        <v>-0.979960899315738</v>
      </c>
      <c r="V42" s="24">
        <v>8.8</v>
      </c>
      <c r="W42" s="24">
        <v>392.7</v>
      </c>
      <c r="X42" s="25">
        <f t="shared" si="6"/>
        <v>-0.977591036414566</v>
      </c>
      <c r="Y42" s="24">
        <v>12</v>
      </c>
      <c r="Z42" s="24">
        <v>405.9</v>
      </c>
      <c r="AA42" s="25">
        <f t="shared" si="7"/>
        <v>-0.970436067997044</v>
      </c>
      <c r="AB42" s="24">
        <v>12.3</v>
      </c>
      <c r="AC42" s="24">
        <v>433</v>
      </c>
      <c r="AD42" s="25">
        <f t="shared" si="8"/>
        <v>-0.971593533487298</v>
      </c>
      <c r="AE42" s="24">
        <v>12.9</v>
      </c>
      <c r="AF42" s="24">
        <v>392.899999999999</v>
      </c>
      <c r="AG42" s="26">
        <f t="shared" si="9"/>
        <v>-0.967167218121659</v>
      </c>
    </row>
    <row r="43" ht="37" customHeight="1" spans="1:33">
      <c r="A43" s="11"/>
      <c r="B43" s="22" t="s">
        <v>31</v>
      </c>
      <c r="C43" s="23" t="s">
        <v>11</v>
      </c>
      <c r="D43" s="24">
        <f>D42</f>
        <v>13.4</v>
      </c>
      <c r="E43" s="24">
        <v>13</v>
      </c>
      <c r="F43" s="25">
        <f t="shared" si="0"/>
        <v>0.0307692307692308</v>
      </c>
      <c r="G43" s="24">
        <f>G42</f>
        <v>7.3</v>
      </c>
      <c r="H43" s="24">
        <v>7</v>
      </c>
      <c r="I43" s="25">
        <f t="shared" si="1"/>
        <v>0.0428571428571428</v>
      </c>
      <c r="J43" s="24">
        <f>J42</f>
        <v>8.9</v>
      </c>
      <c r="K43" s="24">
        <v>8.5</v>
      </c>
      <c r="L43" s="25">
        <f t="shared" si="2"/>
        <v>0.0470588235294118</v>
      </c>
      <c r="M43" s="24">
        <f>M42</f>
        <v>10.2</v>
      </c>
      <c r="N43" s="24">
        <v>10</v>
      </c>
      <c r="O43" s="25">
        <f t="shared" si="3"/>
        <v>0.0199999999999999</v>
      </c>
      <c r="P43" s="24">
        <f>P42</f>
        <v>9.9</v>
      </c>
      <c r="Q43" s="24">
        <v>9.5</v>
      </c>
      <c r="R43" s="25">
        <f t="shared" si="4"/>
        <v>0.0421052631578948</v>
      </c>
      <c r="S43" s="24">
        <f>S42</f>
        <v>8.2</v>
      </c>
      <c r="T43" s="24">
        <v>8</v>
      </c>
      <c r="U43" s="25">
        <f t="shared" si="5"/>
        <v>0.0249999999999999</v>
      </c>
      <c r="V43" s="24">
        <f>V42</f>
        <v>8.8</v>
      </c>
      <c r="W43" s="24">
        <v>8.5</v>
      </c>
      <c r="X43" s="25">
        <f t="shared" si="6"/>
        <v>0.0352941176470589</v>
      </c>
      <c r="Y43" s="24">
        <f>Y42</f>
        <v>12</v>
      </c>
      <c r="Z43" s="24">
        <v>11.5</v>
      </c>
      <c r="AA43" s="25">
        <f t="shared" si="7"/>
        <v>0.0434782608695652</v>
      </c>
      <c r="AB43" s="24">
        <f>AB42</f>
        <v>12.3</v>
      </c>
      <c r="AC43" s="24">
        <v>12</v>
      </c>
      <c r="AD43" s="25">
        <f t="shared" si="8"/>
        <v>0.0250000000000001</v>
      </c>
      <c r="AE43" s="24">
        <f>AE42</f>
        <v>12.9</v>
      </c>
      <c r="AF43" s="24">
        <v>12.5</v>
      </c>
      <c r="AG43" s="26">
        <f t="shared" si="9"/>
        <v>0.032</v>
      </c>
    </row>
    <row r="44" ht="37" customHeight="1" spans="1:33">
      <c r="A44" s="11"/>
      <c r="B44" s="27" t="s">
        <v>12</v>
      </c>
      <c r="C44" s="23" t="s">
        <v>13</v>
      </c>
      <c r="D44" s="24">
        <v>5</v>
      </c>
      <c r="E44" s="24">
        <v>5</v>
      </c>
      <c r="F44" s="25">
        <f t="shared" si="0"/>
        <v>0</v>
      </c>
      <c r="G44" s="24">
        <v>3</v>
      </c>
      <c r="H44" s="24">
        <v>4</v>
      </c>
      <c r="I44" s="25">
        <f t="shared" si="1"/>
        <v>-0.25</v>
      </c>
      <c r="J44" s="24">
        <v>4</v>
      </c>
      <c r="K44" s="24">
        <v>4</v>
      </c>
      <c r="L44" s="25">
        <f t="shared" si="2"/>
        <v>0</v>
      </c>
      <c r="M44" s="24">
        <v>2</v>
      </c>
      <c r="N44" s="24">
        <v>2</v>
      </c>
      <c r="O44" s="25">
        <f t="shared" si="3"/>
        <v>0</v>
      </c>
      <c r="P44" s="24">
        <v>9</v>
      </c>
      <c r="Q44" s="24">
        <v>8</v>
      </c>
      <c r="R44" s="25">
        <f t="shared" si="4"/>
        <v>0.125</v>
      </c>
      <c r="S44" s="24">
        <v>2</v>
      </c>
      <c r="T44" s="24">
        <v>2</v>
      </c>
      <c r="U44" s="25">
        <f t="shared" si="5"/>
        <v>0</v>
      </c>
      <c r="V44" s="24">
        <v>3</v>
      </c>
      <c r="W44" s="24">
        <v>3</v>
      </c>
      <c r="X44" s="25">
        <f t="shared" si="6"/>
        <v>0</v>
      </c>
      <c r="Y44" s="24">
        <v>0</v>
      </c>
      <c r="Z44" s="24">
        <v>0</v>
      </c>
      <c r="AA44" s="25" t="str">
        <f t="shared" si="7"/>
        <v>-</v>
      </c>
      <c r="AB44" s="24">
        <v>1</v>
      </c>
      <c r="AC44" s="24">
        <v>1</v>
      </c>
      <c r="AD44" s="25">
        <f t="shared" si="8"/>
        <v>0</v>
      </c>
      <c r="AE44" s="24">
        <v>5</v>
      </c>
      <c r="AF44" s="24">
        <v>4</v>
      </c>
      <c r="AG44" s="26">
        <f t="shared" si="9"/>
        <v>0.25</v>
      </c>
    </row>
    <row r="45" ht="37" customHeight="1" spans="1:33">
      <c r="A45" s="11"/>
      <c r="B45" s="27" t="s">
        <v>14</v>
      </c>
      <c r="C45" s="23" t="s">
        <v>13</v>
      </c>
      <c r="D45" s="24">
        <v>5</v>
      </c>
      <c r="E45" s="24">
        <v>5</v>
      </c>
      <c r="F45" s="25">
        <f t="shared" si="0"/>
        <v>0</v>
      </c>
      <c r="G45" s="24">
        <v>0</v>
      </c>
      <c r="H45" s="24">
        <v>0</v>
      </c>
      <c r="I45" s="25" t="str">
        <f t="shared" si="1"/>
        <v>-</v>
      </c>
      <c r="J45" s="24">
        <v>3</v>
      </c>
      <c r="K45" s="24">
        <v>4</v>
      </c>
      <c r="L45" s="25">
        <f t="shared" si="2"/>
        <v>-0.25</v>
      </c>
      <c r="M45" s="24">
        <v>1</v>
      </c>
      <c r="N45" s="24">
        <v>1</v>
      </c>
      <c r="O45" s="25">
        <f t="shared" si="3"/>
        <v>0</v>
      </c>
      <c r="P45" s="24">
        <v>8</v>
      </c>
      <c r="Q45" s="24">
        <v>8</v>
      </c>
      <c r="R45" s="25">
        <f t="shared" si="4"/>
        <v>0</v>
      </c>
      <c r="S45" s="24">
        <v>2</v>
      </c>
      <c r="T45" s="24">
        <v>2</v>
      </c>
      <c r="U45" s="25">
        <f t="shared" si="5"/>
        <v>0</v>
      </c>
      <c r="V45" s="24">
        <v>3</v>
      </c>
      <c r="W45" s="24">
        <v>3</v>
      </c>
      <c r="X45" s="25">
        <f t="shared" si="6"/>
        <v>0</v>
      </c>
      <c r="Y45" s="24">
        <v>0</v>
      </c>
      <c r="Z45" s="24">
        <v>0</v>
      </c>
      <c r="AA45" s="25" t="str">
        <f t="shared" si="7"/>
        <v>-</v>
      </c>
      <c r="AB45" s="24">
        <v>1</v>
      </c>
      <c r="AC45" s="24">
        <v>1</v>
      </c>
      <c r="AD45" s="25">
        <f t="shared" si="8"/>
        <v>0</v>
      </c>
      <c r="AE45" s="24">
        <v>0</v>
      </c>
      <c r="AF45" s="24">
        <v>0</v>
      </c>
      <c r="AG45" s="26" t="str">
        <f t="shared" si="9"/>
        <v>-</v>
      </c>
    </row>
    <row r="46" ht="37" customHeight="1" spans="1:33">
      <c r="A46" s="57"/>
      <c r="B46" s="29" t="s">
        <v>19</v>
      </c>
      <c r="C46" s="30" t="s">
        <v>16</v>
      </c>
      <c r="D46" s="31">
        <v>1</v>
      </c>
      <c r="E46" s="31">
        <v>11</v>
      </c>
      <c r="F46" s="32">
        <f t="shared" si="0"/>
        <v>-0.909090909090909</v>
      </c>
      <c r="G46" s="31">
        <v>1</v>
      </c>
      <c r="H46" s="31">
        <v>11</v>
      </c>
      <c r="I46" s="32">
        <f t="shared" si="1"/>
        <v>-0.909090909090909</v>
      </c>
      <c r="J46" s="31">
        <v>1</v>
      </c>
      <c r="K46" s="31">
        <v>11</v>
      </c>
      <c r="L46" s="32">
        <f t="shared" si="2"/>
        <v>-0.909090909090909</v>
      </c>
      <c r="M46" s="31">
        <v>1</v>
      </c>
      <c r="N46" s="31">
        <v>11</v>
      </c>
      <c r="O46" s="32">
        <f t="shared" si="3"/>
        <v>-0.909090909090909</v>
      </c>
      <c r="P46" s="31">
        <v>1</v>
      </c>
      <c r="Q46" s="31">
        <v>11</v>
      </c>
      <c r="R46" s="32">
        <f t="shared" si="4"/>
        <v>-0.909090909090909</v>
      </c>
      <c r="S46" s="31">
        <v>1</v>
      </c>
      <c r="T46" s="31">
        <v>11</v>
      </c>
      <c r="U46" s="32">
        <f t="shared" si="5"/>
        <v>-0.909090909090909</v>
      </c>
      <c r="V46" s="31">
        <v>1</v>
      </c>
      <c r="W46" s="31">
        <v>11</v>
      </c>
      <c r="X46" s="32">
        <f t="shared" si="6"/>
        <v>-0.909090909090909</v>
      </c>
      <c r="Y46" s="31">
        <v>1</v>
      </c>
      <c r="Z46" s="31">
        <v>11</v>
      </c>
      <c r="AA46" s="32">
        <f t="shared" si="7"/>
        <v>-0.909090909090909</v>
      </c>
      <c r="AB46" s="31">
        <v>1</v>
      </c>
      <c r="AC46" s="31">
        <v>11</v>
      </c>
      <c r="AD46" s="32">
        <f t="shared" si="8"/>
        <v>-0.909090909090909</v>
      </c>
      <c r="AE46" s="31">
        <v>1</v>
      </c>
      <c r="AF46" s="31">
        <v>11</v>
      </c>
      <c r="AG46" s="33">
        <f t="shared" si="9"/>
        <v>-0.909090909090909</v>
      </c>
    </row>
  </sheetData>
  <mergeCells count="23">
    <mergeCell ref="A1:AG1"/>
    <mergeCell ref="D2:F2"/>
    <mergeCell ref="G2:I2"/>
    <mergeCell ref="J2:L2"/>
    <mergeCell ref="M2:O2"/>
    <mergeCell ref="P2:R2"/>
    <mergeCell ref="S2:U2"/>
    <mergeCell ref="V2:X2"/>
    <mergeCell ref="Y2:AA2"/>
    <mergeCell ref="AB2:AD2"/>
    <mergeCell ref="AE2:AG2"/>
    <mergeCell ref="A2:A3"/>
    <mergeCell ref="A4:A11"/>
    <mergeCell ref="A12:A17"/>
    <mergeCell ref="A18:A20"/>
    <mergeCell ref="A21:A22"/>
    <mergeCell ref="A23:A25"/>
    <mergeCell ref="A26:A31"/>
    <mergeCell ref="A32:A36"/>
    <mergeCell ref="A37:A40"/>
    <mergeCell ref="A41:A46"/>
    <mergeCell ref="B2:B3"/>
    <mergeCell ref="C2:C3"/>
  </mergeCells>
  <pageMargins left="0.314583333333333" right="0.196527777777778" top="0.590277777777778" bottom="0.354166666666667" header="0.275" footer="0.118055555555556"/>
  <pageSetup paperSize="8" scale="4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zqb8182</dc:creator>
  <cp:lastModifiedBy>王巍</cp:lastModifiedBy>
  <dcterms:created xsi:type="dcterms:W3CDTF">2025-01-24T07:02:00Z</dcterms:created>
  <dcterms:modified xsi:type="dcterms:W3CDTF">2026-02-12T03:02:34Z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DCFF0C1DEAA444068B4FCE1E1366BF64_13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