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l8570\Desktop\"/>
    </mc:Choice>
  </mc:AlternateContent>
  <bookViews>
    <workbookView windowWidth="22305" windowHeight="11775"/>
  </bookViews>
  <sheets>
    <sheet name="2026.10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雨林木风</author>
    <author>Windows User</author>
  </authors>
  <commentList>
    <comment ref="B33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385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34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结算价</t>
        </r>
        <r>
          <rPr>
            <sz val="9"/>
            <rFont val="Tahoma"/>
            <charset val="134"/>
          </rPr>
          <t>320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35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结算价</t>
        </r>
        <r>
          <rPr>
            <sz val="9"/>
            <rFont val="Tahoma"/>
            <charset val="134"/>
          </rPr>
          <t>185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37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385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38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结算价</t>
        </r>
        <r>
          <rPr>
            <sz val="9"/>
            <rFont val="Tahoma"/>
            <charset val="134"/>
          </rPr>
          <t>320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39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结算价</t>
        </r>
        <r>
          <rPr>
            <sz val="9"/>
            <rFont val="Tahoma"/>
            <charset val="134"/>
          </rPr>
          <t>185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45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结算单价</t>
        </r>
        <r>
          <rPr>
            <sz val="9"/>
            <rFont val="Tahoma"/>
            <charset val="134"/>
          </rPr>
          <t>96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吉焦</t>
        </r>
      </text>
    </comment>
    <comment ref="B46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结算单价</t>
        </r>
        <r>
          <rPr>
            <sz val="9"/>
            <rFont val="Tahoma"/>
            <charset val="134"/>
          </rPr>
          <t>76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吉焦</t>
        </r>
      </text>
    </comment>
    <comment ref="B66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国网代购电价</t>
        </r>
        <r>
          <rPr>
            <sz val="9"/>
            <rFont val="Tahoma"/>
            <charset val="134"/>
          </rPr>
          <t>0.701534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千瓦时</t>
        </r>
      </text>
    </comment>
    <comment ref="B67" authorId="0">
      <text>
        <r>
          <rPr>
            <sz val="9"/>
            <rFont val="Tahoma"/>
            <charset val="134"/>
          </rPr>
          <t>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月国网代购电价</t>
        </r>
        <r>
          <rPr>
            <sz val="9"/>
            <rFont val="Tahoma"/>
            <charset val="134"/>
          </rPr>
          <t>0.734635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千瓦时
不含税=0.734635/1.13</t>
        </r>
      </text>
    </comment>
    <comment ref="B72" authorId="1">
      <text>
        <r>
          <rPr>
            <b/>
            <sz val="9"/>
            <rFont val="Tahoma"/>
            <charset val="134"/>
          </rPr>
          <t>Windows 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本年</t>
        </r>
        <r>
          <rPr>
            <sz val="9"/>
            <rFont val="Tahoma"/>
            <charset val="134"/>
          </rPr>
          <t>11</t>
        </r>
        <r>
          <rPr>
            <sz val="9"/>
            <rFont val="宋体"/>
            <charset val="134"/>
          </rPr>
          <t>月始扣</t>
        </r>
        <r>
          <rPr>
            <sz val="9"/>
            <rFont val="Tahoma"/>
            <charset val="134"/>
          </rPr>
          <t>9%</t>
        </r>
        <r>
          <rPr>
            <sz val="9"/>
            <rFont val="宋体"/>
            <charset val="134"/>
          </rPr>
          <t>税，三年期限</t>
        </r>
      </text>
    </comment>
    <comment ref="B76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>2022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11</t>
        </r>
        <r>
          <rPr>
            <sz val="9"/>
            <rFont val="宋体"/>
            <charset val="134"/>
          </rPr>
          <t>月起除造船、转供采暖用户外全部</t>
        </r>
        <r>
          <rPr>
            <sz val="9"/>
            <rFont val="Tahoma"/>
            <charset val="134"/>
          </rPr>
          <t>385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吨，造船</t>
        </r>
        <r>
          <rPr>
            <sz val="9"/>
            <rFont val="Tahoma"/>
            <charset val="134"/>
          </rPr>
          <t>320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吨、转供采暖</t>
        </r>
        <r>
          <rPr>
            <sz val="9"/>
            <rFont val="Tahoma"/>
            <charset val="134"/>
          </rPr>
          <t>185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77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>2022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11</t>
        </r>
        <r>
          <rPr>
            <sz val="9"/>
            <rFont val="宋体"/>
            <charset val="134"/>
          </rPr>
          <t>月起除造船、转供采暖用户外全部</t>
        </r>
        <r>
          <rPr>
            <sz val="9"/>
            <rFont val="Tahoma"/>
            <charset val="134"/>
          </rPr>
          <t>385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吨，造船</t>
        </r>
        <r>
          <rPr>
            <sz val="9"/>
            <rFont val="Tahoma"/>
            <charset val="134"/>
          </rPr>
          <t>320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吨、转供采暖</t>
        </r>
        <r>
          <rPr>
            <sz val="9"/>
            <rFont val="Tahoma"/>
            <charset val="134"/>
          </rPr>
          <t>185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吨</t>
        </r>
      </text>
    </comment>
    <comment ref="B81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单价</t>
        </r>
        <r>
          <rPr>
            <sz val="9"/>
            <rFont val="Tahoma"/>
            <charset val="134"/>
          </rPr>
          <t>76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吉焦</t>
        </r>
      </text>
    </comment>
    <comment ref="B82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22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日起除转供采暖用户外单价改为</t>
        </r>
        <r>
          <rPr>
            <sz val="9"/>
            <rFont val="Tahoma"/>
            <charset val="134"/>
          </rPr>
          <t>96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吉焦，转供采暖</t>
        </r>
        <r>
          <rPr>
            <sz val="9"/>
            <rFont val="Tahoma"/>
            <charset val="134"/>
          </rPr>
          <t>76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吉焦</t>
        </r>
      </text>
    </comment>
    <comment ref="A96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不含电锅炉</t>
        </r>
      </text>
    </comment>
    <comment ref="B99" authorId="0">
      <text>
        <r>
          <rPr>
            <b/>
            <sz val="9"/>
            <rFont val="宋体"/>
            <charset val="134"/>
          </rPr>
          <t>雨林木风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因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月底的面积明细中无应收，暂用雪松发的应收</t>
        </r>
        <r>
          <rPr>
            <sz val="9"/>
            <rFont val="Tahoma"/>
            <charset val="134"/>
          </rPr>
          <t>56282.6</t>
        </r>
        <r>
          <rPr>
            <sz val="9"/>
            <rFont val="宋体"/>
            <charset val="134"/>
          </rPr>
          <t>减电锅炉的应收</t>
        </r>
      </text>
    </comment>
    <comment ref="A100" authorId="1">
      <text>
        <r>
          <rPr>
            <b/>
            <sz val="9"/>
            <rFont val="Tahoma"/>
            <charset val="134"/>
          </rPr>
          <t>Windows 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扣</t>
        </r>
        <r>
          <rPr>
            <sz val="9"/>
            <rFont val="Tahoma"/>
            <charset val="134"/>
          </rPr>
          <t>9%</t>
        </r>
        <r>
          <rPr>
            <sz val="9"/>
            <rFont val="宋体"/>
            <charset val="134"/>
          </rPr>
          <t>税，不含电锅炉</t>
        </r>
      </text>
    </comment>
  </commentList>
</comments>
</file>

<file path=xl/sharedStrings.xml><?xml version="1.0" encoding="utf-8"?>
<sst xmlns="http://schemas.openxmlformats.org/spreadsheetml/2006/main" count="269" uniqueCount="142">
  <si>
    <t>供 热 公 司 能 效 分 析 对 比 表</t>
  </si>
  <si>
    <t>生产指标</t>
  </si>
  <si>
    <t>统计时间</t>
  </si>
  <si>
    <t>月累计</t>
  </si>
  <si>
    <t>天气</t>
  </si>
  <si>
    <t>2025 当日最低温度</t>
  </si>
  <si>
    <t>2025 当日最高温度</t>
  </si>
  <si>
    <t>2025  气象</t>
  </si>
  <si>
    <t>多云
西风4级</t>
  </si>
  <si>
    <t>晴
北风5级</t>
  </si>
  <si>
    <t>多云
南风4级</t>
  </si>
  <si>
    <t>多云
南风5级</t>
  </si>
  <si>
    <t>小雨
东北风4级</t>
  </si>
  <si>
    <t>晴
西北风4级</t>
  </si>
  <si>
    <t>2026 当日最低温度</t>
  </si>
  <si>
    <t>2026 当日最高温度</t>
  </si>
  <si>
    <t>2026  气象</t>
  </si>
  <si>
    <t>晴
西北风2级</t>
  </si>
  <si>
    <t>晴
西北风3级</t>
  </si>
  <si>
    <t>网口耗热总量
(GJ)</t>
  </si>
  <si>
    <t>2025年</t>
  </si>
  <si>
    <t>2026年</t>
  </si>
  <si>
    <t xml:space="preserve">计划值 </t>
  </si>
  <si>
    <t>与计划差值</t>
  </si>
  <si>
    <t>同比差值</t>
  </si>
  <si>
    <t>站内耗热总量
(GJ)</t>
  </si>
  <si>
    <t>耗水总量
(吨)</t>
  </si>
  <si>
    <t>2025年站内</t>
  </si>
  <si>
    <t>2025年电厂侧</t>
  </si>
  <si>
    <t>2026年站内</t>
  </si>
  <si>
    <t>2026年电厂侧</t>
  </si>
  <si>
    <t>站内耗电总量
(kwh)</t>
  </si>
  <si>
    <t>售工商业汽量
(吨)</t>
  </si>
  <si>
    <t>2025年基本</t>
  </si>
  <si>
    <t>2025年二类</t>
  </si>
  <si>
    <t>2025年三类</t>
  </si>
  <si>
    <t>2025年小计</t>
  </si>
  <si>
    <t>2026年基本</t>
  </si>
  <si>
    <t>2026年二类</t>
  </si>
  <si>
    <t>2026年三类</t>
  </si>
  <si>
    <t>2026年小计</t>
  </si>
  <si>
    <t>售高温水量
(GJ)</t>
  </si>
  <si>
    <t>汽网网损量
(T)</t>
  </si>
  <si>
    <t>高温水网网损量
(GJ)</t>
  </si>
  <si>
    <t>低温水网网损量
(GJ)</t>
  </si>
  <si>
    <t>直接材料
成本
(万元）</t>
  </si>
  <si>
    <t>采暖收入
（万元）</t>
  </si>
  <si>
    <t>工商业
收入
（万元）</t>
  </si>
  <si>
    <t>高温水
收入
（万元）</t>
  </si>
  <si>
    <t>主营总收入
（万元）</t>
  </si>
  <si>
    <t>不含人工
利润
（万元）</t>
  </si>
  <si>
    <t>供暖面积</t>
  </si>
  <si>
    <t>22-23年供暖总收入</t>
  </si>
  <si>
    <t>2026年10月27日供热公司能效信息</t>
  </si>
  <si>
    <t>22-22年供暖日收入</t>
  </si>
  <si>
    <t>当日天气：7～13℃    同期天气：7～11℃</t>
  </si>
  <si>
    <t>指标</t>
  </si>
  <si>
    <t>单位</t>
  </si>
  <si>
    <t>当日</t>
  </si>
  <si>
    <t>昨日</t>
  </si>
  <si>
    <t>计划</t>
  </si>
  <si>
    <t>同期</t>
  </si>
  <si>
    <t>与计划差</t>
  </si>
  <si>
    <t>与同期差</t>
  </si>
  <si>
    <t>网口耗热量</t>
  </si>
  <si>
    <t>吉焦</t>
  </si>
  <si>
    <t>累计网口耗热量</t>
  </si>
  <si>
    <t>站内耗热量</t>
  </si>
  <si>
    <t>累计站内耗热量</t>
  </si>
  <si>
    <t>站内耗水量</t>
  </si>
  <si>
    <t>吨</t>
  </si>
  <si>
    <t>电厂侧耗水量</t>
  </si>
  <si>
    <t>耗水总量</t>
  </si>
  <si>
    <t>累计耗水量</t>
  </si>
  <si>
    <t>站内耗电量</t>
  </si>
  <si>
    <t>千瓦时</t>
  </si>
  <si>
    <t>累计站内耗电量</t>
  </si>
  <si>
    <t>售工商业汽量</t>
  </si>
  <si>
    <t>累计售工商业汽量</t>
  </si>
  <si>
    <t>售高温水量</t>
  </si>
  <si>
    <t>累计售高温水量</t>
  </si>
  <si>
    <t>耗热成本</t>
  </si>
  <si>
    <t>万元</t>
  </si>
  <si>
    <t>累计耗热成本</t>
  </si>
  <si>
    <t>耗水成本</t>
  </si>
  <si>
    <t>累计耗水成本</t>
  </si>
  <si>
    <t>耗电成本</t>
  </si>
  <si>
    <t>累计耗电成本</t>
  </si>
  <si>
    <t>直接材料成本</t>
  </si>
  <si>
    <t>累计直接材料成本</t>
  </si>
  <si>
    <t>工商业汽收入</t>
  </si>
  <si>
    <t>高温水收入</t>
  </si>
  <si>
    <t>采暖收入</t>
  </si>
  <si>
    <t>主营总收入</t>
  </si>
  <si>
    <t>累计主营收入</t>
  </si>
  <si>
    <t>当日产品销售利润</t>
  </si>
  <si>
    <t>月累积产品销售利润</t>
  </si>
  <si>
    <t xml:space="preserve">简要分析：                                                                               1、较同期站内耗热量增加1293吉焦，耗水总量增加1919吨，耗电量增加24147千瓦时。                                                               2、较同期耗热成本减少5万元，耗水成本增加1万元，耗电成本增加1万元。                      3、与计划相比，站内耗热量增加84吉焦，耗水总量增加3493吨，站内耗电量增加10359千瓦时，耗热成本增加0万元，耗水成本增加1万元，耗电成本增加1万元。                                  </t>
  </si>
  <si>
    <t>供热站网口功耗</t>
  </si>
  <si>
    <t>差异比</t>
  </si>
  <si>
    <t>香北联络管供汽量</t>
  </si>
  <si>
    <t>高温水用户售热量（股份）</t>
  </si>
  <si>
    <t>合  计</t>
  </si>
  <si>
    <t>其中:  基本</t>
  </si>
  <si>
    <t>二类</t>
  </si>
  <si>
    <t>高温水用户售热量（集团）</t>
  </si>
  <si>
    <t>汽水站（股份）</t>
  </si>
  <si>
    <t>汽水站（集团）</t>
  </si>
  <si>
    <t>高温水站用量（股份）</t>
  </si>
  <si>
    <t>高温水站用量（集团）</t>
  </si>
  <si>
    <t>站内耗汽热量</t>
  </si>
  <si>
    <t>汽水站合计</t>
  </si>
  <si>
    <t>高温水站合计</t>
  </si>
  <si>
    <t>香海1#机低真空合计</t>
  </si>
  <si>
    <t>香海3#机低真空合计</t>
  </si>
  <si>
    <t>香海低真空合计</t>
  </si>
  <si>
    <t>电锅炉合计</t>
  </si>
  <si>
    <t>总合计（不含电锅炉）</t>
  </si>
  <si>
    <t>总合计（含电锅炉）</t>
  </si>
  <si>
    <t>香水湾站内耗热量</t>
  </si>
  <si>
    <t>工商业及汽站分类用量</t>
  </si>
  <si>
    <t>北海小计</t>
  </si>
  <si>
    <t>商业汽</t>
  </si>
  <si>
    <t>供热站用汽</t>
  </si>
  <si>
    <t>香海小计</t>
  </si>
  <si>
    <t>机车电锅炉</t>
  </si>
  <si>
    <r>
      <rPr>
        <b/>
        <sz val="11"/>
        <color rgb="FF000000"/>
        <rFont val="宋体"/>
        <charset val="134"/>
      </rPr>
      <t>面积7625m</t>
    </r>
    <r>
      <rPr>
        <b/>
        <vertAlign val="superscript"/>
        <sz val="11"/>
        <color rgb="FF000000"/>
        <rFont val="宋体"/>
        <charset val="134"/>
      </rPr>
      <t>2</t>
    </r>
  </si>
  <si>
    <t>供热量（GJ）</t>
  </si>
  <si>
    <t>耗电量（Kwh）</t>
  </si>
  <si>
    <t>耗水量（吨）</t>
  </si>
  <si>
    <t>香1低真空网损量</t>
  </si>
  <si>
    <t>香3低真空网损量</t>
  </si>
  <si>
    <t>华乐  耗水量（吨）</t>
  </si>
  <si>
    <t>东港  耗水量（吨）</t>
  </si>
  <si>
    <t>春海   耗水量（吨）</t>
  </si>
  <si>
    <t>中山  耗水量（吨）</t>
  </si>
  <si>
    <t>北岗  耗水量（吨）</t>
  </si>
  <si>
    <t>双兴  耗水量（吨）</t>
  </si>
  <si>
    <t>香炉礁  耗水量（吨）</t>
  </si>
  <si>
    <t>兴工  耗水量（吨）</t>
  </si>
  <si>
    <t>大纺  耗水量（吨）</t>
  </si>
  <si>
    <t>管网  耗水量（吨）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</si>
</sst>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m&quot;月&quot;d&quot;日&quot;"/>
    <numFmt numFmtId="177" formatCode="m&quot;月&quot;d&quot;日&quot;;@"/>
    <numFmt numFmtId="178" formatCode="0.00_ "/>
    <numFmt numFmtId="179" formatCode="0_ "/>
    <numFmt numFmtId="180" formatCode="0_);[Red]\(0\)"/>
    <numFmt numFmtId="181" formatCode="0.0000_ "/>
    <numFmt numFmtId="182" formatCode="0.0_ "/>
    <numFmt numFmtId="183" formatCode="0.00_);[Red]\(0.00\)"/>
  </numFmts>
  <fonts count="8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12"/>
      <name val="宋体"/>
      <charset val="134"/>
    </font>
    <font>
      <sz val="11"/>
      <color indexed="14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b/>
      <sz val="11"/>
      <color rgb="FFFF00FF"/>
      <name val="宋体"/>
      <charset val="134"/>
    </font>
    <font>
      <sz val="11"/>
      <color rgb="FFFF00FF"/>
      <name val="宋体"/>
      <charset val="134"/>
    </font>
    <font>
      <sz val="11"/>
      <color rgb="FF0070C0"/>
      <name val="宋体"/>
      <charset val="134"/>
    </font>
    <font>
      <b/>
      <sz val="11"/>
      <color indexed="8"/>
      <name val="宋体"/>
      <charset val="134"/>
    </font>
    <font>
      <b/>
      <sz val="16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12"/>
      <name val="宋体"/>
      <charset val="134"/>
    </font>
    <font>
      <b/>
      <sz val="9"/>
      <color indexed="12"/>
      <name val="宋体"/>
      <charset val="134"/>
    </font>
    <font>
      <sz val="10"/>
      <color indexed="12"/>
      <name val="宋体"/>
      <charset val="134"/>
    </font>
    <font>
      <b/>
      <sz val="9"/>
      <color rgb="FF0000FF"/>
      <name val="宋体"/>
      <charset val="134"/>
    </font>
    <font>
      <b/>
      <sz val="11"/>
      <color indexed="57"/>
      <name val="宋体"/>
      <charset val="134"/>
    </font>
    <font>
      <b/>
      <sz val="10"/>
      <color indexed="17"/>
      <name val="宋体"/>
      <charset val="134"/>
    </font>
    <font>
      <b/>
      <sz val="9"/>
      <color rgb="FF00B050"/>
      <name val="宋体"/>
      <charset val="134"/>
    </font>
    <font>
      <b/>
      <sz val="10"/>
      <color rgb="FF0000FF"/>
      <name val="宋体"/>
      <charset val="134"/>
    </font>
    <font>
      <b/>
      <sz val="10"/>
      <color indexed="57"/>
      <name val="宋体"/>
      <charset val="134"/>
    </font>
    <font>
      <b/>
      <sz val="10"/>
      <color rgb="FF800000"/>
      <name val="宋体"/>
      <charset val="134"/>
    </font>
    <font>
      <b/>
      <sz val="10"/>
      <color rgb="FFC00000"/>
      <name val="宋体"/>
      <charset val="134"/>
      <scheme val="minor"/>
    </font>
    <font>
      <b/>
      <sz val="10"/>
      <color indexed="16"/>
      <name val="宋体"/>
      <charset val="134"/>
    </font>
    <font>
      <b/>
      <sz val="9"/>
      <name val="宋体"/>
      <charset val="134"/>
    </font>
    <font>
      <b/>
      <sz val="10"/>
      <color indexed="14"/>
      <name val="宋体"/>
      <charset val="134"/>
    </font>
    <font>
      <b/>
      <sz val="10"/>
      <name val="宋体"/>
      <charset val="134"/>
    </font>
    <font>
      <b/>
      <sz val="10"/>
      <color indexed="10"/>
      <name val="宋体"/>
      <charset val="134"/>
    </font>
    <font>
      <b/>
      <sz val="10"/>
      <color rgb="FF339966"/>
      <name val="宋体"/>
      <charset val="134"/>
    </font>
    <font>
      <b/>
      <sz val="10"/>
      <color indexed="12"/>
      <name val="宋体"/>
      <charset val="134"/>
    </font>
    <font>
      <sz val="11"/>
      <color indexed="57"/>
      <name val="宋体"/>
      <charset val="134"/>
    </font>
    <font>
      <sz val="10"/>
      <color rgb="FF339966"/>
      <name val="宋体"/>
      <charset val="134"/>
    </font>
    <font>
      <sz val="10"/>
      <color indexed="14"/>
      <name val="宋体"/>
      <charset val="134"/>
    </font>
    <font>
      <sz val="11"/>
      <color rgb="FF0000FF"/>
      <name val="宋体"/>
      <charset val="134"/>
    </font>
    <font>
      <sz val="10"/>
      <color rgb="FF0000FF"/>
      <name val="宋体"/>
      <charset val="134"/>
    </font>
    <font>
      <b/>
      <sz val="11"/>
      <color rgb="FF0000FF"/>
      <name val="宋体"/>
      <charset val="134"/>
    </font>
    <font>
      <sz val="10"/>
      <color indexed="17"/>
      <name val="宋体"/>
      <charset val="134"/>
    </font>
    <font>
      <sz val="11"/>
      <color rgb="FF008000"/>
      <name val="宋体"/>
      <charset val="134"/>
    </font>
    <font>
      <sz val="10"/>
      <color rgb="FF008000"/>
      <name val="宋体"/>
      <charset val="134"/>
    </font>
    <font>
      <b/>
      <sz val="10"/>
      <color indexed="21"/>
      <name val="宋体"/>
      <charset val="134"/>
    </font>
    <font>
      <b/>
      <sz val="11"/>
      <color rgb="FF339966"/>
      <name val="宋体"/>
      <charset val="134"/>
    </font>
    <font>
      <b/>
      <sz val="10"/>
      <color rgb="FFFF0000"/>
      <name val="宋体"/>
      <charset val="134"/>
    </font>
    <font>
      <b/>
      <sz val="10"/>
      <color rgb="FFC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1"/>
      <color rgb="FF008000"/>
      <name val="宋体"/>
      <charset val="134"/>
    </font>
    <font>
      <sz val="12"/>
      <color indexed="8"/>
      <name val="宋体"/>
      <charset val="134"/>
    </font>
    <font>
      <b/>
      <sz val="11"/>
      <color rgb="FFFFC000"/>
      <name val="宋体"/>
      <charset val="134"/>
    </font>
    <font>
      <b/>
      <sz val="10"/>
      <color rgb="FFFFC000"/>
      <name val="宋体"/>
      <charset val="134"/>
    </font>
    <font>
      <b/>
      <sz val="11"/>
      <color rgb="FFC00000"/>
      <name val="宋体"/>
      <charset val="134"/>
    </font>
    <font>
      <b/>
      <sz val="10"/>
      <color rgb="FFFF00FF"/>
      <name val="宋体"/>
      <charset val="134"/>
    </font>
    <font>
      <sz val="10"/>
      <color rgb="FFFF00FF"/>
      <name val="宋体"/>
      <charset val="134"/>
    </font>
    <font>
      <sz val="10"/>
      <color rgb="FF0070C0"/>
      <name val="宋体"/>
      <charset val="134"/>
    </font>
    <font>
      <b/>
      <sz val="11"/>
      <color indexed="14"/>
      <name val="宋体"/>
      <charset val="134"/>
    </font>
    <font>
      <sz val="11"/>
      <color indexed="53"/>
      <name val="宋体"/>
      <charset val="134"/>
    </font>
    <font>
      <sz val="10"/>
      <color indexed="53"/>
      <name val="宋体"/>
      <charset val="134"/>
    </font>
    <font>
      <b/>
      <sz val="11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vertAlign val="superscript"/>
      <sz val="11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0" fillId="5" borderId="9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4" fillId="0" borderId="10">
      <alignment vertical="center"/>
    </xf>
    <xf numFmtId="0" fontId="65" fillId="0" borderId="10">
      <alignment vertical="center"/>
    </xf>
    <xf numFmtId="0" fontId="66" fillId="0" borderId="11">
      <alignment vertical="center"/>
    </xf>
    <xf numFmtId="0" fontId="66" fillId="0" borderId="0">
      <alignment vertical="center"/>
    </xf>
    <xf numFmtId="0" fontId="67" fillId="6" borderId="12">
      <alignment vertical="center"/>
    </xf>
    <xf numFmtId="0" fontId="68" fillId="7" borderId="13">
      <alignment vertical="center"/>
    </xf>
    <xf numFmtId="0" fontId="69" fillId="7" borderId="12">
      <alignment vertical="center"/>
    </xf>
    <xf numFmtId="0" fontId="70" fillId="8" borderId="14">
      <alignment vertical="center"/>
    </xf>
    <xf numFmtId="0" fontId="71" fillId="0" borderId="15">
      <alignment vertical="center"/>
    </xf>
    <xf numFmtId="0" fontId="72" fillId="0" borderId="16">
      <alignment vertical="center"/>
    </xf>
    <xf numFmtId="0" fontId="73" fillId="9" borderId="0">
      <alignment vertical="center"/>
    </xf>
    <xf numFmtId="0" fontId="74" fillId="10" borderId="0">
      <alignment vertical="center"/>
    </xf>
    <xf numFmtId="0" fontId="75" fillId="11" borderId="0">
      <alignment vertical="center"/>
    </xf>
    <xf numFmtId="0" fontId="76" fillId="12" borderId="0">
      <alignment vertical="center"/>
    </xf>
    <xf numFmtId="0" fontId="77" fillId="13" borderId="0">
      <alignment vertical="center"/>
    </xf>
    <xf numFmtId="0" fontId="77" fillId="14" borderId="0">
      <alignment vertical="center"/>
    </xf>
    <xf numFmtId="0" fontId="76" fillId="15" borderId="0">
      <alignment vertical="center"/>
    </xf>
    <xf numFmtId="0" fontId="76" fillId="16" borderId="0">
      <alignment vertical="center"/>
    </xf>
    <xf numFmtId="0" fontId="77" fillId="17" borderId="0">
      <alignment vertical="center"/>
    </xf>
    <xf numFmtId="0" fontId="77" fillId="18" borderId="0">
      <alignment vertical="center"/>
    </xf>
    <xf numFmtId="0" fontId="76" fillId="19" borderId="0">
      <alignment vertical="center"/>
    </xf>
    <xf numFmtId="0" fontId="76" fillId="20" borderId="0">
      <alignment vertical="center"/>
    </xf>
    <xf numFmtId="0" fontId="77" fillId="21" borderId="0">
      <alignment vertical="center"/>
    </xf>
    <xf numFmtId="0" fontId="77" fillId="22" borderId="0">
      <alignment vertical="center"/>
    </xf>
    <xf numFmtId="0" fontId="76" fillId="23" borderId="0">
      <alignment vertical="center"/>
    </xf>
    <xf numFmtId="0" fontId="76" fillId="24" borderId="0">
      <alignment vertical="center"/>
    </xf>
    <xf numFmtId="0" fontId="77" fillId="25" borderId="0">
      <alignment vertical="center"/>
    </xf>
    <xf numFmtId="0" fontId="77" fillId="26" borderId="0">
      <alignment vertical="center"/>
    </xf>
    <xf numFmtId="0" fontId="76" fillId="27" borderId="0">
      <alignment vertical="center"/>
    </xf>
    <xf numFmtId="0" fontId="76" fillId="28" borderId="0">
      <alignment vertical="center"/>
    </xf>
    <xf numFmtId="0" fontId="77" fillId="29" borderId="0">
      <alignment vertical="center"/>
    </xf>
    <xf numFmtId="0" fontId="77" fillId="30" borderId="0">
      <alignment vertical="center"/>
    </xf>
    <xf numFmtId="0" fontId="76" fillId="31" borderId="0">
      <alignment vertical="center"/>
    </xf>
    <xf numFmtId="0" fontId="76" fillId="32" borderId="0">
      <alignment vertical="center"/>
    </xf>
    <xf numFmtId="0" fontId="77" fillId="33" borderId="0">
      <alignment vertical="center"/>
    </xf>
    <xf numFmtId="0" fontId="77" fillId="34" borderId="0">
      <alignment vertical="center"/>
    </xf>
    <xf numFmtId="0" fontId="76" fillId="35" borderId="0">
      <alignment vertical="center"/>
    </xf>
    <xf numFmtId="176" fontId="1" fillId="0" borderId="0">
      <alignment vertical="center"/>
    </xf>
    <xf numFmtId="176" fontId="0" fillId="0" borderId="0" applyBorder="0">
      <alignment vertical="center"/>
    </xf>
    <xf numFmtId="176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</cellStyleXfs>
  <cellXfs count="157">
    <xf numFmtId="0" fontId="0" fillId="0" borderId="0" xfId="0" applyAlignment="1">
      <alignment vertical="center"/>
    </xf>
    <xf numFmtId="176" fontId="1" fillId="0" borderId="0" xfId="49" applyAlignment="1">
      <alignment horizontal="center" vertical="center"/>
    </xf>
    <xf numFmtId="176" fontId="2" fillId="0" borderId="0" xfId="49" applyFont="1" applyFill="1" applyAlignment="1">
      <alignment horizontal="center" vertical="center"/>
    </xf>
    <xf numFmtId="176" fontId="3" fillId="0" borderId="0" xfId="49" applyFont="1" applyAlignment="1">
      <alignment horizontal="center" vertical="center"/>
    </xf>
    <xf numFmtId="176" fontId="4" fillId="0" borderId="0" xfId="49" applyFont="1" applyAlignment="1">
      <alignment horizontal="center" vertical="center"/>
    </xf>
    <xf numFmtId="176" fontId="5" fillId="0" borderId="0" xfId="49" applyFont="1" applyAlignment="1">
      <alignment horizontal="center" vertical="center"/>
    </xf>
    <xf numFmtId="176" fontId="6" fillId="0" borderId="0" xfId="49" applyFont="1" applyAlignment="1">
      <alignment horizontal="center" vertical="center"/>
    </xf>
    <xf numFmtId="176" fontId="7" fillId="0" borderId="0" xfId="49" applyFont="1" applyAlignment="1">
      <alignment horizontal="center" vertical="center"/>
    </xf>
    <xf numFmtId="176" fontId="8" fillId="0" borderId="0" xfId="49" applyFont="1" applyAlignment="1">
      <alignment horizontal="center" vertical="center"/>
    </xf>
    <xf numFmtId="176" fontId="9" fillId="0" borderId="0" xfId="49" applyFont="1" applyAlignment="1">
      <alignment horizontal="center" vertical="center"/>
    </xf>
    <xf numFmtId="176" fontId="1" fillId="0" borderId="0" xfId="49" applyFont="1" applyAlignment="1">
      <alignment horizontal="center" vertical="center"/>
    </xf>
    <xf numFmtId="176" fontId="10" fillId="0" borderId="1" xfId="49" applyFont="1" applyBorder="1" applyAlignment="1">
      <alignment horizontal="center" vertical="center"/>
    </xf>
    <xf numFmtId="176" fontId="11" fillId="0" borderId="1" xfId="49" applyFont="1" applyBorder="1" applyAlignment="1">
      <alignment horizontal="center" vertical="center"/>
    </xf>
    <xf numFmtId="176" fontId="9" fillId="0" borderId="2" xfId="49" applyFont="1" applyBorder="1" applyAlignment="1">
      <alignment horizontal="center" vertical="center"/>
    </xf>
    <xf numFmtId="177" fontId="11" fillId="2" borderId="2" xfId="49" applyNumberFormat="1" applyFont="1" applyFill="1" applyBorder="1" applyAlignment="1">
      <alignment horizontal="center" vertical="center"/>
    </xf>
    <xf numFmtId="178" fontId="11" fillId="0" borderId="2" xfId="49" applyNumberFormat="1" applyFont="1" applyBorder="1" applyAlignment="1">
      <alignment horizontal="center" vertical="center"/>
    </xf>
    <xf numFmtId="176" fontId="9" fillId="2" borderId="2" xfId="49" applyFont="1" applyFill="1" applyBorder="1" applyAlignment="1">
      <alignment horizontal="center" vertical="center"/>
    </xf>
    <xf numFmtId="176" fontId="12" fillId="2" borderId="2" xfId="49" applyFont="1" applyFill="1" applyBorder="1" applyAlignment="1">
      <alignment horizontal="center" vertical="center" wrapText="1"/>
    </xf>
    <xf numFmtId="179" fontId="13" fillId="2" borderId="2" xfId="49" applyNumberFormat="1" applyFont="1" applyFill="1" applyBorder="1" applyAlignment="1">
      <alignment horizontal="center" vertical="center" wrapText="1"/>
    </xf>
    <xf numFmtId="178" fontId="14" fillId="2" borderId="2" xfId="49" applyNumberFormat="1" applyFont="1" applyFill="1" applyBorder="1" applyAlignment="1">
      <alignment horizontal="center" vertical="center"/>
    </xf>
    <xf numFmtId="178" fontId="14" fillId="2" borderId="0" xfId="49" applyNumberFormat="1" applyFont="1" applyFill="1" applyAlignment="1">
      <alignment horizontal="center" vertical="center"/>
    </xf>
    <xf numFmtId="178" fontId="2" fillId="2" borderId="0" xfId="49" applyNumberFormat="1" applyFont="1" applyFill="1" applyAlignment="1">
      <alignment horizontal="center" vertical="center"/>
    </xf>
    <xf numFmtId="179" fontId="15" fillId="2" borderId="2" xfId="49" applyNumberFormat="1" applyFont="1" applyFill="1" applyBorder="1" applyAlignment="1">
      <alignment horizontal="center" vertical="center" wrapText="1"/>
    </xf>
    <xf numFmtId="176" fontId="12" fillId="2" borderId="2" xfId="49" applyFont="1" applyFill="1" applyBorder="1" applyAlignment="1">
      <alignment horizontal="center" vertical="center"/>
    </xf>
    <xf numFmtId="58" fontId="13" fillId="2" borderId="2" xfId="49" applyNumberFormat="1" applyFont="1" applyFill="1" applyBorder="1" applyAlignment="1">
      <alignment horizontal="center" vertical="center" wrapText="1"/>
    </xf>
    <xf numFmtId="176" fontId="16" fillId="2" borderId="2" xfId="49" applyFont="1" applyFill="1" applyBorder="1" applyAlignment="1">
      <alignment horizontal="center" vertical="center" wrapText="1"/>
    </xf>
    <xf numFmtId="179" fontId="17" fillId="2" borderId="2" xfId="49" applyNumberFormat="1" applyFont="1" applyFill="1" applyBorder="1" applyAlignment="1">
      <alignment horizontal="center" vertical="center" wrapText="1"/>
    </xf>
    <xf numFmtId="176" fontId="16" fillId="2" borderId="2" xfId="49" applyFont="1" applyFill="1" applyBorder="1" applyAlignment="1">
      <alignment horizontal="center" vertical="center"/>
    </xf>
    <xf numFmtId="179" fontId="18" fillId="2" borderId="2" xfId="49" applyNumberFormat="1" applyFont="1" applyFill="1" applyBorder="1" applyAlignment="1">
      <alignment horizontal="center" vertical="center" wrapText="1"/>
    </xf>
    <xf numFmtId="58" fontId="18" fillId="2" borderId="2" xfId="49" applyNumberFormat="1" applyFont="1" applyFill="1" applyBorder="1" applyAlignment="1">
      <alignment horizontal="center" vertical="center" wrapText="1"/>
    </xf>
    <xf numFmtId="176" fontId="17" fillId="2" borderId="2" xfId="49" applyFont="1" applyFill="1" applyBorder="1" applyAlignment="1">
      <alignment horizontal="center" vertical="center" wrapText="1"/>
    </xf>
    <xf numFmtId="176" fontId="5" fillId="2" borderId="0" xfId="49" applyFont="1" applyFill="1" applyAlignment="1">
      <alignment horizontal="center" vertical="center"/>
    </xf>
    <xf numFmtId="176" fontId="1" fillId="2" borderId="0" xfId="49" applyFill="1" applyAlignment="1">
      <alignment horizontal="center" vertical="center"/>
    </xf>
    <xf numFmtId="176" fontId="9" fillId="2" borderId="2" xfId="49" applyFont="1" applyFill="1" applyBorder="1" applyAlignment="1">
      <alignment horizontal="center" vertical="center" wrapText="1"/>
    </xf>
    <xf numFmtId="180" fontId="19" fillId="2" borderId="2" xfId="49" applyNumberFormat="1" applyFont="1" applyFill="1" applyBorder="1" applyAlignment="1">
      <alignment horizontal="center" vertical="center"/>
    </xf>
    <xf numFmtId="179" fontId="19" fillId="2" borderId="2" xfId="49" applyNumberFormat="1" applyFont="1" applyFill="1" applyBorder="1" applyAlignment="1">
      <alignment horizontal="center" vertical="center"/>
    </xf>
    <xf numFmtId="180" fontId="20" fillId="2" borderId="2" xfId="49" applyNumberFormat="1" applyFont="1" applyFill="1" applyBorder="1" applyAlignment="1">
      <alignment horizontal="center" vertical="center"/>
    </xf>
    <xf numFmtId="180" fontId="17" fillId="2" borderId="2" xfId="49" applyNumberFormat="1" applyFont="1" applyFill="1" applyBorder="1" applyAlignment="1">
      <alignment horizontal="center" vertical="center"/>
    </xf>
    <xf numFmtId="179" fontId="20" fillId="2" borderId="2" xfId="49" applyNumberFormat="1" applyFont="1" applyFill="1" applyBorder="1" applyAlignment="1">
      <alignment horizontal="center" vertical="center"/>
    </xf>
    <xf numFmtId="180" fontId="21" fillId="2" borderId="2" xfId="49" applyNumberFormat="1" applyFont="1" applyFill="1" applyBorder="1" applyAlignment="1">
      <alignment horizontal="center" vertical="center"/>
    </xf>
    <xf numFmtId="179" fontId="22" fillId="2" borderId="2" xfId="50" applyNumberFormat="1" applyFont="1" applyFill="1" applyBorder="1" applyAlignment="1">
      <alignment horizontal="center" vertical="center"/>
    </xf>
    <xf numFmtId="179" fontId="23" fillId="2" borderId="2" xfId="49" applyNumberFormat="1" applyFont="1" applyFill="1" applyBorder="1" applyAlignment="1">
      <alignment horizontal="center" vertical="center"/>
    </xf>
    <xf numFmtId="180" fontId="24" fillId="2" borderId="2" xfId="49" applyNumberFormat="1" applyFont="1" applyFill="1" applyBorder="1" applyAlignment="1">
      <alignment horizontal="center" vertical="center"/>
    </xf>
    <xf numFmtId="179" fontId="25" fillId="2" borderId="2" xfId="49" applyNumberFormat="1" applyFont="1" applyFill="1" applyBorder="1" applyAlignment="1">
      <alignment horizontal="center" vertical="center"/>
    </xf>
    <xf numFmtId="176" fontId="26" fillId="2" borderId="2" xfId="49" applyFont="1" applyFill="1" applyBorder="1" applyAlignment="1">
      <alignment horizontal="center" vertical="center"/>
    </xf>
    <xf numFmtId="179" fontId="27" fillId="2" borderId="2" xfId="49" applyNumberFormat="1" applyFont="1" applyFill="1" applyBorder="1" applyAlignment="1">
      <alignment horizontal="center" vertical="center"/>
    </xf>
    <xf numFmtId="179" fontId="28" fillId="2" borderId="2" xfId="49" applyNumberFormat="1" applyFont="1" applyFill="1" applyBorder="1" applyAlignment="1">
      <alignment horizontal="center" vertical="center"/>
    </xf>
    <xf numFmtId="179" fontId="21" fillId="2" borderId="2" xfId="49" applyNumberFormat="1" applyFont="1" applyFill="1" applyBorder="1" applyAlignment="1">
      <alignment horizontal="center" vertical="center"/>
    </xf>
    <xf numFmtId="176" fontId="9" fillId="2" borderId="3" xfId="49" applyFont="1" applyFill="1" applyBorder="1" applyAlignment="1">
      <alignment horizontal="center" vertical="center" wrapText="1"/>
    </xf>
    <xf numFmtId="180" fontId="14" fillId="2" borderId="2" xfId="49" applyNumberFormat="1" applyFont="1" applyFill="1" applyBorder="1" applyAlignment="1">
      <alignment horizontal="center" vertical="center"/>
    </xf>
    <xf numFmtId="179" fontId="29" fillId="2" borderId="2" xfId="49" applyNumberFormat="1" applyFont="1" applyFill="1" applyBorder="1" applyAlignment="1">
      <alignment horizontal="center" vertical="center"/>
    </xf>
    <xf numFmtId="176" fontId="9" fillId="2" borderId="4" xfId="49" applyFont="1" applyFill="1" applyBorder="1" applyAlignment="1">
      <alignment horizontal="center" vertical="center" wrapText="1"/>
    </xf>
    <xf numFmtId="180" fontId="29" fillId="2" borderId="2" xfId="49" applyNumberFormat="1" applyFont="1" applyFill="1" applyBorder="1" applyAlignment="1">
      <alignment horizontal="center" vertical="center"/>
    </xf>
    <xf numFmtId="176" fontId="30" fillId="2" borderId="2" xfId="49" applyFont="1" applyFill="1" applyBorder="1" applyAlignment="1">
      <alignment horizontal="center" vertical="center"/>
    </xf>
    <xf numFmtId="180" fontId="31" fillId="2" borderId="2" xfId="49" applyNumberFormat="1" applyFont="1" applyFill="1" applyBorder="1" applyAlignment="1">
      <alignment horizontal="center" vertical="center"/>
    </xf>
    <xf numFmtId="176" fontId="32" fillId="2" borderId="0" xfId="49" applyFont="1" applyFill="1" applyAlignment="1">
      <alignment horizontal="center" vertical="center"/>
    </xf>
    <xf numFmtId="176" fontId="3" fillId="2" borderId="0" xfId="49" applyFont="1" applyFill="1" applyAlignment="1">
      <alignment horizontal="center" vertical="center"/>
    </xf>
    <xf numFmtId="176" fontId="9" fillId="2" borderId="5" xfId="49" applyFont="1" applyFill="1" applyBorder="1" applyAlignment="1">
      <alignment horizontal="center" vertical="center" wrapText="1"/>
    </xf>
    <xf numFmtId="179" fontId="17" fillId="2" borderId="2" xfId="49" applyNumberFormat="1" applyFont="1" applyFill="1" applyBorder="1" applyAlignment="1">
      <alignment horizontal="center" vertical="center"/>
    </xf>
    <xf numFmtId="180" fontId="5" fillId="2" borderId="0" xfId="49" applyNumberFormat="1" applyFont="1" applyFill="1" applyAlignment="1">
      <alignment horizontal="center" vertical="center"/>
    </xf>
    <xf numFmtId="180" fontId="26" fillId="2" borderId="2" xfId="49" applyNumberFormat="1" applyFont="1" applyFill="1" applyBorder="1" applyAlignment="1">
      <alignment horizontal="center" vertical="center"/>
    </xf>
    <xf numFmtId="180" fontId="23" fillId="2" borderId="2" xfId="49" applyNumberFormat="1" applyFont="1" applyFill="1" applyBorder="1" applyAlignment="1">
      <alignment horizontal="center" vertical="center"/>
    </xf>
    <xf numFmtId="176" fontId="33" fillId="2" borderId="2" xfId="49" applyFont="1" applyFill="1" applyBorder="1" applyAlignment="1">
      <alignment horizontal="center" vertical="center"/>
    </xf>
    <xf numFmtId="179" fontId="34" fillId="2" borderId="2" xfId="49" applyNumberFormat="1" applyFont="1" applyFill="1" applyBorder="1" applyAlignment="1">
      <alignment horizontal="center" vertical="center"/>
    </xf>
    <xf numFmtId="176" fontId="35" fillId="2" borderId="2" xfId="49" applyFont="1" applyFill="1" applyBorder="1" applyAlignment="1">
      <alignment horizontal="center" vertical="center"/>
    </xf>
    <xf numFmtId="179" fontId="1" fillId="0" borderId="0" xfId="49" applyNumberFormat="1" applyAlignment="1">
      <alignment horizontal="center" vertical="center"/>
    </xf>
    <xf numFmtId="179" fontId="36" fillId="2" borderId="2" xfId="49" applyNumberFormat="1" applyFont="1" applyFill="1" applyBorder="1" applyAlignment="1">
      <alignment horizontal="center" vertical="center"/>
    </xf>
    <xf numFmtId="176" fontId="37" fillId="2" borderId="2" xfId="49" applyFont="1" applyFill="1" applyBorder="1" applyAlignment="1">
      <alignment horizontal="center" vertical="center"/>
    </xf>
    <xf numFmtId="179" fontId="38" fillId="2" borderId="2" xfId="49" applyNumberFormat="1" applyFont="1" applyFill="1" applyBorder="1" applyAlignment="1">
      <alignment horizontal="center" vertical="center"/>
    </xf>
    <xf numFmtId="176" fontId="9" fillId="2" borderId="4" xfId="49" applyFont="1" applyFill="1" applyBorder="1" applyAlignment="1">
      <alignment horizontal="center" vertical="center"/>
    </xf>
    <xf numFmtId="179" fontId="39" fillId="2" borderId="2" xfId="49" applyNumberFormat="1" applyFont="1" applyFill="1" applyBorder="1" applyAlignment="1">
      <alignment horizontal="center" vertical="center"/>
    </xf>
    <xf numFmtId="176" fontId="9" fillId="2" borderId="5" xfId="49" applyFont="1" applyFill="1" applyBorder="1" applyAlignment="1">
      <alignment horizontal="center" vertical="center"/>
    </xf>
    <xf numFmtId="176" fontId="40" fillId="2" borderId="2" xfId="49" applyFont="1" applyFill="1" applyBorder="1" applyAlignment="1">
      <alignment horizontal="center" vertical="center"/>
    </xf>
    <xf numFmtId="179" fontId="5" fillId="2" borderId="0" xfId="49" applyNumberFormat="1" applyFont="1" applyFill="1" applyAlignment="1">
      <alignment horizontal="center" vertical="center"/>
    </xf>
    <xf numFmtId="179" fontId="41" fillId="2" borderId="2" xfId="49" applyNumberFormat="1" applyFont="1" applyFill="1" applyBorder="1" applyAlignment="1">
      <alignment horizontal="center" vertical="center"/>
    </xf>
    <xf numFmtId="181" fontId="29" fillId="2" borderId="2" xfId="49" applyNumberFormat="1" applyFont="1" applyFill="1" applyBorder="1" applyAlignment="1">
      <alignment horizontal="center" vertical="center"/>
    </xf>
    <xf numFmtId="178" fontId="29" fillId="2" borderId="2" xfId="49" applyNumberFormat="1" applyFont="1" applyFill="1" applyBorder="1" applyAlignment="1">
      <alignment horizontal="center" vertical="center"/>
    </xf>
    <xf numFmtId="181" fontId="17" fillId="2" borderId="2" xfId="49" applyNumberFormat="1" applyFont="1" applyFill="1" applyBorder="1" applyAlignment="1">
      <alignment horizontal="center" vertical="center"/>
    </xf>
    <xf numFmtId="178" fontId="17" fillId="2" borderId="2" xfId="49" applyNumberFormat="1" applyFont="1" applyFill="1" applyBorder="1" applyAlignment="1">
      <alignment horizontal="center" vertical="center"/>
    </xf>
    <xf numFmtId="181" fontId="42" fillId="2" borderId="2" xfId="49" applyNumberFormat="1" applyFont="1" applyFill="1" applyBorder="1" applyAlignment="1">
      <alignment horizontal="center" vertical="center"/>
    </xf>
    <xf numFmtId="178" fontId="23" fillId="2" borderId="2" xfId="49" applyNumberFormat="1" applyFont="1" applyFill="1" applyBorder="1" applyAlignment="1">
      <alignment horizontal="center" vertical="center"/>
    </xf>
    <xf numFmtId="178" fontId="25" fillId="2" borderId="2" xfId="49" applyNumberFormat="1" applyFont="1" applyFill="1" applyBorder="1" applyAlignment="1">
      <alignment horizontal="center" vertical="center"/>
    </xf>
    <xf numFmtId="178" fontId="27" fillId="2" borderId="2" xfId="49" applyNumberFormat="1" applyFont="1" applyFill="1" applyBorder="1" applyAlignment="1">
      <alignment horizontal="center" vertical="center"/>
    </xf>
    <xf numFmtId="178" fontId="42" fillId="2" borderId="2" xfId="49" applyNumberFormat="1" applyFont="1" applyFill="1" applyBorder="1" applyAlignment="1">
      <alignment horizontal="center" vertical="center"/>
    </xf>
    <xf numFmtId="176" fontId="43" fillId="2" borderId="0" xfId="49" applyFont="1" applyFill="1" applyAlignment="1">
      <alignment horizontal="center" vertical="center"/>
    </xf>
    <xf numFmtId="176" fontId="4" fillId="2" borderId="0" xfId="49" applyFont="1" applyFill="1" applyAlignment="1">
      <alignment horizontal="center" vertical="center"/>
    </xf>
    <xf numFmtId="176" fontId="24" fillId="2" borderId="2" xfId="49" applyFont="1" applyFill="1" applyBorder="1" applyAlignment="1">
      <alignment horizontal="center" vertical="center"/>
    </xf>
    <xf numFmtId="178" fontId="19" fillId="2" borderId="2" xfId="49" applyNumberFormat="1" applyFont="1" applyFill="1" applyBorder="1" applyAlignment="1">
      <alignment horizontal="center" vertical="center"/>
    </xf>
    <xf numFmtId="176" fontId="1" fillId="2" borderId="2" xfId="49" applyFill="1" applyBorder="1" applyAlignment="1">
      <alignment horizontal="center" vertical="center"/>
    </xf>
    <xf numFmtId="179" fontId="44" fillId="2" borderId="2" xfId="49" applyNumberFormat="1" applyFont="1" applyFill="1" applyBorder="1" applyAlignment="1">
      <alignment horizontal="center" vertical="center"/>
    </xf>
    <xf numFmtId="176" fontId="1" fillId="2" borderId="0" xfId="49" applyFill="1" applyBorder="1" applyAlignment="1">
      <alignment horizontal="center" vertical="center"/>
    </xf>
    <xf numFmtId="178" fontId="1" fillId="2" borderId="0" xfId="49" applyNumberFormat="1" applyFill="1" applyAlignment="1">
      <alignment horizontal="center" vertical="center"/>
    </xf>
    <xf numFmtId="176" fontId="10" fillId="3" borderId="6" xfId="49" applyNumberFormat="1" applyFont="1" applyFill="1" applyBorder="1" applyAlignment="1">
      <alignment horizontal="center" vertical="center" wrapText="1"/>
    </xf>
    <xf numFmtId="176" fontId="10" fillId="3" borderId="7" xfId="49" applyNumberFormat="1" applyFont="1" applyFill="1" applyBorder="1" applyAlignment="1">
      <alignment horizontal="center" vertical="center" wrapText="1"/>
    </xf>
    <xf numFmtId="178" fontId="45" fillId="2" borderId="0" xfId="49" applyNumberFormat="1" applyFon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11" fillId="3" borderId="8" xfId="49" applyNumberFormat="1" applyFont="1" applyFill="1" applyBorder="1" applyAlignment="1">
      <alignment horizontal="center" vertical="center" wrapText="1"/>
    </xf>
    <xf numFmtId="176" fontId="11" fillId="3" borderId="0" xfId="49" applyNumberFormat="1" applyFont="1" applyFill="1" applyBorder="1" applyAlignment="1">
      <alignment horizontal="center" vertical="center" wrapText="1"/>
    </xf>
    <xf numFmtId="178" fontId="1" fillId="0" borderId="0" xfId="49" applyNumberFormat="1" applyAlignment="1">
      <alignment horizontal="center" vertical="center"/>
    </xf>
    <xf numFmtId="176" fontId="9" fillId="4" borderId="5" xfId="49" applyFont="1" applyFill="1" applyBorder="1" applyAlignment="1">
      <alignment horizontal="center" vertical="center"/>
    </xf>
    <xf numFmtId="176" fontId="0" fillId="4" borderId="2" xfId="49" applyFont="1" applyFill="1" applyBorder="1" applyAlignment="1">
      <alignment horizontal="center" vertical="center"/>
    </xf>
    <xf numFmtId="179" fontId="0" fillId="0" borderId="2" xfId="49" applyNumberFormat="1" applyFont="1" applyFill="1" applyBorder="1" applyAlignment="1">
      <alignment horizontal="center" vertical="center"/>
    </xf>
    <xf numFmtId="182" fontId="0" fillId="0" borderId="2" xfId="49" applyNumberFormat="1" applyFont="1" applyFill="1" applyBorder="1" applyAlignment="1">
      <alignment horizontal="center" vertical="center"/>
    </xf>
    <xf numFmtId="183" fontId="5" fillId="0" borderId="0" xfId="49" applyNumberFormat="1" applyFont="1" applyAlignment="1">
      <alignment horizontal="center" vertical="center"/>
    </xf>
    <xf numFmtId="183" fontId="46" fillId="0" borderId="6" xfId="49" applyNumberFormat="1" applyFont="1" applyFill="1" applyBorder="1" applyAlignment="1">
      <alignment horizontal="left" vertical="center" wrapText="1"/>
    </xf>
    <xf numFmtId="183" fontId="46" fillId="0" borderId="7" xfId="49" applyNumberFormat="1" applyFont="1" applyFill="1" applyBorder="1" applyAlignment="1">
      <alignment horizontal="left" vertical="center" wrapText="1"/>
    </xf>
    <xf numFmtId="183" fontId="46" fillId="0" borderId="0" xfId="49" applyNumberFormat="1" applyFont="1" applyFill="1" applyBorder="1" applyAlignment="1">
      <alignment vertical="top" wrapText="1"/>
    </xf>
    <xf numFmtId="179" fontId="5" fillId="0" borderId="0" xfId="49" applyNumberFormat="1" applyFont="1" applyAlignment="1">
      <alignment horizontal="center" vertical="center"/>
    </xf>
    <xf numFmtId="178" fontId="5" fillId="0" borderId="0" xfId="49" applyNumberFormat="1" applyFont="1" applyAlignment="1">
      <alignment horizontal="center" vertical="center"/>
    </xf>
    <xf numFmtId="10" fontId="5" fillId="0" borderId="0" xfId="49" applyNumberFormat="1" applyFont="1" applyAlignment="1">
      <alignment horizontal="center" vertical="center"/>
    </xf>
    <xf numFmtId="176" fontId="47" fillId="0" borderId="0" xfId="49" applyFont="1" applyAlignment="1">
      <alignment horizontal="center" vertical="center"/>
    </xf>
    <xf numFmtId="179" fontId="48" fillId="2" borderId="0" xfId="49" applyNumberFormat="1" applyFont="1" applyFill="1" applyAlignment="1">
      <alignment horizontal="center" vertical="center"/>
    </xf>
    <xf numFmtId="179" fontId="48" fillId="0" borderId="0" xfId="49" applyNumberFormat="1" applyFont="1" applyAlignment="1">
      <alignment horizontal="center" vertical="center"/>
    </xf>
    <xf numFmtId="176" fontId="49" fillId="0" borderId="0" xfId="49" applyFont="1" applyAlignment="1">
      <alignment horizontal="center" vertical="center"/>
    </xf>
    <xf numFmtId="179" fontId="42" fillId="2" borderId="0" xfId="49" applyNumberFormat="1" applyFont="1" applyFill="1" applyAlignment="1">
      <alignment horizontal="center" vertical="center"/>
    </xf>
    <xf numFmtId="179" fontId="42" fillId="0" borderId="0" xfId="49" applyNumberFormat="1" applyFont="1" applyAlignment="1">
      <alignment horizontal="center" vertical="center"/>
    </xf>
    <xf numFmtId="179" fontId="50" fillId="0" borderId="0" xfId="49" applyNumberFormat="1" applyFont="1" applyAlignment="1">
      <alignment horizontal="center" vertical="center"/>
    </xf>
    <xf numFmtId="176" fontId="6" fillId="0" borderId="0" xfId="49" applyFont="1" applyFill="1" applyBorder="1" applyAlignment="1">
      <alignment vertical="center"/>
    </xf>
    <xf numFmtId="176" fontId="7" fillId="0" borderId="0" xfId="49" applyFont="1" applyAlignment="1">
      <alignment horizontal="left" vertical="center"/>
    </xf>
    <xf numFmtId="179" fontId="51" fillId="0" borderId="0" xfId="49" applyNumberFormat="1" applyFont="1" applyAlignment="1">
      <alignment horizontal="center" vertical="center"/>
    </xf>
    <xf numFmtId="176" fontId="7" fillId="0" borderId="0" xfId="49" applyFont="1" applyFill="1" applyBorder="1" applyAlignment="1">
      <alignment vertical="center"/>
    </xf>
    <xf numFmtId="176" fontId="7" fillId="0" borderId="0" xfId="49" applyFont="1" applyFill="1" applyBorder="1" applyAlignment="1">
      <alignment horizontal="center" vertical="center"/>
    </xf>
    <xf numFmtId="176" fontId="8" fillId="0" borderId="0" xfId="49" applyFont="1" applyFill="1" applyBorder="1" applyAlignment="1">
      <alignment horizontal="center" vertical="center"/>
    </xf>
    <xf numFmtId="179" fontId="52" fillId="0" borderId="0" xfId="49" applyNumberFormat="1" applyFont="1" applyAlignment="1">
      <alignment horizontal="center" vertical="center"/>
    </xf>
    <xf numFmtId="176" fontId="8" fillId="0" borderId="0" xfId="49" applyFont="1" applyBorder="1" applyAlignment="1">
      <alignment horizontal="center" vertical="center"/>
    </xf>
    <xf numFmtId="176" fontId="53" fillId="0" borderId="0" xfId="49" applyFont="1" applyAlignment="1">
      <alignment horizontal="center" vertical="center"/>
    </xf>
    <xf numFmtId="176" fontId="54" fillId="0" borderId="0" xfId="49" applyFont="1" applyAlignment="1">
      <alignment horizontal="center" vertical="center"/>
    </xf>
    <xf numFmtId="179" fontId="54" fillId="0" borderId="0" xfId="49" applyNumberFormat="1" applyFont="1" applyAlignment="1">
      <alignment horizontal="center" vertical="center"/>
    </xf>
    <xf numFmtId="179" fontId="55" fillId="0" borderId="0" xfId="49" applyNumberFormat="1" applyFont="1" applyAlignment="1">
      <alignment horizontal="center" vertical="center"/>
    </xf>
    <xf numFmtId="179" fontId="9" fillId="0" borderId="0" xfId="49" applyNumberFormat="1" applyFont="1" applyAlignment="1">
      <alignment horizontal="center" vertical="center"/>
    </xf>
    <xf numFmtId="179" fontId="11" fillId="0" borderId="0" xfId="49" applyNumberFormat="1" applyFont="1" applyAlignment="1">
      <alignment horizontal="center" vertical="center"/>
    </xf>
    <xf numFmtId="176" fontId="25" fillId="0" borderId="0" xfId="49" applyFont="1" applyAlignment="1">
      <alignment horizontal="center" vertical="center"/>
    </xf>
    <xf numFmtId="179" fontId="25" fillId="0" borderId="0" xfId="49" applyNumberFormat="1" applyFont="1" applyAlignment="1">
      <alignment horizontal="center" vertical="center"/>
    </xf>
    <xf numFmtId="176" fontId="7" fillId="0" borderId="0" xfId="49" applyFont="1" applyBorder="1" applyAlignment="1">
      <alignment horizontal="center" vertical="center"/>
    </xf>
    <xf numFmtId="176" fontId="7" fillId="0" borderId="0" xfId="49" applyFont="1" applyBorder="1">
      <alignment vertical="center"/>
    </xf>
    <xf numFmtId="176" fontId="1" fillId="0" borderId="0" xfId="49" applyFont="1" applyBorder="1" applyAlignment="1">
      <alignment horizontal="right" vertical="center"/>
    </xf>
    <xf numFmtId="176" fontId="1" fillId="0" borderId="0" xfId="49" applyFont="1" applyBorder="1" applyAlignment="1">
      <alignment horizontal="center" vertical="center"/>
    </xf>
    <xf numFmtId="178" fontId="51" fillId="0" borderId="0" xfId="49" applyNumberFormat="1" applyFont="1" applyAlignment="1">
      <alignment horizontal="center" vertical="center"/>
    </xf>
    <xf numFmtId="176" fontId="1" fillId="0" borderId="0" xfId="49" applyBorder="1" applyAlignment="1">
      <alignment horizontal="right" vertical="center"/>
    </xf>
    <xf numFmtId="176" fontId="1" fillId="0" borderId="0" xfId="49" applyBorder="1" applyAlignment="1">
      <alignment horizontal="center" vertical="center"/>
    </xf>
    <xf numFmtId="176" fontId="56" fillId="0" borderId="0" xfId="49" applyFont="1" applyAlignment="1">
      <alignment horizontal="center" vertical="center"/>
    </xf>
    <xf numFmtId="176" fontId="11" fillId="0" borderId="0" xfId="49" applyFont="1" applyAlignment="1">
      <alignment horizontal="center" vertical="center"/>
    </xf>
    <xf numFmtId="176" fontId="1" fillId="0" borderId="0" xfId="49" applyFont="1" applyAlignment="1">
      <alignment horizontal="right" vertical="center"/>
    </xf>
    <xf numFmtId="176" fontId="33" fillId="0" borderId="0" xfId="49" applyFont="1" applyAlignment="1">
      <alignment horizontal="center" vertical="center"/>
    </xf>
    <xf numFmtId="179" fontId="34" fillId="0" borderId="0" xfId="49" applyNumberFormat="1" applyFont="1" applyAlignment="1">
      <alignment horizontal="center" vertical="center"/>
    </xf>
    <xf numFmtId="179" fontId="19" fillId="0" borderId="0" xfId="49" applyNumberFormat="1" applyFont="1" applyAlignment="1">
      <alignment horizontal="center" vertical="center"/>
    </xf>
    <xf numFmtId="176" fontId="51" fillId="0" borderId="0" xfId="49" applyFont="1" applyAlignment="1">
      <alignment horizontal="center" vertical="center"/>
    </xf>
    <xf numFmtId="179" fontId="51" fillId="2" borderId="0" xfId="49" applyNumberFormat="1" applyFont="1" applyFill="1" applyAlignment="1">
      <alignment horizontal="center" vertical="center"/>
    </xf>
    <xf numFmtId="176" fontId="57" fillId="0" borderId="2" xfId="49" applyFont="1" applyFill="1" applyBorder="1" applyAlignment="1">
      <alignment horizontal="center" vertical="center"/>
    </xf>
    <xf numFmtId="176" fontId="7" fillId="0" borderId="8" xfId="49" applyFont="1" applyBorder="1" applyAlignment="1">
      <alignment horizontal="center" vertical="center"/>
    </xf>
    <xf numFmtId="180" fontId="43" fillId="0" borderId="0" xfId="51" applyNumberFormat="1" applyFont="1" applyAlignment="1">
      <alignment horizontal="center" vertical="center"/>
    </xf>
    <xf numFmtId="180" fontId="43" fillId="0" borderId="0" xfId="52" applyNumberFormat="1" applyFont="1" applyAlignment="1">
      <alignment horizontal="center" vertical="center"/>
    </xf>
    <xf numFmtId="180" fontId="43" fillId="0" borderId="0" xfId="53" applyNumberFormat="1" applyFont="1" applyAlignment="1">
      <alignment horizontal="center" vertical="center"/>
    </xf>
    <xf numFmtId="180" fontId="58" fillId="0" borderId="0" xfId="0" applyNumberFormat="1" applyFont="1" applyFill="1" applyAlignment="1">
      <alignment horizontal="center" vertical="center"/>
    </xf>
    <xf numFmtId="0" fontId="43" fillId="0" borderId="0" xfId="52" applyFont="1" applyAlignment="1">
      <alignment horizontal="center" vertical="center"/>
    </xf>
    <xf numFmtId="0" fontId="43" fillId="0" borderId="0" xfId="53" applyFont="1" applyAlignment="1">
      <alignment horizontal="center" vertical="center"/>
    </xf>
    <xf numFmtId="0" fontId="58" fillId="0" borderId="0" xfId="0" applyNumberFormat="1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1" xfId="49"/>
    <cellStyle name="常规 475" xfId="50"/>
    <cellStyle name="常规 2 60" xfId="51"/>
    <cellStyle name="常规 2 72" xfId="52"/>
    <cellStyle name="常规 2 75" xfId="53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8"/>
  <sheetViews>
    <sheetView tabSelected="1" topLeftCell="V1" workbookViewId="0">
      <selection activeCell="AA2" sqref="AA2:AC2"/>
    </sheetView>
  </sheetViews>
  <sheetFormatPr defaultColWidth="9" defaultRowHeight="13.5"/>
  <cols>
    <col min="1" max="1" width="26" style="1" customWidth="1"/>
    <col min="2" max="2" width="18.8833333333333" style="1" customWidth="1"/>
    <col min="3" max="26" width="12.8833333333333" style="5" customWidth="1"/>
    <col min="27" max="27" width="14.3833333333333" style="5" customWidth="1"/>
    <col min="28" max="28" width="12.8833333333333" style="5" customWidth="1"/>
    <col min="29" max="34" width="12.1333333333333" style="5" customWidth="1"/>
    <col min="35" max="37" width="13" style="5" customWidth="1"/>
    <col min="38" max="40" width="13" style="1" customWidth="1"/>
    <col min="41" max="16384" width="9" style="1"/>
  </cols>
  <sheetData>
    <row r="1" s="1" customFormat="1" ht="20.25" spans="1:37">
      <c r="A1" s="11" t="s">
        <v>0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="1" customFormat="1" ht="27" customHeight="1" spans="1:37">
      <c r="A2" s="13" t="s">
        <v>1</v>
      </c>
      <c r="B2" s="13" t="s">
        <v>2</v>
      </c>
      <c r="C2" s="14">
        <v>46296</v>
      </c>
      <c r="D2" s="14">
        <v>46297</v>
      </c>
      <c r="E2" s="14">
        <v>46298</v>
      </c>
      <c r="F2" s="14">
        <v>46299</v>
      </c>
      <c r="G2" s="14">
        <v>46300</v>
      </c>
      <c r="H2" s="14">
        <v>46301</v>
      </c>
      <c r="I2" s="14">
        <v>46302</v>
      </c>
      <c r="J2" s="14">
        <v>46303</v>
      </c>
      <c r="K2" s="14">
        <v>46304</v>
      </c>
      <c r="L2" s="14">
        <v>46305</v>
      </c>
      <c r="M2" s="14">
        <v>46306</v>
      </c>
      <c r="N2" s="14">
        <v>46307</v>
      </c>
      <c r="O2" s="14">
        <v>46308</v>
      </c>
      <c r="P2" s="14">
        <v>46309</v>
      </c>
      <c r="Q2" s="14">
        <v>46310</v>
      </c>
      <c r="R2" s="14">
        <v>46311</v>
      </c>
      <c r="S2" s="14">
        <v>46312</v>
      </c>
      <c r="T2" s="14">
        <v>46313</v>
      </c>
      <c r="U2" s="14">
        <v>46314</v>
      </c>
      <c r="V2" s="14">
        <v>46315</v>
      </c>
      <c r="W2" s="14">
        <v>46316</v>
      </c>
      <c r="X2" s="14">
        <v>46317</v>
      </c>
      <c r="Y2" s="14">
        <v>46318</v>
      </c>
      <c r="Z2" s="14">
        <v>46319</v>
      </c>
      <c r="AA2" s="14">
        <v>46320</v>
      </c>
      <c r="AB2" s="14">
        <v>46321</v>
      </c>
      <c r="AC2" s="14">
        <v>46322</v>
      </c>
      <c r="AD2" s="14">
        <v>46323</v>
      </c>
      <c r="AE2" s="14">
        <v>46324</v>
      </c>
      <c r="AF2" s="14">
        <v>46325</v>
      </c>
      <c r="AG2" s="14">
        <v>46326</v>
      </c>
      <c r="AH2" s="15" t="s">
        <v>3</v>
      </c>
    </row>
    <row r="3" s="2" customFormat="1" ht="24.75" customHeight="1" spans="1:37">
      <c r="A3" s="16" t="s">
        <v>4</v>
      </c>
      <c r="B3" s="17" t="s">
        <v>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>
        <v>8</v>
      </c>
      <c r="AB3" s="18">
        <v>4</v>
      </c>
      <c r="AC3" s="18">
        <v>7</v>
      </c>
      <c r="AD3" s="18">
        <v>13</v>
      </c>
      <c r="AE3" s="18">
        <v>13</v>
      </c>
      <c r="AF3" s="18">
        <v>9</v>
      </c>
      <c r="AG3" s="18">
        <v>9</v>
      </c>
      <c r="AH3" s="19"/>
      <c r="AI3" s="20">
        <f t="shared" ref="AI3:AI7" si="0">AVERAGE(C3:AG3)</f>
        <v>9</v>
      </c>
      <c r="AJ3" s="21"/>
    </row>
    <row r="4" s="2" customFormat="1" ht="24.75" customHeight="1" spans="1:37">
      <c r="A4" s="16"/>
      <c r="B4" s="17" t="s">
        <v>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>
        <v>16</v>
      </c>
      <c r="AB4" s="18">
        <v>11</v>
      </c>
      <c r="AC4" s="18">
        <v>11</v>
      </c>
      <c r="AD4" s="22">
        <v>17</v>
      </c>
      <c r="AE4" s="22">
        <v>19</v>
      </c>
      <c r="AF4" s="18">
        <v>17</v>
      </c>
      <c r="AG4" s="18">
        <v>16</v>
      </c>
      <c r="AH4" s="19"/>
      <c r="AI4" s="20">
        <f t="shared" si="0"/>
        <v>15.2857142857143</v>
      </c>
      <c r="AJ4" s="21">
        <f>(AI3+AI4)/2</f>
        <v>12.1428571428571</v>
      </c>
    </row>
    <row r="5" s="2" customFormat="1" ht="24.75" customHeight="1" spans="1:37">
      <c r="A5" s="16"/>
      <c r="B5" s="23" t="s">
        <v>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22"/>
      <c r="V5" s="22"/>
      <c r="W5" s="22"/>
      <c r="X5" s="22"/>
      <c r="Y5" s="22"/>
      <c r="Z5" s="22"/>
      <c r="AA5" s="22" t="s">
        <v>8</v>
      </c>
      <c r="AB5" s="22" t="s">
        <v>9</v>
      </c>
      <c r="AC5" s="22" t="s">
        <v>9</v>
      </c>
      <c r="AD5" s="22" t="s">
        <v>10</v>
      </c>
      <c r="AE5" s="22" t="s">
        <v>11</v>
      </c>
      <c r="AF5" s="22" t="s">
        <v>12</v>
      </c>
      <c r="AG5" s="24" t="s">
        <v>13</v>
      </c>
      <c r="AH5" s="19"/>
      <c r="AI5" s="20"/>
      <c r="AJ5" s="21"/>
    </row>
    <row r="6" s="2" customFormat="1" ht="24.75" customHeight="1" spans="1:37">
      <c r="A6" s="16"/>
      <c r="B6" s="25" t="s">
        <v>14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>
        <v>10</v>
      </c>
      <c r="AB6" s="26">
        <v>10</v>
      </c>
      <c r="AC6" s="26">
        <v>7</v>
      </c>
      <c r="AD6" s="26"/>
      <c r="AE6" s="26"/>
      <c r="AF6" s="26"/>
      <c r="AG6" s="26"/>
      <c r="AH6" s="26"/>
      <c r="AI6" s="20">
        <f t="shared" si="0"/>
        <v>9</v>
      </c>
      <c r="AJ6" s="21"/>
    </row>
    <row r="7" s="2" customFormat="1" ht="24.75" customHeight="1" spans="1:37">
      <c r="A7" s="16"/>
      <c r="B7" s="25" t="s">
        <v>15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>
        <v>19</v>
      </c>
      <c r="AB7" s="26">
        <v>16</v>
      </c>
      <c r="AC7" s="26">
        <v>13</v>
      </c>
      <c r="AD7" s="26"/>
      <c r="AE7" s="26"/>
      <c r="AF7" s="26"/>
      <c r="AG7" s="26"/>
      <c r="AH7" s="26"/>
      <c r="AI7" s="20">
        <f t="shared" si="0"/>
        <v>16</v>
      </c>
      <c r="AJ7" s="21">
        <f>(AI6+AI7)/2</f>
        <v>12.5</v>
      </c>
    </row>
    <row r="8" s="1" customFormat="1" ht="24.75" customHeight="1" spans="1:37">
      <c r="A8" s="16"/>
      <c r="B8" s="27" t="s">
        <v>16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8" t="s">
        <v>17</v>
      </c>
      <c r="AB8" s="28" t="s">
        <v>18</v>
      </c>
      <c r="AC8" s="28" t="s">
        <v>18</v>
      </c>
      <c r="AD8" s="28"/>
      <c r="AE8" s="28"/>
      <c r="AF8" s="28"/>
      <c r="AG8" s="29"/>
      <c r="AH8" s="30"/>
      <c r="AI8" s="31"/>
      <c r="AJ8" s="32"/>
    </row>
    <row r="9" s="1" customFormat="1" ht="22.5" customHeight="1" spans="1:37">
      <c r="A9" s="33" t="s">
        <v>19</v>
      </c>
      <c r="B9" s="23" t="s">
        <v>20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>
        <v>0</v>
      </c>
      <c r="AB9" s="34">
        <v>2099</v>
      </c>
      <c r="AC9" s="34">
        <v>7643</v>
      </c>
      <c r="AD9" s="34">
        <v>7593</v>
      </c>
      <c r="AE9" s="34">
        <v>6838</v>
      </c>
      <c r="AF9" s="34">
        <v>6723</v>
      </c>
      <c r="AG9" s="34">
        <v>6279</v>
      </c>
      <c r="AH9" s="35">
        <f t="shared" ref="AH9:AH72" si="1">SUM(C9:AG9)</f>
        <v>37175</v>
      </c>
      <c r="AI9" s="31"/>
      <c r="AJ9" s="32"/>
    </row>
    <row r="10" s="1" customFormat="1" ht="21.75" customHeight="1" spans="1:37">
      <c r="A10" s="16"/>
      <c r="B10" s="27" t="s">
        <v>21</v>
      </c>
      <c r="C10" s="36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>
        <v>2240</v>
      </c>
      <c r="AB10" s="37">
        <v>6409</v>
      </c>
      <c r="AC10" s="37">
        <v>6561</v>
      </c>
      <c r="AD10" s="37"/>
      <c r="AE10" s="37"/>
      <c r="AF10" s="37"/>
      <c r="AG10" s="37"/>
      <c r="AH10" s="38">
        <f t="shared" si="1"/>
        <v>15210</v>
      </c>
      <c r="AI10" s="31"/>
      <c r="AJ10" s="32"/>
    </row>
    <row r="11" s="1" customFormat="1" ht="20.25" customHeight="1" spans="1:37">
      <c r="A11" s="16"/>
      <c r="B11" s="39" t="s">
        <v>22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>
        <v>2000</v>
      </c>
      <c r="AB11" s="40">
        <v>6000</v>
      </c>
      <c r="AC11" s="40">
        <v>6500</v>
      </c>
      <c r="AD11" s="40">
        <v>6500</v>
      </c>
      <c r="AE11" s="40">
        <v>6500</v>
      </c>
      <c r="AF11" s="40">
        <v>6500</v>
      </c>
      <c r="AG11" s="40">
        <v>7000</v>
      </c>
      <c r="AH11" s="41">
        <f t="shared" si="1"/>
        <v>41000</v>
      </c>
      <c r="AI11" s="31"/>
      <c r="AJ11" s="32"/>
    </row>
    <row r="12" s="1" customFormat="1" ht="20.1" customHeight="1" spans="1:37">
      <c r="A12" s="16"/>
      <c r="B12" s="42" t="s">
        <v>23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>
        <f t="shared" ref="AA12:AG12" si="2">AA10-AA11</f>
        <v>240</v>
      </c>
      <c r="AB12" s="43">
        <f t="shared" si="2"/>
        <v>409</v>
      </c>
      <c r="AC12" s="43">
        <f t="shared" si="2"/>
        <v>61</v>
      </c>
      <c r="AD12" s="43">
        <f t="shared" si="2"/>
        <v>-6500</v>
      </c>
      <c r="AE12" s="43">
        <f t="shared" si="2"/>
        <v>-6500</v>
      </c>
      <c r="AF12" s="43">
        <f t="shared" si="2"/>
        <v>-6500</v>
      </c>
      <c r="AG12" s="43">
        <f t="shared" si="2"/>
        <v>-7000</v>
      </c>
      <c r="AH12" s="43">
        <f t="shared" si="1"/>
        <v>-25790</v>
      </c>
      <c r="AI12" s="31"/>
      <c r="AJ12" s="32"/>
    </row>
    <row r="13" s="1" customFormat="1" ht="20.1" customHeight="1" spans="1:37">
      <c r="A13" s="16"/>
      <c r="B13" s="44" t="s">
        <v>24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>
        <f t="shared" ref="AA13:AG13" si="3">AA10-AA9</f>
        <v>2240</v>
      </c>
      <c r="AB13" s="45">
        <f t="shared" si="3"/>
        <v>4310</v>
      </c>
      <c r="AC13" s="45">
        <f t="shared" si="3"/>
        <v>-1082</v>
      </c>
      <c r="AD13" s="45">
        <f t="shared" si="3"/>
        <v>-7593</v>
      </c>
      <c r="AE13" s="45">
        <f t="shared" si="3"/>
        <v>-6838</v>
      </c>
      <c r="AF13" s="45">
        <f t="shared" si="3"/>
        <v>-6723</v>
      </c>
      <c r="AG13" s="45">
        <f t="shared" si="3"/>
        <v>-6279</v>
      </c>
      <c r="AH13" s="45">
        <f t="shared" si="1"/>
        <v>-21965</v>
      </c>
      <c r="AI13" s="31"/>
      <c r="AJ13" s="32"/>
    </row>
    <row r="14" s="1" customFormat="1" ht="20.1" customHeight="1" spans="1:37">
      <c r="A14" s="33" t="s">
        <v>25</v>
      </c>
      <c r="B14" s="23" t="s">
        <v>20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>
        <v>0</v>
      </c>
      <c r="AB14" s="35">
        <v>442.26</v>
      </c>
      <c r="AC14" s="35">
        <v>790.165791</v>
      </c>
      <c r="AD14" s="35">
        <v>1837.29999999997</v>
      </c>
      <c r="AE14" s="35">
        <v>3661.02465966264</v>
      </c>
      <c r="AF14" s="35">
        <v>3202.81000000002</v>
      </c>
      <c r="AG14" s="35">
        <v>5423.80000000003</v>
      </c>
      <c r="AH14" s="35">
        <f t="shared" si="1"/>
        <v>15357.3604506627</v>
      </c>
      <c r="AI14" s="31"/>
      <c r="AJ14" s="32"/>
    </row>
    <row r="15" s="1" customFormat="1" ht="20.1" customHeight="1" spans="1:37">
      <c r="A15" s="16"/>
      <c r="B15" s="27" t="s">
        <v>21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>
        <v>111</v>
      </c>
      <c r="AB15" s="46">
        <v>929.205813810193</v>
      </c>
      <c r="AC15" s="46">
        <v>2083.59109329294</v>
      </c>
      <c r="AD15" s="46"/>
      <c r="AE15" s="46"/>
      <c r="AF15" s="46"/>
      <c r="AG15" s="46"/>
      <c r="AH15" s="46">
        <f t="shared" si="1"/>
        <v>3123.79690710313</v>
      </c>
      <c r="AI15" s="31"/>
      <c r="AJ15" s="32"/>
    </row>
    <row r="16" s="1" customFormat="1" ht="20.1" customHeight="1" spans="1:37">
      <c r="A16" s="16"/>
      <c r="B16" s="39" t="s">
        <v>22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>
        <v>1000</v>
      </c>
      <c r="AB16" s="47">
        <v>1500</v>
      </c>
      <c r="AC16" s="47">
        <v>2000</v>
      </c>
      <c r="AD16" s="47">
        <v>2000</v>
      </c>
      <c r="AE16" s="47">
        <v>4000</v>
      </c>
      <c r="AF16" s="47">
        <v>4000</v>
      </c>
      <c r="AG16" s="47">
        <v>7000</v>
      </c>
      <c r="AH16" s="47">
        <f t="shared" si="1"/>
        <v>21500</v>
      </c>
      <c r="AI16" s="31"/>
      <c r="AJ16" s="32"/>
    </row>
    <row r="17" s="1" customFormat="1" ht="20.1" customHeight="1" spans="1:36">
      <c r="A17" s="16"/>
      <c r="B17" s="42" t="s">
        <v>23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>
        <f t="shared" ref="AA17:AG17" si="4">AA15-AA16</f>
        <v>-889</v>
      </c>
      <c r="AB17" s="45">
        <f t="shared" si="4"/>
        <v>-570.794186189807</v>
      </c>
      <c r="AC17" s="45">
        <f t="shared" si="4"/>
        <v>83.5910932929419</v>
      </c>
      <c r="AD17" s="45">
        <f t="shared" si="4"/>
        <v>-2000</v>
      </c>
      <c r="AE17" s="45">
        <f t="shared" si="4"/>
        <v>-4000</v>
      </c>
      <c r="AF17" s="45">
        <f t="shared" si="4"/>
        <v>-4000</v>
      </c>
      <c r="AG17" s="45">
        <f t="shared" si="4"/>
        <v>-7000</v>
      </c>
      <c r="AH17" s="45">
        <f t="shared" si="1"/>
        <v>-18376.2030928969</v>
      </c>
      <c r="AI17" s="31"/>
      <c r="AJ17" s="32"/>
    </row>
    <row r="18" s="1" customFormat="1" ht="20.1" customHeight="1" spans="1:36">
      <c r="A18" s="16"/>
      <c r="B18" s="44" t="s">
        <v>24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>
        <f t="shared" ref="AA18:AG18" si="5">AA15-AA14</f>
        <v>111</v>
      </c>
      <c r="AB18" s="45">
        <f t="shared" si="5"/>
        <v>486.945813810193</v>
      </c>
      <c r="AC18" s="45">
        <f t="shared" si="5"/>
        <v>1293.42530229294</v>
      </c>
      <c r="AD18" s="45">
        <f t="shared" si="5"/>
        <v>-1837.29999999997</v>
      </c>
      <c r="AE18" s="45">
        <f t="shared" si="5"/>
        <v>-3661.02465966264</v>
      </c>
      <c r="AF18" s="45">
        <f t="shared" si="5"/>
        <v>-3202.81000000002</v>
      </c>
      <c r="AG18" s="45">
        <f t="shared" si="5"/>
        <v>-5423.80000000003</v>
      </c>
      <c r="AH18" s="45">
        <f t="shared" si="1"/>
        <v>-12233.5635435595</v>
      </c>
      <c r="AI18" s="31"/>
      <c r="AJ18" s="32"/>
    </row>
    <row r="19" s="1" customFormat="1" ht="20.1" customHeight="1" spans="1:36">
      <c r="A19" s="48" t="s">
        <v>26</v>
      </c>
      <c r="B19" s="23" t="s">
        <v>27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>
        <v>3052</v>
      </c>
      <c r="AB19" s="49">
        <v>4475</v>
      </c>
      <c r="AC19" s="49">
        <v>3673</v>
      </c>
      <c r="AD19" s="49">
        <v>4398</v>
      </c>
      <c r="AE19" s="49">
        <v>4751.5</v>
      </c>
      <c r="AF19" s="49">
        <v>5359</v>
      </c>
      <c r="AG19" s="49">
        <v>5116</v>
      </c>
      <c r="AH19" s="50">
        <f t="shared" si="1"/>
        <v>30824.5</v>
      </c>
      <c r="AI19" s="31"/>
      <c r="AJ19" s="32"/>
    </row>
    <row r="20" s="1" customFormat="1" ht="20.1" customHeight="1" spans="1:36">
      <c r="A20" s="51"/>
      <c r="B20" s="23" t="s">
        <v>28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>
        <v>1285</v>
      </c>
      <c r="AB20" s="49">
        <v>3217</v>
      </c>
      <c r="AC20" s="49">
        <v>2401</v>
      </c>
      <c r="AD20" s="49">
        <v>2651</v>
      </c>
      <c r="AE20" s="49">
        <v>3168</v>
      </c>
      <c r="AF20" s="49">
        <v>2466</v>
      </c>
      <c r="AG20" s="49">
        <v>3663</v>
      </c>
      <c r="AH20" s="50">
        <f t="shared" si="1"/>
        <v>18851</v>
      </c>
      <c r="AI20" s="31"/>
      <c r="AJ20" s="32"/>
    </row>
    <row r="21" s="1" customFormat="1" ht="20.1" customHeight="1" spans="1:36">
      <c r="A21" s="51"/>
      <c r="B21" s="23" t="s">
        <v>20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>
        <v>4337</v>
      </c>
      <c r="AB21" s="52">
        <v>7692</v>
      </c>
      <c r="AC21" s="52">
        <v>6074</v>
      </c>
      <c r="AD21" s="52">
        <v>7049</v>
      </c>
      <c r="AE21" s="52">
        <v>7919.5</v>
      </c>
      <c r="AF21" s="52">
        <v>7825</v>
      </c>
      <c r="AG21" s="52">
        <v>8779</v>
      </c>
      <c r="AH21" s="50">
        <f t="shared" si="1"/>
        <v>49675.5</v>
      </c>
      <c r="AI21" s="31"/>
      <c r="AJ21" s="32"/>
    </row>
    <row r="22" s="1" customFormat="1" ht="20.1" customHeight="1" spans="1:36">
      <c r="A22" s="51"/>
      <c r="B22" s="53" t="s">
        <v>29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>
        <v>3290.1</v>
      </c>
      <c r="AB22" s="54">
        <v>4238</v>
      </c>
      <c r="AC22" s="54">
        <v>4291</v>
      </c>
      <c r="AD22" s="54"/>
      <c r="AE22" s="54"/>
      <c r="AF22" s="54"/>
      <c r="AG22" s="54"/>
      <c r="AH22" s="38">
        <f t="shared" si="1"/>
        <v>11819.1</v>
      </c>
      <c r="AI22" s="31"/>
      <c r="AJ22" s="32"/>
    </row>
    <row r="23" s="1" customFormat="1" ht="20.1" customHeight="1" spans="1:36">
      <c r="A23" s="51"/>
      <c r="B23" s="53" t="s">
        <v>30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>
        <v>2191</v>
      </c>
      <c r="AB23" s="54">
        <v>2296</v>
      </c>
      <c r="AC23" s="54">
        <v>3702</v>
      </c>
      <c r="AD23" s="54"/>
      <c r="AE23" s="54"/>
      <c r="AF23" s="54"/>
      <c r="AG23" s="54"/>
      <c r="AH23" s="38">
        <f t="shared" si="1"/>
        <v>8189</v>
      </c>
      <c r="AI23" s="31"/>
      <c r="AJ23" s="32"/>
    </row>
    <row r="24" s="1" customFormat="1" ht="20.1" customHeight="1" spans="1:36">
      <c r="A24" s="51"/>
      <c r="B24" s="27" t="s">
        <v>21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>
        <f t="shared" ref="AA24:AC24" si="6">AA22+AA23</f>
        <v>5481.1</v>
      </c>
      <c r="AB24" s="36">
        <f t="shared" si="6"/>
        <v>6534</v>
      </c>
      <c r="AC24" s="36">
        <f t="shared" si="6"/>
        <v>7993</v>
      </c>
      <c r="AD24" s="36"/>
      <c r="AE24" s="36"/>
      <c r="AF24" s="36"/>
      <c r="AG24" s="36"/>
      <c r="AH24" s="38">
        <f t="shared" si="1"/>
        <v>20008.1</v>
      </c>
      <c r="AI24" s="31"/>
      <c r="AJ24" s="32"/>
    </row>
    <row r="25" s="1" customFormat="1" ht="20.1" customHeight="1" spans="1:36">
      <c r="A25" s="51"/>
      <c r="B25" s="39" t="s">
        <v>22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>
        <v>4500</v>
      </c>
      <c r="AB25" s="39">
        <v>4500</v>
      </c>
      <c r="AC25" s="39">
        <v>4500</v>
      </c>
      <c r="AD25" s="39">
        <v>4500</v>
      </c>
      <c r="AE25" s="39">
        <v>5000</v>
      </c>
      <c r="AF25" s="39">
        <v>5000</v>
      </c>
      <c r="AG25" s="39">
        <v>6000</v>
      </c>
      <c r="AH25" s="47">
        <f t="shared" si="1"/>
        <v>34000</v>
      </c>
      <c r="AI25" s="31"/>
      <c r="AJ25" s="32"/>
    </row>
    <row r="26" s="3" customFormat="1" ht="20.1" customHeight="1" spans="1:36">
      <c r="A26" s="51"/>
      <c r="B26" s="42" t="s">
        <v>23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>
        <f t="shared" ref="AA26:AG26" si="7">AA24-AA25</f>
        <v>981.1</v>
      </c>
      <c r="AB26" s="43">
        <f t="shared" si="7"/>
        <v>2034</v>
      </c>
      <c r="AC26" s="43">
        <f t="shared" si="7"/>
        <v>3493</v>
      </c>
      <c r="AD26" s="43">
        <f t="shared" si="7"/>
        <v>-4500</v>
      </c>
      <c r="AE26" s="43">
        <f t="shared" si="7"/>
        <v>-5000</v>
      </c>
      <c r="AF26" s="43">
        <f t="shared" si="7"/>
        <v>-5000</v>
      </c>
      <c r="AG26" s="43">
        <f t="shared" si="7"/>
        <v>-6000</v>
      </c>
      <c r="AH26" s="43">
        <f t="shared" si="1"/>
        <v>-13991.9</v>
      </c>
      <c r="AI26" s="55"/>
      <c r="AJ26" s="56"/>
    </row>
    <row r="27" s="1" customFormat="1" ht="20.1" customHeight="1" spans="1:36">
      <c r="A27" s="57"/>
      <c r="B27" s="44" t="s">
        <v>24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>
        <f t="shared" ref="AA27:AG27" si="8">AA24-AA21</f>
        <v>1144.1</v>
      </c>
      <c r="AB27" s="45">
        <f t="shared" si="8"/>
        <v>-1158</v>
      </c>
      <c r="AC27" s="45">
        <f t="shared" si="8"/>
        <v>1919</v>
      </c>
      <c r="AD27" s="45">
        <f t="shared" si="8"/>
        <v>-7049</v>
      </c>
      <c r="AE27" s="45">
        <f t="shared" si="8"/>
        <v>-7919.5</v>
      </c>
      <c r="AF27" s="45">
        <f t="shared" si="8"/>
        <v>-7825</v>
      </c>
      <c r="AG27" s="45">
        <f t="shared" si="8"/>
        <v>-8779</v>
      </c>
      <c r="AH27" s="45">
        <f t="shared" si="1"/>
        <v>-29667.4</v>
      </c>
      <c r="AI27" s="31"/>
      <c r="AJ27" s="32"/>
    </row>
    <row r="28" s="1" customFormat="1" ht="20.1" customHeight="1" spans="1:36">
      <c r="A28" s="33" t="s">
        <v>31</v>
      </c>
      <c r="B28" s="23" t="s">
        <v>20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>
        <v>8837</v>
      </c>
      <c r="AB28" s="50">
        <v>20020</v>
      </c>
      <c r="AC28" s="50">
        <v>21212</v>
      </c>
      <c r="AD28" s="50">
        <v>28123.2280000007</v>
      </c>
      <c r="AE28" s="50">
        <v>50537.5660000009</v>
      </c>
      <c r="AF28" s="50">
        <v>75412.3159999977</v>
      </c>
      <c r="AG28" s="50">
        <v>88796.9119999997</v>
      </c>
      <c r="AH28" s="50">
        <f t="shared" si="1"/>
        <v>292939.021999999</v>
      </c>
      <c r="AI28" s="31"/>
      <c r="AJ28" s="32"/>
    </row>
    <row r="29" s="1" customFormat="1" ht="20.1" customHeight="1" spans="1:36">
      <c r="A29" s="16"/>
      <c r="B29" s="27" t="s">
        <v>21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58"/>
      <c r="X29" s="37"/>
      <c r="Y29" s="37"/>
      <c r="Z29" s="37"/>
      <c r="AA29" s="37">
        <v>20511.0722666669</v>
      </c>
      <c r="AB29" s="37">
        <v>36960.6956190479</v>
      </c>
      <c r="AC29" s="37">
        <v>45358.7962857141</v>
      </c>
      <c r="AD29" s="37"/>
      <c r="AE29" s="37"/>
      <c r="AF29" s="37"/>
      <c r="AG29" s="37"/>
      <c r="AH29" s="58">
        <f t="shared" si="1"/>
        <v>102830.564171429</v>
      </c>
      <c r="AI29" s="59"/>
      <c r="AJ29" s="32"/>
    </row>
    <row r="30" s="1" customFormat="1" ht="20.1" customHeight="1" spans="1:36">
      <c r="A30" s="16"/>
      <c r="B30" s="60" t="s">
        <v>22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>
        <v>20000</v>
      </c>
      <c r="AB30" s="61">
        <v>35000</v>
      </c>
      <c r="AC30" s="61">
        <v>35000</v>
      </c>
      <c r="AD30" s="61">
        <v>50000</v>
      </c>
      <c r="AE30" s="61">
        <v>60000</v>
      </c>
      <c r="AF30" s="61">
        <v>60000</v>
      </c>
      <c r="AG30" s="61">
        <v>80000</v>
      </c>
      <c r="AH30" s="41">
        <f t="shared" si="1"/>
        <v>340000</v>
      </c>
      <c r="AI30" s="59"/>
      <c r="AJ30" s="32"/>
    </row>
    <row r="31" s="1" customFormat="1" ht="20.1" customHeight="1" spans="1:36">
      <c r="A31" s="16"/>
      <c r="B31" s="42" t="s">
        <v>23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>
        <f t="shared" ref="AA31:AG31" si="9">AA29-AA30</f>
        <v>511.072266666899</v>
      </c>
      <c r="AB31" s="43">
        <f t="shared" si="9"/>
        <v>1960.6956190479</v>
      </c>
      <c r="AC31" s="43">
        <f t="shared" si="9"/>
        <v>10358.7962857141</v>
      </c>
      <c r="AD31" s="43">
        <f t="shared" si="9"/>
        <v>-50000</v>
      </c>
      <c r="AE31" s="43">
        <f t="shared" si="9"/>
        <v>-60000</v>
      </c>
      <c r="AF31" s="43">
        <f t="shared" si="9"/>
        <v>-60000</v>
      </c>
      <c r="AG31" s="43">
        <f t="shared" si="9"/>
        <v>-80000</v>
      </c>
      <c r="AH31" s="43">
        <f t="shared" si="1"/>
        <v>-237169.435828571</v>
      </c>
      <c r="AI31" s="59"/>
      <c r="AJ31" s="32"/>
    </row>
    <row r="32" s="1" customFormat="1" ht="20.1" customHeight="1" spans="1:36">
      <c r="A32" s="16"/>
      <c r="B32" s="44" t="s">
        <v>24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>
        <f t="shared" ref="AA32:AG32" si="10">AA29-AA28</f>
        <v>11674.0722666669</v>
      </c>
      <c r="AB32" s="45">
        <f t="shared" si="10"/>
        <v>16940.6956190479</v>
      </c>
      <c r="AC32" s="45">
        <f t="shared" si="10"/>
        <v>24146.7962857141</v>
      </c>
      <c r="AD32" s="45">
        <f t="shared" si="10"/>
        <v>-28123.2280000007</v>
      </c>
      <c r="AE32" s="45">
        <f t="shared" si="10"/>
        <v>-50537.5660000009</v>
      </c>
      <c r="AF32" s="45">
        <f t="shared" si="10"/>
        <v>-75412.3159999977</v>
      </c>
      <c r="AG32" s="45">
        <f t="shared" si="10"/>
        <v>-88796.9119999997</v>
      </c>
      <c r="AH32" s="45">
        <f t="shared" si="1"/>
        <v>-190108.45782857</v>
      </c>
      <c r="AI32" s="59"/>
      <c r="AJ32" s="32"/>
    </row>
    <row r="33" s="1" customFormat="1" ht="20.1" customHeight="1" spans="1:37">
      <c r="A33" s="48" t="s">
        <v>32</v>
      </c>
      <c r="B33" s="62" t="s">
        <v>33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f t="shared" si="1"/>
        <v>0</v>
      </c>
      <c r="AI33" s="59"/>
      <c r="AJ33" s="32"/>
    </row>
    <row r="34" s="1" customFormat="1" ht="20.1" customHeight="1" spans="1:37">
      <c r="A34" s="51"/>
      <c r="B34" s="62" t="s">
        <v>34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f t="shared" si="1"/>
        <v>0</v>
      </c>
      <c r="AI34" s="59"/>
      <c r="AJ34" s="32"/>
    </row>
    <row r="35" s="1" customFormat="1" ht="20.1" customHeight="1" spans="1:37">
      <c r="A35" s="51"/>
      <c r="B35" s="62" t="s">
        <v>35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f t="shared" si="1"/>
        <v>0</v>
      </c>
      <c r="AI35" s="59"/>
      <c r="AJ35" s="32"/>
    </row>
    <row r="36" s="1" customFormat="1" ht="20.1" customHeight="1" spans="1:37">
      <c r="A36" s="51"/>
      <c r="B36" s="64" t="s">
        <v>36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>
        <v>0</v>
      </c>
      <c r="AB36" s="50">
        <v>0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f t="shared" si="1"/>
        <v>0</v>
      </c>
      <c r="AI36" s="31"/>
      <c r="AJ36" s="32"/>
      <c r="AK36" s="65"/>
    </row>
    <row r="37" s="1" customFormat="1" ht="20.1" customHeight="1" spans="1:37">
      <c r="A37" s="51"/>
      <c r="B37" s="53" t="s">
        <v>37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58">
        <f t="shared" si="1"/>
        <v>0</v>
      </c>
      <c r="AI37" s="31"/>
      <c r="AJ37" s="32"/>
    </row>
    <row r="38" s="1" customFormat="1" ht="20.1" customHeight="1" spans="1:37">
      <c r="A38" s="51"/>
      <c r="B38" s="67" t="s">
        <v>38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58">
        <f t="shared" si="1"/>
        <v>0</v>
      </c>
      <c r="AI38" s="31"/>
      <c r="AJ38" s="32"/>
    </row>
    <row r="39" s="1" customFormat="1" ht="20.1" customHeight="1" spans="1:37">
      <c r="A39" s="51"/>
      <c r="B39" s="67" t="s">
        <v>39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58">
        <f t="shared" si="1"/>
        <v>0</v>
      </c>
      <c r="AI39" s="31"/>
      <c r="AJ39" s="32"/>
    </row>
    <row r="40" s="1" customFormat="1" ht="20.1" customHeight="1" spans="1:37">
      <c r="A40" s="51"/>
      <c r="B40" s="27" t="s">
        <v>40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>
        <f t="shared" ref="AA40:AG40" si="11">SUM(AA37:AA39)</f>
        <v>0</v>
      </c>
      <c r="AB40" s="58">
        <f t="shared" si="11"/>
        <v>0</v>
      </c>
      <c r="AC40" s="58">
        <f t="shared" si="11"/>
        <v>0</v>
      </c>
      <c r="AD40" s="58">
        <f t="shared" si="11"/>
        <v>0</v>
      </c>
      <c r="AE40" s="58">
        <f t="shared" si="11"/>
        <v>0</v>
      </c>
      <c r="AF40" s="58">
        <f t="shared" si="11"/>
        <v>0</v>
      </c>
      <c r="AG40" s="58">
        <f t="shared" si="11"/>
        <v>0</v>
      </c>
      <c r="AH40" s="58">
        <f t="shared" si="1"/>
        <v>0</v>
      </c>
      <c r="AI40" s="31"/>
      <c r="AJ40" s="32"/>
    </row>
    <row r="41" s="1" customFormat="1" ht="20.1" customHeight="1" spans="1:37">
      <c r="A41" s="51"/>
      <c r="B41" s="60" t="s">
        <v>22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1">
        <f t="shared" si="1"/>
        <v>0</v>
      </c>
      <c r="AI41" s="31"/>
      <c r="AJ41" s="32"/>
    </row>
    <row r="42" s="1" customFormat="1" ht="20.25" customHeight="1" spans="1:37">
      <c r="A42" s="51"/>
      <c r="B42" s="42" t="s">
        <v>23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>
        <f t="shared" ref="AA42:AG42" si="12">AA40-AA41</f>
        <v>0</v>
      </c>
      <c r="AB42" s="43">
        <f t="shared" si="12"/>
        <v>0</v>
      </c>
      <c r="AC42" s="43">
        <f t="shared" si="12"/>
        <v>0</v>
      </c>
      <c r="AD42" s="43">
        <f t="shared" si="12"/>
        <v>0</v>
      </c>
      <c r="AE42" s="43">
        <f t="shared" si="12"/>
        <v>0</v>
      </c>
      <c r="AF42" s="43">
        <f t="shared" si="12"/>
        <v>0</v>
      </c>
      <c r="AG42" s="43">
        <f t="shared" si="12"/>
        <v>0</v>
      </c>
      <c r="AH42" s="43">
        <f t="shared" si="1"/>
        <v>0</v>
      </c>
      <c r="AI42" s="31"/>
      <c r="AJ42" s="32"/>
    </row>
    <row r="43" s="1" customFormat="1" ht="20.1" customHeight="1" spans="1:37">
      <c r="A43" s="57"/>
      <c r="B43" s="44" t="s">
        <v>24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>
        <f t="shared" ref="AA43:AG43" si="13">AA40-AA36</f>
        <v>0</v>
      </c>
      <c r="AB43" s="45">
        <f t="shared" si="13"/>
        <v>0</v>
      </c>
      <c r="AC43" s="45">
        <f t="shared" si="13"/>
        <v>0</v>
      </c>
      <c r="AD43" s="45">
        <f t="shared" si="13"/>
        <v>0</v>
      </c>
      <c r="AE43" s="45">
        <f t="shared" si="13"/>
        <v>0</v>
      </c>
      <c r="AF43" s="45">
        <f t="shared" si="13"/>
        <v>0</v>
      </c>
      <c r="AG43" s="45">
        <f t="shared" si="13"/>
        <v>0</v>
      </c>
      <c r="AH43" s="45">
        <f t="shared" si="1"/>
        <v>0</v>
      </c>
      <c r="AI43" s="31"/>
      <c r="AJ43" s="32"/>
    </row>
    <row r="44" s="1" customFormat="1" ht="20.1" customHeight="1" spans="1:37">
      <c r="A44" s="51" t="s">
        <v>41</v>
      </c>
      <c r="B44" s="23" t="s">
        <v>20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0</v>
      </c>
      <c r="AH44" s="50">
        <f t="shared" si="1"/>
        <v>0</v>
      </c>
      <c r="AI44" s="31"/>
      <c r="AJ44" s="32"/>
    </row>
    <row r="45" s="1" customFormat="1" ht="20.1" customHeight="1" spans="1:37">
      <c r="A45" s="51"/>
      <c r="B45" s="67" t="s">
        <v>33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>
        <f t="shared" si="1"/>
        <v>0</v>
      </c>
      <c r="AI45" s="31"/>
      <c r="AJ45" s="32"/>
    </row>
    <row r="46" s="1" customFormat="1" ht="20.1" customHeight="1" spans="1:37">
      <c r="A46" s="51"/>
      <c r="B46" s="67" t="s">
        <v>34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>
        <f t="shared" si="1"/>
        <v>0</v>
      </c>
      <c r="AI46" s="31"/>
      <c r="AJ46" s="32"/>
    </row>
    <row r="47" s="1" customFormat="1" ht="20.1" customHeight="1" spans="1:37">
      <c r="A47" s="69"/>
      <c r="B47" s="27" t="s">
        <v>36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>
        <f t="shared" ref="AA47:AG47" si="14">SUM(AA45:AA46)</f>
        <v>0</v>
      </c>
      <c r="AB47" s="58">
        <f t="shared" si="14"/>
        <v>0</v>
      </c>
      <c r="AC47" s="58">
        <f t="shared" si="14"/>
        <v>0</v>
      </c>
      <c r="AD47" s="58">
        <f t="shared" si="14"/>
        <v>0</v>
      </c>
      <c r="AE47" s="58">
        <f t="shared" si="14"/>
        <v>0</v>
      </c>
      <c r="AF47" s="58">
        <f t="shared" si="14"/>
        <v>0</v>
      </c>
      <c r="AG47" s="58">
        <f t="shared" si="14"/>
        <v>0</v>
      </c>
      <c r="AH47" s="58">
        <f t="shared" si="1"/>
        <v>0</v>
      </c>
      <c r="AI47" s="31"/>
      <c r="AJ47" s="32"/>
    </row>
    <row r="48" s="1" customFormat="1" ht="20.1" customHeight="1" spans="1:37">
      <c r="A48" s="69"/>
      <c r="B48" s="60" t="s">
        <v>22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>
        <f t="shared" si="1"/>
        <v>0</v>
      </c>
      <c r="AI48" s="31"/>
      <c r="AJ48" s="32"/>
    </row>
    <row r="49" s="1" customFormat="1" ht="20.1" customHeight="1" spans="1:36">
      <c r="A49" s="69"/>
      <c r="B49" s="42" t="s">
        <v>23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>
        <f t="shared" ref="AA49:AG49" si="15">AA47-AA48</f>
        <v>0</v>
      </c>
      <c r="AB49" s="70">
        <f t="shared" si="15"/>
        <v>0</v>
      </c>
      <c r="AC49" s="70">
        <f t="shared" si="15"/>
        <v>0</v>
      </c>
      <c r="AD49" s="70">
        <f t="shared" si="15"/>
        <v>0</v>
      </c>
      <c r="AE49" s="70">
        <f t="shared" si="15"/>
        <v>0</v>
      </c>
      <c r="AF49" s="70">
        <f t="shared" si="15"/>
        <v>0</v>
      </c>
      <c r="AG49" s="70">
        <f t="shared" si="15"/>
        <v>0</v>
      </c>
      <c r="AH49" s="50">
        <f t="shared" si="1"/>
        <v>0</v>
      </c>
      <c r="AI49" s="31"/>
      <c r="AJ49" s="32"/>
    </row>
    <row r="50" s="1" customFormat="1" ht="20.1" customHeight="1" spans="1:36">
      <c r="A50" s="71"/>
      <c r="B50" s="44" t="s">
        <v>24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>
        <f t="shared" ref="AA50:AG50" si="16">AA47-AA44</f>
        <v>0</v>
      </c>
      <c r="AB50" s="45">
        <f t="shared" si="16"/>
        <v>0</v>
      </c>
      <c r="AC50" s="45">
        <f t="shared" si="16"/>
        <v>0</v>
      </c>
      <c r="AD50" s="45">
        <f t="shared" si="16"/>
        <v>0</v>
      </c>
      <c r="AE50" s="45">
        <f t="shared" si="16"/>
        <v>0</v>
      </c>
      <c r="AF50" s="45">
        <f t="shared" si="16"/>
        <v>0</v>
      </c>
      <c r="AG50" s="45">
        <f t="shared" si="16"/>
        <v>0</v>
      </c>
      <c r="AH50" s="45">
        <f t="shared" si="1"/>
        <v>0</v>
      </c>
      <c r="AI50" s="31"/>
      <c r="AJ50" s="32"/>
    </row>
    <row r="51" s="1" customFormat="1" ht="20.1" customHeight="1" spans="1:36">
      <c r="A51" s="51" t="s">
        <v>42</v>
      </c>
      <c r="B51" s="64" t="s">
        <v>20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>
        <f t="shared" si="1"/>
        <v>0</v>
      </c>
      <c r="AI51" s="31"/>
      <c r="AJ51" s="32"/>
    </row>
    <row r="52" s="1" customFormat="1" ht="20.1" customHeight="1" spans="1:36">
      <c r="A52" s="69"/>
      <c r="B52" s="72" t="s">
        <v>21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>
        <f t="shared" si="1"/>
        <v>0</v>
      </c>
      <c r="AI52" s="31"/>
      <c r="AJ52" s="32"/>
    </row>
    <row r="53" s="1" customFormat="1" ht="20.1" customHeight="1" spans="1:36">
      <c r="A53" s="69"/>
      <c r="B53" s="39" t="s">
        <v>22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>
        <f t="shared" si="1"/>
        <v>0</v>
      </c>
      <c r="AI53" s="31"/>
      <c r="AJ53" s="32"/>
    </row>
    <row r="54" s="1" customFormat="1" ht="20.1" customHeight="1" spans="1:36">
      <c r="A54" s="69"/>
      <c r="B54" s="42" t="s">
        <v>23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>
        <f t="shared" ref="AA54:AG54" si="17">AA52-AA53</f>
        <v>0</v>
      </c>
      <c r="AB54" s="45">
        <f t="shared" si="17"/>
        <v>0</v>
      </c>
      <c r="AC54" s="45">
        <f t="shared" si="17"/>
        <v>0</v>
      </c>
      <c r="AD54" s="45">
        <f t="shared" si="17"/>
        <v>0</v>
      </c>
      <c r="AE54" s="45">
        <f t="shared" si="17"/>
        <v>0</v>
      </c>
      <c r="AF54" s="45">
        <f t="shared" si="17"/>
        <v>0</v>
      </c>
      <c r="AG54" s="45">
        <f t="shared" si="17"/>
        <v>0</v>
      </c>
      <c r="AH54" s="46">
        <f t="shared" si="1"/>
        <v>0</v>
      </c>
      <c r="AI54" s="31"/>
      <c r="AJ54" s="32"/>
    </row>
    <row r="55" s="1" customFormat="1" ht="20.1" customHeight="1" spans="1:36">
      <c r="A55" s="71"/>
      <c r="B55" s="44" t="s">
        <v>24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>
        <f t="shared" ref="AA55:AG55" si="18">AA52-AA51</f>
        <v>0</v>
      </c>
      <c r="AB55" s="45">
        <f t="shared" si="18"/>
        <v>0</v>
      </c>
      <c r="AC55" s="45">
        <f t="shared" si="18"/>
        <v>0</v>
      </c>
      <c r="AD55" s="45">
        <f t="shared" si="18"/>
        <v>0</v>
      </c>
      <c r="AE55" s="45">
        <f t="shared" si="18"/>
        <v>0</v>
      </c>
      <c r="AF55" s="45">
        <f t="shared" si="18"/>
        <v>0</v>
      </c>
      <c r="AG55" s="45">
        <f t="shared" si="18"/>
        <v>0</v>
      </c>
      <c r="AH55" s="45">
        <f t="shared" si="1"/>
        <v>0</v>
      </c>
      <c r="AI55" s="31"/>
      <c r="AJ55" s="32"/>
    </row>
    <row r="56" s="1" customFormat="1" ht="20.1" customHeight="1" spans="1:36">
      <c r="A56" s="51" t="s">
        <v>43</v>
      </c>
      <c r="B56" s="64" t="s">
        <v>20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>
        <f t="shared" si="1"/>
        <v>0</v>
      </c>
      <c r="AI56" s="31"/>
      <c r="AJ56" s="32"/>
    </row>
    <row r="57" s="1" customFormat="1" ht="20.1" customHeight="1" spans="1:36">
      <c r="A57" s="69"/>
      <c r="B57" s="72" t="s">
        <v>21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>
        <f t="shared" si="1"/>
        <v>0</v>
      </c>
      <c r="AI57" s="73"/>
      <c r="AJ57" s="32"/>
    </row>
    <row r="58" s="1" customFormat="1" ht="20.1" customHeight="1" spans="1:36">
      <c r="A58" s="69"/>
      <c r="B58" s="39" t="s">
        <v>22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>
        <f t="shared" si="1"/>
        <v>0</v>
      </c>
      <c r="AI58" s="31"/>
      <c r="AJ58" s="32"/>
    </row>
    <row r="59" s="1" customFormat="1" ht="20.1" customHeight="1" spans="1:36">
      <c r="A59" s="69"/>
      <c r="B59" s="42" t="s">
        <v>23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>
        <f t="shared" ref="AA59:AG59" si="19">AA57-AA58</f>
        <v>0</v>
      </c>
      <c r="AB59" s="45">
        <f t="shared" si="19"/>
        <v>0</v>
      </c>
      <c r="AC59" s="45">
        <f t="shared" si="19"/>
        <v>0</v>
      </c>
      <c r="AD59" s="45">
        <f t="shared" si="19"/>
        <v>0</v>
      </c>
      <c r="AE59" s="45">
        <f t="shared" si="19"/>
        <v>0</v>
      </c>
      <c r="AF59" s="45">
        <f t="shared" si="19"/>
        <v>0</v>
      </c>
      <c r="AG59" s="45">
        <f t="shared" si="19"/>
        <v>0</v>
      </c>
      <c r="AH59" s="35">
        <f t="shared" si="1"/>
        <v>0</v>
      </c>
      <c r="AI59" s="31"/>
      <c r="AJ59" s="32"/>
    </row>
    <row r="60" s="1" customFormat="1" ht="20.1" customHeight="1" spans="1:36">
      <c r="A60" s="71"/>
      <c r="B60" s="44" t="s">
        <v>24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>
        <f t="shared" ref="AA60:AG60" si="20">AA57-AA56</f>
        <v>0</v>
      </c>
      <c r="AB60" s="45">
        <f t="shared" si="20"/>
        <v>0</v>
      </c>
      <c r="AC60" s="45">
        <f t="shared" si="20"/>
        <v>0</v>
      </c>
      <c r="AD60" s="45">
        <f t="shared" si="20"/>
        <v>0</v>
      </c>
      <c r="AE60" s="45">
        <f t="shared" si="20"/>
        <v>0</v>
      </c>
      <c r="AF60" s="45">
        <f t="shared" si="20"/>
        <v>0</v>
      </c>
      <c r="AG60" s="45">
        <f t="shared" si="20"/>
        <v>0</v>
      </c>
      <c r="AH60" s="74">
        <f t="shared" si="1"/>
        <v>0</v>
      </c>
      <c r="AI60" s="31"/>
      <c r="AJ60" s="32"/>
    </row>
    <row r="61" s="1" customFormat="1" ht="20.1" customHeight="1" spans="1:36">
      <c r="A61" s="51" t="s">
        <v>44</v>
      </c>
      <c r="B61" s="64" t="s">
        <v>20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>
        <f t="shared" si="1"/>
        <v>0</v>
      </c>
      <c r="AI61" s="31"/>
      <c r="AJ61" s="32"/>
    </row>
    <row r="62" s="1" customFormat="1" ht="20.1" customHeight="1" spans="1:36">
      <c r="A62" s="69"/>
      <c r="B62" s="72" t="s">
        <v>21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>
        <f t="shared" si="1"/>
        <v>0</v>
      </c>
      <c r="AI62" s="31"/>
      <c r="AJ62" s="32"/>
    </row>
    <row r="63" s="1" customFormat="1" ht="20.1" customHeight="1" spans="1:36">
      <c r="A63" s="69"/>
      <c r="B63" s="39" t="s">
        <v>22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>
        <f t="shared" si="1"/>
        <v>0</v>
      </c>
      <c r="AI63" s="31"/>
      <c r="AJ63" s="32"/>
    </row>
    <row r="64" s="1" customFormat="1" ht="20.1" customHeight="1" spans="1:36">
      <c r="A64" s="69"/>
      <c r="B64" s="42" t="s">
        <v>23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>
        <f t="shared" ref="AA64:AE64" si="21">AA62-AA63</f>
        <v>0</v>
      </c>
      <c r="AB64" s="45">
        <f t="shared" si="21"/>
        <v>0</v>
      </c>
      <c r="AC64" s="45">
        <f t="shared" si="21"/>
        <v>0</v>
      </c>
      <c r="AD64" s="45">
        <f t="shared" si="21"/>
        <v>0</v>
      </c>
      <c r="AE64" s="45">
        <f t="shared" si="21"/>
        <v>0</v>
      </c>
      <c r="AF64" s="45">
        <v>0</v>
      </c>
      <c r="AG64" s="45">
        <v>0</v>
      </c>
      <c r="AH64" s="35">
        <f t="shared" si="1"/>
        <v>0</v>
      </c>
      <c r="AI64" s="31"/>
      <c r="AJ64" s="32"/>
    </row>
    <row r="65" s="1" customFormat="1" ht="20.1" customHeight="1" spans="1:36">
      <c r="A65" s="71"/>
      <c r="B65" s="44" t="s">
        <v>24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>
        <f t="shared" ref="AA65:AE65" si="22">AA62-AA61</f>
        <v>0</v>
      </c>
      <c r="AB65" s="45">
        <f t="shared" si="22"/>
        <v>0</v>
      </c>
      <c r="AC65" s="45">
        <f t="shared" si="22"/>
        <v>0</v>
      </c>
      <c r="AD65" s="45">
        <f t="shared" si="22"/>
        <v>0</v>
      </c>
      <c r="AE65" s="45">
        <f t="shared" si="22"/>
        <v>0</v>
      </c>
      <c r="AF65" s="45">
        <v>0</v>
      </c>
      <c r="AG65" s="45">
        <v>0</v>
      </c>
      <c r="AH65" s="35">
        <f t="shared" si="1"/>
        <v>0</v>
      </c>
      <c r="AI65" s="31"/>
      <c r="AJ65" s="32"/>
    </row>
    <row r="66" s="1" customFormat="1" ht="20.1" customHeight="1" spans="1:36">
      <c r="A66" s="33" t="s">
        <v>45</v>
      </c>
      <c r="B66" s="23" t="s">
        <v>20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>
        <v>2.48549002</v>
      </c>
      <c r="AB66" s="75">
        <v>15.1330812</v>
      </c>
      <c r="AC66" s="75">
        <v>42.29371952</v>
      </c>
      <c r="AD66" s="75">
        <v>42.9730545568801</v>
      </c>
      <c r="AE66" s="75">
        <v>41.2079216643601</v>
      </c>
      <c r="AF66" s="75">
        <v>42.5126760493598</v>
      </c>
      <c r="AG66" s="75">
        <v>41.59984706752</v>
      </c>
      <c r="AH66" s="76">
        <f t="shared" si="1"/>
        <v>228.20579007812</v>
      </c>
      <c r="AI66" s="31"/>
      <c r="AJ66" s="32"/>
    </row>
    <row r="67" s="1" customFormat="1" ht="20.1" customHeight="1" spans="1:36">
      <c r="A67" s="16"/>
      <c r="B67" s="27" t="s">
        <v>21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>
        <f t="shared" ref="AA67:AG67" si="23">(AA10*50+AA22*(3.11+1.4)+AA23*(3.11+0.4)+AA29*0.6262/1.13)/10000</f>
        <v>14.5895162286183</v>
      </c>
      <c r="AB67" s="77">
        <f t="shared" si="23"/>
        <v>36.8104452917387</v>
      </c>
      <c r="AC67" s="77">
        <f t="shared" si="23"/>
        <v>38.5532428437269</v>
      </c>
      <c r="AD67" s="77">
        <f t="shared" si="23"/>
        <v>0</v>
      </c>
      <c r="AE67" s="77">
        <f t="shared" si="23"/>
        <v>0</v>
      </c>
      <c r="AF67" s="77">
        <f t="shared" si="23"/>
        <v>0</v>
      </c>
      <c r="AG67" s="77">
        <f t="shared" si="23"/>
        <v>0</v>
      </c>
      <c r="AH67" s="78">
        <f t="shared" si="1"/>
        <v>89.953204364084</v>
      </c>
      <c r="AI67" s="31"/>
      <c r="AJ67" s="32"/>
    </row>
    <row r="68" s="1" customFormat="1" ht="20.1" customHeight="1" spans="1:36">
      <c r="A68" s="16"/>
      <c r="B68" s="60" t="s">
        <v>22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>
        <f t="shared" ref="AA68:AG68" si="24">(AA11*50+AA25*(3.11+0.9)+AA30*0.746)/10000</f>
        <v>13.2965</v>
      </c>
      <c r="AB68" s="79">
        <f t="shared" si="24"/>
        <v>34.4155</v>
      </c>
      <c r="AC68" s="79">
        <f t="shared" si="24"/>
        <v>36.9155</v>
      </c>
      <c r="AD68" s="79">
        <f t="shared" si="24"/>
        <v>38.0345</v>
      </c>
      <c r="AE68" s="79">
        <f t="shared" si="24"/>
        <v>38.981</v>
      </c>
      <c r="AF68" s="79">
        <f t="shared" si="24"/>
        <v>38.981</v>
      </c>
      <c r="AG68" s="79">
        <f t="shared" si="24"/>
        <v>43.374</v>
      </c>
      <c r="AH68" s="80">
        <f t="shared" si="1"/>
        <v>243.998</v>
      </c>
      <c r="AI68" s="31"/>
      <c r="AJ68" s="32"/>
    </row>
    <row r="69" s="1" customFormat="1" ht="20.1" customHeight="1" spans="1:36">
      <c r="A69" s="16"/>
      <c r="B69" s="42" t="s">
        <v>23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>
        <f t="shared" ref="AA69:AG69" si="25">AA67-AA68</f>
        <v>1.2930162286183</v>
      </c>
      <c r="AB69" s="81">
        <f t="shared" si="25"/>
        <v>2.39494529173874</v>
      </c>
      <c r="AC69" s="81">
        <f t="shared" si="25"/>
        <v>1.63774284372692</v>
      </c>
      <c r="AD69" s="81">
        <f t="shared" si="25"/>
        <v>-38.0345</v>
      </c>
      <c r="AE69" s="81">
        <f t="shared" si="25"/>
        <v>-38.981</v>
      </c>
      <c r="AF69" s="81">
        <f t="shared" si="25"/>
        <v>-38.981</v>
      </c>
      <c r="AG69" s="81">
        <f t="shared" si="25"/>
        <v>-43.374</v>
      </c>
      <c r="AH69" s="81">
        <f t="shared" si="1"/>
        <v>-154.044795635916</v>
      </c>
      <c r="AI69" s="31"/>
      <c r="AJ69" s="32"/>
    </row>
    <row r="70" s="1" customFormat="1" ht="20.1" customHeight="1" spans="1:36">
      <c r="A70" s="16"/>
      <c r="B70" s="44" t="s">
        <v>24</v>
      </c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>
        <f t="shared" ref="AA70:AG70" si="26">AA67-AA66</f>
        <v>12.1040262086183</v>
      </c>
      <c r="AB70" s="82">
        <f t="shared" si="26"/>
        <v>21.6773640917387</v>
      </c>
      <c r="AC70" s="82">
        <f t="shared" si="26"/>
        <v>-3.74047667627308</v>
      </c>
      <c r="AD70" s="82">
        <f t="shared" si="26"/>
        <v>-42.9730545568801</v>
      </c>
      <c r="AE70" s="82">
        <f t="shared" si="26"/>
        <v>-41.2079216643601</v>
      </c>
      <c r="AF70" s="82">
        <f t="shared" si="26"/>
        <v>-42.5126760493598</v>
      </c>
      <c r="AG70" s="82">
        <f t="shared" si="26"/>
        <v>-41.59984706752</v>
      </c>
      <c r="AH70" s="82">
        <f t="shared" si="1"/>
        <v>-138.252585714036</v>
      </c>
      <c r="AI70" s="31"/>
      <c r="AJ70" s="32"/>
    </row>
    <row r="71" s="1" customFormat="1" ht="20.1" customHeight="1" spans="1:36">
      <c r="A71" s="33" t="s">
        <v>46</v>
      </c>
      <c r="B71" s="23" t="s">
        <v>20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6">
        <v>0</v>
      </c>
      <c r="AH71" s="76">
        <f t="shared" si="1"/>
        <v>0</v>
      </c>
      <c r="AI71" s="31"/>
      <c r="AJ71" s="32"/>
    </row>
    <row r="72" s="1" customFormat="1" ht="20.1" customHeight="1" spans="1:36">
      <c r="A72" s="16"/>
      <c r="B72" s="27" t="s">
        <v>21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>
        <v>0</v>
      </c>
      <c r="AB72" s="78">
        <v>0</v>
      </c>
      <c r="AC72" s="78">
        <v>0</v>
      </c>
      <c r="AD72" s="78">
        <v>0</v>
      </c>
      <c r="AE72" s="78">
        <v>0</v>
      </c>
      <c r="AF72" s="78">
        <v>0</v>
      </c>
      <c r="AG72" s="78">
        <v>0</v>
      </c>
      <c r="AH72" s="78">
        <f t="shared" si="1"/>
        <v>0</v>
      </c>
      <c r="AI72" s="31"/>
      <c r="AJ72" s="32"/>
    </row>
    <row r="73" s="4" customFormat="1" ht="20.1" customHeight="1" spans="1:36">
      <c r="A73" s="16"/>
      <c r="B73" s="60" t="s">
        <v>22</v>
      </c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3">
        <v>0</v>
      </c>
      <c r="AG73" s="83">
        <v>0</v>
      </c>
      <c r="AH73" s="83">
        <f t="shared" ref="AH73:AH95" si="27">SUM(C73:AG73)</f>
        <v>0</v>
      </c>
      <c r="AI73" s="84"/>
      <c r="AJ73" s="85"/>
    </row>
    <row r="74" s="1" customFormat="1" ht="20.1" customHeight="1" spans="1:36">
      <c r="A74" s="16"/>
      <c r="B74" s="42" t="s">
        <v>23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>
        <v>0</v>
      </c>
      <c r="AB74" s="81">
        <v>0</v>
      </c>
      <c r="AC74" s="81">
        <v>0</v>
      </c>
      <c r="AD74" s="81">
        <v>0</v>
      </c>
      <c r="AE74" s="81">
        <v>0</v>
      </c>
      <c r="AF74" s="81">
        <v>0</v>
      </c>
      <c r="AG74" s="81">
        <v>0</v>
      </c>
      <c r="AH74" s="81">
        <f t="shared" si="27"/>
        <v>0</v>
      </c>
      <c r="AI74" s="31"/>
      <c r="AJ74" s="32"/>
    </row>
    <row r="75" s="1" customFormat="1" ht="20.1" customHeight="1" spans="1:36">
      <c r="A75" s="16"/>
      <c r="B75" s="86" t="s">
        <v>24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>
        <v>0</v>
      </c>
      <c r="AB75" s="82">
        <v>0</v>
      </c>
      <c r="AC75" s="82">
        <v>0</v>
      </c>
      <c r="AD75" s="82">
        <v>0</v>
      </c>
      <c r="AE75" s="82">
        <v>0</v>
      </c>
      <c r="AF75" s="82">
        <v>0</v>
      </c>
      <c r="AG75" s="82">
        <v>0</v>
      </c>
      <c r="AH75" s="82">
        <f t="shared" si="27"/>
        <v>0</v>
      </c>
      <c r="AI75" s="31"/>
      <c r="AJ75" s="32"/>
    </row>
    <row r="76" s="1" customFormat="1" ht="20.1" customHeight="1" spans="1:36">
      <c r="A76" s="33" t="s">
        <v>47</v>
      </c>
      <c r="B76" s="23" t="s">
        <v>20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>
        <f t="shared" ref="AA76:AG76" si="28">(AA33*353.211+AA34*293.578+AA35*169.725)/10000</f>
        <v>0</v>
      </c>
      <c r="AB76" s="87">
        <f t="shared" si="28"/>
        <v>0</v>
      </c>
      <c r="AC76" s="87">
        <f t="shared" si="28"/>
        <v>0</v>
      </c>
      <c r="AD76" s="87">
        <f t="shared" si="28"/>
        <v>0</v>
      </c>
      <c r="AE76" s="87">
        <f t="shared" si="28"/>
        <v>0</v>
      </c>
      <c r="AF76" s="87">
        <f t="shared" si="28"/>
        <v>0</v>
      </c>
      <c r="AG76" s="87">
        <f t="shared" si="28"/>
        <v>0</v>
      </c>
      <c r="AH76" s="76">
        <f t="shared" si="27"/>
        <v>0</v>
      </c>
      <c r="AI76" s="31"/>
      <c r="AJ76" s="32"/>
    </row>
    <row r="77" s="1" customFormat="1" ht="20.1" customHeight="1" spans="1:36">
      <c r="A77" s="16"/>
      <c r="B77" s="27" t="s">
        <v>21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>
        <f t="shared" ref="AA77:AG77" si="29">(AA37*353.211+AA38*293.578+AA39*169.725)/10000</f>
        <v>0</v>
      </c>
      <c r="AB77" s="78">
        <f t="shared" si="29"/>
        <v>0</v>
      </c>
      <c r="AC77" s="78">
        <f t="shared" si="29"/>
        <v>0</v>
      </c>
      <c r="AD77" s="78">
        <f t="shared" si="29"/>
        <v>0</v>
      </c>
      <c r="AE77" s="78">
        <f t="shared" si="29"/>
        <v>0</v>
      </c>
      <c r="AF77" s="78">
        <f t="shared" si="29"/>
        <v>0</v>
      </c>
      <c r="AG77" s="78">
        <f t="shared" si="29"/>
        <v>0</v>
      </c>
      <c r="AH77" s="78">
        <f t="shared" si="27"/>
        <v>0</v>
      </c>
      <c r="AI77" s="31"/>
      <c r="AJ77" s="32"/>
    </row>
    <row r="78" s="1" customFormat="1" ht="20.1" customHeight="1" spans="1:36">
      <c r="A78" s="16"/>
      <c r="B78" s="60" t="s">
        <v>22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>
        <f t="shared" ref="AA78:AG78" si="30">AA41*301/10000</f>
        <v>0</v>
      </c>
      <c r="AB78" s="80">
        <f t="shared" si="30"/>
        <v>0</v>
      </c>
      <c r="AC78" s="80">
        <f t="shared" si="30"/>
        <v>0</v>
      </c>
      <c r="AD78" s="80">
        <f t="shared" si="30"/>
        <v>0</v>
      </c>
      <c r="AE78" s="80">
        <f t="shared" si="30"/>
        <v>0</v>
      </c>
      <c r="AF78" s="80">
        <f t="shared" si="30"/>
        <v>0</v>
      </c>
      <c r="AG78" s="80">
        <f t="shared" si="30"/>
        <v>0</v>
      </c>
      <c r="AH78" s="80">
        <f t="shared" si="27"/>
        <v>0</v>
      </c>
      <c r="AI78" s="31"/>
      <c r="AJ78" s="32"/>
    </row>
    <row r="79" s="1" customFormat="1" ht="20.1" customHeight="1" spans="1:36">
      <c r="A79" s="16"/>
      <c r="B79" s="42" t="s">
        <v>23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>
        <f t="shared" ref="AA79:AG79" si="31">AA77-AA78</f>
        <v>0</v>
      </c>
      <c r="AB79" s="81">
        <f t="shared" si="31"/>
        <v>0</v>
      </c>
      <c r="AC79" s="81">
        <f t="shared" si="31"/>
        <v>0</v>
      </c>
      <c r="AD79" s="81">
        <f t="shared" si="31"/>
        <v>0</v>
      </c>
      <c r="AE79" s="81">
        <f t="shared" si="31"/>
        <v>0</v>
      </c>
      <c r="AF79" s="81">
        <f t="shared" si="31"/>
        <v>0</v>
      </c>
      <c r="AG79" s="81">
        <f t="shared" si="31"/>
        <v>0</v>
      </c>
      <c r="AH79" s="81">
        <f t="shared" si="27"/>
        <v>0</v>
      </c>
      <c r="AI79" s="31"/>
      <c r="AJ79" s="32"/>
    </row>
    <row r="80" s="1" customFormat="1" ht="20.1" customHeight="1" spans="1:36">
      <c r="A80" s="16"/>
      <c r="B80" s="86" t="s">
        <v>24</v>
      </c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>
        <f t="shared" ref="AA80:AG80" si="32">AA77-AA76</f>
        <v>0</v>
      </c>
      <c r="AB80" s="82">
        <f t="shared" si="32"/>
        <v>0</v>
      </c>
      <c r="AC80" s="82">
        <f t="shared" si="32"/>
        <v>0</v>
      </c>
      <c r="AD80" s="82">
        <f t="shared" si="32"/>
        <v>0</v>
      </c>
      <c r="AE80" s="82">
        <f t="shared" si="32"/>
        <v>0</v>
      </c>
      <c r="AF80" s="82">
        <f t="shared" si="32"/>
        <v>0</v>
      </c>
      <c r="AG80" s="82">
        <f t="shared" si="32"/>
        <v>0</v>
      </c>
      <c r="AH80" s="82">
        <f t="shared" si="27"/>
        <v>0</v>
      </c>
      <c r="AI80" s="31"/>
      <c r="AJ80" s="32"/>
    </row>
    <row r="81" s="1" customFormat="1" ht="20.1" customHeight="1" spans="1:36">
      <c r="A81" s="33" t="s">
        <v>48</v>
      </c>
      <c r="B81" s="23" t="s">
        <v>20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6">
        <v>0</v>
      </c>
      <c r="AH81" s="76">
        <f t="shared" si="27"/>
        <v>0</v>
      </c>
      <c r="AI81" s="31"/>
      <c r="AJ81" s="32"/>
    </row>
    <row r="82" s="1" customFormat="1" ht="20.1" customHeight="1" spans="1:36">
      <c r="A82" s="16"/>
      <c r="B82" s="27" t="s">
        <v>21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>
        <f t="shared" ref="AA82:AG82" si="33">(AA45*88.073+AA46*69.725)/10000</f>
        <v>0</v>
      </c>
      <c r="AB82" s="78">
        <f t="shared" si="33"/>
        <v>0</v>
      </c>
      <c r="AC82" s="78">
        <f t="shared" si="33"/>
        <v>0</v>
      </c>
      <c r="AD82" s="78">
        <f t="shared" si="33"/>
        <v>0</v>
      </c>
      <c r="AE82" s="78">
        <f t="shared" si="33"/>
        <v>0</v>
      </c>
      <c r="AF82" s="78">
        <f t="shared" si="33"/>
        <v>0</v>
      </c>
      <c r="AG82" s="78">
        <f t="shared" si="33"/>
        <v>0</v>
      </c>
      <c r="AH82" s="78">
        <f t="shared" si="27"/>
        <v>0</v>
      </c>
      <c r="AI82" s="31"/>
      <c r="AJ82" s="32"/>
    </row>
    <row r="83" s="1" customFormat="1" ht="20.1" customHeight="1" spans="1:36">
      <c r="A83" s="16"/>
      <c r="B83" s="60" t="s">
        <v>22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>
        <f t="shared" ref="AA83:AG83" si="34">AA48*85/10000</f>
        <v>0</v>
      </c>
      <c r="AB83" s="80">
        <f t="shared" si="34"/>
        <v>0</v>
      </c>
      <c r="AC83" s="80">
        <f t="shared" si="34"/>
        <v>0</v>
      </c>
      <c r="AD83" s="80">
        <f t="shared" si="34"/>
        <v>0</v>
      </c>
      <c r="AE83" s="80">
        <f t="shared" si="34"/>
        <v>0</v>
      </c>
      <c r="AF83" s="80">
        <f t="shared" si="34"/>
        <v>0</v>
      </c>
      <c r="AG83" s="80">
        <f t="shared" si="34"/>
        <v>0</v>
      </c>
      <c r="AH83" s="80">
        <f t="shared" si="27"/>
        <v>0</v>
      </c>
      <c r="AI83" s="31"/>
      <c r="AJ83" s="32"/>
    </row>
    <row r="84" s="1" customFormat="1" ht="20.1" customHeight="1" spans="1:36">
      <c r="A84" s="16"/>
      <c r="B84" s="42" t="s">
        <v>23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>
        <f t="shared" ref="AA84:AG84" si="35">AA82-AA83</f>
        <v>0</v>
      </c>
      <c r="AB84" s="81">
        <f t="shared" si="35"/>
        <v>0</v>
      </c>
      <c r="AC84" s="81">
        <f t="shared" si="35"/>
        <v>0</v>
      </c>
      <c r="AD84" s="81">
        <f t="shared" si="35"/>
        <v>0</v>
      </c>
      <c r="AE84" s="81">
        <f t="shared" si="35"/>
        <v>0</v>
      </c>
      <c r="AF84" s="81">
        <f t="shared" si="35"/>
        <v>0</v>
      </c>
      <c r="AG84" s="81">
        <f t="shared" si="35"/>
        <v>0</v>
      </c>
      <c r="AH84" s="81">
        <f t="shared" si="27"/>
        <v>0</v>
      </c>
      <c r="AI84" s="31"/>
      <c r="AJ84" s="32"/>
    </row>
    <row r="85" s="1" customFormat="1" ht="20.1" customHeight="1" spans="1:36">
      <c r="A85" s="16"/>
      <c r="B85" s="86" t="s">
        <v>24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>
        <f t="shared" ref="AA85:AG85" si="36">AA82-AA81</f>
        <v>0</v>
      </c>
      <c r="AB85" s="82">
        <f t="shared" si="36"/>
        <v>0</v>
      </c>
      <c r="AC85" s="82">
        <f t="shared" si="36"/>
        <v>0</v>
      </c>
      <c r="AD85" s="82">
        <f t="shared" si="36"/>
        <v>0</v>
      </c>
      <c r="AE85" s="82">
        <f t="shared" si="36"/>
        <v>0</v>
      </c>
      <c r="AF85" s="82">
        <f t="shared" si="36"/>
        <v>0</v>
      </c>
      <c r="AG85" s="82">
        <f t="shared" si="36"/>
        <v>0</v>
      </c>
      <c r="AH85" s="82">
        <f t="shared" si="27"/>
        <v>0</v>
      </c>
      <c r="AI85" s="31"/>
      <c r="AJ85" s="32"/>
    </row>
    <row r="86" s="1" customFormat="1" ht="20.1" customHeight="1" spans="1:36">
      <c r="A86" s="33" t="s">
        <v>49</v>
      </c>
      <c r="B86" s="23" t="s">
        <v>20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6"/>
      <c r="X86" s="76"/>
      <c r="Y86" s="76"/>
      <c r="Z86" s="76"/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6">
        <v>0</v>
      </c>
      <c r="AH86" s="76">
        <f t="shared" si="27"/>
        <v>0</v>
      </c>
      <c r="AI86" s="31"/>
      <c r="AJ86" s="32"/>
    </row>
    <row r="87" s="1" customFormat="1" ht="20.1" customHeight="1" spans="1:36">
      <c r="A87" s="16"/>
      <c r="B87" s="27" t="s">
        <v>21</v>
      </c>
      <c r="C87" s="77"/>
      <c r="D87" s="77"/>
      <c r="E87" s="77"/>
      <c r="F87" s="77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>
        <f t="shared" ref="AA87:AG87" si="37">AA72+AA77+AA82</f>
        <v>0</v>
      </c>
      <c r="AB87" s="78">
        <f t="shared" si="37"/>
        <v>0</v>
      </c>
      <c r="AC87" s="78">
        <f t="shared" si="37"/>
        <v>0</v>
      </c>
      <c r="AD87" s="78">
        <f t="shared" si="37"/>
        <v>0</v>
      </c>
      <c r="AE87" s="78">
        <f t="shared" si="37"/>
        <v>0</v>
      </c>
      <c r="AF87" s="78">
        <f t="shared" si="37"/>
        <v>0</v>
      </c>
      <c r="AG87" s="78">
        <f t="shared" si="37"/>
        <v>0</v>
      </c>
      <c r="AH87" s="78">
        <f t="shared" si="27"/>
        <v>0</v>
      </c>
      <c r="AI87" s="31"/>
      <c r="AJ87" s="32"/>
    </row>
    <row r="88" s="1" customFormat="1" ht="20.1" customHeight="1" spans="1:36">
      <c r="A88" s="16"/>
      <c r="B88" s="60" t="s">
        <v>22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f t="shared" ref="AA88:AG88" si="38">AA73+AA78+AA83</f>
        <v>0</v>
      </c>
      <c r="AB88" s="80">
        <f t="shared" si="38"/>
        <v>0</v>
      </c>
      <c r="AC88" s="80">
        <f t="shared" si="38"/>
        <v>0</v>
      </c>
      <c r="AD88" s="80">
        <f t="shared" si="38"/>
        <v>0</v>
      </c>
      <c r="AE88" s="80">
        <f t="shared" si="38"/>
        <v>0</v>
      </c>
      <c r="AF88" s="80">
        <f t="shared" si="38"/>
        <v>0</v>
      </c>
      <c r="AG88" s="80">
        <f t="shared" si="38"/>
        <v>0</v>
      </c>
      <c r="AH88" s="80">
        <f t="shared" si="27"/>
        <v>0</v>
      </c>
      <c r="AI88" s="31"/>
      <c r="AJ88" s="32"/>
    </row>
    <row r="89" s="1" customFormat="1" ht="20.1" customHeight="1" spans="1:36">
      <c r="A89" s="16"/>
      <c r="B89" s="42" t="s">
        <v>23</v>
      </c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>
        <f t="shared" ref="AA89:AG89" si="39">AA87-AA88</f>
        <v>0</v>
      </c>
      <c r="AB89" s="81">
        <f t="shared" si="39"/>
        <v>0</v>
      </c>
      <c r="AC89" s="81">
        <f t="shared" si="39"/>
        <v>0</v>
      </c>
      <c r="AD89" s="81">
        <f t="shared" si="39"/>
        <v>0</v>
      </c>
      <c r="AE89" s="81">
        <f t="shared" si="39"/>
        <v>0</v>
      </c>
      <c r="AF89" s="81">
        <f t="shared" si="39"/>
        <v>0</v>
      </c>
      <c r="AG89" s="81">
        <f t="shared" si="39"/>
        <v>0</v>
      </c>
      <c r="AH89" s="81">
        <f t="shared" si="27"/>
        <v>0</v>
      </c>
      <c r="AI89" s="31"/>
      <c r="AJ89" s="32"/>
    </row>
    <row r="90" s="1" customFormat="1" ht="20.1" customHeight="1" spans="1:36">
      <c r="A90" s="16"/>
      <c r="B90" s="86" t="s">
        <v>24</v>
      </c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>
        <f t="shared" ref="AA90:AG90" si="40">AA87-AA86</f>
        <v>0</v>
      </c>
      <c r="AB90" s="82">
        <f t="shared" si="40"/>
        <v>0</v>
      </c>
      <c r="AC90" s="82">
        <f t="shared" si="40"/>
        <v>0</v>
      </c>
      <c r="AD90" s="82">
        <f t="shared" si="40"/>
        <v>0</v>
      </c>
      <c r="AE90" s="82">
        <f t="shared" si="40"/>
        <v>0</v>
      </c>
      <c r="AF90" s="82">
        <f t="shared" si="40"/>
        <v>0</v>
      </c>
      <c r="AG90" s="82">
        <f t="shared" si="40"/>
        <v>0</v>
      </c>
      <c r="AH90" s="82">
        <f t="shared" si="27"/>
        <v>0</v>
      </c>
      <c r="AI90" s="31"/>
      <c r="AJ90" s="32"/>
    </row>
    <row r="91" s="1" customFormat="1" ht="20.1" customHeight="1" spans="1:36">
      <c r="A91" s="33" t="s">
        <v>50</v>
      </c>
      <c r="B91" s="23" t="s">
        <v>20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76">
        <v>0</v>
      </c>
      <c r="AH91" s="76">
        <f t="shared" si="27"/>
        <v>0</v>
      </c>
      <c r="AI91" s="31"/>
      <c r="AJ91" s="32"/>
    </row>
    <row r="92" s="1" customFormat="1" ht="20.1" customHeight="1" spans="1:36">
      <c r="A92" s="16"/>
      <c r="B92" s="27" t="s">
        <v>21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>
        <f t="shared" ref="AA92:AG92" si="41">AA87-AA67</f>
        <v>-14.5895162286183</v>
      </c>
      <c r="AB92" s="77">
        <f t="shared" si="41"/>
        <v>-36.8104452917387</v>
      </c>
      <c r="AC92" s="77">
        <f t="shared" si="41"/>
        <v>-38.5532428437269</v>
      </c>
      <c r="AD92" s="77">
        <f t="shared" si="41"/>
        <v>0</v>
      </c>
      <c r="AE92" s="77">
        <f t="shared" si="41"/>
        <v>0</v>
      </c>
      <c r="AF92" s="77">
        <f t="shared" si="41"/>
        <v>0</v>
      </c>
      <c r="AG92" s="77">
        <f t="shared" si="41"/>
        <v>0</v>
      </c>
      <c r="AH92" s="78">
        <f t="shared" si="27"/>
        <v>-89.953204364084</v>
      </c>
      <c r="AI92" s="31"/>
      <c r="AJ92" s="32"/>
    </row>
    <row r="93" s="1" customFormat="1" ht="20.1" customHeight="1" spans="1:36">
      <c r="A93" s="16"/>
      <c r="B93" s="60" t="s">
        <v>22</v>
      </c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>
        <f t="shared" ref="AA93:AG93" si="42">AA88-AA68</f>
        <v>-13.2965</v>
      </c>
      <c r="AB93" s="80">
        <f t="shared" si="42"/>
        <v>-34.4155</v>
      </c>
      <c r="AC93" s="80">
        <f t="shared" si="42"/>
        <v>-36.9155</v>
      </c>
      <c r="AD93" s="80">
        <f t="shared" si="42"/>
        <v>-38.0345</v>
      </c>
      <c r="AE93" s="80">
        <f t="shared" si="42"/>
        <v>-38.981</v>
      </c>
      <c r="AF93" s="80">
        <f t="shared" si="42"/>
        <v>-38.981</v>
      </c>
      <c r="AG93" s="80">
        <f t="shared" si="42"/>
        <v>-43.374</v>
      </c>
      <c r="AH93" s="80">
        <f t="shared" si="27"/>
        <v>-243.998</v>
      </c>
      <c r="AI93" s="31"/>
      <c r="AJ93" s="32"/>
    </row>
    <row r="94" s="1" customFormat="1" ht="20.1" customHeight="1" spans="1:36">
      <c r="A94" s="16"/>
      <c r="B94" s="42" t="s">
        <v>23</v>
      </c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>
        <f t="shared" ref="AA94:AG94" si="43">AA92-AA93</f>
        <v>-1.2930162286183</v>
      </c>
      <c r="AB94" s="81">
        <f t="shared" si="43"/>
        <v>-2.39494529173874</v>
      </c>
      <c r="AC94" s="81">
        <f t="shared" si="43"/>
        <v>-1.63774284372692</v>
      </c>
      <c r="AD94" s="81">
        <f t="shared" si="43"/>
        <v>38.0345</v>
      </c>
      <c r="AE94" s="81">
        <f t="shared" si="43"/>
        <v>38.981</v>
      </c>
      <c r="AF94" s="81">
        <f t="shared" si="43"/>
        <v>38.981</v>
      </c>
      <c r="AG94" s="81">
        <f t="shared" si="43"/>
        <v>43.374</v>
      </c>
      <c r="AH94" s="81">
        <f t="shared" si="27"/>
        <v>154.044795635916</v>
      </c>
      <c r="AI94" s="31"/>
      <c r="AJ94" s="32"/>
    </row>
    <row r="95" s="1" customFormat="1" ht="20.1" customHeight="1" spans="1:36">
      <c r="A95" s="16"/>
      <c r="B95" s="86" t="s">
        <v>24</v>
      </c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>
        <f t="shared" ref="AA95:AG95" si="44">AA92-AA91</f>
        <v>-14.5895162286183</v>
      </c>
      <c r="AB95" s="82">
        <f t="shared" si="44"/>
        <v>-36.8104452917387</v>
      </c>
      <c r="AC95" s="82">
        <f t="shared" si="44"/>
        <v>-38.5532428437269</v>
      </c>
      <c r="AD95" s="82">
        <f t="shared" si="44"/>
        <v>0</v>
      </c>
      <c r="AE95" s="82">
        <f t="shared" si="44"/>
        <v>0</v>
      </c>
      <c r="AF95" s="82">
        <f t="shared" si="44"/>
        <v>0</v>
      </c>
      <c r="AG95" s="82">
        <f t="shared" si="44"/>
        <v>0</v>
      </c>
      <c r="AH95" s="82">
        <f t="shared" si="27"/>
        <v>-89.953204364084</v>
      </c>
      <c r="AI95" s="31"/>
      <c r="AJ95" s="32"/>
    </row>
    <row r="96" s="1" customFormat="1" ht="20.1" customHeight="1" spans="1:36">
      <c r="A96" s="88" t="s">
        <v>51</v>
      </c>
      <c r="B96" s="23" t="s">
        <v>20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>
        <v>22048054.53</v>
      </c>
      <c r="AB96" s="52">
        <v>22907592</v>
      </c>
      <c r="AC96" s="52">
        <v>22907592</v>
      </c>
      <c r="AD96" s="52">
        <v>22907592</v>
      </c>
      <c r="AE96" s="52">
        <v>22907592</v>
      </c>
      <c r="AF96" s="52">
        <v>22907592</v>
      </c>
      <c r="AG96" s="52">
        <v>22907592</v>
      </c>
      <c r="AH96" s="52">
        <v>22048054.53</v>
      </c>
      <c r="AI96" s="31"/>
      <c r="AJ96" s="32"/>
    </row>
    <row r="97" s="1" customFormat="1" ht="20.1" customHeight="1" spans="1:38">
      <c r="A97" s="88"/>
      <c r="B97" s="27" t="s">
        <v>21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>
        <v>22941300</v>
      </c>
      <c r="AB97" s="37">
        <v>22941300</v>
      </c>
      <c r="AC97" s="37">
        <v>22941300</v>
      </c>
      <c r="AD97" s="37">
        <v>22941300</v>
      </c>
      <c r="AE97" s="37">
        <v>22941300</v>
      </c>
      <c r="AF97" s="37">
        <v>22941300</v>
      </c>
      <c r="AG97" s="37">
        <v>22941300</v>
      </c>
      <c r="AH97" s="37">
        <v>22941300</v>
      </c>
      <c r="AI97" s="31"/>
      <c r="AJ97" s="32"/>
    </row>
    <row r="98" s="1" customFormat="1" ht="30.75" customHeight="1" spans="1:38">
      <c r="A98" s="88"/>
      <c r="B98" s="86" t="s">
        <v>24</v>
      </c>
      <c r="C98" s="89">
        <f t="shared" ref="C98:Y98" si="45">C97-C96</f>
        <v>0</v>
      </c>
      <c r="D98" s="89">
        <f t="shared" si="45"/>
        <v>0</v>
      </c>
      <c r="E98" s="89">
        <f t="shared" si="45"/>
        <v>0</v>
      </c>
      <c r="F98" s="89">
        <f t="shared" si="45"/>
        <v>0</v>
      </c>
      <c r="G98" s="89">
        <f t="shared" si="45"/>
        <v>0</v>
      </c>
      <c r="H98" s="89">
        <f t="shared" si="45"/>
        <v>0</v>
      </c>
      <c r="I98" s="89">
        <f t="shared" si="45"/>
        <v>0</v>
      </c>
      <c r="J98" s="89">
        <f t="shared" si="45"/>
        <v>0</v>
      </c>
      <c r="K98" s="89">
        <f t="shared" si="45"/>
        <v>0</v>
      </c>
      <c r="L98" s="89">
        <f t="shared" si="45"/>
        <v>0</v>
      </c>
      <c r="M98" s="89">
        <f t="shared" si="45"/>
        <v>0</v>
      </c>
      <c r="N98" s="89">
        <f t="shared" si="45"/>
        <v>0</v>
      </c>
      <c r="O98" s="89">
        <f t="shared" si="45"/>
        <v>0</v>
      </c>
      <c r="P98" s="89">
        <f t="shared" si="45"/>
        <v>0</v>
      </c>
      <c r="Q98" s="89">
        <f t="shared" si="45"/>
        <v>0</v>
      </c>
      <c r="R98" s="89">
        <f t="shared" si="45"/>
        <v>0</v>
      </c>
      <c r="S98" s="89">
        <f t="shared" si="45"/>
        <v>0</v>
      </c>
      <c r="T98" s="89">
        <f t="shared" si="45"/>
        <v>0</v>
      </c>
      <c r="U98" s="89">
        <f t="shared" si="45"/>
        <v>0</v>
      </c>
      <c r="V98" s="89">
        <f t="shared" si="45"/>
        <v>0</v>
      </c>
      <c r="W98" s="89">
        <f t="shared" si="45"/>
        <v>0</v>
      </c>
      <c r="X98" s="89">
        <f t="shared" si="45"/>
        <v>0</v>
      </c>
      <c r="Y98" s="89">
        <f t="shared" si="45"/>
        <v>0</v>
      </c>
      <c r="Z98" s="89"/>
      <c r="AA98" s="89">
        <f t="shared" ref="AA98:AH98" si="46">AA97-AA96</f>
        <v>893245.469999999</v>
      </c>
      <c r="AB98" s="89">
        <f t="shared" si="46"/>
        <v>33708</v>
      </c>
      <c r="AC98" s="89">
        <f t="shared" si="46"/>
        <v>33708</v>
      </c>
      <c r="AD98" s="89">
        <f t="shared" si="46"/>
        <v>33708</v>
      </c>
      <c r="AE98" s="89">
        <f t="shared" si="46"/>
        <v>33708</v>
      </c>
      <c r="AF98" s="89">
        <f t="shared" si="46"/>
        <v>33708</v>
      </c>
      <c r="AG98" s="89">
        <f t="shared" si="46"/>
        <v>33708</v>
      </c>
      <c r="AH98" s="89">
        <f t="shared" si="46"/>
        <v>893245.469999999</v>
      </c>
      <c r="AI98" s="31"/>
      <c r="AJ98" s="90"/>
    </row>
    <row r="99" s="1" customFormat="1" ht="27" customHeight="1" spans="1:38">
      <c r="A99" s="32" t="s">
        <v>52</v>
      </c>
      <c r="B99" s="91">
        <v>562706261.6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92" t="s">
        <v>53</v>
      </c>
      <c r="AB99" s="93"/>
      <c r="AC99" s="93"/>
      <c r="AD99" s="93"/>
      <c r="AE99" s="93"/>
      <c r="AF99" s="93"/>
      <c r="AG99" s="93"/>
      <c r="AH99" s="93"/>
      <c r="AI99" s="5"/>
      <c r="AJ99" s="5"/>
      <c r="AK99" s="5"/>
    </row>
    <row r="100" s="1" customFormat="1" ht="18.75" customHeight="1" spans="1:38">
      <c r="A100" s="32" t="s">
        <v>54</v>
      </c>
      <c r="B100" s="94">
        <f>B99/1.09/152/10000</f>
        <v>339.634392563979</v>
      </c>
      <c r="C100" s="95"/>
      <c r="D100" s="95"/>
      <c r="E100" s="95"/>
      <c r="F100" s="95"/>
      <c r="G100" s="95"/>
      <c r="H100" s="95"/>
      <c r="I100" s="95"/>
      <c r="J100" s="95"/>
      <c r="K100" s="9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96" t="s">
        <v>55</v>
      </c>
      <c r="AB100" s="97"/>
      <c r="AC100" s="97"/>
      <c r="AD100" s="97"/>
      <c r="AE100" s="97"/>
      <c r="AF100" s="97"/>
      <c r="AG100" s="97"/>
      <c r="AH100" s="97"/>
      <c r="AI100" s="5"/>
      <c r="AJ100" s="5"/>
      <c r="AK100" s="5"/>
    </row>
    <row r="101" s="1" customFormat="1" ht="24" customHeight="1" spans="1:38">
      <c r="B101" s="98">
        <f>B99/156/10000-B100</f>
        <v>21.0747494873033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99" t="s">
        <v>56</v>
      </c>
      <c r="AB101" s="99" t="s">
        <v>57</v>
      </c>
      <c r="AC101" s="99" t="s">
        <v>58</v>
      </c>
      <c r="AD101" s="99" t="s">
        <v>59</v>
      </c>
      <c r="AE101" s="99" t="s">
        <v>60</v>
      </c>
      <c r="AF101" s="99" t="s">
        <v>61</v>
      </c>
      <c r="AG101" s="99" t="s">
        <v>62</v>
      </c>
      <c r="AH101" s="99" t="s">
        <v>63</v>
      </c>
      <c r="AI101" s="5"/>
      <c r="AJ101" s="5"/>
      <c r="AK101" s="5"/>
    </row>
    <row r="102" s="1" customFormat="1" ht="24" customHeight="1" spans="1:38">
      <c r="C102" s="95"/>
      <c r="D102" s="95"/>
      <c r="E102" s="95"/>
      <c r="F102" s="95"/>
      <c r="G102" s="95"/>
      <c r="H102" s="95"/>
      <c r="I102" s="95"/>
      <c r="J102" s="95"/>
      <c r="K102" s="9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100" t="s">
        <v>64</v>
      </c>
      <c r="AB102" s="100" t="s">
        <v>65</v>
      </c>
      <c r="AC102" s="101">
        <v>6561</v>
      </c>
      <c r="AD102" s="101">
        <v>6409</v>
      </c>
      <c r="AE102" s="101">
        <v>6500</v>
      </c>
      <c r="AF102" s="101">
        <v>7643</v>
      </c>
      <c r="AG102" s="101">
        <v>61</v>
      </c>
      <c r="AH102" s="101">
        <v>-1082</v>
      </c>
      <c r="AI102" s="5"/>
      <c r="AJ102" s="5"/>
      <c r="AK102" s="5"/>
    </row>
    <row r="103" s="1" customFormat="1" ht="24" customHeight="1" spans="1:38">
      <c r="C103" s="95"/>
      <c r="D103" s="95"/>
      <c r="E103" s="95"/>
      <c r="F103" s="95"/>
      <c r="G103" s="95"/>
      <c r="H103" s="95"/>
      <c r="I103" s="95"/>
      <c r="J103" s="95"/>
      <c r="K103" s="9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100" t="s">
        <v>66</v>
      </c>
      <c r="AB103" s="100" t="s">
        <v>65</v>
      </c>
      <c r="AC103" s="101">
        <v>15210</v>
      </c>
      <c r="AD103" s="101">
        <v>8649</v>
      </c>
      <c r="AE103" s="101">
        <v>14500</v>
      </c>
      <c r="AF103" s="101">
        <v>9742</v>
      </c>
      <c r="AG103" s="101">
        <v>710</v>
      </c>
      <c r="AH103" s="101">
        <v>5468</v>
      </c>
      <c r="AI103" s="5"/>
      <c r="AJ103" s="5"/>
      <c r="AK103" s="5"/>
    </row>
    <row r="104" s="5" customFormat="1" ht="24" customHeight="1" spans="1:38">
      <c r="A104" s="1"/>
      <c r="B104" s="1"/>
      <c r="C104" s="95"/>
      <c r="D104" s="95"/>
      <c r="E104" s="95"/>
      <c r="F104" s="95"/>
      <c r="G104" s="95"/>
      <c r="H104" s="95"/>
      <c r="I104" s="95"/>
      <c r="J104" s="95"/>
      <c r="K104" s="95"/>
      <c r="AA104" s="100" t="s">
        <v>67</v>
      </c>
      <c r="AB104" s="100" t="s">
        <v>65</v>
      </c>
      <c r="AC104" s="101">
        <v>2083.59109329294</v>
      </c>
      <c r="AD104" s="101">
        <v>929.205813810193</v>
      </c>
      <c r="AE104" s="101">
        <v>2000</v>
      </c>
      <c r="AF104" s="101">
        <v>790.165791</v>
      </c>
      <c r="AG104" s="101">
        <v>83.5910932929419</v>
      </c>
      <c r="AH104" s="101">
        <v>1293.42530229294</v>
      </c>
      <c r="AL104" s="1"/>
    </row>
    <row r="105" s="5" customFormat="1" ht="24" customHeight="1" spans="1:38">
      <c r="A105" s="1"/>
      <c r="B105" s="1"/>
      <c r="C105" s="95"/>
      <c r="D105" s="95"/>
      <c r="E105" s="95"/>
      <c r="F105" s="95"/>
      <c r="G105" s="95"/>
      <c r="H105" s="95"/>
      <c r="I105" s="95"/>
      <c r="J105" s="95"/>
      <c r="K105" s="95"/>
      <c r="AA105" s="100" t="s">
        <v>68</v>
      </c>
      <c r="AB105" s="100" t="s">
        <v>65</v>
      </c>
      <c r="AC105" s="101">
        <v>3123.79690710313</v>
      </c>
      <c r="AD105" s="101">
        <v>1040.20581381019</v>
      </c>
      <c r="AE105" s="101">
        <v>4500</v>
      </c>
      <c r="AF105" s="101">
        <v>1232.425791</v>
      </c>
      <c r="AG105" s="101">
        <v>-1376.20309289687</v>
      </c>
      <c r="AH105" s="101">
        <v>1891.37111610313</v>
      </c>
      <c r="AL105" s="1"/>
    </row>
    <row r="106" s="5" customFormat="1" ht="24" customHeight="1" spans="1:38">
      <c r="A106" s="1"/>
      <c r="B106" s="1"/>
      <c r="C106" s="95"/>
      <c r="D106" s="95"/>
      <c r="E106" s="95"/>
      <c r="F106" s="95"/>
      <c r="G106" s="95"/>
      <c r="H106" s="95"/>
      <c r="I106" s="95"/>
      <c r="J106" s="95"/>
      <c r="K106" s="95"/>
      <c r="AA106" s="100" t="s">
        <v>69</v>
      </c>
      <c r="AB106" s="100" t="s">
        <v>70</v>
      </c>
      <c r="AC106" s="101">
        <v>4291</v>
      </c>
      <c r="AD106" s="101">
        <v>4238</v>
      </c>
      <c r="AE106" s="101"/>
      <c r="AF106" s="101">
        <v>3673</v>
      </c>
      <c r="AG106" s="101"/>
      <c r="AH106" s="101"/>
      <c r="AL106" s="1"/>
    </row>
    <row r="107" s="5" customFormat="1" ht="24" customHeight="1" spans="1:38">
      <c r="A107" s="1"/>
      <c r="B107" s="1"/>
      <c r="C107" s="95"/>
      <c r="D107" s="95"/>
      <c r="E107" s="95"/>
      <c r="F107" s="95"/>
      <c r="G107" s="95"/>
      <c r="H107" s="95"/>
      <c r="I107" s="95"/>
      <c r="J107" s="95"/>
      <c r="K107" s="95"/>
      <c r="AA107" s="100" t="s">
        <v>71</v>
      </c>
      <c r="AB107" s="100" t="s">
        <v>70</v>
      </c>
      <c r="AC107" s="101">
        <v>3702</v>
      </c>
      <c r="AD107" s="101">
        <v>2296</v>
      </c>
      <c r="AE107" s="101"/>
      <c r="AF107" s="101">
        <v>2401</v>
      </c>
      <c r="AG107" s="101"/>
      <c r="AH107" s="101"/>
      <c r="AL107" s="1"/>
    </row>
    <row r="108" s="5" customFormat="1" ht="24" customHeight="1" spans="1:38">
      <c r="A108" s="1"/>
      <c r="B108" s="1"/>
      <c r="C108" s="95"/>
      <c r="D108" s="95"/>
      <c r="E108" s="95"/>
      <c r="F108" s="95"/>
      <c r="G108" s="95"/>
      <c r="H108" s="95"/>
      <c r="I108" s="95"/>
      <c r="J108" s="95"/>
      <c r="K108" s="95"/>
      <c r="AA108" s="100" t="s">
        <v>72</v>
      </c>
      <c r="AB108" s="100" t="s">
        <v>70</v>
      </c>
      <c r="AC108" s="101">
        <v>7993</v>
      </c>
      <c r="AD108" s="101">
        <v>6534</v>
      </c>
      <c r="AE108" s="101">
        <v>4500</v>
      </c>
      <c r="AF108" s="101">
        <v>6074</v>
      </c>
      <c r="AG108" s="101">
        <v>3493</v>
      </c>
      <c r="AH108" s="101">
        <v>1919</v>
      </c>
      <c r="AL108" s="1"/>
    </row>
    <row r="109" s="5" customFormat="1" ht="24" customHeight="1" spans="1:38">
      <c r="A109" s="1"/>
      <c r="B109" s="1"/>
      <c r="C109" s="95"/>
      <c r="D109" s="95"/>
      <c r="E109" s="95"/>
      <c r="F109" s="95"/>
      <c r="G109" s="95"/>
      <c r="H109" s="95"/>
      <c r="I109" s="95"/>
      <c r="J109" s="95"/>
      <c r="K109" s="95"/>
      <c r="AA109" s="100" t="s">
        <v>73</v>
      </c>
      <c r="AB109" s="100" t="s">
        <v>70</v>
      </c>
      <c r="AC109" s="101">
        <v>20008.1</v>
      </c>
      <c r="AD109" s="101">
        <v>12015.1</v>
      </c>
      <c r="AE109" s="101">
        <v>13500</v>
      </c>
      <c r="AF109" s="101">
        <v>18103</v>
      </c>
      <c r="AG109" s="101">
        <v>6508.1</v>
      </c>
      <c r="AH109" s="101">
        <v>1905.1</v>
      </c>
      <c r="AL109" s="1"/>
    </row>
    <row r="110" s="5" customFormat="1" ht="24" customHeight="1" spans="1:38">
      <c r="A110" s="1"/>
      <c r="B110" s="1"/>
      <c r="C110" s="95"/>
      <c r="D110" s="95"/>
      <c r="E110" s="95"/>
      <c r="F110" s="95"/>
      <c r="G110" s="95"/>
      <c r="H110" s="95"/>
      <c r="I110" s="95"/>
      <c r="J110" s="95"/>
      <c r="K110" s="95"/>
      <c r="AA110" s="100" t="s">
        <v>74</v>
      </c>
      <c r="AB110" s="100" t="s">
        <v>75</v>
      </c>
      <c r="AC110" s="101">
        <v>45358.7962857141</v>
      </c>
      <c r="AD110" s="101">
        <v>36960.6956190479</v>
      </c>
      <c r="AE110" s="101">
        <v>35000</v>
      </c>
      <c r="AF110" s="101">
        <v>21212</v>
      </c>
      <c r="AG110" s="101">
        <v>10358.7962857141</v>
      </c>
      <c r="AH110" s="101">
        <v>24146.7962857141</v>
      </c>
      <c r="AL110" s="1"/>
    </row>
    <row r="111" s="5" customFormat="1" ht="24" customHeight="1" spans="1:38">
      <c r="A111" s="1"/>
      <c r="B111" s="1"/>
      <c r="C111" s="95"/>
      <c r="D111" s="95"/>
      <c r="E111" s="95"/>
      <c r="F111" s="95"/>
      <c r="G111" s="95"/>
      <c r="H111" s="95"/>
      <c r="I111" s="95"/>
      <c r="J111" s="95"/>
      <c r="K111" s="95"/>
      <c r="AA111" s="100" t="s">
        <v>76</v>
      </c>
      <c r="AB111" s="100" t="s">
        <v>75</v>
      </c>
      <c r="AC111" s="101">
        <v>102830.564171429</v>
      </c>
      <c r="AD111" s="101">
        <v>57471.7678857148</v>
      </c>
      <c r="AE111" s="101">
        <v>90000</v>
      </c>
      <c r="AF111" s="101">
        <v>50069</v>
      </c>
      <c r="AG111" s="101">
        <v>12830.5641714289</v>
      </c>
      <c r="AH111" s="101">
        <v>52761.5641714289</v>
      </c>
      <c r="AL111" s="1"/>
    </row>
    <row r="112" s="5" customFormat="1" ht="24" customHeight="1" spans="1:38">
      <c r="A112" s="1"/>
      <c r="B112" s="1"/>
      <c r="C112" s="95"/>
      <c r="D112" s="95"/>
      <c r="E112" s="95"/>
      <c r="F112" s="95"/>
      <c r="G112" s="95"/>
      <c r="H112" s="95"/>
      <c r="I112" s="95"/>
      <c r="J112" s="95"/>
      <c r="K112" s="95"/>
      <c r="AA112" s="100" t="s">
        <v>77</v>
      </c>
      <c r="AB112" s="100" t="s">
        <v>70</v>
      </c>
      <c r="AC112" s="101">
        <v>0</v>
      </c>
      <c r="AD112" s="101">
        <v>0</v>
      </c>
      <c r="AE112" s="101">
        <v>0</v>
      </c>
      <c r="AF112" s="101">
        <v>0</v>
      </c>
      <c r="AG112" s="101">
        <v>0</v>
      </c>
      <c r="AH112" s="101">
        <v>0</v>
      </c>
      <c r="AL112" s="1"/>
    </row>
    <row r="113" s="5" customFormat="1" ht="24" customHeight="1" spans="1:38">
      <c r="A113" s="1"/>
      <c r="B113" s="1"/>
      <c r="C113" s="95"/>
      <c r="D113" s="95"/>
      <c r="E113" s="95"/>
      <c r="F113" s="95"/>
      <c r="G113" s="95"/>
      <c r="H113" s="95"/>
      <c r="I113" s="95"/>
      <c r="J113" s="95"/>
      <c r="K113" s="95"/>
      <c r="AA113" s="100" t="s">
        <v>78</v>
      </c>
      <c r="AB113" s="100" t="s">
        <v>70</v>
      </c>
      <c r="AC113" s="101">
        <v>0</v>
      </c>
      <c r="AD113" s="101">
        <v>0</v>
      </c>
      <c r="AE113" s="101">
        <v>0</v>
      </c>
      <c r="AF113" s="101">
        <v>0</v>
      </c>
      <c r="AG113" s="101">
        <v>0</v>
      </c>
      <c r="AH113" s="101">
        <v>0</v>
      </c>
      <c r="AL113" s="1"/>
    </row>
    <row r="114" s="5" customFormat="1" ht="24" customHeight="1" spans="1:38">
      <c r="A114" s="1"/>
      <c r="B114" s="1"/>
      <c r="C114" s="95"/>
      <c r="D114" s="95"/>
      <c r="E114" s="95"/>
      <c r="F114" s="95"/>
      <c r="G114" s="95"/>
      <c r="H114" s="95"/>
      <c r="I114" s="95"/>
      <c r="J114" s="95"/>
      <c r="K114" s="95"/>
      <c r="AA114" s="100" t="s">
        <v>79</v>
      </c>
      <c r="AB114" s="100" t="s">
        <v>65</v>
      </c>
      <c r="AC114" s="101">
        <v>0</v>
      </c>
      <c r="AD114" s="101">
        <v>0</v>
      </c>
      <c r="AE114" s="101">
        <v>0</v>
      </c>
      <c r="AF114" s="101">
        <v>0</v>
      </c>
      <c r="AG114" s="101">
        <v>0</v>
      </c>
      <c r="AH114" s="101">
        <v>0</v>
      </c>
      <c r="AL114" s="1"/>
    </row>
    <row r="115" s="5" customFormat="1" ht="24" customHeight="1" spans="1:38">
      <c r="A115" s="1"/>
      <c r="B115" s="1"/>
      <c r="C115" s="95"/>
      <c r="D115" s="95"/>
      <c r="E115" s="95"/>
      <c r="F115" s="95"/>
      <c r="G115" s="95"/>
      <c r="H115" s="95"/>
      <c r="I115" s="95"/>
      <c r="J115" s="95"/>
      <c r="K115" s="95"/>
      <c r="AA115" s="100" t="s">
        <v>80</v>
      </c>
      <c r="AB115" s="100" t="s">
        <v>65</v>
      </c>
      <c r="AC115" s="101">
        <v>0</v>
      </c>
      <c r="AD115" s="101">
        <v>0</v>
      </c>
      <c r="AE115" s="101">
        <v>0</v>
      </c>
      <c r="AF115" s="101">
        <v>0</v>
      </c>
      <c r="AG115" s="101">
        <v>0</v>
      </c>
      <c r="AH115" s="101">
        <v>0</v>
      </c>
      <c r="AL115" s="1"/>
    </row>
    <row r="116" s="5" customFormat="1" ht="24" customHeight="1" spans="1:38">
      <c r="A116" s="1"/>
      <c r="B116" s="1"/>
      <c r="C116" s="95"/>
      <c r="D116" s="95"/>
      <c r="E116" s="95"/>
      <c r="F116" s="95"/>
      <c r="G116" s="95"/>
      <c r="H116" s="95"/>
      <c r="I116" s="95"/>
      <c r="J116" s="95"/>
      <c r="K116" s="95"/>
      <c r="AA116" s="100" t="s">
        <v>81</v>
      </c>
      <c r="AB116" s="100" t="s">
        <v>82</v>
      </c>
      <c r="AC116" s="101">
        <v>32.805</v>
      </c>
      <c r="AD116" s="101">
        <v>32.045</v>
      </c>
      <c r="AE116" s="101">
        <v>32.5</v>
      </c>
      <c r="AF116" s="101">
        <v>38.215</v>
      </c>
      <c r="AG116" s="101">
        <v>0.305</v>
      </c>
      <c r="AH116" s="101">
        <v>-5.41</v>
      </c>
      <c r="AL116" s="1"/>
    </row>
    <row r="117" s="5" customFormat="1" ht="24" customHeight="1" spans="1:38">
      <c r="A117" s="1"/>
      <c r="B117" s="1"/>
      <c r="C117" s="95"/>
      <c r="D117" s="95"/>
      <c r="E117" s="95"/>
      <c r="F117" s="95"/>
      <c r="G117" s="95"/>
      <c r="H117" s="95"/>
      <c r="I117" s="95"/>
      <c r="J117" s="95"/>
      <c r="K117" s="95"/>
      <c r="AA117" s="100" t="s">
        <v>83</v>
      </c>
      <c r="AB117" s="100" t="s">
        <v>82</v>
      </c>
      <c r="AC117" s="101">
        <v>76.05</v>
      </c>
      <c r="AD117" s="101">
        <v>43.245</v>
      </c>
      <c r="AE117" s="101">
        <v>72.5</v>
      </c>
      <c r="AF117" s="101">
        <v>48.71</v>
      </c>
      <c r="AG117" s="101">
        <v>3.55</v>
      </c>
      <c r="AH117" s="101">
        <v>27.34</v>
      </c>
      <c r="AL117" s="1"/>
    </row>
    <row r="118" s="5" customFormat="1" ht="24" customHeight="1" spans="1:38">
      <c r="A118" s="1"/>
      <c r="B118" s="1"/>
      <c r="C118" s="95"/>
      <c r="D118" s="95"/>
      <c r="E118" s="95"/>
      <c r="F118" s="95"/>
      <c r="G118" s="95"/>
      <c r="H118" s="95"/>
      <c r="I118" s="95"/>
      <c r="J118" s="95"/>
      <c r="K118" s="95"/>
      <c r="AA118" s="100" t="s">
        <v>84</v>
      </c>
      <c r="AB118" s="100" t="s">
        <v>82</v>
      </c>
      <c r="AC118" s="101">
        <v>3.234643</v>
      </c>
      <c r="AD118" s="101">
        <v>2.717234</v>
      </c>
      <c r="AE118" s="101">
        <v>1.8045</v>
      </c>
      <c r="AF118" s="101">
        <v>2.499274</v>
      </c>
      <c r="AG118" s="102">
        <v>1.430143</v>
      </c>
      <c r="AH118" s="102">
        <v>0.735369</v>
      </c>
      <c r="AL118" s="1"/>
    </row>
    <row r="119" s="5" customFormat="1" ht="24" customHeight="1" spans="1:38">
      <c r="A119" s="1"/>
      <c r="B119" s="1"/>
      <c r="C119" s="95"/>
      <c r="D119" s="95"/>
      <c r="E119" s="95"/>
      <c r="F119" s="95"/>
      <c r="G119" s="95"/>
      <c r="H119" s="95"/>
      <c r="I119" s="95"/>
      <c r="J119" s="95"/>
      <c r="K119" s="95"/>
      <c r="AA119" s="100" t="s">
        <v>85</v>
      </c>
      <c r="AB119" s="100" t="s">
        <v>82</v>
      </c>
      <c r="AC119" s="101">
        <v>8.2047531</v>
      </c>
      <c r="AD119" s="101">
        <v>4.9701101</v>
      </c>
      <c r="AE119" s="101">
        <v>5.4135</v>
      </c>
      <c r="AF119" s="101">
        <v>7.474153</v>
      </c>
      <c r="AG119" s="101">
        <v>2.7912531</v>
      </c>
      <c r="AH119" s="101">
        <v>0.730600099999999</v>
      </c>
      <c r="AL119" s="1"/>
    </row>
    <row r="120" s="5" customFormat="1" ht="24" customHeight="1" spans="1:38">
      <c r="A120" s="1"/>
      <c r="B120" s="1"/>
      <c r="C120" s="95"/>
      <c r="D120" s="95"/>
      <c r="E120" s="95"/>
      <c r="F120" s="95"/>
      <c r="G120" s="95"/>
      <c r="H120" s="95"/>
      <c r="I120" s="95"/>
      <c r="J120" s="95"/>
      <c r="K120" s="95"/>
      <c r="AA120" s="100" t="s">
        <v>86</v>
      </c>
      <c r="AB120" s="100" t="s">
        <v>82</v>
      </c>
      <c r="AC120" s="101">
        <v>2.82268190691276</v>
      </c>
      <c r="AD120" s="101">
        <v>2.30006735923137</v>
      </c>
      <c r="AE120" s="101">
        <v>2.254</v>
      </c>
      <c r="AF120" s="101">
        <v>1.5909</v>
      </c>
      <c r="AG120" s="102">
        <v>0.568681906912756</v>
      </c>
      <c r="AH120" s="102">
        <v>1.23178190691276</v>
      </c>
      <c r="AL120" s="1"/>
    </row>
    <row r="121" s="5" customFormat="1" ht="24" customHeight="1" spans="1:38">
      <c r="A121" s="1"/>
      <c r="B121" s="1"/>
      <c r="C121" s="95"/>
      <c r="D121" s="95"/>
      <c r="E121" s="95"/>
      <c r="F121" s="95"/>
      <c r="G121" s="95"/>
      <c r="H121" s="95"/>
      <c r="I121" s="95"/>
      <c r="J121" s="95"/>
      <c r="K121" s="95"/>
      <c r="AA121" s="100" t="s">
        <v>87</v>
      </c>
      <c r="AB121" s="100" t="s">
        <v>82</v>
      </c>
      <c r="AC121" s="101">
        <v>6.39915510843795</v>
      </c>
      <c r="AD121" s="101">
        <v>3.57647320152519</v>
      </c>
      <c r="AE121" s="101">
        <v>5.9004</v>
      </c>
      <c r="AF121" s="101">
        <v>3.755175</v>
      </c>
      <c r="AG121" s="101">
        <v>0.498755108437947</v>
      </c>
      <c r="AH121" s="101">
        <v>2.64398010843795</v>
      </c>
      <c r="AL121" s="1"/>
    </row>
    <row r="122" s="5" customFormat="1" ht="24" customHeight="1" spans="1:38">
      <c r="A122" s="1"/>
      <c r="B122" s="1"/>
      <c r="C122" s="95"/>
      <c r="D122" s="95"/>
      <c r="E122" s="95"/>
      <c r="F122" s="95"/>
      <c r="G122" s="95"/>
      <c r="H122" s="95"/>
      <c r="I122" s="95"/>
      <c r="J122" s="95"/>
      <c r="K122" s="95"/>
      <c r="AA122" s="100" t="s">
        <v>88</v>
      </c>
      <c r="AB122" s="100" t="s">
        <v>82</v>
      </c>
      <c r="AC122" s="101">
        <v>38.8623249069128</v>
      </c>
      <c r="AD122" s="101">
        <v>37.0623013592314</v>
      </c>
      <c r="AE122" s="101">
        <v>36.5585</v>
      </c>
      <c r="AF122" s="101">
        <v>42.305174</v>
      </c>
      <c r="AG122" s="101">
        <v>2.30382490691276</v>
      </c>
      <c r="AH122" s="101">
        <v>-3.44284909308725</v>
      </c>
      <c r="AL122" s="1"/>
    </row>
    <row r="123" s="5" customFormat="1" ht="24" customHeight="1" spans="1:38">
      <c r="A123" s="1"/>
      <c r="B123" s="1"/>
      <c r="C123" s="95"/>
      <c r="D123" s="95"/>
      <c r="E123" s="95"/>
      <c r="F123" s="95"/>
      <c r="G123" s="95"/>
      <c r="H123" s="95"/>
      <c r="I123" s="95"/>
      <c r="J123" s="95"/>
      <c r="K123" s="95"/>
      <c r="AA123" s="100" t="s">
        <v>89</v>
      </c>
      <c r="AB123" s="100" t="s">
        <v>82</v>
      </c>
      <c r="AC123" s="101">
        <v>90.653908208438</v>
      </c>
      <c r="AD123" s="101">
        <v>51.7915833015252</v>
      </c>
      <c r="AE123" s="101">
        <v>83.8139</v>
      </c>
      <c r="AF123" s="101">
        <v>59.91229074</v>
      </c>
      <c r="AG123" s="101">
        <v>6.84000820843795</v>
      </c>
      <c r="AH123" s="101">
        <v>30.741617468438</v>
      </c>
      <c r="AL123" s="1"/>
    </row>
    <row r="124" s="5" customFormat="1" ht="24" customHeight="1" spans="1:38">
      <c r="A124" s="1"/>
      <c r="B124" s="1"/>
      <c r="C124" s="95"/>
      <c r="D124" s="95"/>
      <c r="E124" s="95"/>
      <c r="F124" s="95"/>
      <c r="G124" s="95"/>
      <c r="H124" s="95"/>
      <c r="I124" s="95"/>
      <c r="J124" s="95"/>
      <c r="K124" s="95"/>
      <c r="AA124" s="100" t="s">
        <v>90</v>
      </c>
      <c r="AB124" s="100" t="s">
        <v>82</v>
      </c>
      <c r="AC124" s="101">
        <v>0</v>
      </c>
      <c r="AD124" s="101">
        <v>0</v>
      </c>
      <c r="AE124" s="101">
        <v>0</v>
      </c>
      <c r="AF124" s="101">
        <v>0</v>
      </c>
      <c r="AG124" s="101">
        <v>0</v>
      </c>
      <c r="AH124" s="101">
        <v>0</v>
      </c>
      <c r="AL124" s="1"/>
    </row>
    <row r="125" s="5" customFormat="1" ht="24" customHeight="1" spans="1:38">
      <c r="A125" s="1"/>
      <c r="B125" s="1"/>
      <c r="C125" s="95"/>
      <c r="D125" s="95"/>
      <c r="E125" s="95"/>
      <c r="F125" s="95"/>
      <c r="G125" s="95"/>
      <c r="H125" s="95"/>
      <c r="I125" s="95"/>
      <c r="J125" s="95"/>
      <c r="K125" s="95"/>
      <c r="AA125" s="100" t="s">
        <v>91</v>
      </c>
      <c r="AB125" s="100" t="s">
        <v>82</v>
      </c>
      <c r="AC125" s="101">
        <v>0</v>
      </c>
      <c r="AD125" s="101">
        <v>0</v>
      </c>
      <c r="AE125" s="101">
        <v>0</v>
      </c>
      <c r="AF125" s="101">
        <v>0</v>
      </c>
      <c r="AG125" s="101">
        <v>0</v>
      </c>
      <c r="AH125" s="101">
        <v>0</v>
      </c>
      <c r="AL125" s="1"/>
    </row>
    <row r="126" s="5" customFormat="1" ht="24" customHeight="1" spans="1:38">
      <c r="A126" s="1"/>
      <c r="B126" s="1"/>
      <c r="C126" s="95"/>
      <c r="D126" s="95"/>
      <c r="E126" s="95"/>
      <c r="F126" s="95"/>
      <c r="G126" s="95"/>
      <c r="H126" s="95"/>
      <c r="I126" s="95"/>
      <c r="J126" s="95"/>
      <c r="K126" s="95"/>
      <c r="AA126" s="100" t="s">
        <v>92</v>
      </c>
      <c r="AB126" s="100" t="s">
        <v>82</v>
      </c>
      <c r="AC126" s="101">
        <v>0</v>
      </c>
      <c r="AD126" s="101">
        <v>0</v>
      </c>
      <c r="AE126" s="101">
        <v>0</v>
      </c>
      <c r="AF126" s="101">
        <v>0</v>
      </c>
      <c r="AG126" s="101">
        <v>0</v>
      </c>
      <c r="AH126" s="101">
        <v>0</v>
      </c>
      <c r="AL126" s="1"/>
    </row>
    <row r="127" s="5" customFormat="1" ht="24" customHeight="1" spans="1:38">
      <c r="A127" s="1"/>
      <c r="B127" s="1"/>
      <c r="C127" s="95"/>
      <c r="D127" s="95"/>
      <c r="E127" s="95"/>
      <c r="F127" s="95"/>
      <c r="G127" s="95"/>
      <c r="H127" s="95"/>
      <c r="I127" s="95"/>
      <c r="J127" s="95"/>
      <c r="K127" s="95"/>
      <c r="AA127" s="100" t="s">
        <v>93</v>
      </c>
      <c r="AB127" s="100" t="s">
        <v>82</v>
      </c>
      <c r="AC127" s="101">
        <v>0</v>
      </c>
      <c r="AD127" s="101">
        <v>0</v>
      </c>
      <c r="AE127" s="101">
        <v>0</v>
      </c>
      <c r="AF127" s="101">
        <v>0</v>
      </c>
      <c r="AG127" s="101">
        <v>0</v>
      </c>
      <c r="AH127" s="101">
        <v>0</v>
      </c>
      <c r="AL127" s="1"/>
    </row>
    <row r="128" s="5" customFormat="1" ht="24" customHeight="1" spans="1:38">
      <c r="A128" s="1"/>
      <c r="B128" s="1"/>
      <c r="C128" s="95"/>
      <c r="D128" s="95"/>
      <c r="E128" s="95"/>
      <c r="F128" s="95"/>
      <c r="G128" s="95"/>
      <c r="H128" s="95"/>
      <c r="I128" s="95"/>
      <c r="J128" s="95"/>
      <c r="K128" s="95"/>
      <c r="AA128" s="100" t="s">
        <v>94</v>
      </c>
      <c r="AB128" s="100" t="s">
        <v>82</v>
      </c>
      <c r="AC128" s="101">
        <v>0</v>
      </c>
      <c r="AD128" s="101">
        <v>0</v>
      </c>
      <c r="AE128" s="101">
        <v>0</v>
      </c>
      <c r="AF128" s="101">
        <v>0</v>
      </c>
      <c r="AG128" s="101">
        <v>0</v>
      </c>
      <c r="AH128" s="101">
        <v>0</v>
      </c>
      <c r="AL128" s="1"/>
    </row>
    <row r="129" s="5" customFormat="1" ht="24" customHeight="1" spans="1:38">
      <c r="A129" s="1"/>
      <c r="B129" s="1"/>
      <c r="C129" s="95"/>
      <c r="D129" s="95"/>
      <c r="E129" s="95"/>
      <c r="F129" s="95"/>
      <c r="G129" s="95"/>
      <c r="H129" s="95"/>
      <c r="I129" s="95"/>
      <c r="J129" s="95"/>
      <c r="K129" s="95"/>
      <c r="AA129" s="100" t="s">
        <v>95</v>
      </c>
      <c r="AB129" s="100" t="s">
        <v>82</v>
      </c>
      <c r="AC129" s="101">
        <v>-38.8623249069128</v>
      </c>
      <c r="AD129" s="101">
        <v>-37.0623013592314</v>
      </c>
      <c r="AE129" s="101">
        <v>-36.5585</v>
      </c>
      <c r="AF129" s="101">
        <v>-42.305174</v>
      </c>
      <c r="AG129" s="101">
        <v>-2.30382490691276</v>
      </c>
      <c r="AH129" s="101">
        <v>3.44284909308725</v>
      </c>
      <c r="AL129" s="1"/>
    </row>
    <row r="130" s="5" customFormat="1" ht="24" customHeight="1" spans="1:38">
      <c r="A130" s="1"/>
      <c r="B130" s="1"/>
      <c r="C130" s="95"/>
      <c r="D130" s="95"/>
      <c r="E130" s="95"/>
      <c r="F130" s="95"/>
      <c r="G130" s="95"/>
      <c r="H130" s="95"/>
      <c r="I130" s="95"/>
      <c r="J130" s="95"/>
      <c r="K130" s="95"/>
      <c r="AA130" s="100" t="s">
        <v>96</v>
      </c>
      <c r="AB130" s="100" t="s">
        <v>82</v>
      </c>
      <c r="AC130" s="101">
        <v>-90.653908208438</v>
      </c>
      <c r="AD130" s="101">
        <v>-51.7915833015252</v>
      </c>
      <c r="AE130" s="101">
        <v>-83.8139</v>
      </c>
      <c r="AF130" s="101">
        <v>-59.91229074</v>
      </c>
      <c r="AG130" s="101">
        <v>-6.84000820843795</v>
      </c>
      <c r="AH130" s="101">
        <v>-30.741617468438</v>
      </c>
      <c r="AI130" s="103"/>
      <c r="AL130" s="1"/>
    </row>
    <row r="131" s="5" customFormat="1" ht="44.25" customHeight="1" spans="1:38">
      <c r="A131" s="1"/>
      <c r="B131" s="1"/>
      <c r="C131" s="95"/>
      <c r="D131" s="95"/>
      <c r="E131" s="95"/>
      <c r="F131" s="95"/>
      <c r="G131" s="95"/>
      <c r="H131" s="95"/>
      <c r="I131" s="95"/>
      <c r="J131" s="95"/>
      <c r="K131" s="95"/>
      <c r="AA131" s="104" t="s">
        <v>97</v>
      </c>
      <c r="AB131" s="105"/>
      <c r="AC131" s="105"/>
      <c r="AD131" s="105"/>
      <c r="AE131" s="105"/>
      <c r="AF131" s="105"/>
      <c r="AG131" s="105"/>
      <c r="AH131" s="105"/>
      <c r="AL131" s="1"/>
    </row>
    <row r="132" s="1" customFormat="1" customHeight="1" spans="1:38">
      <c r="C132" s="95"/>
      <c r="D132" s="95"/>
      <c r="E132" s="95"/>
      <c r="F132" s="95"/>
      <c r="G132" s="95"/>
      <c r="H132" s="95"/>
      <c r="I132" s="95"/>
      <c r="J132" s="95"/>
      <c r="K132" s="95"/>
      <c r="L132" s="5"/>
      <c r="M132" s="5"/>
      <c r="N132" s="5"/>
      <c r="O132" s="5"/>
      <c r="P132" s="106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="1" customFormat="1" spans="1:38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07"/>
      <c r="AA133" s="107"/>
      <c r="AB133" s="107"/>
      <c r="AC133" s="107"/>
      <c r="AD133" s="5"/>
      <c r="AE133" s="108"/>
      <c r="AF133" s="5"/>
      <c r="AG133" s="5"/>
      <c r="AH133" s="5"/>
      <c r="AI133" s="5"/>
      <c r="AJ133" s="108"/>
    </row>
    <row r="134" s="1" customFormat="1" spans="1:38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108"/>
    </row>
    <row r="135" s="1" customFormat="1" spans="1:38">
      <c r="A135" s="1" t="s">
        <v>98</v>
      </c>
      <c r="B135" s="10" t="s">
        <v>20</v>
      </c>
      <c r="C135" s="108" t="e">
        <f t="shared" ref="C135:AG135" si="47">(C9-C36*2.951694-C44)*1000000000/3600/24/C96</f>
        <v>#DIV/0!</v>
      </c>
      <c r="D135" s="108" t="e">
        <f t="shared" si="47"/>
        <v>#DIV/0!</v>
      </c>
      <c r="E135" s="108" t="e">
        <f t="shared" si="47"/>
        <v>#DIV/0!</v>
      </c>
      <c r="F135" s="108" t="e">
        <f t="shared" si="47"/>
        <v>#DIV/0!</v>
      </c>
      <c r="G135" s="108" t="e">
        <f t="shared" si="47"/>
        <v>#DIV/0!</v>
      </c>
      <c r="H135" s="108" t="e">
        <f t="shared" si="47"/>
        <v>#DIV/0!</v>
      </c>
      <c r="I135" s="108" t="e">
        <f t="shared" si="47"/>
        <v>#DIV/0!</v>
      </c>
      <c r="J135" s="108" t="e">
        <f t="shared" si="47"/>
        <v>#DIV/0!</v>
      </c>
      <c r="K135" s="108" t="e">
        <f t="shared" si="47"/>
        <v>#DIV/0!</v>
      </c>
      <c r="L135" s="108" t="e">
        <f t="shared" si="47"/>
        <v>#DIV/0!</v>
      </c>
      <c r="M135" s="108" t="e">
        <f t="shared" si="47"/>
        <v>#DIV/0!</v>
      </c>
      <c r="N135" s="108" t="e">
        <f t="shared" si="47"/>
        <v>#DIV/0!</v>
      </c>
      <c r="O135" s="108" t="e">
        <f t="shared" si="47"/>
        <v>#DIV/0!</v>
      </c>
      <c r="P135" s="108" t="e">
        <f t="shared" si="47"/>
        <v>#DIV/0!</v>
      </c>
      <c r="Q135" s="108" t="e">
        <f t="shared" si="47"/>
        <v>#DIV/0!</v>
      </c>
      <c r="R135" s="108" t="e">
        <f t="shared" si="47"/>
        <v>#DIV/0!</v>
      </c>
      <c r="S135" s="108" t="e">
        <f t="shared" si="47"/>
        <v>#DIV/0!</v>
      </c>
      <c r="T135" s="108" t="e">
        <f t="shared" si="47"/>
        <v>#DIV/0!</v>
      </c>
      <c r="U135" s="108" t="e">
        <f t="shared" si="47"/>
        <v>#DIV/0!</v>
      </c>
      <c r="V135" s="108" t="e">
        <f t="shared" si="47"/>
        <v>#DIV/0!</v>
      </c>
      <c r="W135" s="108" t="e">
        <f t="shared" si="47"/>
        <v>#DIV/0!</v>
      </c>
      <c r="X135" s="108" t="e">
        <f t="shared" si="47"/>
        <v>#DIV/0!</v>
      </c>
      <c r="Y135" s="108" t="e">
        <f t="shared" si="47"/>
        <v>#DIV/0!</v>
      </c>
      <c r="Z135" s="108" t="e">
        <f t="shared" si="47"/>
        <v>#DIV/0!</v>
      </c>
      <c r="AA135" s="108">
        <f t="shared" si="47"/>
        <v>0</v>
      </c>
      <c r="AB135" s="108">
        <f t="shared" si="47"/>
        <v>1.0605209609758</v>
      </c>
      <c r="AC135" s="108">
        <f t="shared" si="47"/>
        <v>3.861630159475</v>
      </c>
      <c r="AD135" s="108">
        <f t="shared" si="47"/>
        <v>3.8363676306285</v>
      </c>
      <c r="AE135" s="108">
        <f t="shared" si="47"/>
        <v>3.45490344504645</v>
      </c>
      <c r="AF135" s="108">
        <f t="shared" si="47"/>
        <v>3.39679962869952</v>
      </c>
      <c r="AG135" s="108">
        <f t="shared" si="47"/>
        <v>3.17246837254265</v>
      </c>
      <c r="AH135" s="108">
        <f>(AH9-AH36*2.951694-AH44)*1000000000/3600/24/31/AH96</f>
        <v>0.629513816708797</v>
      </c>
    </row>
    <row r="136" s="1" customFormat="1" spans="1:38">
      <c r="B136" s="10" t="s">
        <v>21</v>
      </c>
      <c r="C136" s="108" t="e">
        <f t="shared" ref="C136:AG136" si="48">(C10-C40*2.951694-C47)*1000000000/3600/24/C97</f>
        <v>#DIV/0!</v>
      </c>
      <c r="D136" s="108" t="e">
        <f t="shared" si="48"/>
        <v>#DIV/0!</v>
      </c>
      <c r="E136" s="108" t="e">
        <f t="shared" si="48"/>
        <v>#DIV/0!</v>
      </c>
      <c r="F136" s="108" t="e">
        <f t="shared" si="48"/>
        <v>#DIV/0!</v>
      </c>
      <c r="G136" s="108" t="e">
        <f t="shared" si="48"/>
        <v>#DIV/0!</v>
      </c>
      <c r="H136" s="108" t="e">
        <f t="shared" si="48"/>
        <v>#DIV/0!</v>
      </c>
      <c r="I136" s="108" t="e">
        <f t="shared" si="48"/>
        <v>#DIV/0!</v>
      </c>
      <c r="J136" s="108" t="e">
        <f t="shared" si="48"/>
        <v>#DIV/0!</v>
      </c>
      <c r="K136" s="108" t="e">
        <f t="shared" si="48"/>
        <v>#DIV/0!</v>
      </c>
      <c r="L136" s="108" t="e">
        <f t="shared" si="48"/>
        <v>#DIV/0!</v>
      </c>
      <c r="M136" s="108" t="e">
        <f t="shared" si="48"/>
        <v>#DIV/0!</v>
      </c>
      <c r="N136" s="108" t="e">
        <f t="shared" si="48"/>
        <v>#DIV/0!</v>
      </c>
      <c r="O136" s="108" t="e">
        <f t="shared" si="48"/>
        <v>#DIV/0!</v>
      </c>
      <c r="P136" s="108" t="e">
        <f t="shared" si="48"/>
        <v>#DIV/0!</v>
      </c>
      <c r="Q136" s="108" t="e">
        <f t="shared" si="48"/>
        <v>#DIV/0!</v>
      </c>
      <c r="R136" s="108" t="e">
        <f t="shared" si="48"/>
        <v>#DIV/0!</v>
      </c>
      <c r="S136" s="108" t="e">
        <f t="shared" si="48"/>
        <v>#DIV/0!</v>
      </c>
      <c r="T136" s="108" t="e">
        <f t="shared" si="48"/>
        <v>#DIV/0!</v>
      </c>
      <c r="U136" s="108" t="e">
        <f t="shared" si="48"/>
        <v>#DIV/0!</v>
      </c>
      <c r="V136" s="108" t="e">
        <f t="shared" si="48"/>
        <v>#DIV/0!</v>
      </c>
      <c r="W136" s="108" t="e">
        <f t="shared" si="48"/>
        <v>#DIV/0!</v>
      </c>
      <c r="X136" s="108" t="e">
        <f t="shared" si="48"/>
        <v>#DIV/0!</v>
      </c>
      <c r="Y136" s="108" t="e">
        <f t="shared" si="48"/>
        <v>#DIV/0!</v>
      </c>
      <c r="Z136" s="108" t="e">
        <f t="shared" si="48"/>
        <v>#DIV/0!</v>
      </c>
      <c r="AA136" s="108">
        <f t="shared" si="48"/>
        <v>1.13009837829268</v>
      </c>
      <c r="AB136" s="108">
        <f t="shared" si="48"/>
        <v>3.23339308324902</v>
      </c>
      <c r="AC136" s="108">
        <f t="shared" si="48"/>
        <v>3.31007833034745</v>
      </c>
      <c r="AD136" s="108">
        <f t="shared" si="48"/>
        <v>0</v>
      </c>
      <c r="AE136" s="108">
        <f t="shared" si="48"/>
        <v>0</v>
      </c>
      <c r="AF136" s="108">
        <f t="shared" si="48"/>
        <v>0</v>
      </c>
      <c r="AG136" s="108">
        <f t="shared" si="48"/>
        <v>0</v>
      </c>
      <c r="AH136" s="108">
        <f>(AH10-AH40*2.951694-AH47)*1000000000/3600/24/AH97/31</f>
        <v>0.247534509415779</v>
      </c>
    </row>
    <row r="137" s="1" customFormat="1" spans="1:38">
      <c r="B137" s="1" t="s">
        <v>99</v>
      </c>
      <c r="C137" s="109" t="e">
        <f t="shared" ref="C137:AH137" si="49">(C136-C135)/C135</f>
        <v>#DIV/0!</v>
      </c>
      <c r="D137" s="109" t="e">
        <f t="shared" si="49"/>
        <v>#DIV/0!</v>
      </c>
      <c r="E137" s="109" t="e">
        <f t="shared" si="49"/>
        <v>#DIV/0!</v>
      </c>
      <c r="F137" s="109" t="e">
        <f t="shared" si="49"/>
        <v>#DIV/0!</v>
      </c>
      <c r="G137" s="109" t="e">
        <f t="shared" si="49"/>
        <v>#DIV/0!</v>
      </c>
      <c r="H137" s="109" t="e">
        <f t="shared" si="49"/>
        <v>#DIV/0!</v>
      </c>
      <c r="I137" s="109" t="e">
        <f t="shared" si="49"/>
        <v>#DIV/0!</v>
      </c>
      <c r="J137" s="109" t="e">
        <f t="shared" si="49"/>
        <v>#DIV/0!</v>
      </c>
      <c r="K137" s="109" t="e">
        <f t="shared" si="49"/>
        <v>#DIV/0!</v>
      </c>
      <c r="L137" s="109" t="e">
        <f t="shared" si="49"/>
        <v>#DIV/0!</v>
      </c>
      <c r="M137" s="109" t="e">
        <f t="shared" si="49"/>
        <v>#DIV/0!</v>
      </c>
      <c r="N137" s="109" t="e">
        <f t="shared" si="49"/>
        <v>#DIV/0!</v>
      </c>
      <c r="O137" s="109" t="e">
        <f t="shared" si="49"/>
        <v>#DIV/0!</v>
      </c>
      <c r="P137" s="109" t="e">
        <f t="shared" si="49"/>
        <v>#DIV/0!</v>
      </c>
      <c r="Q137" s="109" t="e">
        <f t="shared" si="49"/>
        <v>#DIV/0!</v>
      </c>
      <c r="R137" s="109" t="e">
        <f t="shared" si="49"/>
        <v>#DIV/0!</v>
      </c>
      <c r="S137" s="109" t="e">
        <f t="shared" si="49"/>
        <v>#DIV/0!</v>
      </c>
      <c r="T137" s="109" t="e">
        <f t="shared" si="49"/>
        <v>#DIV/0!</v>
      </c>
      <c r="U137" s="109" t="e">
        <f t="shared" si="49"/>
        <v>#DIV/0!</v>
      </c>
      <c r="V137" s="109" t="e">
        <f t="shared" si="49"/>
        <v>#DIV/0!</v>
      </c>
      <c r="W137" s="109" t="e">
        <f t="shared" si="49"/>
        <v>#DIV/0!</v>
      </c>
      <c r="X137" s="109" t="e">
        <f t="shared" si="49"/>
        <v>#DIV/0!</v>
      </c>
      <c r="Y137" s="109" t="e">
        <f t="shared" si="49"/>
        <v>#DIV/0!</v>
      </c>
      <c r="Z137" s="109" t="e">
        <f t="shared" si="49"/>
        <v>#DIV/0!</v>
      </c>
      <c r="AA137" s="109" t="e">
        <f t="shared" si="49"/>
        <v>#DIV/0!</v>
      </c>
      <c r="AB137" s="109">
        <f t="shared" si="49"/>
        <v>2.04887239595334</v>
      </c>
      <c r="AC137" s="109">
        <f t="shared" si="49"/>
        <v>-0.142828755305384</v>
      </c>
      <c r="AD137" s="109">
        <f t="shared" si="49"/>
        <v>-1</v>
      </c>
      <c r="AE137" s="109">
        <f t="shared" si="49"/>
        <v>-1</v>
      </c>
      <c r="AF137" s="109">
        <f t="shared" si="49"/>
        <v>-1</v>
      </c>
      <c r="AG137" s="109">
        <f t="shared" si="49"/>
        <v>-1</v>
      </c>
      <c r="AH137" s="109">
        <f t="shared" si="49"/>
        <v>-0.606784628318516</v>
      </c>
    </row>
    <row r="138" s="1" customFormat="1" spans="1:38"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</row>
    <row r="139" s="1" customFormat="1" ht="22.15" customHeight="1" spans="1:38">
      <c r="A139" s="110" t="s">
        <v>100</v>
      </c>
      <c r="B139" s="110" t="s">
        <v>20</v>
      </c>
      <c r="C139" s="111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2">
        <v>0</v>
      </c>
      <c r="J139" s="112">
        <v>0</v>
      </c>
      <c r="K139" s="112">
        <v>0</v>
      </c>
      <c r="L139" s="112">
        <v>0</v>
      </c>
      <c r="M139" s="112">
        <v>0</v>
      </c>
      <c r="N139" s="112">
        <v>0</v>
      </c>
      <c r="O139" s="112">
        <v>0</v>
      </c>
      <c r="P139" s="112">
        <v>0</v>
      </c>
      <c r="Q139" s="112">
        <v>0</v>
      </c>
      <c r="R139" s="112">
        <v>0</v>
      </c>
      <c r="S139" s="112">
        <v>0</v>
      </c>
      <c r="T139" s="112">
        <v>0</v>
      </c>
      <c r="U139" s="112">
        <v>0</v>
      </c>
      <c r="V139" s="112">
        <v>0</v>
      </c>
      <c r="W139" s="112">
        <v>0</v>
      </c>
      <c r="X139" s="112">
        <v>0</v>
      </c>
      <c r="Y139" s="112">
        <v>0</v>
      </c>
      <c r="Z139" s="112">
        <v>0</v>
      </c>
      <c r="AA139" s="112">
        <v>0</v>
      </c>
      <c r="AB139" s="112">
        <v>0</v>
      </c>
      <c r="AC139" s="112">
        <v>0</v>
      </c>
      <c r="AD139" s="112">
        <v>0</v>
      </c>
      <c r="AE139" s="112">
        <v>0</v>
      </c>
      <c r="AF139" s="112">
        <v>0</v>
      </c>
      <c r="AG139" s="112">
        <v>0</v>
      </c>
      <c r="AH139" s="109"/>
    </row>
    <row r="140" s="1" customFormat="1" ht="22.15" customHeight="1" spans="1:38">
      <c r="A140" s="113" t="s">
        <v>100</v>
      </c>
      <c r="B140" s="113" t="s">
        <v>21</v>
      </c>
      <c r="C140" s="114">
        <v>0</v>
      </c>
      <c r="D140" s="114">
        <v>0</v>
      </c>
      <c r="E140" s="114">
        <v>0</v>
      </c>
      <c r="F140" s="114">
        <v>0</v>
      </c>
      <c r="G140" s="114">
        <v>0</v>
      </c>
      <c r="H140" s="114">
        <v>0</v>
      </c>
      <c r="I140" s="115">
        <v>0</v>
      </c>
      <c r="J140" s="115">
        <v>0</v>
      </c>
      <c r="K140" s="115">
        <v>0</v>
      </c>
      <c r="L140" s="115">
        <v>0</v>
      </c>
      <c r="M140" s="115">
        <v>0</v>
      </c>
      <c r="N140" s="115">
        <v>0</v>
      </c>
      <c r="O140" s="115">
        <v>0</v>
      </c>
      <c r="P140" s="115">
        <v>0</v>
      </c>
      <c r="Q140" s="115">
        <v>0</v>
      </c>
      <c r="R140" s="115">
        <v>0</v>
      </c>
      <c r="S140" s="115">
        <v>0</v>
      </c>
      <c r="T140" s="115">
        <v>0</v>
      </c>
      <c r="U140" s="115">
        <v>0</v>
      </c>
      <c r="V140" s="115">
        <v>0</v>
      </c>
      <c r="W140" s="115">
        <v>0</v>
      </c>
      <c r="X140" s="115">
        <v>0</v>
      </c>
      <c r="Y140" s="115">
        <v>0</v>
      </c>
      <c r="Z140" s="115">
        <v>0</v>
      </c>
      <c r="AA140" s="115">
        <v>0</v>
      </c>
      <c r="AB140" s="115">
        <v>0</v>
      </c>
      <c r="AC140" s="115">
        <v>0</v>
      </c>
      <c r="AD140" s="115">
        <v>0</v>
      </c>
      <c r="AE140" s="115">
        <v>0</v>
      </c>
      <c r="AF140" s="115"/>
      <c r="AG140" s="115"/>
      <c r="AH140" s="115"/>
    </row>
    <row r="141" s="1" customFormat="1" ht="12.6" customHeight="1" spans="1:38">
      <c r="A141" s="113"/>
      <c r="B141" s="113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</row>
    <row r="142" s="1" customFormat="1" ht="20.45" customHeight="1" spans="1:38">
      <c r="A142" s="113"/>
      <c r="B142" s="113"/>
      <c r="C142" s="116">
        <f t="shared" ref="C142:AG142" si="50">C143+C146</f>
        <v>0</v>
      </c>
      <c r="D142" s="116">
        <f t="shared" si="50"/>
        <v>0</v>
      </c>
      <c r="E142" s="116">
        <f t="shared" si="50"/>
        <v>0</v>
      </c>
      <c r="F142" s="116">
        <f t="shared" si="50"/>
        <v>0</v>
      </c>
      <c r="G142" s="116">
        <f t="shared" si="50"/>
        <v>0</v>
      </c>
      <c r="H142" s="116">
        <f t="shared" si="50"/>
        <v>0</v>
      </c>
      <c r="I142" s="116">
        <f t="shared" si="50"/>
        <v>0</v>
      </c>
      <c r="J142" s="116">
        <f t="shared" si="50"/>
        <v>0</v>
      </c>
      <c r="K142" s="116">
        <f t="shared" si="50"/>
        <v>0</v>
      </c>
      <c r="L142" s="116">
        <f t="shared" si="50"/>
        <v>0</v>
      </c>
      <c r="M142" s="116">
        <f t="shared" si="50"/>
        <v>0</v>
      </c>
      <c r="N142" s="116">
        <f t="shared" si="50"/>
        <v>0</v>
      </c>
      <c r="O142" s="116">
        <f t="shared" si="50"/>
        <v>0</v>
      </c>
      <c r="P142" s="116">
        <f t="shared" si="50"/>
        <v>0</v>
      </c>
      <c r="Q142" s="116">
        <f t="shared" si="50"/>
        <v>0</v>
      </c>
      <c r="R142" s="116">
        <f t="shared" si="50"/>
        <v>0</v>
      </c>
      <c r="S142" s="116">
        <f t="shared" si="50"/>
        <v>0</v>
      </c>
      <c r="T142" s="116">
        <f t="shared" si="50"/>
        <v>0</v>
      </c>
      <c r="U142" s="116">
        <f t="shared" si="50"/>
        <v>0</v>
      </c>
      <c r="V142" s="116">
        <f t="shared" si="50"/>
        <v>0</v>
      </c>
      <c r="W142" s="116">
        <f t="shared" si="50"/>
        <v>0</v>
      </c>
      <c r="X142" s="116">
        <f t="shared" si="50"/>
        <v>0</v>
      </c>
      <c r="Y142" s="116">
        <f t="shared" si="50"/>
        <v>0</v>
      </c>
      <c r="Z142" s="116">
        <f t="shared" si="50"/>
        <v>0</v>
      </c>
      <c r="AA142" s="116">
        <f t="shared" si="50"/>
        <v>0</v>
      </c>
      <c r="AB142" s="116">
        <f t="shared" si="50"/>
        <v>0</v>
      </c>
      <c r="AC142" s="116">
        <f t="shared" si="50"/>
        <v>0</v>
      </c>
      <c r="AD142" s="116">
        <f t="shared" si="50"/>
        <v>0</v>
      </c>
      <c r="AE142" s="116">
        <f t="shared" si="50"/>
        <v>0</v>
      </c>
      <c r="AF142" s="116">
        <f t="shared" si="50"/>
        <v>0</v>
      </c>
      <c r="AG142" s="116">
        <f t="shared" si="50"/>
        <v>0</v>
      </c>
      <c r="AH142" s="115"/>
    </row>
    <row r="143" s="6" customFormat="1" ht="24" customHeight="1" spans="1:38">
      <c r="A143" s="117" t="s">
        <v>101</v>
      </c>
      <c r="B143" s="6" t="s">
        <v>102</v>
      </c>
      <c r="C143" s="116">
        <f t="shared" ref="C143:AG143" si="51">C144+C145</f>
        <v>0</v>
      </c>
      <c r="D143" s="116">
        <f t="shared" si="51"/>
        <v>0</v>
      </c>
      <c r="E143" s="116">
        <f t="shared" si="51"/>
        <v>0</v>
      </c>
      <c r="F143" s="116">
        <f t="shared" si="51"/>
        <v>0</v>
      </c>
      <c r="G143" s="116">
        <f t="shared" si="51"/>
        <v>0</v>
      </c>
      <c r="H143" s="116">
        <f t="shared" si="51"/>
        <v>0</v>
      </c>
      <c r="I143" s="116">
        <f t="shared" si="51"/>
        <v>0</v>
      </c>
      <c r="J143" s="116">
        <f t="shared" si="51"/>
        <v>0</v>
      </c>
      <c r="K143" s="116">
        <f t="shared" si="51"/>
        <v>0</v>
      </c>
      <c r="L143" s="116">
        <f t="shared" si="51"/>
        <v>0</v>
      </c>
      <c r="M143" s="116">
        <f t="shared" si="51"/>
        <v>0</v>
      </c>
      <c r="N143" s="116">
        <f t="shared" si="51"/>
        <v>0</v>
      </c>
      <c r="O143" s="116">
        <f t="shared" si="51"/>
        <v>0</v>
      </c>
      <c r="P143" s="116">
        <f t="shared" si="51"/>
        <v>0</v>
      </c>
      <c r="Q143" s="116">
        <f t="shared" si="51"/>
        <v>0</v>
      </c>
      <c r="R143" s="116">
        <f t="shared" si="51"/>
        <v>0</v>
      </c>
      <c r="S143" s="116">
        <f t="shared" si="51"/>
        <v>0</v>
      </c>
      <c r="T143" s="116">
        <f t="shared" si="51"/>
        <v>0</v>
      </c>
      <c r="U143" s="116">
        <f t="shared" si="51"/>
        <v>0</v>
      </c>
      <c r="V143" s="116">
        <f t="shared" si="51"/>
        <v>0</v>
      </c>
      <c r="W143" s="116">
        <f t="shared" si="51"/>
        <v>0</v>
      </c>
      <c r="X143" s="116">
        <f t="shared" si="51"/>
        <v>0</v>
      </c>
      <c r="Y143" s="116">
        <f t="shared" si="51"/>
        <v>0</v>
      </c>
      <c r="Z143" s="116">
        <f t="shared" si="51"/>
        <v>0</v>
      </c>
      <c r="AA143" s="116">
        <f t="shared" si="51"/>
        <v>0</v>
      </c>
      <c r="AB143" s="116">
        <f t="shared" si="51"/>
        <v>0</v>
      </c>
      <c r="AC143" s="116">
        <f t="shared" si="51"/>
        <v>0</v>
      </c>
      <c r="AD143" s="116">
        <f t="shared" si="51"/>
        <v>0</v>
      </c>
      <c r="AE143" s="116">
        <f t="shared" si="51"/>
        <v>0</v>
      </c>
      <c r="AF143" s="116">
        <f t="shared" si="51"/>
        <v>0</v>
      </c>
      <c r="AG143" s="116">
        <f t="shared" si="51"/>
        <v>0</v>
      </c>
      <c r="AH143" s="116"/>
    </row>
    <row r="144" s="7" customFormat="1" ht="19.9" customHeight="1" spans="1:38">
      <c r="B144" s="118" t="s">
        <v>103</v>
      </c>
      <c r="C144" s="119">
        <v>0</v>
      </c>
      <c r="D144" s="119">
        <v>0</v>
      </c>
      <c r="E144" s="119">
        <v>0</v>
      </c>
      <c r="F144" s="119">
        <v>0</v>
      </c>
      <c r="G144" s="119">
        <v>0</v>
      </c>
      <c r="H144" s="119">
        <v>0</v>
      </c>
      <c r="I144" s="119">
        <v>0</v>
      </c>
      <c r="J144" s="119">
        <v>0</v>
      </c>
      <c r="K144" s="119">
        <v>0</v>
      </c>
      <c r="L144" s="119">
        <v>0</v>
      </c>
      <c r="M144" s="119">
        <v>0</v>
      </c>
      <c r="N144" s="119">
        <v>0</v>
      </c>
      <c r="O144" s="119">
        <v>0</v>
      </c>
      <c r="P144" s="119">
        <v>0</v>
      </c>
      <c r="Q144" s="119">
        <v>0</v>
      </c>
      <c r="R144" s="119">
        <v>0</v>
      </c>
      <c r="S144" s="119">
        <v>0</v>
      </c>
      <c r="T144" s="119">
        <v>0</v>
      </c>
      <c r="U144" s="119">
        <v>0</v>
      </c>
      <c r="V144" s="119">
        <v>0</v>
      </c>
      <c r="W144" s="119">
        <v>0</v>
      </c>
      <c r="X144" s="119">
        <v>0</v>
      </c>
      <c r="Y144" s="119">
        <v>0</v>
      </c>
      <c r="Z144" s="119">
        <v>0</v>
      </c>
      <c r="AA144" s="119">
        <v>0</v>
      </c>
      <c r="AB144" s="119">
        <v>0</v>
      </c>
      <c r="AC144" s="119">
        <v>0</v>
      </c>
      <c r="AD144" s="119">
        <v>0</v>
      </c>
      <c r="AE144" s="119">
        <v>0</v>
      </c>
      <c r="AF144" s="119">
        <v>0</v>
      </c>
      <c r="AG144" s="119"/>
      <c r="AH144" s="116"/>
    </row>
    <row r="145" s="7" customFormat="1" ht="19.9" customHeight="1" spans="1:34">
      <c r="A145" s="120"/>
      <c r="B145" s="7" t="s">
        <v>104</v>
      </c>
      <c r="C145" s="119">
        <v>0</v>
      </c>
      <c r="D145" s="119">
        <v>0</v>
      </c>
      <c r="E145" s="119">
        <v>0</v>
      </c>
      <c r="F145" s="119">
        <v>0</v>
      </c>
      <c r="G145" s="119">
        <v>0</v>
      </c>
      <c r="H145" s="119">
        <v>0</v>
      </c>
      <c r="I145" s="119">
        <v>0</v>
      </c>
      <c r="J145" s="119">
        <v>0</v>
      </c>
      <c r="K145" s="119">
        <v>0</v>
      </c>
      <c r="L145" s="119">
        <v>0</v>
      </c>
      <c r="M145" s="119">
        <v>0</v>
      </c>
      <c r="N145" s="119">
        <v>0</v>
      </c>
      <c r="O145" s="119">
        <v>0</v>
      </c>
      <c r="P145" s="119">
        <v>0</v>
      </c>
      <c r="Q145" s="119">
        <v>0</v>
      </c>
      <c r="R145" s="119">
        <v>0</v>
      </c>
      <c r="S145" s="119">
        <v>0</v>
      </c>
      <c r="T145" s="119">
        <v>0</v>
      </c>
      <c r="U145" s="119">
        <v>0</v>
      </c>
      <c r="V145" s="119">
        <v>0</v>
      </c>
      <c r="W145" s="119">
        <v>0</v>
      </c>
      <c r="X145" s="119">
        <v>0</v>
      </c>
      <c r="Y145" s="119">
        <v>0</v>
      </c>
      <c r="Z145" s="119">
        <v>0</v>
      </c>
      <c r="AA145" s="119">
        <v>0</v>
      </c>
      <c r="AB145" s="119">
        <v>0</v>
      </c>
      <c r="AC145" s="119">
        <v>0</v>
      </c>
      <c r="AD145" s="119">
        <v>0</v>
      </c>
      <c r="AE145" s="119">
        <v>0</v>
      </c>
      <c r="AF145" s="119">
        <v>0</v>
      </c>
      <c r="AG145" s="119"/>
      <c r="AH145" s="116"/>
    </row>
    <row r="146" s="6" customFormat="1" ht="19.9" customHeight="1" spans="1:34">
      <c r="A146" s="117" t="s">
        <v>105</v>
      </c>
      <c r="B146" s="6" t="s">
        <v>102</v>
      </c>
      <c r="C146" s="116">
        <f t="shared" ref="C146:AG146" si="52">C147+C148</f>
        <v>0</v>
      </c>
      <c r="D146" s="116">
        <f t="shared" si="52"/>
        <v>0</v>
      </c>
      <c r="E146" s="116">
        <f t="shared" si="52"/>
        <v>0</v>
      </c>
      <c r="F146" s="116">
        <f t="shared" si="52"/>
        <v>0</v>
      </c>
      <c r="G146" s="116">
        <f t="shared" si="52"/>
        <v>0</v>
      </c>
      <c r="H146" s="116">
        <f t="shared" si="52"/>
        <v>0</v>
      </c>
      <c r="I146" s="116">
        <f t="shared" si="52"/>
        <v>0</v>
      </c>
      <c r="J146" s="116">
        <f t="shared" si="52"/>
        <v>0</v>
      </c>
      <c r="K146" s="116">
        <f t="shared" si="52"/>
        <v>0</v>
      </c>
      <c r="L146" s="116">
        <f t="shared" si="52"/>
        <v>0</v>
      </c>
      <c r="M146" s="116">
        <f t="shared" si="52"/>
        <v>0</v>
      </c>
      <c r="N146" s="116">
        <f t="shared" si="52"/>
        <v>0</v>
      </c>
      <c r="O146" s="116">
        <f t="shared" si="52"/>
        <v>0</v>
      </c>
      <c r="P146" s="116">
        <f t="shared" si="52"/>
        <v>0</v>
      </c>
      <c r="Q146" s="116">
        <f t="shared" si="52"/>
        <v>0</v>
      </c>
      <c r="R146" s="116">
        <f t="shared" si="52"/>
        <v>0</v>
      </c>
      <c r="S146" s="116">
        <f t="shared" si="52"/>
        <v>0</v>
      </c>
      <c r="T146" s="116">
        <f t="shared" si="52"/>
        <v>0</v>
      </c>
      <c r="U146" s="116">
        <f t="shared" si="52"/>
        <v>0</v>
      </c>
      <c r="V146" s="116">
        <f t="shared" si="52"/>
        <v>0</v>
      </c>
      <c r="W146" s="116">
        <f t="shared" si="52"/>
        <v>0</v>
      </c>
      <c r="X146" s="116">
        <f t="shared" si="52"/>
        <v>0</v>
      </c>
      <c r="Y146" s="116">
        <f t="shared" si="52"/>
        <v>0</v>
      </c>
      <c r="Z146" s="116">
        <f t="shared" si="52"/>
        <v>0</v>
      </c>
      <c r="AA146" s="116">
        <f t="shared" si="52"/>
        <v>0</v>
      </c>
      <c r="AB146" s="116">
        <f t="shared" si="52"/>
        <v>0</v>
      </c>
      <c r="AC146" s="116">
        <f t="shared" si="52"/>
        <v>0</v>
      </c>
      <c r="AD146" s="116">
        <f t="shared" si="52"/>
        <v>0</v>
      </c>
      <c r="AE146" s="116">
        <f t="shared" si="52"/>
        <v>0</v>
      </c>
      <c r="AF146" s="116">
        <f t="shared" si="52"/>
        <v>0</v>
      </c>
      <c r="AG146" s="116">
        <f t="shared" si="52"/>
        <v>0</v>
      </c>
      <c r="AH146" s="116"/>
    </row>
    <row r="147" s="7" customFormat="1" ht="19.9" customHeight="1" spans="1:34">
      <c r="A147" s="120"/>
      <c r="B147" s="118" t="s">
        <v>103</v>
      </c>
      <c r="C147" s="119">
        <v>0</v>
      </c>
      <c r="D147" s="119">
        <v>0</v>
      </c>
      <c r="E147" s="119">
        <v>0</v>
      </c>
      <c r="F147" s="119">
        <v>0</v>
      </c>
      <c r="G147" s="119">
        <v>0</v>
      </c>
      <c r="H147" s="119">
        <v>0</v>
      </c>
      <c r="I147" s="119">
        <v>0</v>
      </c>
      <c r="J147" s="119">
        <v>0</v>
      </c>
      <c r="K147" s="119">
        <v>0</v>
      </c>
      <c r="L147" s="119">
        <v>0</v>
      </c>
      <c r="M147" s="119">
        <v>0</v>
      </c>
      <c r="N147" s="119">
        <v>0</v>
      </c>
      <c r="O147" s="119">
        <v>0</v>
      </c>
      <c r="P147" s="119">
        <v>0</v>
      </c>
      <c r="Q147" s="119">
        <v>0</v>
      </c>
      <c r="R147" s="119">
        <v>0</v>
      </c>
      <c r="S147" s="119">
        <v>0</v>
      </c>
      <c r="T147" s="119">
        <v>0</v>
      </c>
      <c r="U147" s="119">
        <v>0</v>
      </c>
      <c r="V147" s="119">
        <v>0</v>
      </c>
      <c r="W147" s="119">
        <v>0</v>
      </c>
      <c r="X147" s="119">
        <v>0</v>
      </c>
      <c r="Y147" s="119">
        <v>0</v>
      </c>
      <c r="Z147" s="119">
        <v>0</v>
      </c>
      <c r="AA147" s="119">
        <v>0</v>
      </c>
      <c r="AB147" s="119">
        <v>0</v>
      </c>
      <c r="AC147" s="119">
        <v>0</v>
      </c>
      <c r="AD147" s="119">
        <v>0</v>
      </c>
      <c r="AE147" s="119">
        <v>0</v>
      </c>
      <c r="AF147" s="119">
        <v>0</v>
      </c>
      <c r="AG147" s="119"/>
      <c r="AH147" s="116"/>
    </row>
    <row r="148" s="7" customFormat="1" ht="19.9" customHeight="1" spans="1:34">
      <c r="A148" s="120"/>
      <c r="B148" s="7" t="s">
        <v>104</v>
      </c>
      <c r="C148" s="119">
        <v>0</v>
      </c>
      <c r="D148" s="119">
        <v>0</v>
      </c>
      <c r="E148" s="119">
        <v>0</v>
      </c>
      <c r="F148" s="119">
        <v>0</v>
      </c>
      <c r="G148" s="119">
        <v>0</v>
      </c>
      <c r="H148" s="119">
        <v>0</v>
      </c>
      <c r="I148" s="119">
        <v>0</v>
      </c>
      <c r="J148" s="119">
        <v>0</v>
      </c>
      <c r="K148" s="119">
        <v>0</v>
      </c>
      <c r="L148" s="119">
        <v>0</v>
      </c>
      <c r="M148" s="119">
        <v>0</v>
      </c>
      <c r="N148" s="119">
        <v>0</v>
      </c>
      <c r="O148" s="119">
        <v>0</v>
      </c>
      <c r="P148" s="119">
        <v>0</v>
      </c>
      <c r="Q148" s="119">
        <v>0</v>
      </c>
      <c r="R148" s="119">
        <v>0</v>
      </c>
      <c r="S148" s="119">
        <v>0</v>
      </c>
      <c r="T148" s="119">
        <v>0</v>
      </c>
      <c r="U148" s="119">
        <v>0</v>
      </c>
      <c r="V148" s="119">
        <v>0</v>
      </c>
      <c r="W148" s="119">
        <v>0</v>
      </c>
      <c r="X148" s="119">
        <v>0</v>
      </c>
      <c r="Y148" s="119">
        <v>0</v>
      </c>
      <c r="Z148" s="119">
        <v>0</v>
      </c>
      <c r="AA148" s="119">
        <v>0</v>
      </c>
      <c r="AB148" s="119">
        <v>0</v>
      </c>
      <c r="AC148" s="119">
        <v>0</v>
      </c>
      <c r="AD148" s="119">
        <v>0</v>
      </c>
      <c r="AE148" s="119">
        <v>0</v>
      </c>
      <c r="AF148" s="119">
        <v>0</v>
      </c>
      <c r="AG148" s="119"/>
      <c r="AH148" s="116"/>
    </row>
    <row r="149" s="7" customFormat="1" ht="14.45" customHeight="1" spans="1:34">
      <c r="A149" s="121"/>
      <c r="B149" s="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9"/>
      <c r="P149" s="119"/>
      <c r="Q149" s="119"/>
      <c r="R149" s="119"/>
      <c r="S149" s="116"/>
      <c r="T149" s="119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</row>
    <row r="150" s="8" customFormat="1" ht="17.25" customHeight="1" spans="1:34">
      <c r="A150" s="122" t="s">
        <v>106</v>
      </c>
      <c r="C150" s="123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/>
      <c r="AH150" s="123">
        <f t="shared" ref="AH150:AH153" si="53">SUM(C150:AG150)</f>
        <v>0</v>
      </c>
    </row>
    <row r="151" s="8" customFormat="1" ht="17.25" customHeight="1" spans="1:34">
      <c r="A151" s="122" t="s">
        <v>107</v>
      </c>
      <c r="C151" s="123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/>
      <c r="AH151" s="123">
        <f t="shared" si="53"/>
        <v>0</v>
      </c>
    </row>
    <row r="152" s="8" customFormat="1" ht="17.25" customHeight="1" spans="1:34">
      <c r="A152" s="124" t="s">
        <v>108</v>
      </c>
      <c r="C152" s="123">
        <v>0</v>
      </c>
      <c r="D152" s="123">
        <v>0</v>
      </c>
      <c r="E152" s="123">
        <v>0</v>
      </c>
      <c r="F152" s="123">
        <v>0</v>
      </c>
      <c r="G152" s="123">
        <v>9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0</v>
      </c>
      <c r="Q152" s="123">
        <v>0</v>
      </c>
      <c r="R152" s="123">
        <v>0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21</v>
      </c>
      <c r="AB152" s="123">
        <v>748.009980242368</v>
      </c>
      <c r="AC152" s="123">
        <v>1582.59109329294</v>
      </c>
      <c r="AD152" s="123">
        <v>0</v>
      </c>
      <c r="AE152" s="123">
        <v>0</v>
      </c>
      <c r="AF152" s="123">
        <v>0</v>
      </c>
      <c r="AG152" s="123"/>
      <c r="AH152" s="123">
        <f t="shared" si="53"/>
        <v>2360.60107353531</v>
      </c>
    </row>
    <row r="153" s="8" customFormat="1" ht="17.25" customHeight="1" spans="1:34">
      <c r="A153" s="124" t="s">
        <v>109</v>
      </c>
      <c r="C153" s="123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0</v>
      </c>
      <c r="Q153" s="123">
        <v>0</v>
      </c>
      <c r="R153" s="123">
        <v>0</v>
      </c>
      <c r="S153" s="123">
        <v>0</v>
      </c>
      <c r="T153" s="123">
        <v>0</v>
      </c>
      <c r="U153" s="123">
        <v>0</v>
      </c>
      <c r="V153" s="123">
        <v>0</v>
      </c>
      <c r="W153" s="123">
        <v>0</v>
      </c>
      <c r="X153" s="123">
        <v>0</v>
      </c>
      <c r="Y153" s="123">
        <v>0</v>
      </c>
      <c r="Z153" s="123">
        <v>0</v>
      </c>
      <c r="AA153" s="123">
        <v>90</v>
      </c>
      <c r="AB153" s="123">
        <v>181.195833567825</v>
      </c>
      <c r="AC153" s="123">
        <v>501</v>
      </c>
      <c r="AD153" s="123">
        <v>0</v>
      </c>
      <c r="AE153" s="123">
        <v>0</v>
      </c>
      <c r="AF153" s="123">
        <v>0</v>
      </c>
      <c r="AG153" s="123"/>
      <c r="AH153" s="123">
        <f t="shared" si="53"/>
        <v>772.195833567825</v>
      </c>
    </row>
    <row r="154" s="1" customFormat="1" spans="1:3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108"/>
    </row>
    <row r="155" s="1" customFormat="1" spans="1:34">
      <c r="A155" s="125" t="s">
        <v>110</v>
      </c>
      <c r="B155" s="3" t="s">
        <v>21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108"/>
    </row>
    <row r="156" s="1" customFormat="1" ht="16.5" customHeight="1" spans="1:34">
      <c r="A156" s="1" t="s">
        <v>111</v>
      </c>
      <c r="B156" s="65">
        <v>1339463.11</v>
      </c>
      <c r="C156" s="107">
        <v>0</v>
      </c>
      <c r="D156" s="107">
        <v>0</v>
      </c>
      <c r="E156" s="107">
        <v>0</v>
      </c>
      <c r="F156" s="73">
        <v>0</v>
      </c>
      <c r="G156" s="107">
        <v>0</v>
      </c>
      <c r="H156" s="107">
        <v>0</v>
      </c>
      <c r="I156" s="107">
        <v>0</v>
      </c>
      <c r="J156" s="107">
        <v>0</v>
      </c>
      <c r="K156" s="107">
        <v>0</v>
      </c>
      <c r="L156" s="107">
        <v>0</v>
      </c>
      <c r="M156" s="107">
        <v>0</v>
      </c>
      <c r="N156" s="107">
        <v>0</v>
      </c>
      <c r="O156" s="107">
        <v>0</v>
      </c>
      <c r="P156" s="107">
        <v>0</v>
      </c>
      <c r="Q156" s="107">
        <v>0</v>
      </c>
      <c r="R156" s="107">
        <v>0</v>
      </c>
      <c r="S156" s="107">
        <v>0</v>
      </c>
      <c r="T156" s="107">
        <v>0</v>
      </c>
      <c r="U156" s="107">
        <v>0</v>
      </c>
      <c r="V156" s="107">
        <v>0</v>
      </c>
      <c r="W156" s="107">
        <v>0</v>
      </c>
      <c r="X156" s="107">
        <v>0</v>
      </c>
      <c r="Y156" s="107">
        <v>0</v>
      </c>
      <c r="Z156" s="107">
        <v>0</v>
      </c>
      <c r="AA156" s="107">
        <v>0</v>
      </c>
      <c r="AB156" s="107">
        <v>0</v>
      </c>
      <c r="AC156" s="107">
        <v>0</v>
      </c>
      <c r="AD156" s="107">
        <v>0</v>
      </c>
      <c r="AE156" s="107">
        <v>0</v>
      </c>
      <c r="AF156" s="107">
        <v>0</v>
      </c>
      <c r="AG156" s="107">
        <v>0</v>
      </c>
      <c r="AH156" s="107">
        <f t="shared" ref="AH156:AH163" si="54">SUM(C156:AG156)</f>
        <v>0</v>
      </c>
    </row>
    <row r="157" s="1" customFormat="1" ht="16.5" customHeight="1" spans="1:34">
      <c r="A157" s="10" t="s">
        <v>112</v>
      </c>
      <c r="B157" s="65">
        <v>19047399.32</v>
      </c>
      <c r="C157" s="107">
        <v>0</v>
      </c>
      <c r="D157" s="107">
        <v>0</v>
      </c>
      <c r="E157" s="107">
        <v>0</v>
      </c>
      <c r="F157" s="107">
        <v>0</v>
      </c>
      <c r="G157" s="107">
        <v>0</v>
      </c>
      <c r="H157" s="107">
        <v>0</v>
      </c>
      <c r="I157" s="107">
        <v>0</v>
      </c>
      <c r="J157" s="107">
        <v>0</v>
      </c>
      <c r="K157" s="107">
        <v>0</v>
      </c>
      <c r="L157" s="107">
        <v>0</v>
      </c>
      <c r="M157" s="107">
        <v>0</v>
      </c>
      <c r="N157" s="107">
        <v>0</v>
      </c>
      <c r="O157" s="107">
        <v>0</v>
      </c>
      <c r="P157" s="107">
        <v>0</v>
      </c>
      <c r="Q157" s="107">
        <v>0</v>
      </c>
      <c r="R157" s="107">
        <v>0</v>
      </c>
      <c r="S157" s="107">
        <v>0</v>
      </c>
      <c r="T157" s="107">
        <v>0</v>
      </c>
      <c r="U157" s="107">
        <v>0</v>
      </c>
      <c r="V157" s="107">
        <v>0</v>
      </c>
      <c r="W157" s="107">
        <v>0</v>
      </c>
      <c r="X157" s="107">
        <v>0</v>
      </c>
      <c r="Y157" s="107">
        <v>0</v>
      </c>
      <c r="Z157" s="107">
        <v>0</v>
      </c>
      <c r="AA157" s="107">
        <v>111</v>
      </c>
      <c r="AB157" s="107">
        <v>929.205813810193</v>
      </c>
      <c r="AC157" s="107">
        <v>2083.59109329294</v>
      </c>
      <c r="AD157" s="107">
        <v>0</v>
      </c>
      <c r="AE157" s="107">
        <v>0</v>
      </c>
      <c r="AF157" s="107">
        <v>0</v>
      </c>
      <c r="AG157" s="107">
        <v>0</v>
      </c>
      <c r="AH157" s="107">
        <f t="shared" si="54"/>
        <v>3123.79690710313</v>
      </c>
    </row>
    <row r="158" s="1" customFormat="1" ht="16.5" customHeight="1" spans="1:34">
      <c r="A158" s="1" t="s">
        <v>113</v>
      </c>
      <c r="B158" s="65">
        <v>1098102.98</v>
      </c>
      <c r="C158" s="107">
        <v>0</v>
      </c>
      <c r="D158" s="107">
        <v>0</v>
      </c>
      <c r="E158" s="107">
        <v>0</v>
      </c>
      <c r="F158" s="107">
        <v>0</v>
      </c>
      <c r="G158" s="107">
        <v>0</v>
      </c>
      <c r="H158" s="107">
        <v>0</v>
      </c>
      <c r="I158" s="107">
        <v>0</v>
      </c>
      <c r="J158" s="107">
        <v>0</v>
      </c>
      <c r="K158" s="107">
        <v>0</v>
      </c>
      <c r="L158" s="107">
        <v>0</v>
      </c>
      <c r="M158" s="107">
        <v>0</v>
      </c>
      <c r="N158" s="107">
        <v>0</v>
      </c>
      <c r="O158" s="107">
        <v>0</v>
      </c>
      <c r="P158" s="107">
        <v>0</v>
      </c>
      <c r="Q158" s="107">
        <v>0</v>
      </c>
      <c r="R158" s="107">
        <v>0</v>
      </c>
      <c r="S158" s="107">
        <v>0</v>
      </c>
      <c r="T158" s="107">
        <v>0</v>
      </c>
      <c r="U158" s="107">
        <v>0</v>
      </c>
      <c r="V158" s="107">
        <v>0</v>
      </c>
      <c r="W158" s="107">
        <v>0</v>
      </c>
      <c r="X158" s="107">
        <v>0</v>
      </c>
      <c r="Y158" s="107">
        <v>0</v>
      </c>
      <c r="Z158" s="107">
        <v>0</v>
      </c>
      <c r="AA158" s="107">
        <v>0</v>
      </c>
      <c r="AB158" s="107">
        <v>0</v>
      </c>
      <c r="AC158" s="107">
        <v>0</v>
      </c>
      <c r="AD158" s="107">
        <v>0</v>
      </c>
      <c r="AE158" s="107">
        <v>0</v>
      </c>
      <c r="AF158" s="107">
        <v>0</v>
      </c>
      <c r="AG158" s="107">
        <v>0</v>
      </c>
      <c r="AH158" s="107">
        <f t="shared" si="54"/>
        <v>0</v>
      </c>
    </row>
    <row r="159" s="1" customFormat="1" ht="16.5" customHeight="1" spans="1:34">
      <c r="A159" s="1" t="s">
        <v>114</v>
      </c>
      <c r="B159" s="65">
        <v>1456334.59</v>
      </c>
      <c r="C159" s="107">
        <v>0</v>
      </c>
      <c r="D159" s="107">
        <v>0</v>
      </c>
      <c r="E159" s="107">
        <v>0</v>
      </c>
      <c r="F159" s="107">
        <v>0</v>
      </c>
      <c r="G159" s="107">
        <v>0</v>
      </c>
      <c r="H159" s="107">
        <v>0</v>
      </c>
      <c r="I159" s="107">
        <v>0</v>
      </c>
      <c r="J159" s="107">
        <v>0</v>
      </c>
      <c r="K159" s="107">
        <v>0</v>
      </c>
      <c r="L159" s="107">
        <v>0</v>
      </c>
      <c r="M159" s="107">
        <v>0</v>
      </c>
      <c r="N159" s="107">
        <v>0</v>
      </c>
      <c r="O159" s="107">
        <v>0</v>
      </c>
      <c r="P159" s="107">
        <v>0</v>
      </c>
      <c r="Q159" s="107">
        <v>0</v>
      </c>
      <c r="R159" s="107">
        <v>0</v>
      </c>
      <c r="S159" s="107">
        <v>0</v>
      </c>
      <c r="T159" s="107">
        <v>0</v>
      </c>
      <c r="U159" s="107">
        <v>0</v>
      </c>
      <c r="V159" s="107">
        <v>0</v>
      </c>
      <c r="W159" s="107">
        <v>0</v>
      </c>
      <c r="X159" s="107">
        <v>0</v>
      </c>
      <c r="Y159" s="107">
        <v>0</v>
      </c>
      <c r="Z159" s="107">
        <v>0</v>
      </c>
      <c r="AA159" s="107">
        <v>0</v>
      </c>
      <c r="AB159" s="107">
        <v>0</v>
      </c>
      <c r="AC159" s="107">
        <v>0</v>
      </c>
      <c r="AD159" s="107">
        <v>0</v>
      </c>
      <c r="AE159" s="107">
        <v>0</v>
      </c>
      <c r="AF159" s="107">
        <v>0</v>
      </c>
      <c r="AG159" s="107">
        <v>0</v>
      </c>
      <c r="AH159" s="107">
        <f t="shared" si="54"/>
        <v>0</v>
      </c>
    </row>
    <row r="160" s="1" customFormat="1" ht="16.5" customHeight="1" spans="1:34">
      <c r="A160" s="126" t="s">
        <v>115</v>
      </c>
      <c r="B160" s="127">
        <v>2554437.57</v>
      </c>
      <c r="C160" s="128">
        <v>0</v>
      </c>
      <c r="D160" s="128">
        <v>0</v>
      </c>
      <c r="E160" s="128">
        <v>0</v>
      </c>
      <c r="F160" s="128">
        <v>0</v>
      </c>
      <c r="G160" s="128">
        <v>0</v>
      </c>
      <c r="H160" s="128">
        <v>0</v>
      </c>
      <c r="I160" s="128">
        <v>0</v>
      </c>
      <c r="J160" s="128">
        <v>0</v>
      </c>
      <c r="K160" s="128">
        <v>0</v>
      </c>
      <c r="L160" s="128">
        <v>0</v>
      </c>
      <c r="M160" s="128">
        <v>0</v>
      </c>
      <c r="N160" s="128">
        <v>0</v>
      </c>
      <c r="O160" s="128">
        <v>0</v>
      </c>
      <c r="P160" s="128">
        <v>0</v>
      </c>
      <c r="Q160" s="128">
        <v>0</v>
      </c>
      <c r="R160" s="128">
        <v>0</v>
      </c>
      <c r="S160" s="128">
        <v>0</v>
      </c>
      <c r="T160" s="128">
        <v>0</v>
      </c>
      <c r="U160" s="128">
        <v>0</v>
      </c>
      <c r="V160" s="128">
        <v>0</v>
      </c>
      <c r="W160" s="128">
        <v>0</v>
      </c>
      <c r="X160" s="128">
        <v>0</v>
      </c>
      <c r="Y160" s="128">
        <v>0</v>
      </c>
      <c r="Z160" s="128">
        <v>0</v>
      </c>
      <c r="AA160" s="128">
        <v>0</v>
      </c>
      <c r="AB160" s="128">
        <v>0</v>
      </c>
      <c r="AC160" s="128">
        <v>0</v>
      </c>
      <c r="AD160" s="128">
        <v>0</v>
      </c>
      <c r="AE160" s="128">
        <v>0</v>
      </c>
      <c r="AF160" s="128">
        <v>0</v>
      </c>
      <c r="AG160" s="128">
        <v>0</v>
      </c>
      <c r="AH160" s="107">
        <f t="shared" si="54"/>
        <v>0</v>
      </c>
    </row>
    <row r="161" s="1" customFormat="1" ht="16.5" customHeight="1" spans="1:36">
      <c r="A161" s="1" t="s">
        <v>116</v>
      </c>
      <c r="B161" s="65">
        <v>7625.06</v>
      </c>
      <c r="C161" s="107">
        <v>0</v>
      </c>
      <c r="D161" s="107">
        <v>0</v>
      </c>
      <c r="E161" s="107">
        <v>0</v>
      </c>
      <c r="F161" s="107">
        <v>0</v>
      </c>
      <c r="G161" s="107">
        <v>0</v>
      </c>
      <c r="H161" s="107">
        <v>0</v>
      </c>
      <c r="I161" s="107">
        <v>0</v>
      </c>
      <c r="J161" s="107">
        <v>0</v>
      </c>
      <c r="K161" s="107">
        <v>0</v>
      </c>
      <c r="L161" s="107">
        <v>0</v>
      </c>
      <c r="M161" s="107">
        <v>0</v>
      </c>
      <c r="N161" s="107">
        <v>0</v>
      </c>
      <c r="O161" s="107">
        <v>0</v>
      </c>
      <c r="P161" s="107">
        <v>0</v>
      </c>
      <c r="Q161" s="107">
        <v>0</v>
      </c>
      <c r="R161" s="107">
        <v>0</v>
      </c>
      <c r="S161" s="107">
        <v>0</v>
      </c>
      <c r="T161" s="107">
        <v>0</v>
      </c>
      <c r="U161" s="107">
        <v>0</v>
      </c>
      <c r="V161" s="107">
        <v>0</v>
      </c>
      <c r="W161" s="107">
        <v>0</v>
      </c>
      <c r="X161" s="107">
        <v>0</v>
      </c>
      <c r="Y161" s="107">
        <v>0</v>
      </c>
      <c r="Z161" s="107">
        <v>0</v>
      </c>
      <c r="AA161" s="107">
        <v>0</v>
      </c>
      <c r="AB161" s="107">
        <v>0</v>
      </c>
      <c r="AC161" s="107">
        <v>0</v>
      </c>
      <c r="AD161" s="107">
        <v>0</v>
      </c>
      <c r="AE161" s="107">
        <v>0</v>
      </c>
      <c r="AF161" s="107">
        <v>0</v>
      </c>
      <c r="AG161" s="107">
        <v>0</v>
      </c>
      <c r="AH161" s="107">
        <f t="shared" si="54"/>
        <v>0</v>
      </c>
    </row>
    <row r="162" s="1" customFormat="1" ht="16.5" customHeight="1" spans="1:36">
      <c r="A162" s="9" t="s">
        <v>117</v>
      </c>
      <c r="B162" s="129">
        <v>22941300</v>
      </c>
      <c r="C162" s="130">
        <v>0</v>
      </c>
      <c r="D162" s="130">
        <v>0</v>
      </c>
      <c r="E162" s="130">
        <v>0</v>
      </c>
      <c r="F162" s="130">
        <v>0</v>
      </c>
      <c r="G162" s="130">
        <v>0</v>
      </c>
      <c r="H162" s="130">
        <v>0</v>
      </c>
      <c r="I162" s="130">
        <v>0</v>
      </c>
      <c r="J162" s="130">
        <v>0</v>
      </c>
      <c r="K162" s="130">
        <v>0</v>
      </c>
      <c r="L162" s="130">
        <v>0</v>
      </c>
      <c r="M162" s="130">
        <v>0</v>
      </c>
      <c r="N162" s="130">
        <v>0</v>
      </c>
      <c r="O162" s="130">
        <v>0</v>
      </c>
      <c r="P162" s="130">
        <v>0</v>
      </c>
      <c r="Q162" s="130">
        <v>0</v>
      </c>
      <c r="R162" s="130">
        <v>0</v>
      </c>
      <c r="S162" s="130">
        <v>0</v>
      </c>
      <c r="T162" s="130">
        <v>0</v>
      </c>
      <c r="U162" s="130">
        <v>0</v>
      </c>
      <c r="V162" s="130">
        <v>0</v>
      </c>
      <c r="W162" s="130">
        <v>0</v>
      </c>
      <c r="X162" s="130">
        <v>0</v>
      </c>
      <c r="Y162" s="130">
        <v>0</v>
      </c>
      <c r="Z162" s="130">
        <v>0</v>
      </c>
      <c r="AA162" s="130">
        <v>111</v>
      </c>
      <c r="AB162" s="130">
        <v>929.205813810193</v>
      </c>
      <c r="AC162" s="130">
        <v>2083.59109329294</v>
      </c>
      <c r="AD162" s="130">
        <v>0</v>
      </c>
      <c r="AE162" s="130">
        <v>0</v>
      </c>
      <c r="AF162" s="130">
        <v>0</v>
      </c>
      <c r="AG162" s="130">
        <v>0</v>
      </c>
      <c r="AH162" s="130">
        <f t="shared" si="54"/>
        <v>3123.79690710313</v>
      </c>
    </row>
    <row r="163" s="1" customFormat="1" ht="16.5" customHeight="1" spans="1:36">
      <c r="A163" s="1" t="s">
        <v>118</v>
      </c>
      <c r="B163" s="65">
        <v>22948925.06</v>
      </c>
      <c r="C163" s="130">
        <v>0</v>
      </c>
      <c r="D163" s="107">
        <v>0</v>
      </c>
      <c r="E163" s="107">
        <v>0</v>
      </c>
      <c r="F163" s="107">
        <v>0</v>
      </c>
      <c r="G163" s="107">
        <v>0</v>
      </c>
      <c r="H163" s="107">
        <v>0</v>
      </c>
      <c r="I163" s="107">
        <v>0</v>
      </c>
      <c r="J163" s="107">
        <v>0</v>
      </c>
      <c r="K163" s="107">
        <v>0</v>
      </c>
      <c r="L163" s="107">
        <v>0</v>
      </c>
      <c r="M163" s="107">
        <v>0</v>
      </c>
      <c r="N163" s="107">
        <v>0</v>
      </c>
      <c r="O163" s="107">
        <v>0</v>
      </c>
      <c r="P163" s="107">
        <v>0</v>
      </c>
      <c r="Q163" s="107">
        <v>0</v>
      </c>
      <c r="R163" s="107">
        <v>0</v>
      </c>
      <c r="S163" s="107">
        <v>0</v>
      </c>
      <c r="T163" s="107">
        <v>0</v>
      </c>
      <c r="U163" s="107">
        <v>0</v>
      </c>
      <c r="V163" s="107">
        <v>0</v>
      </c>
      <c r="W163" s="107">
        <v>0</v>
      </c>
      <c r="X163" s="107">
        <v>0</v>
      </c>
      <c r="Y163" s="107">
        <v>0</v>
      </c>
      <c r="Z163" s="107">
        <v>0</v>
      </c>
      <c r="AA163" s="107">
        <v>111</v>
      </c>
      <c r="AB163" s="107">
        <v>929.205813810193</v>
      </c>
      <c r="AC163" s="107">
        <v>2083.59109329294</v>
      </c>
      <c r="AD163" s="107">
        <v>0</v>
      </c>
      <c r="AE163" s="107">
        <v>0</v>
      </c>
      <c r="AF163" s="107">
        <v>0</v>
      </c>
      <c r="AG163" s="107">
        <v>0</v>
      </c>
      <c r="AH163" s="107">
        <f t="shared" si="54"/>
        <v>3123.79690710313</v>
      </c>
    </row>
    <row r="164" s="1" customFormat="1" ht="9.75" customHeight="1" spans="1:36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07"/>
    </row>
    <row r="165" s="8" customFormat="1" ht="16.5" customHeight="1" spans="1:36">
      <c r="A165" s="8" t="s">
        <v>119</v>
      </c>
      <c r="C165" s="123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0</v>
      </c>
      <c r="Q165" s="123">
        <v>0</v>
      </c>
      <c r="R165" s="123">
        <v>0</v>
      </c>
      <c r="S165" s="123">
        <v>0</v>
      </c>
      <c r="T165" s="123">
        <v>0</v>
      </c>
      <c r="U165" s="123">
        <v>0</v>
      </c>
      <c r="V165" s="123">
        <v>0</v>
      </c>
      <c r="W165" s="123">
        <v>0</v>
      </c>
      <c r="X165" s="123">
        <v>0</v>
      </c>
      <c r="Y165" s="123">
        <v>0</v>
      </c>
      <c r="Z165" s="123">
        <v>0</v>
      </c>
      <c r="AA165" s="123">
        <v>0</v>
      </c>
      <c r="AB165" s="123">
        <v>0</v>
      </c>
      <c r="AC165" s="123">
        <v>0</v>
      </c>
      <c r="AD165" s="123">
        <v>0</v>
      </c>
      <c r="AE165" s="123">
        <v>0</v>
      </c>
      <c r="AF165" s="123">
        <v>0</v>
      </c>
      <c r="AG165" s="123">
        <v>0</v>
      </c>
      <c r="AH165" s="123"/>
    </row>
    <row r="166" s="1" customFormat="1" ht="8.25" customHeight="1" spans="1:3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07"/>
    </row>
    <row r="167" s="9" customFormat="1" ht="18" customHeight="1" spans="1:36">
      <c r="A167" s="131" t="s">
        <v>120</v>
      </c>
      <c r="B167" s="125" t="s">
        <v>21</v>
      </c>
      <c r="C167" s="132">
        <f t="shared" ref="C167:AG167" si="55">C168+C171</f>
        <v>0</v>
      </c>
      <c r="D167" s="132">
        <f t="shared" si="55"/>
        <v>0</v>
      </c>
      <c r="E167" s="132">
        <f t="shared" si="55"/>
        <v>0</v>
      </c>
      <c r="F167" s="132">
        <f t="shared" si="55"/>
        <v>0</v>
      </c>
      <c r="G167" s="132">
        <f t="shared" si="55"/>
        <v>0</v>
      </c>
      <c r="H167" s="132">
        <f t="shared" si="55"/>
        <v>0</v>
      </c>
      <c r="I167" s="132">
        <f t="shared" si="55"/>
        <v>0</v>
      </c>
      <c r="J167" s="132">
        <f t="shared" si="55"/>
        <v>0</v>
      </c>
      <c r="K167" s="132">
        <f t="shared" si="55"/>
        <v>0</v>
      </c>
      <c r="L167" s="132">
        <f t="shared" si="55"/>
        <v>0</v>
      </c>
      <c r="M167" s="132">
        <f t="shared" si="55"/>
        <v>0</v>
      </c>
      <c r="N167" s="132">
        <f t="shared" si="55"/>
        <v>0</v>
      </c>
      <c r="O167" s="132">
        <f t="shared" si="55"/>
        <v>0</v>
      </c>
      <c r="P167" s="132">
        <f t="shared" si="55"/>
        <v>0</v>
      </c>
      <c r="Q167" s="132">
        <f t="shared" si="55"/>
        <v>0</v>
      </c>
      <c r="R167" s="132">
        <f t="shared" si="55"/>
        <v>0</v>
      </c>
      <c r="S167" s="132">
        <f t="shared" si="55"/>
        <v>0</v>
      </c>
      <c r="T167" s="132">
        <f t="shared" si="55"/>
        <v>0</v>
      </c>
      <c r="U167" s="132">
        <f t="shared" si="55"/>
        <v>0</v>
      </c>
      <c r="V167" s="132">
        <f t="shared" si="55"/>
        <v>0</v>
      </c>
      <c r="W167" s="132">
        <f t="shared" si="55"/>
        <v>0</v>
      </c>
      <c r="X167" s="132">
        <f t="shared" si="55"/>
        <v>0</v>
      </c>
      <c r="Y167" s="132">
        <f t="shared" si="55"/>
        <v>0</v>
      </c>
      <c r="Z167" s="132">
        <f t="shared" si="55"/>
        <v>0</v>
      </c>
      <c r="AA167" s="132">
        <f t="shared" si="55"/>
        <v>0</v>
      </c>
      <c r="AB167" s="132">
        <f t="shared" si="55"/>
        <v>0</v>
      </c>
      <c r="AC167" s="132">
        <f t="shared" si="55"/>
        <v>0</v>
      </c>
      <c r="AD167" s="132">
        <f t="shared" si="55"/>
        <v>0</v>
      </c>
      <c r="AE167" s="132">
        <f t="shared" si="55"/>
        <v>0</v>
      </c>
      <c r="AF167" s="132">
        <f t="shared" si="55"/>
        <v>0</v>
      </c>
      <c r="AG167" s="132">
        <f t="shared" si="55"/>
        <v>0</v>
      </c>
      <c r="AH167" s="132">
        <f t="shared" ref="AH167:AH173" si="56">SUM(C167:AG167)</f>
        <v>0</v>
      </c>
    </row>
    <row r="168" s="7" customFormat="1" ht="18" customHeight="1" spans="1:36">
      <c r="A168" s="133" t="s">
        <v>121</v>
      </c>
      <c r="B168" s="134"/>
      <c r="C168" s="119">
        <f t="shared" ref="C168:AG168" si="57">C169+C170</f>
        <v>0</v>
      </c>
      <c r="D168" s="119">
        <f t="shared" si="57"/>
        <v>0</v>
      </c>
      <c r="E168" s="119">
        <f t="shared" si="57"/>
        <v>0</v>
      </c>
      <c r="F168" s="119">
        <f t="shared" si="57"/>
        <v>0</v>
      </c>
      <c r="G168" s="119">
        <f t="shared" si="57"/>
        <v>0</v>
      </c>
      <c r="H168" s="119">
        <f t="shared" si="57"/>
        <v>0</v>
      </c>
      <c r="I168" s="119">
        <f t="shared" si="57"/>
        <v>0</v>
      </c>
      <c r="J168" s="119">
        <f t="shared" si="57"/>
        <v>0</v>
      </c>
      <c r="K168" s="119">
        <f t="shared" si="57"/>
        <v>0</v>
      </c>
      <c r="L168" s="119">
        <f t="shared" si="57"/>
        <v>0</v>
      </c>
      <c r="M168" s="119">
        <f t="shared" si="57"/>
        <v>0</v>
      </c>
      <c r="N168" s="119">
        <f t="shared" si="57"/>
        <v>0</v>
      </c>
      <c r="O168" s="119">
        <f t="shared" si="57"/>
        <v>0</v>
      </c>
      <c r="P168" s="119">
        <f t="shared" si="57"/>
        <v>0</v>
      </c>
      <c r="Q168" s="119">
        <f t="shared" si="57"/>
        <v>0</v>
      </c>
      <c r="R168" s="119">
        <f t="shared" si="57"/>
        <v>0</v>
      </c>
      <c r="S168" s="119">
        <f t="shared" si="57"/>
        <v>0</v>
      </c>
      <c r="T168" s="119">
        <f t="shared" si="57"/>
        <v>0</v>
      </c>
      <c r="U168" s="119">
        <f t="shared" si="57"/>
        <v>0</v>
      </c>
      <c r="V168" s="119">
        <f t="shared" si="57"/>
        <v>0</v>
      </c>
      <c r="W168" s="119">
        <f t="shared" si="57"/>
        <v>0</v>
      </c>
      <c r="X168" s="119">
        <f t="shared" si="57"/>
        <v>0</v>
      </c>
      <c r="Y168" s="119">
        <f t="shared" si="57"/>
        <v>0</v>
      </c>
      <c r="Z168" s="119">
        <f t="shared" si="57"/>
        <v>0</v>
      </c>
      <c r="AA168" s="119">
        <f t="shared" si="57"/>
        <v>0</v>
      </c>
      <c r="AB168" s="119">
        <f t="shared" si="57"/>
        <v>0</v>
      </c>
      <c r="AC168" s="119">
        <f t="shared" si="57"/>
        <v>0</v>
      </c>
      <c r="AD168" s="119">
        <f t="shared" si="57"/>
        <v>0</v>
      </c>
      <c r="AE168" s="119">
        <f t="shared" si="57"/>
        <v>0</v>
      </c>
      <c r="AF168" s="119">
        <f t="shared" si="57"/>
        <v>0</v>
      </c>
      <c r="AG168" s="119">
        <f t="shared" si="57"/>
        <v>0</v>
      </c>
      <c r="AH168" s="119">
        <f t="shared" si="56"/>
        <v>0</v>
      </c>
    </row>
    <row r="169" s="10" customFormat="1" ht="22.15" customHeight="1" spans="1:36">
      <c r="A169" s="135" t="s">
        <v>122</v>
      </c>
      <c r="B169" s="136" t="s">
        <v>70</v>
      </c>
      <c r="C169" s="107">
        <v>0</v>
      </c>
      <c r="D169" s="107">
        <v>0</v>
      </c>
      <c r="E169" s="107">
        <v>0</v>
      </c>
      <c r="F169" s="107">
        <v>0</v>
      </c>
      <c r="G169" s="107">
        <v>0</v>
      </c>
      <c r="H169" s="107">
        <v>0</v>
      </c>
      <c r="I169" s="107">
        <v>0</v>
      </c>
      <c r="J169" s="107">
        <v>0</v>
      </c>
      <c r="K169" s="107">
        <v>0</v>
      </c>
      <c r="L169" s="107">
        <v>0</v>
      </c>
      <c r="M169" s="107">
        <v>0</v>
      </c>
      <c r="N169" s="107">
        <v>0</v>
      </c>
      <c r="O169" s="107">
        <v>0</v>
      </c>
      <c r="P169" s="107">
        <v>0</v>
      </c>
      <c r="Q169" s="107">
        <v>0</v>
      </c>
      <c r="R169" s="107">
        <v>0</v>
      </c>
      <c r="S169" s="107">
        <v>0</v>
      </c>
      <c r="T169" s="107">
        <v>0</v>
      </c>
      <c r="U169" s="107">
        <v>0</v>
      </c>
      <c r="V169" s="107">
        <v>0</v>
      </c>
      <c r="W169" s="107">
        <v>0</v>
      </c>
      <c r="X169" s="107">
        <v>0</v>
      </c>
      <c r="Y169" s="107">
        <v>0</v>
      </c>
      <c r="Z169" s="107">
        <v>0</v>
      </c>
      <c r="AA169" s="107">
        <v>0</v>
      </c>
      <c r="AB169" s="107">
        <v>0</v>
      </c>
      <c r="AC169" s="107">
        <v>0</v>
      </c>
      <c r="AD169" s="107">
        <v>0</v>
      </c>
      <c r="AE169" s="107">
        <v>0</v>
      </c>
      <c r="AF169" s="107">
        <v>0</v>
      </c>
      <c r="AG169" s="107"/>
      <c r="AH169" s="107">
        <f t="shared" si="56"/>
        <v>0</v>
      </c>
    </row>
    <row r="170" s="10" customFormat="1" ht="22.15" customHeight="1" spans="1:36">
      <c r="A170" s="135" t="s">
        <v>123</v>
      </c>
      <c r="B170" s="136" t="s">
        <v>70</v>
      </c>
      <c r="C170" s="107">
        <v>0</v>
      </c>
      <c r="D170" s="107">
        <v>0</v>
      </c>
      <c r="E170" s="107">
        <v>0</v>
      </c>
      <c r="F170" s="107">
        <v>0</v>
      </c>
      <c r="G170" s="107">
        <v>0</v>
      </c>
      <c r="H170" s="107">
        <v>0</v>
      </c>
      <c r="I170" s="107">
        <v>0</v>
      </c>
      <c r="J170" s="107">
        <v>0</v>
      </c>
      <c r="K170" s="107">
        <v>0</v>
      </c>
      <c r="L170" s="107">
        <v>0</v>
      </c>
      <c r="M170" s="107">
        <v>0</v>
      </c>
      <c r="N170" s="107">
        <v>0</v>
      </c>
      <c r="O170" s="107">
        <v>0</v>
      </c>
      <c r="P170" s="107">
        <v>0</v>
      </c>
      <c r="Q170" s="107">
        <v>0</v>
      </c>
      <c r="R170" s="107">
        <v>0</v>
      </c>
      <c r="S170" s="107">
        <v>0</v>
      </c>
      <c r="T170" s="107">
        <v>0</v>
      </c>
      <c r="U170" s="107">
        <v>0</v>
      </c>
      <c r="V170" s="107">
        <v>0</v>
      </c>
      <c r="W170" s="107">
        <v>0</v>
      </c>
      <c r="X170" s="107">
        <v>0</v>
      </c>
      <c r="Y170" s="107">
        <v>0</v>
      </c>
      <c r="Z170" s="107">
        <v>0</v>
      </c>
      <c r="AA170" s="107">
        <v>0</v>
      </c>
      <c r="AB170" s="107">
        <v>0</v>
      </c>
      <c r="AC170" s="107">
        <v>0</v>
      </c>
      <c r="AD170" s="107">
        <v>0</v>
      </c>
      <c r="AE170" s="107">
        <v>0</v>
      </c>
      <c r="AF170" s="107">
        <v>0</v>
      </c>
      <c r="AG170" s="107"/>
      <c r="AH170" s="107">
        <f t="shared" si="56"/>
        <v>0</v>
      </c>
    </row>
    <row r="171" s="7" customFormat="1" ht="22.5" customHeight="1" spans="1:36">
      <c r="A171" s="133" t="s">
        <v>124</v>
      </c>
      <c r="C171" s="119">
        <f t="shared" ref="C171:AG171" si="58">C172+C173</f>
        <v>0</v>
      </c>
      <c r="D171" s="119">
        <f t="shared" si="58"/>
        <v>0</v>
      </c>
      <c r="E171" s="119">
        <f t="shared" si="58"/>
        <v>0</v>
      </c>
      <c r="F171" s="119">
        <f t="shared" si="58"/>
        <v>0</v>
      </c>
      <c r="G171" s="119">
        <f t="shared" si="58"/>
        <v>0</v>
      </c>
      <c r="H171" s="119">
        <f t="shared" si="58"/>
        <v>0</v>
      </c>
      <c r="I171" s="119">
        <f t="shared" si="58"/>
        <v>0</v>
      </c>
      <c r="J171" s="119">
        <f t="shared" si="58"/>
        <v>0</v>
      </c>
      <c r="K171" s="119">
        <f t="shared" si="58"/>
        <v>0</v>
      </c>
      <c r="L171" s="119">
        <f t="shared" si="58"/>
        <v>0</v>
      </c>
      <c r="M171" s="119">
        <f t="shared" si="58"/>
        <v>0</v>
      </c>
      <c r="N171" s="119">
        <f t="shared" si="58"/>
        <v>0</v>
      </c>
      <c r="O171" s="119">
        <f t="shared" si="58"/>
        <v>0</v>
      </c>
      <c r="P171" s="119">
        <f t="shared" si="58"/>
        <v>0</v>
      </c>
      <c r="Q171" s="119">
        <f t="shared" si="58"/>
        <v>0</v>
      </c>
      <c r="R171" s="119">
        <f t="shared" si="58"/>
        <v>0</v>
      </c>
      <c r="S171" s="119">
        <f t="shared" si="58"/>
        <v>0</v>
      </c>
      <c r="T171" s="119">
        <f t="shared" si="58"/>
        <v>0</v>
      </c>
      <c r="U171" s="119">
        <f t="shared" si="58"/>
        <v>0</v>
      </c>
      <c r="V171" s="119">
        <f t="shared" si="58"/>
        <v>0</v>
      </c>
      <c r="W171" s="119">
        <f t="shared" si="58"/>
        <v>0</v>
      </c>
      <c r="X171" s="119">
        <f t="shared" si="58"/>
        <v>0</v>
      </c>
      <c r="Y171" s="119">
        <f t="shared" si="58"/>
        <v>0</v>
      </c>
      <c r="Z171" s="119">
        <f t="shared" si="58"/>
        <v>0</v>
      </c>
      <c r="AA171" s="119">
        <f t="shared" si="58"/>
        <v>0</v>
      </c>
      <c r="AB171" s="119">
        <f t="shared" si="58"/>
        <v>0</v>
      </c>
      <c r="AC171" s="119">
        <f t="shared" si="58"/>
        <v>0</v>
      </c>
      <c r="AD171" s="119">
        <f t="shared" si="58"/>
        <v>0</v>
      </c>
      <c r="AE171" s="119">
        <f t="shared" si="58"/>
        <v>0</v>
      </c>
      <c r="AF171" s="119">
        <f t="shared" si="58"/>
        <v>0</v>
      </c>
      <c r="AG171" s="119">
        <f t="shared" si="58"/>
        <v>0</v>
      </c>
      <c r="AH171" s="119">
        <f t="shared" si="56"/>
        <v>0</v>
      </c>
      <c r="AI171" s="137"/>
    </row>
    <row r="172" s="10" customFormat="1" ht="22.15" customHeight="1" spans="1:36">
      <c r="A172" s="135" t="s">
        <v>122</v>
      </c>
      <c r="B172" s="136" t="s">
        <v>70</v>
      </c>
      <c r="C172" s="107">
        <v>0</v>
      </c>
      <c r="D172" s="107">
        <v>0</v>
      </c>
      <c r="E172" s="107">
        <v>0</v>
      </c>
      <c r="F172" s="107">
        <v>0</v>
      </c>
      <c r="G172" s="107">
        <v>0</v>
      </c>
      <c r="H172" s="107">
        <v>0</v>
      </c>
      <c r="I172" s="107">
        <v>0</v>
      </c>
      <c r="J172" s="107">
        <v>0</v>
      </c>
      <c r="K172" s="107">
        <v>0</v>
      </c>
      <c r="L172" s="107">
        <v>0</v>
      </c>
      <c r="M172" s="107">
        <v>0</v>
      </c>
      <c r="N172" s="107">
        <v>0</v>
      </c>
      <c r="O172" s="107">
        <v>0</v>
      </c>
      <c r="P172" s="107">
        <v>0</v>
      </c>
      <c r="Q172" s="107">
        <v>0</v>
      </c>
      <c r="R172" s="107">
        <v>0</v>
      </c>
      <c r="S172" s="107">
        <v>0</v>
      </c>
      <c r="T172" s="107">
        <v>0</v>
      </c>
      <c r="U172" s="107">
        <v>0</v>
      </c>
      <c r="V172" s="107">
        <v>0</v>
      </c>
      <c r="W172" s="107">
        <v>0</v>
      </c>
      <c r="X172" s="107">
        <v>0</v>
      </c>
      <c r="Y172" s="107">
        <v>0</v>
      </c>
      <c r="Z172" s="107">
        <v>0</v>
      </c>
      <c r="AA172" s="107">
        <v>0</v>
      </c>
      <c r="AB172" s="107">
        <v>0</v>
      </c>
      <c r="AC172" s="107">
        <v>0</v>
      </c>
      <c r="AD172" s="107">
        <v>0</v>
      </c>
      <c r="AE172" s="107">
        <v>0</v>
      </c>
      <c r="AF172" s="107">
        <v>0</v>
      </c>
      <c r="AG172" s="107"/>
      <c r="AH172" s="107">
        <f t="shared" si="56"/>
        <v>0</v>
      </c>
      <c r="AI172" s="108"/>
    </row>
    <row r="173" s="10" customFormat="1" ht="22.15" customHeight="1" spans="1:36">
      <c r="A173" s="135" t="s">
        <v>123</v>
      </c>
      <c r="B173" s="136" t="s">
        <v>70</v>
      </c>
      <c r="C173" s="107">
        <v>0</v>
      </c>
      <c r="D173" s="107">
        <v>0</v>
      </c>
      <c r="E173" s="107">
        <v>0</v>
      </c>
      <c r="F173" s="107">
        <v>0</v>
      </c>
      <c r="G173" s="107">
        <v>0</v>
      </c>
      <c r="H173" s="107">
        <v>0</v>
      </c>
      <c r="I173" s="107">
        <v>0</v>
      </c>
      <c r="J173" s="107">
        <v>0</v>
      </c>
      <c r="K173" s="107">
        <v>0</v>
      </c>
      <c r="L173" s="107">
        <v>0</v>
      </c>
      <c r="M173" s="107">
        <v>0</v>
      </c>
      <c r="N173" s="107">
        <v>0</v>
      </c>
      <c r="O173" s="107">
        <v>0</v>
      </c>
      <c r="P173" s="107">
        <v>0</v>
      </c>
      <c r="Q173" s="107">
        <v>0</v>
      </c>
      <c r="R173" s="107">
        <v>0</v>
      </c>
      <c r="S173" s="107">
        <v>0</v>
      </c>
      <c r="T173" s="107">
        <v>0</v>
      </c>
      <c r="U173" s="107">
        <v>0</v>
      </c>
      <c r="V173" s="107">
        <v>0</v>
      </c>
      <c r="W173" s="107">
        <v>0</v>
      </c>
      <c r="X173" s="107">
        <v>0</v>
      </c>
      <c r="Y173" s="107">
        <v>0</v>
      </c>
      <c r="Z173" s="107">
        <v>0</v>
      </c>
      <c r="AA173" s="107">
        <v>0</v>
      </c>
      <c r="AB173" s="107">
        <v>0</v>
      </c>
      <c r="AC173" s="107">
        <v>0</v>
      </c>
      <c r="AD173" s="107">
        <v>0</v>
      </c>
      <c r="AE173" s="107">
        <v>0</v>
      </c>
      <c r="AF173" s="107">
        <v>0</v>
      </c>
      <c r="AG173" s="107"/>
      <c r="AH173" s="107">
        <f t="shared" si="56"/>
        <v>0</v>
      </c>
      <c r="AI173" s="108"/>
    </row>
    <row r="174" s="1" customFormat="1" ht="15" customHeight="1" spans="1:36">
      <c r="A174" s="138"/>
      <c r="B174" s="13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07"/>
      <c r="AI174" s="108"/>
    </row>
    <row r="175" s="1" customFormat="1" ht="15" spans="1:36">
      <c r="A175" s="9" t="s">
        <v>125</v>
      </c>
      <c r="B175" s="140" t="s">
        <v>126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41"/>
      <c r="AI175" s="5"/>
      <c r="AJ175" s="108"/>
    </row>
    <row r="176" s="1" customFormat="1" ht="18" customHeight="1" spans="1:36">
      <c r="A176" s="142" t="s">
        <v>127</v>
      </c>
      <c r="B176" s="143" t="s">
        <v>20</v>
      </c>
      <c r="C176" s="144">
        <v>0</v>
      </c>
      <c r="D176" s="144">
        <v>0</v>
      </c>
      <c r="E176" s="144">
        <v>0</v>
      </c>
      <c r="F176" s="144">
        <v>0</v>
      </c>
      <c r="G176" s="144">
        <v>0</v>
      </c>
      <c r="H176" s="144">
        <v>0</v>
      </c>
      <c r="I176" s="144">
        <v>0</v>
      </c>
      <c r="J176" s="144">
        <v>0</v>
      </c>
      <c r="K176" s="144">
        <v>0</v>
      </c>
      <c r="L176" s="144">
        <v>0</v>
      </c>
      <c r="M176" s="144">
        <v>0</v>
      </c>
      <c r="N176" s="144">
        <v>0</v>
      </c>
      <c r="O176" s="144">
        <v>0</v>
      </c>
      <c r="P176" s="144">
        <v>0</v>
      </c>
      <c r="Q176" s="144">
        <v>0</v>
      </c>
      <c r="R176" s="144">
        <v>0</v>
      </c>
      <c r="S176" s="144">
        <v>0</v>
      </c>
      <c r="T176" s="144">
        <v>0</v>
      </c>
      <c r="U176" s="144">
        <v>0</v>
      </c>
      <c r="V176" s="144">
        <v>0</v>
      </c>
      <c r="W176" s="144">
        <v>0</v>
      </c>
      <c r="X176" s="144">
        <v>0</v>
      </c>
      <c r="Y176" s="144">
        <v>0</v>
      </c>
      <c r="Z176" s="144">
        <v>0</v>
      </c>
      <c r="AA176" s="144">
        <v>0</v>
      </c>
      <c r="AB176" s="144">
        <v>0</v>
      </c>
      <c r="AC176" s="144">
        <v>0</v>
      </c>
      <c r="AD176" s="144">
        <v>0</v>
      </c>
      <c r="AE176" s="144">
        <v>0</v>
      </c>
      <c r="AF176" s="144">
        <v>0</v>
      </c>
      <c r="AG176" s="144">
        <v>0</v>
      </c>
      <c r="AH176" s="145">
        <f t="shared" ref="AH176:AH181" si="59">SUM(C176:AG176)</f>
        <v>0</v>
      </c>
      <c r="AI176" s="5"/>
      <c r="AJ176" s="5"/>
    </row>
    <row r="177" s="1" customFormat="1" ht="18" customHeight="1" spans="1:37">
      <c r="A177" s="142"/>
      <c r="B177" s="7" t="s">
        <v>21</v>
      </c>
      <c r="C177" s="119">
        <v>0</v>
      </c>
      <c r="D177" s="119">
        <v>0</v>
      </c>
      <c r="E177" s="119">
        <v>0</v>
      </c>
      <c r="F177" s="119">
        <v>0</v>
      </c>
      <c r="G177" s="119">
        <v>0</v>
      </c>
      <c r="H177" s="119">
        <v>0</v>
      </c>
      <c r="I177" s="119">
        <v>0</v>
      </c>
      <c r="J177" s="119">
        <v>0</v>
      </c>
      <c r="K177" s="119">
        <v>0</v>
      </c>
      <c r="L177" s="119">
        <v>0</v>
      </c>
      <c r="M177" s="119">
        <v>0</v>
      </c>
      <c r="N177" s="119">
        <v>0</v>
      </c>
      <c r="O177" s="119">
        <v>0</v>
      </c>
      <c r="P177" s="119">
        <v>0</v>
      </c>
      <c r="Q177" s="119">
        <v>0</v>
      </c>
      <c r="R177" s="119">
        <v>0</v>
      </c>
      <c r="S177" s="119">
        <v>0</v>
      </c>
      <c r="T177" s="119">
        <v>0</v>
      </c>
      <c r="U177" s="119">
        <v>0</v>
      </c>
      <c r="V177" s="119">
        <v>0</v>
      </c>
      <c r="W177" s="119">
        <v>0</v>
      </c>
      <c r="X177" s="119">
        <v>0</v>
      </c>
      <c r="Y177" s="119">
        <v>0</v>
      </c>
      <c r="Z177" s="119">
        <v>0</v>
      </c>
      <c r="AA177" s="119">
        <v>0</v>
      </c>
      <c r="AB177" s="119">
        <v>0</v>
      </c>
      <c r="AC177" s="119">
        <v>0</v>
      </c>
      <c r="AD177" s="119">
        <v>0</v>
      </c>
      <c r="AE177" s="119">
        <v>0</v>
      </c>
      <c r="AF177" s="119">
        <v>0</v>
      </c>
      <c r="AG177" s="119">
        <v>0</v>
      </c>
      <c r="AH177" s="116">
        <f t="shared" si="59"/>
        <v>0</v>
      </c>
      <c r="AI177" s="146"/>
      <c r="AJ177" s="146"/>
      <c r="AK177" s="146"/>
    </row>
    <row r="178" s="1" customFormat="1" ht="18" customHeight="1" spans="1:37">
      <c r="A178" s="142" t="s">
        <v>128</v>
      </c>
      <c r="B178" s="143" t="s">
        <v>20</v>
      </c>
      <c r="C178" s="144">
        <v>0</v>
      </c>
      <c r="D178" s="144">
        <v>0</v>
      </c>
      <c r="E178" s="144">
        <v>0</v>
      </c>
      <c r="F178" s="144">
        <v>0</v>
      </c>
      <c r="G178" s="144">
        <v>0</v>
      </c>
      <c r="H178" s="144">
        <v>0</v>
      </c>
      <c r="I178" s="144">
        <v>0</v>
      </c>
      <c r="J178" s="144">
        <v>0</v>
      </c>
      <c r="K178" s="144">
        <v>0</v>
      </c>
      <c r="L178" s="144">
        <v>0</v>
      </c>
      <c r="M178" s="144">
        <v>0</v>
      </c>
      <c r="N178" s="144">
        <v>0</v>
      </c>
      <c r="O178" s="144">
        <v>0</v>
      </c>
      <c r="P178" s="144">
        <v>0</v>
      </c>
      <c r="Q178" s="144">
        <v>0</v>
      </c>
      <c r="R178" s="144">
        <v>0</v>
      </c>
      <c r="S178" s="144">
        <v>0</v>
      </c>
      <c r="T178" s="144">
        <v>0</v>
      </c>
      <c r="U178" s="144">
        <v>0</v>
      </c>
      <c r="V178" s="144">
        <v>0</v>
      </c>
      <c r="W178" s="144">
        <v>0</v>
      </c>
      <c r="X178" s="144">
        <v>0</v>
      </c>
      <c r="Y178" s="144">
        <v>0</v>
      </c>
      <c r="Z178" s="144">
        <v>0</v>
      </c>
      <c r="AA178" s="144">
        <v>0</v>
      </c>
      <c r="AB178" s="144">
        <v>0</v>
      </c>
      <c r="AC178" s="144">
        <v>12</v>
      </c>
      <c r="AD178" s="144">
        <v>12</v>
      </c>
      <c r="AE178" s="144">
        <v>12</v>
      </c>
      <c r="AF178" s="144">
        <v>13</v>
      </c>
      <c r="AG178" s="144">
        <v>0</v>
      </c>
      <c r="AH178" s="145">
        <f t="shared" si="59"/>
        <v>49</v>
      </c>
      <c r="AI178" s="5"/>
      <c r="AJ178" s="108"/>
    </row>
    <row r="179" s="1" customFormat="1" ht="18" customHeight="1" spans="1:37">
      <c r="A179" s="142"/>
      <c r="B179" s="7" t="s">
        <v>21</v>
      </c>
      <c r="C179" s="119">
        <v>0</v>
      </c>
      <c r="D179" s="119">
        <v>0</v>
      </c>
      <c r="E179" s="119">
        <v>0</v>
      </c>
      <c r="F179" s="119">
        <v>0</v>
      </c>
      <c r="G179" s="119">
        <v>0</v>
      </c>
      <c r="H179" s="119">
        <v>0</v>
      </c>
      <c r="I179" s="119">
        <v>0</v>
      </c>
      <c r="J179" s="119">
        <v>0</v>
      </c>
      <c r="K179" s="119">
        <v>0</v>
      </c>
      <c r="L179" s="119">
        <v>0</v>
      </c>
      <c r="M179" s="119">
        <v>0</v>
      </c>
      <c r="N179" s="119">
        <v>0</v>
      </c>
      <c r="O179" s="119">
        <v>0</v>
      </c>
      <c r="P179" s="119">
        <v>0</v>
      </c>
      <c r="Q179" s="119">
        <v>0</v>
      </c>
      <c r="R179" s="119">
        <v>0</v>
      </c>
      <c r="S179" s="119">
        <v>0</v>
      </c>
      <c r="T179" s="119">
        <v>0</v>
      </c>
      <c r="U179" s="119">
        <v>0</v>
      </c>
      <c r="V179" s="119">
        <v>0</v>
      </c>
      <c r="W179" s="119">
        <v>0</v>
      </c>
      <c r="X179" s="119">
        <v>0</v>
      </c>
      <c r="Y179" s="119">
        <v>0</v>
      </c>
      <c r="Z179" s="119">
        <v>0</v>
      </c>
      <c r="AA179" s="119">
        <v>12.5714285714286</v>
      </c>
      <c r="AB179" s="119">
        <v>0</v>
      </c>
      <c r="AC179" s="119">
        <v>40</v>
      </c>
      <c r="AD179" s="119">
        <v>0</v>
      </c>
      <c r="AE179" s="119">
        <v>0</v>
      </c>
      <c r="AF179" s="119">
        <v>0</v>
      </c>
      <c r="AG179" s="119">
        <v>0</v>
      </c>
      <c r="AH179" s="116">
        <f t="shared" si="59"/>
        <v>52.5714285714286</v>
      </c>
      <c r="AI179" s="146"/>
      <c r="AJ179" s="146"/>
      <c r="AK179" s="146"/>
    </row>
    <row r="180" s="1" customFormat="1" ht="18.75" customHeight="1" spans="1:37">
      <c r="A180" s="142" t="s">
        <v>129</v>
      </c>
      <c r="B180" s="143" t="s">
        <v>20</v>
      </c>
      <c r="C180" s="144">
        <v>0</v>
      </c>
      <c r="D180" s="144">
        <v>0</v>
      </c>
      <c r="E180" s="144">
        <v>0</v>
      </c>
      <c r="F180" s="144">
        <v>0</v>
      </c>
      <c r="G180" s="144">
        <v>0</v>
      </c>
      <c r="H180" s="144">
        <v>0</v>
      </c>
      <c r="I180" s="144">
        <v>0</v>
      </c>
      <c r="J180" s="144">
        <v>0</v>
      </c>
      <c r="K180" s="144">
        <v>0</v>
      </c>
      <c r="L180" s="144">
        <v>0</v>
      </c>
      <c r="M180" s="144">
        <v>0</v>
      </c>
      <c r="N180" s="144">
        <v>0</v>
      </c>
      <c r="O180" s="144">
        <v>0</v>
      </c>
      <c r="P180" s="144">
        <v>0</v>
      </c>
      <c r="Q180" s="144">
        <v>0</v>
      </c>
      <c r="R180" s="144">
        <v>0</v>
      </c>
      <c r="S180" s="144">
        <v>0</v>
      </c>
      <c r="T180" s="144">
        <v>0</v>
      </c>
      <c r="U180" s="144">
        <v>0</v>
      </c>
      <c r="V180" s="144">
        <v>0</v>
      </c>
      <c r="W180" s="144">
        <v>0</v>
      </c>
      <c r="X180" s="144">
        <v>0</v>
      </c>
      <c r="Y180" s="144">
        <v>0</v>
      </c>
      <c r="Z180" s="144">
        <v>0</v>
      </c>
      <c r="AA180" s="144">
        <v>0</v>
      </c>
      <c r="AB180" s="144">
        <v>0</v>
      </c>
      <c r="AC180" s="144">
        <v>0</v>
      </c>
      <c r="AD180" s="144">
        <v>0</v>
      </c>
      <c r="AE180" s="144">
        <v>0</v>
      </c>
      <c r="AF180" s="144">
        <v>0</v>
      </c>
      <c r="AG180" s="107">
        <v>0</v>
      </c>
      <c r="AH180" s="145">
        <f t="shared" si="59"/>
        <v>0</v>
      </c>
      <c r="AI180" s="5"/>
      <c r="AJ180" s="108"/>
    </row>
    <row r="181" s="1" customFormat="1" ht="18" customHeight="1" spans="1:37">
      <c r="A181" s="142"/>
      <c r="B181" s="7" t="s">
        <v>21</v>
      </c>
      <c r="C181" s="119">
        <v>0</v>
      </c>
      <c r="D181" s="119">
        <v>0</v>
      </c>
      <c r="E181" s="119">
        <v>0</v>
      </c>
      <c r="F181" s="119">
        <v>0</v>
      </c>
      <c r="G181" s="119">
        <v>0</v>
      </c>
      <c r="H181" s="119">
        <v>0</v>
      </c>
      <c r="I181" s="119">
        <v>0</v>
      </c>
      <c r="J181" s="119">
        <v>0</v>
      </c>
      <c r="K181" s="119">
        <v>0</v>
      </c>
      <c r="L181" s="119">
        <v>0</v>
      </c>
      <c r="M181" s="119">
        <v>0</v>
      </c>
      <c r="N181" s="119">
        <v>0</v>
      </c>
      <c r="O181" s="119">
        <v>0</v>
      </c>
      <c r="P181" s="119">
        <v>0</v>
      </c>
      <c r="Q181" s="119">
        <v>0</v>
      </c>
      <c r="R181" s="119">
        <v>0</v>
      </c>
      <c r="S181" s="119">
        <v>0</v>
      </c>
      <c r="T181" s="119">
        <v>0</v>
      </c>
      <c r="U181" s="119">
        <v>0</v>
      </c>
      <c r="V181" s="119">
        <v>0</v>
      </c>
      <c r="W181" s="119">
        <v>0</v>
      </c>
      <c r="X181" s="119">
        <v>0</v>
      </c>
      <c r="Y181" s="119">
        <v>0</v>
      </c>
      <c r="Z181" s="119">
        <v>0</v>
      </c>
      <c r="AA181" s="119">
        <v>0</v>
      </c>
      <c r="AB181" s="119">
        <v>0</v>
      </c>
      <c r="AC181" s="119">
        <v>0</v>
      </c>
      <c r="AD181" s="119">
        <v>0</v>
      </c>
      <c r="AE181" s="119">
        <v>0</v>
      </c>
      <c r="AF181" s="119">
        <v>0</v>
      </c>
      <c r="AG181" s="119">
        <v>0</v>
      </c>
      <c r="AH181" s="116">
        <f t="shared" si="59"/>
        <v>0</v>
      </c>
      <c r="AI181" s="146"/>
      <c r="AJ181" s="108"/>
    </row>
    <row r="182" s="1" customFormat="1" ht="10.5" customHeight="1" spans="1:37"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19"/>
      <c r="AI182" s="5"/>
      <c r="AJ182" s="108"/>
    </row>
    <row r="183" s="1" customFormat="1" ht="23.25" customHeight="1" spans="1:37">
      <c r="A183" s="9" t="s">
        <v>130</v>
      </c>
      <c r="B183" s="143" t="s">
        <v>20</v>
      </c>
      <c r="C183" s="144">
        <v>0</v>
      </c>
      <c r="D183" s="144">
        <v>0</v>
      </c>
      <c r="E183" s="144">
        <v>0</v>
      </c>
      <c r="F183" s="144">
        <v>0</v>
      </c>
      <c r="G183" s="144">
        <v>0</v>
      </c>
      <c r="H183" s="144">
        <v>0</v>
      </c>
      <c r="I183" s="144">
        <v>0</v>
      </c>
      <c r="J183" s="144">
        <v>0</v>
      </c>
      <c r="K183" s="144">
        <v>0</v>
      </c>
      <c r="L183" s="144">
        <v>0</v>
      </c>
      <c r="M183" s="144">
        <v>0</v>
      </c>
      <c r="N183" s="144">
        <v>0</v>
      </c>
      <c r="O183" s="144">
        <v>0</v>
      </c>
      <c r="P183" s="144">
        <v>0</v>
      </c>
      <c r="Q183" s="144">
        <v>0</v>
      </c>
      <c r="R183" s="144">
        <v>0</v>
      </c>
      <c r="S183" s="144">
        <v>0</v>
      </c>
      <c r="T183" s="144">
        <v>0</v>
      </c>
      <c r="U183" s="144">
        <v>0</v>
      </c>
      <c r="V183" s="144">
        <v>0</v>
      </c>
      <c r="W183" s="144">
        <v>0</v>
      </c>
      <c r="X183" s="144">
        <v>0</v>
      </c>
      <c r="Y183" s="144">
        <v>0</v>
      </c>
      <c r="Z183" s="144">
        <v>0</v>
      </c>
      <c r="AA183" s="144">
        <v>0</v>
      </c>
      <c r="AB183" s="144">
        <v>0</v>
      </c>
      <c r="AC183" s="144">
        <v>0</v>
      </c>
      <c r="AD183" s="144">
        <v>0</v>
      </c>
      <c r="AE183" s="144">
        <v>0</v>
      </c>
      <c r="AF183" s="144">
        <v>0</v>
      </c>
      <c r="AG183" s="144">
        <v>0</v>
      </c>
      <c r="AH183" s="145">
        <f t="shared" ref="AH183:AH186" si="60">SUM(C183:AG183)</f>
        <v>0</v>
      </c>
      <c r="AI183" s="5"/>
      <c r="AJ183" s="108"/>
    </row>
    <row r="184" s="1" customFormat="1" ht="23.25" customHeight="1" spans="1:37">
      <c r="A184" s="9"/>
      <c r="B184" s="7" t="s">
        <v>21</v>
      </c>
      <c r="C184" s="119">
        <v>0</v>
      </c>
      <c r="D184" s="119">
        <v>0</v>
      </c>
      <c r="E184" s="119">
        <v>0</v>
      </c>
      <c r="F184" s="119">
        <v>0</v>
      </c>
      <c r="G184" s="119">
        <v>0</v>
      </c>
      <c r="H184" s="119">
        <v>0</v>
      </c>
      <c r="I184" s="119">
        <v>0</v>
      </c>
      <c r="J184" s="119">
        <v>0</v>
      </c>
      <c r="K184" s="119">
        <v>0</v>
      </c>
      <c r="L184" s="119">
        <v>0</v>
      </c>
      <c r="M184" s="147">
        <v>0</v>
      </c>
      <c r="N184" s="119">
        <v>0</v>
      </c>
      <c r="O184" s="119">
        <v>0</v>
      </c>
      <c r="P184" s="119">
        <v>0</v>
      </c>
      <c r="Q184" s="119">
        <v>0</v>
      </c>
      <c r="R184" s="119">
        <v>0</v>
      </c>
      <c r="S184" s="119">
        <v>0</v>
      </c>
      <c r="T184" s="119">
        <v>0</v>
      </c>
      <c r="U184" s="119">
        <v>0</v>
      </c>
      <c r="V184" s="119">
        <v>0</v>
      </c>
      <c r="W184" s="119">
        <v>0</v>
      </c>
      <c r="X184" s="119">
        <v>0</v>
      </c>
      <c r="Y184" s="119">
        <v>0</v>
      </c>
      <c r="Z184" s="119">
        <v>0</v>
      </c>
      <c r="AA184" s="119">
        <v>0</v>
      </c>
      <c r="AB184" s="119">
        <v>0</v>
      </c>
      <c r="AC184" s="119">
        <v>0</v>
      </c>
      <c r="AD184" s="119">
        <v>0</v>
      </c>
      <c r="AE184" s="119">
        <v>0</v>
      </c>
      <c r="AF184" s="119">
        <v>0</v>
      </c>
      <c r="AG184" s="119">
        <v>0</v>
      </c>
      <c r="AH184" s="116">
        <f t="shared" si="60"/>
        <v>0</v>
      </c>
      <c r="AI184" s="5"/>
      <c r="AJ184" s="108"/>
    </row>
    <row r="185" s="1" customFormat="1" ht="23.25" customHeight="1" spans="1:37">
      <c r="A185" s="9" t="s">
        <v>131</v>
      </c>
      <c r="B185" s="143" t="s">
        <v>20</v>
      </c>
      <c r="C185" s="144">
        <v>0</v>
      </c>
      <c r="D185" s="144">
        <v>0</v>
      </c>
      <c r="E185" s="144">
        <v>0</v>
      </c>
      <c r="F185" s="144">
        <v>0</v>
      </c>
      <c r="G185" s="144">
        <v>0</v>
      </c>
      <c r="H185" s="144">
        <v>0</v>
      </c>
      <c r="I185" s="144">
        <v>0</v>
      </c>
      <c r="J185" s="144">
        <v>0</v>
      </c>
      <c r="K185" s="144">
        <v>0</v>
      </c>
      <c r="L185" s="144">
        <v>0</v>
      </c>
      <c r="M185" s="144">
        <v>0</v>
      </c>
      <c r="N185" s="144">
        <v>0</v>
      </c>
      <c r="O185" s="144">
        <v>0</v>
      </c>
      <c r="P185" s="144">
        <v>0</v>
      </c>
      <c r="Q185" s="144">
        <v>0</v>
      </c>
      <c r="R185" s="144">
        <v>0</v>
      </c>
      <c r="S185" s="144">
        <v>0</v>
      </c>
      <c r="T185" s="144">
        <v>0</v>
      </c>
      <c r="U185" s="144">
        <v>0</v>
      </c>
      <c r="V185" s="144">
        <v>0</v>
      </c>
      <c r="W185" s="144">
        <v>0</v>
      </c>
      <c r="X185" s="144">
        <v>0</v>
      </c>
      <c r="Y185" s="144">
        <v>0</v>
      </c>
      <c r="Z185" s="144">
        <v>0</v>
      </c>
      <c r="AA185" s="144">
        <v>0</v>
      </c>
      <c r="AB185" s="144">
        <v>0</v>
      </c>
      <c r="AC185" s="144">
        <v>0</v>
      </c>
      <c r="AD185" s="144">
        <v>0</v>
      </c>
      <c r="AE185" s="144">
        <v>0</v>
      </c>
      <c r="AF185" s="144">
        <v>0</v>
      </c>
      <c r="AG185" s="144">
        <v>0</v>
      </c>
      <c r="AH185" s="145">
        <f t="shared" si="60"/>
        <v>0</v>
      </c>
      <c r="AI185" s="5"/>
      <c r="AJ185" s="108"/>
    </row>
    <row r="186" s="1" customFormat="1" ht="23.25" customHeight="1" spans="1:37">
      <c r="A186" s="9"/>
      <c r="B186" s="7" t="s">
        <v>21</v>
      </c>
      <c r="C186" s="119">
        <v>0</v>
      </c>
      <c r="D186" s="119">
        <v>0</v>
      </c>
      <c r="E186" s="119">
        <v>0</v>
      </c>
      <c r="F186" s="119">
        <v>0</v>
      </c>
      <c r="G186" s="119">
        <v>0</v>
      </c>
      <c r="H186" s="119">
        <v>0</v>
      </c>
      <c r="I186" s="119">
        <v>0</v>
      </c>
      <c r="J186" s="119">
        <v>0</v>
      </c>
      <c r="K186" s="119">
        <v>0</v>
      </c>
      <c r="L186" s="119">
        <v>0</v>
      </c>
      <c r="M186" s="147">
        <v>0</v>
      </c>
      <c r="N186" s="119">
        <v>0</v>
      </c>
      <c r="O186" s="119">
        <v>0</v>
      </c>
      <c r="P186" s="119">
        <v>0</v>
      </c>
      <c r="Q186" s="119">
        <v>0</v>
      </c>
      <c r="R186" s="119">
        <v>0</v>
      </c>
      <c r="S186" s="119">
        <v>0</v>
      </c>
      <c r="T186" s="119">
        <v>0</v>
      </c>
      <c r="U186" s="119">
        <v>0</v>
      </c>
      <c r="V186" s="119">
        <v>0</v>
      </c>
      <c r="W186" s="119">
        <v>0</v>
      </c>
      <c r="X186" s="119">
        <v>0</v>
      </c>
      <c r="Y186" s="119">
        <v>0</v>
      </c>
      <c r="Z186" s="119">
        <v>0</v>
      </c>
      <c r="AA186" s="119">
        <v>0</v>
      </c>
      <c r="AB186" s="119">
        <v>0</v>
      </c>
      <c r="AC186" s="119">
        <v>0</v>
      </c>
      <c r="AD186" s="119">
        <v>0</v>
      </c>
      <c r="AE186" s="119">
        <v>0</v>
      </c>
      <c r="AF186" s="119">
        <v>0</v>
      </c>
      <c r="AG186" s="119">
        <v>0</v>
      </c>
      <c r="AH186" s="116">
        <f t="shared" si="60"/>
        <v>0</v>
      </c>
      <c r="AI186" s="5"/>
      <c r="AJ186" s="108"/>
    </row>
    <row r="187" s="1" customFormat="1" spans="1:3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108"/>
    </row>
    <row r="188" s="1" customFormat="1" ht="14.25" spans="1:37">
      <c r="A188" s="148" t="s">
        <v>132</v>
      </c>
      <c r="B188" s="149" t="s">
        <v>21</v>
      </c>
      <c r="C188" s="107">
        <v>0</v>
      </c>
      <c r="D188" s="107">
        <v>0</v>
      </c>
      <c r="E188" s="107">
        <v>0</v>
      </c>
      <c r="F188" s="150">
        <v>0</v>
      </c>
      <c r="G188" s="151">
        <v>0</v>
      </c>
      <c r="H188" s="152">
        <v>0</v>
      </c>
      <c r="I188" s="153">
        <v>0</v>
      </c>
      <c r="J188" s="107">
        <v>0</v>
      </c>
      <c r="K188" s="107">
        <v>0</v>
      </c>
      <c r="L188" s="107">
        <v>0</v>
      </c>
      <c r="M188" s="107">
        <v>0</v>
      </c>
      <c r="N188" s="107">
        <v>0</v>
      </c>
      <c r="O188" s="107">
        <v>0</v>
      </c>
      <c r="P188" s="107">
        <v>0</v>
      </c>
      <c r="Q188" s="107">
        <v>0</v>
      </c>
      <c r="R188" s="107">
        <v>0</v>
      </c>
      <c r="S188" s="107">
        <v>0</v>
      </c>
      <c r="T188" s="107">
        <v>0</v>
      </c>
      <c r="U188" s="107">
        <v>0</v>
      </c>
      <c r="V188" s="107">
        <v>0</v>
      </c>
      <c r="W188" s="107">
        <v>0</v>
      </c>
      <c r="X188" s="107">
        <v>0</v>
      </c>
      <c r="Y188" s="107">
        <v>0</v>
      </c>
      <c r="Z188" s="107">
        <v>0</v>
      </c>
      <c r="AA188" s="107">
        <v>0</v>
      </c>
      <c r="AB188" s="107">
        <v>1334</v>
      </c>
      <c r="AC188" s="107">
        <v>1176</v>
      </c>
      <c r="AD188" s="107">
        <v>0</v>
      </c>
      <c r="AE188" s="107">
        <v>0</v>
      </c>
      <c r="AF188" s="107">
        <v>0</v>
      </c>
      <c r="AG188" s="107"/>
      <c r="AH188" s="5"/>
      <c r="AI188" s="5"/>
      <c r="AJ188" s="108"/>
    </row>
    <row r="189" s="1" customFormat="1" ht="14.25" spans="1:37">
      <c r="A189" s="148" t="s">
        <v>133</v>
      </c>
      <c r="B189" s="149"/>
      <c r="C189" s="107">
        <v>0</v>
      </c>
      <c r="D189" s="107">
        <v>0</v>
      </c>
      <c r="E189" s="107">
        <v>0</v>
      </c>
      <c r="F189" s="150">
        <v>0</v>
      </c>
      <c r="G189" s="154">
        <v>0</v>
      </c>
      <c r="H189" s="155">
        <v>0</v>
      </c>
      <c r="I189" s="156">
        <v>0</v>
      </c>
      <c r="J189" s="107">
        <v>0</v>
      </c>
      <c r="K189" s="107">
        <v>0</v>
      </c>
      <c r="L189" s="107">
        <v>0</v>
      </c>
      <c r="M189" s="107">
        <v>0</v>
      </c>
      <c r="N189" s="107">
        <v>0</v>
      </c>
      <c r="O189" s="107">
        <v>0</v>
      </c>
      <c r="P189" s="107">
        <v>0</v>
      </c>
      <c r="Q189" s="107">
        <v>0</v>
      </c>
      <c r="R189" s="107">
        <v>0</v>
      </c>
      <c r="S189" s="107">
        <v>0</v>
      </c>
      <c r="T189" s="107">
        <v>0</v>
      </c>
      <c r="U189" s="107">
        <v>0</v>
      </c>
      <c r="V189" s="107">
        <v>0</v>
      </c>
      <c r="W189" s="107">
        <v>0</v>
      </c>
      <c r="X189" s="107">
        <v>0</v>
      </c>
      <c r="Y189" s="107">
        <v>0</v>
      </c>
      <c r="Z189" s="107">
        <v>0</v>
      </c>
      <c r="AA189" s="107">
        <v>7</v>
      </c>
      <c r="AB189" s="107">
        <v>27</v>
      </c>
      <c r="AC189" s="107">
        <v>79</v>
      </c>
      <c r="AD189" s="107">
        <v>0</v>
      </c>
      <c r="AE189" s="107">
        <v>0</v>
      </c>
      <c r="AF189" s="107">
        <v>0</v>
      </c>
      <c r="AG189" s="107"/>
      <c r="AH189" s="5"/>
      <c r="AI189" s="5"/>
      <c r="AJ189" s="108"/>
    </row>
    <row r="190" s="1" customFormat="1" ht="14.25" spans="1:37">
      <c r="A190" s="148" t="s">
        <v>134</v>
      </c>
      <c r="B190" s="149"/>
      <c r="C190" s="107">
        <v>0</v>
      </c>
      <c r="D190" s="107">
        <v>0</v>
      </c>
      <c r="E190" s="107">
        <v>0</v>
      </c>
      <c r="F190" s="150">
        <v>0</v>
      </c>
      <c r="G190" s="151">
        <v>0</v>
      </c>
      <c r="H190" s="152">
        <v>0</v>
      </c>
      <c r="I190" s="153">
        <v>0</v>
      </c>
      <c r="J190" s="107">
        <v>0</v>
      </c>
      <c r="K190" s="107">
        <v>0</v>
      </c>
      <c r="L190" s="107">
        <v>0</v>
      </c>
      <c r="M190" s="107">
        <v>0</v>
      </c>
      <c r="N190" s="107">
        <v>0</v>
      </c>
      <c r="O190" s="107">
        <v>0</v>
      </c>
      <c r="P190" s="107">
        <v>0</v>
      </c>
      <c r="Q190" s="107">
        <v>0</v>
      </c>
      <c r="R190" s="107">
        <v>0</v>
      </c>
      <c r="S190" s="107">
        <v>0</v>
      </c>
      <c r="T190" s="107">
        <v>0</v>
      </c>
      <c r="U190" s="107">
        <v>0</v>
      </c>
      <c r="V190" s="107">
        <v>0</v>
      </c>
      <c r="W190" s="107">
        <v>0</v>
      </c>
      <c r="X190" s="107">
        <v>0</v>
      </c>
      <c r="Y190" s="107">
        <v>0</v>
      </c>
      <c r="Z190" s="107">
        <v>0</v>
      </c>
      <c r="AA190" s="107">
        <v>187</v>
      </c>
      <c r="AB190" s="107">
        <v>160</v>
      </c>
      <c r="AC190" s="107">
        <v>178</v>
      </c>
      <c r="AD190" s="107">
        <v>0</v>
      </c>
      <c r="AE190" s="107">
        <v>0</v>
      </c>
      <c r="AF190" s="107">
        <v>0</v>
      </c>
      <c r="AG190" s="107"/>
      <c r="AH190" s="5"/>
      <c r="AI190" s="5"/>
      <c r="AJ190" s="108"/>
    </row>
    <row r="191" s="1" customFormat="1" ht="14.25" spans="1:37">
      <c r="A191" s="148" t="s">
        <v>135</v>
      </c>
      <c r="B191" s="149"/>
      <c r="C191" s="107">
        <v>0</v>
      </c>
      <c r="D191" s="107">
        <v>0</v>
      </c>
      <c r="E191" s="107">
        <v>0</v>
      </c>
      <c r="F191" s="150">
        <v>0</v>
      </c>
      <c r="G191" s="151">
        <v>0</v>
      </c>
      <c r="H191" s="152">
        <v>0</v>
      </c>
      <c r="I191" s="153">
        <v>0</v>
      </c>
      <c r="J191" s="107">
        <v>0</v>
      </c>
      <c r="K191" s="107">
        <v>0</v>
      </c>
      <c r="L191" s="107">
        <v>0</v>
      </c>
      <c r="M191" s="107">
        <v>0</v>
      </c>
      <c r="N191" s="107">
        <v>0</v>
      </c>
      <c r="O191" s="107">
        <v>0</v>
      </c>
      <c r="P191" s="107">
        <v>0</v>
      </c>
      <c r="Q191" s="107">
        <v>0</v>
      </c>
      <c r="R191" s="107">
        <v>0</v>
      </c>
      <c r="S191" s="107">
        <v>0</v>
      </c>
      <c r="T191" s="107">
        <v>0</v>
      </c>
      <c r="U191" s="107">
        <v>0</v>
      </c>
      <c r="V191" s="107">
        <v>0</v>
      </c>
      <c r="W191" s="107">
        <v>0</v>
      </c>
      <c r="X191" s="107">
        <v>0</v>
      </c>
      <c r="Y191" s="107">
        <v>0</v>
      </c>
      <c r="Z191" s="107">
        <v>0</v>
      </c>
      <c r="AA191" s="107">
        <v>227.5</v>
      </c>
      <c r="AB191" s="107">
        <v>430</v>
      </c>
      <c r="AC191" s="107">
        <v>348</v>
      </c>
      <c r="AD191" s="107">
        <v>0</v>
      </c>
      <c r="AE191" s="107">
        <v>0</v>
      </c>
      <c r="AF191" s="107">
        <v>0</v>
      </c>
      <c r="AG191" s="107"/>
      <c r="AH191" s="5"/>
      <c r="AI191" s="5"/>
      <c r="AJ191" s="108"/>
    </row>
    <row r="192" s="1" customFormat="1" ht="14.25" spans="1:37">
      <c r="A192" s="148" t="s">
        <v>136</v>
      </c>
      <c r="B192" s="149"/>
      <c r="C192" s="107">
        <v>0</v>
      </c>
      <c r="D192" s="107">
        <v>0</v>
      </c>
      <c r="E192" s="107">
        <v>0</v>
      </c>
      <c r="F192" s="150">
        <v>0</v>
      </c>
      <c r="G192" s="151">
        <v>0</v>
      </c>
      <c r="H192" s="152">
        <v>0</v>
      </c>
      <c r="I192" s="153">
        <v>0</v>
      </c>
      <c r="J192" s="107">
        <v>0</v>
      </c>
      <c r="K192" s="107">
        <v>0</v>
      </c>
      <c r="L192" s="107">
        <v>0</v>
      </c>
      <c r="M192" s="107">
        <v>0</v>
      </c>
      <c r="N192" s="107">
        <v>0</v>
      </c>
      <c r="O192" s="107">
        <v>0</v>
      </c>
      <c r="P192" s="107">
        <v>0</v>
      </c>
      <c r="Q192" s="107">
        <v>0</v>
      </c>
      <c r="R192" s="107">
        <v>0</v>
      </c>
      <c r="S192" s="107">
        <v>0</v>
      </c>
      <c r="T192" s="107">
        <v>0</v>
      </c>
      <c r="U192" s="107">
        <v>0</v>
      </c>
      <c r="V192" s="107">
        <v>0</v>
      </c>
      <c r="W192" s="107">
        <v>0</v>
      </c>
      <c r="X192" s="107">
        <v>0</v>
      </c>
      <c r="Y192" s="107">
        <v>0</v>
      </c>
      <c r="Z192" s="107">
        <v>0</v>
      </c>
      <c r="AA192" s="107">
        <v>524</v>
      </c>
      <c r="AB192" s="107">
        <v>464</v>
      </c>
      <c r="AC192" s="107">
        <v>461</v>
      </c>
      <c r="AD192" s="107">
        <v>0</v>
      </c>
      <c r="AE192" s="107">
        <v>0</v>
      </c>
      <c r="AF192" s="107">
        <v>0</v>
      </c>
      <c r="AG192" s="107"/>
      <c r="AH192" s="5"/>
      <c r="AI192" s="5"/>
      <c r="AJ192" s="108"/>
    </row>
    <row r="193" s="1" customFormat="1" ht="14.25" spans="1:36">
      <c r="A193" s="148" t="s">
        <v>137</v>
      </c>
      <c r="B193" s="149"/>
      <c r="C193" s="107">
        <v>0</v>
      </c>
      <c r="D193" s="107">
        <v>0</v>
      </c>
      <c r="E193" s="107">
        <v>0</v>
      </c>
      <c r="F193" s="150">
        <v>0</v>
      </c>
      <c r="G193" s="151">
        <v>0</v>
      </c>
      <c r="H193" s="152">
        <v>0</v>
      </c>
      <c r="I193" s="153">
        <v>0</v>
      </c>
      <c r="J193" s="107">
        <v>0</v>
      </c>
      <c r="K193" s="107">
        <v>0</v>
      </c>
      <c r="L193" s="107">
        <v>0</v>
      </c>
      <c r="M193" s="107">
        <v>0</v>
      </c>
      <c r="N193" s="107">
        <v>0</v>
      </c>
      <c r="O193" s="107">
        <v>0</v>
      </c>
      <c r="P193" s="107">
        <v>0</v>
      </c>
      <c r="Q193" s="107">
        <v>0</v>
      </c>
      <c r="R193" s="107">
        <v>0</v>
      </c>
      <c r="S193" s="107">
        <v>0</v>
      </c>
      <c r="T193" s="107">
        <v>0</v>
      </c>
      <c r="U193" s="107">
        <v>0</v>
      </c>
      <c r="V193" s="107">
        <v>0</v>
      </c>
      <c r="W193" s="107">
        <v>0</v>
      </c>
      <c r="X193" s="107">
        <v>0</v>
      </c>
      <c r="Y193" s="107">
        <v>0</v>
      </c>
      <c r="Z193" s="107">
        <v>0</v>
      </c>
      <c r="AA193" s="107">
        <v>2250</v>
      </c>
      <c r="AB193" s="107">
        <v>466</v>
      </c>
      <c r="AC193" s="107">
        <v>447</v>
      </c>
      <c r="AD193" s="107">
        <v>0</v>
      </c>
      <c r="AE193" s="107">
        <v>0</v>
      </c>
      <c r="AF193" s="107">
        <v>0</v>
      </c>
      <c r="AG193" s="107"/>
      <c r="AH193" s="5"/>
      <c r="AI193" s="5"/>
      <c r="AJ193" s="108"/>
    </row>
    <row r="194" s="1" customFormat="1" ht="14.25" spans="1:36">
      <c r="A194" s="148" t="s">
        <v>138</v>
      </c>
      <c r="B194" s="149"/>
      <c r="C194" s="107">
        <v>0</v>
      </c>
      <c r="D194" s="107">
        <v>0</v>
      </c>
      <c r="E194" s="107">
        <v>0</v>
      </c>
      <c r="F194" s="150">
        <v>0</v>
      </c>
      <c r="G194" s="151">
        <v>0</v>
      </c>
      <c r="H194" s="152">
        <v>0</v>
      </c>
      <c r="I194" s="153">
        <v>0</v>
      </c>
      <c r="J194" s="107">
        <v>0</v>
      </c>
      <c r="K194" s="107">
        <v>0</v>
      </c>
      <c r="L194" s="107">
        <v>0</v>
      </c>
      <c r="M194" s="107">
        <v>0</v>
      </c>
      <c r="N194" s="107">
        <v>0</v>
      </c>
      <c r="O194" s="107">
        <v>0</v>
      </c>
      <c r="P194" s="107">
        <v>0</v>
      </c>
      <c r="Q194" s="107">
        <v>0</v>
      </c>
      <c r="R194" s="107">
        <v>0</v>
      </c>
      <c r="S194" s="107">
        <v>0</v>
      </c>
      <c r="T194" s="107">
        <v>0</v>
      </c>
      <c r="U194" s="107">
        <v>0</v>
      </c>
      <c r="V194" s="107">
        <v>0</v>
      </c>
      <c r="W194" s="107">
        <v>0</v>
      </c>
      <c r="X194" s="107">
        <v>0</v>
      </c>
      <c r="Y194" s="107">
        <v>0</v>
      </c>
      <c r="Z194" s="107">
        <v>0</v>
      </c>
      <c r="AA194" s="107">
        <v>0</v>
      </c>
      <c r="AB194" s="107">
        <v>569</v>
      </c>
      <c r="AC194" s="107">
        <v>751</v>
      </c>
      <c r="AD194" s="107">
        <v>0</v>
      </c>
      <c r="AE194" s="107">
        <v>0</v>
      </c>
      <c r="AF194" s="107">
        <v>0</v>
      </c>
      <c r="AG194" s="107"/>
      <c r="AH194" s="5"/>
      <c r="AI194" s="5"/>
      <c r="AJ194" s="108"/>
    </row>
    <row r="195" s="1" customFormat="1" ht="14.25" spans="1:36">
      <c r="A195" s="148" t="s">
        <v>139</v>
      </c>
      <c r="B195" s="149"/>
      <c r="C195" s="107">
        <v>0</v>
      </c>
      <c r="D195" s="107">
        <v>0</v>
      </c>
      <c r="E195" s="107">
        <v>0</v>
      </c>
      <c r="F195" s="150">
        <v>0</v>
      </c>
      <c r="G195" s="151">
        <v>0</v>
      </c>
      <c r="H195" s="152">
        <v>0</v>
      </c>
      <c r="I195" s="153">
        <v>0</v>
      </c>
      <c r="J195" s="107">
        <v>0</v>
      </c>
      <c r="K195" s="107">
        <v>0</v>
      </c>
      <c r="L195" s="107">
        <v>0</v>
      </c>
      <c r="M195" s="107">
        <v>0</v>
      </c>
      <c r="N195" s="107">
        <v>0</v>
      </c>
      <c r="O195" s="107">
        <v>0</v>
      </c>
      <c r="P195" s="107">
        <v>0</v>
      </c>
      <c r="Q195" s="107">
        <v>0</v>
      </c>
      <c r="R195" s="107">
        <v>0</v>
      </c>
      <c r="S195" s="107">
        <v>0</v>
      </c>
      <c r="T195" s="107">
        <v>0</v>
      </c>
      <c r="U195" s="107">
        <v>0</v>
      </c>
      <c r="V195" s="107">
        <v>0</v>
      </c>
      <c r="W195" s="107">
        <v>0</v>
      </c>
      <c r="X195" s="107">
        <v>0</v>
      </c>
      <c r="Y195" s="107">
        <v>0</v>
      </c>
      <c r="Z195" s="107">
        <v>0</v>
      </c>
      <c r="AA195" s="107">
        <v>0</v>
      </c>
      <c r="AB195" s="107">
        <v>135</v>
      </c>
      <c r="AC195" s="107">
        <v>15</v>
      </c>
      <c r="AD195" s="107">
        <v>0</v>
      </c>
      <c r="AE195" s="107">
        <v>0</v>
      </c>
      <c r="AF195" s="107">
        <v>0</v>
      </c>
      <c r="AG195" s="107"/>
      <c r="AH195" s="5"/>
      <c r="AI195" s="5"/>
      <c r="AJ195" s="108"/>
    </row>
    <row r="196" s="1" customFormat="1" ht="14.25" spans="1:36">
      <c r="A196" s="148" t="s">
        <v>140</v>
      </c>
      <c r="B196" s="149"/>
      <c r="C196" s="107">
        <v>0</v>
      </c>
      <c r="D196" s="107">
        <v>0</v>
      </c>
      <c r="E196" s="107">
        <v>0</v>
      </c>
      <c r="F196" s="150">
        <v>0</v>
      </c>
      <c r="G196" s="151">
        <v>0</v>
      </c>
      <c r="H196" s="152">
        <v>0</v>
      </c>
      <c r="I196" s="153">
        <v>0</v>
      </c>
      <c r="J196" s="107">
        <v>0</v>
      </c>
      <c r="K196" s="107">
        <v>0</v>
      </c>
      <c r="L196" s="107">
        <v>0</v>
      </c>
      <c r="M196" s="107">
        <v>0</v>
      </c>
      <c r="N196" s="107">
        <v>0</v>
      </c>
      <c r="O196" s="107">
        <v>0</v>
      </c>
      <c r="P196" s="107">
        <v>0</v>
      </c>
      <c r="Q196" s="107">
        <v>0</v>
      </c>
      <c r="R196" s="107">
        <v>0</v>
      </c>
      <c r="S196" s="107">
        <v>0</v>
      </c>
      <c r="T196" s="107">
        <v>0</v>
      </c>
      <c r="U196" s="107">
        <v>0</v>
      </c>
      <c r="V196" s="107">
        <v>0</v>
      </c>
      <c r="W196" s="107">
        <v>0</v>
      </c>
      <c r="X196" s="107">
        <v>0</v>
      </c>
      <c r="Y196" s="107">
        <v>0</v>
      </c>
      <c r="Z196" s="107">
        <v>0</v>
      </c>
      <c r="AA196" s="107">
        <v>94.6</v>
      </c>
      <c r="AB196" s="107">
        <v>653</v>
      </c>
      <c r="AC196" s="107">
        <v>841</v>
      </c>
      <c r="AD196" s="107">
        <v>0</v>
      </c>
      <c r="AE196" s="107">
        <v>0</v>
      </c>
      <c r="AF196" s="107">
        <v>0</v>
      </c>
      <c r="AG196" s="107"/>
      <c r="AH196" s="5"/>
      <c r="AI196" s="5"/>
      <c r="AJ196" s="108"/>
    </row>
    <row r="197" s="1" customFormat="1" ht="14.25" spans="1:36">
      <c r="A197" s="148" t="s">
        <v>141</v>
      </c>
      <c r="B197" s="149"/>
      <c r="C197" s="107">
        <v>0</v>
      </c>
      <c r="D197" s="107">
        <v>0</v>
      </c>
      <c r="E197" s="107">
        <v>0</v>
      </c>
      <c r="F197" s="73">
        <v>0</v>
      </c>
      <c r="G197" s="73">
        <v>0</v>
      </c>
      <c r="H197" s="73">
        <v>0</v>
      </c>
      <c r="I197" s="153">
        <v>0</v>
      </c>
      <c r="J197" s="107">
        <v>0</v>
      </c>
      <c r="K197" s="107">
        <v>0</v>
      </c>
      <c r="L197" s="107">
        <v>0</v>
      </c>
      <c r="M197" s="73">
        <v>0</v>
      </c>
      <c r="N197" s="107">
        <v>0</v>
      </c>
      <c r="O197" s="107">
        <v>0</v>
      </c>
      <c r="P197" s="107">
        <v>0</v>
      </c>
      <c r="Q197" s="107">
        <v>0</v>
      </c>
      <c r="R197" s="107">
        <v>0</v>
      </c>
      <c r="S197" s="107">
        <v>0</v>
      </c>
      <c r="T197" s="107">
        <v>0</v>
      </c>
      <c r="U197" s="107">
        <v>0</v>
      </c>
      <c r="V197" s="107">
        <v>0</v>
      </c>
      <c r="W197" s="107">
        <v>0</v>
      </c>
      <c r="X197" s="107">
        <v>0</v>
      </c>
      <c r="Y197" s="107">
        <v>0</v>
      </c>
      <c r="Z197" s="107">
        <v>0</v>
      </c>
      <c r="AA197" s="107">
        <v>0</v>
      </c>
      <c r="AB197" s="107">
        <v>255</v>
      </c>
      <c r="AC197" s="107">
        <v>3577</v>
      </c>
      <c r="AD197" s="107">
        <v>0</v>
      </c>
      <c r="AE197" s="107">
        <v>0</v>
      </c>
      <c r="AF197" s="107">
        <v>0</v>
      </c>
      <c r="AG197" s="107"/>
      <c r="AH197" s="5"/>
      <c r="AI197" s="5"/>
      <c r="AJ197" s="108"/>
    </row>
    <row r="198" s="1" customFormat="1" spans="1:36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108"/>
    </row>
    <row r="199" s="1" customFormat="1" spans="1:36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108"/>
    </row>
    <row r="200" s="1" customFormat="1" spans="1:36">
      <c r="C200" s="108" t="e">
        <f t="shared" ref="C200:AG200" si="61">C14*1000000000/24/3600/C96</f>
        <v>#DIV/0!</v>
      </c>
      <c r="D200" s="108" t="e">
        <f t="shared" si="61"/>
        <v>#DIV/0!</v>
      </c>
      <c r="E200" s="108" t="e">
        <f t="shared" si="61"/>
        <v>#DIV/0!</v>
      </c>
      <c r="F200" s="108" t="e">
        <f t="shared" si="61"/>
        <v>#DIV/0!</v>
      </c>
      <c r="G200" s="108" t="e">
        <f t="shared" si="61"/>
        <v>#DIV/0!</v>
      </c>
      <c r="H200" s="108" t="e">
        <f t="shared" si="61"/>
        <v>#DIV/0!</v>
      </c>
      <c r="I200" s="108" t="e">
        <f t="shared" si="61"/>
        <v>#DIV/0!</v>
      </c>
      <c r="J200" s="108" t="e">
        <f t="shared" si="61"/>
        <v>#DIV/0!</v>
      </c>
      <c r="K200" s="108" t="e">
        <f t="shared" si="61"/>
        <v>#DIV/0!</v>
      </c>
      <c r="L200" s="108" t="e">
        <f t="shared" si="61"/>
        <v>#DIV/0!</v>
      </c>
      <c r="M200" s="108" t="e">
        <f t="shared" si="61"/>
        <v>#DIV/0!</v>
      </c>
      <c r="N200" s="108" t="e">
        <f t="shared" si="61"/>
        <v>#DIV/0!</v>
      </c>
      <c r="O200" s="108" t="e">
        <f t="shared" si="61"/>
        <v>#DIV/0!</v>
      </c>
      <c r="P200" s="108" t="e">
        <f t="shared" si="61"/>
        <v>#DIV/0!</v>
      </c>
      <c r="Q200" s="108" t="e">
        <f t="shared" si="61"/>
        <v>#DIV/0!</v>
      </c>
      <c r="R200" s="108" t="e">
        <f t="shared" si="61"/>
        <v>#DIV/0!</v>
      </c>
      <c r="S200" s="108" t="e">
        <f t="shared" si="61"/>
        <v>#DIV/0!</v>
      </c>
      <c r="T200" s="108" t="e">
        <f t="shared" si="61"/>
        <v>#DIV/0!</v>
      </c>
      <c r="U200" s="108" t="e">
        <f t="shared" si="61"/>
        <v>#DIV/0!</v>
      </c>
      <c r="V200" s="108" t="e">
        <f t="shared" si="61"/>
        <v>#DIV/0!</v>
      </c>
      <c r="W200" s="108" t="e">
        <f t="shared" si="61"/>
        <v>#DIV/0!</v>
      </c>
      <c r="X200" s="108" t="e">
        <f t="shared" si="61"/>
        <v>#DIV/0!</v>
      </c>
      <c r="Y200" s="108" t="e">
        <f t="shared" si="61"/>
        <v>#DIV/0!</v>
      </c>
      <c r="Z200" s="108" t="e">
        <f t="shared" si="61"/>
        <v>#DIV/0!</v>
      </c>
      <c r="AA200" s="108">
        <f t="shared" si="61"/>
        <v>0</v>
      </c>
      <c r="AB200" s="108">
        <f t="shared" si="61"/>
        <v>0.223452120153004</v>
      </c>
      <c r="AC200" s="108">
        <f t="shared" si="61"/>
        <v>0.399231721772997</v>
      </c>
      <c r="AD200" s="108">
        <f t="shared" si="61"/>
        <v>0.928296884993235</v>
      </c>
      <c r="AE200" s="108">
        <f t="shared" si="61"/>
        <v>1.84973482144903</v>
      </c>
      <c r="AF200" s="108">
        <f t="shared" si="61"/>
        <v>1.61822160029677</v>
      </c>
      <c r="AG200" s="108">
        <f t="shared" si="61"/>
        <v>2.74037807915224</v>
      </c>
      <c r="AH200" s="108"/>
      <c r="AI200" s="5"/>
      <c r="AJ200" s="108"/>
    </row>
    <row r="201" s="1" customFormat="1" spans="1:36">
      <c r="C201" s="108" t="e">
        <f t="shared" ref="C201:AG201" si="62">C15*1000000000/24/3600/C97</f>
        <v>#DIV/0!</v>
      </c>
      <c r="D201" s="108" t="e">
        <f t="shared" si="62"/>
        <v>#DIV/0!</v>
      </c>
      <c r="E201" s="108" t="e">
        <f t="shared" si="62"/>
        <v>#DIV/0!</v>
      </c>
      <c r="F201" s="108" t="e">
        <f t="shared" si="62"/>
        <v>#DIV/0!</v>
      </c>
      <c r="G201" s="108" t="e">
        <f t="shared" si="62"/>
        <v>#DIV/0!</v>
      </c>
      <c r="H201" s="108" t="e">
        <f t="shared" si="62"/>
        <v>#DIV/0!</v>
      </c>
      <c r="I201" s="108" t="e">
        <f t="shared" si="62"/>
        <v>#DIV/0!</v>
      </c>
      <c r="J201" s="108" t="e">
        <f t="shared" si="62"/>
        <v>#DIV/0!</v>
      </c>
      <c r="K201" s="108" t="e">
        <f t="shared" si="62"/>
        <v>#DIV/0!</v>
      </c>
      <c r="L201" s="108" t="e">
        <f t="shared" si="62"/>
        <v>#DIV/0!</v>
      </c>
      <c r="M201" s="108" t="e">
        <f t="shared" si="62"/>
        <v>#DIV/0!</v>
      </c>
      <c r="N201" s="108" t="e">
        <f t="shared" si="62"/>
        <v>#DIV/0!</v>
      </c>
      <c r="O201" s="108" t="e">
        <f t="shared" si="62"/>
        <v>#DIV/0!</v>
      </c>
      <c r="P201" s="108" t="e">
        <f t="shared" si="62"/>
        <v>#DIV/0!</v>
      </c>
      <c r="Q201" s="108" t="e">
        <f t="shared" si="62"/>
        <v>#DIV/0!</v>
      </c>
      <c r="R201" s="108" t="e">
        <f t="shared" si="62"/>
        <v>#DIV/0!</v>
      </c>
      <c r="S201" s="108" t="e">
        <f t="shared" si="62"/>
        <v>#DIV/0!</v>
      </c>
      <c r="T201" s="108" t="e">
        <f t="shared" si="62"/>
        <v>#DIV/0!</v>
      </c>
      <c r="U201" s="108" t="e">
        <f t="shared" si="62"/>
        <v>#DIV/0!</v>
      </c>
      <c r="V201" s="108" t="e">
        <f t="shared" si="62"/>
        <v>#DIV/0!</v>
      </c>
      <c r="W201" s="108" t="e">
        <f t="shared" si="62"/>
        <v>#DIV/0!</v>
      </c>
      <c r="X201" s="108" t="e">
        <f t="shared" si="62"/>
        <v>#DIV/0!</v>
      </c>
      <c r="Y201" s="108" t="e">
        <f t="shared" si="62"/>
        <v>#DIV/0!</v>
      </c>
      <c r="Z201" s="108" t="e">
        <f t="shared" si="62"/>
        <v>#DIV/0!</v>
      </c>
      <c r="AA201" s="108">
        <f t="shared" si="62"/>
        <v>0.0560004107100392</v>
      </c>
      <c r="AB201" s="108">
        <f t="shared" si="62"/>
        <v>0.468791956824568</v>
      </c>
      <c r="AC201" s="108">
        <f t="shared" si="62"/>
        <v>1.05118880158725</v>
      </c>
      <c r="AD201" s="108">
        <f t="shared" si="62"/>
        <v>0</v>
      </c>
      <c r="AE201" s="108">
        <f t="shared" si="62"/>
        <v>0</v>
      </c>
      <c r="AF201" s="108">
        <f t="shared" si="62"/>
        <v>0</v>
      </c>
      <c r="AG201" s="108">
        <f t="shared" si="62"/>
        <v>0</v>
      </c>
      <c r="AH201" s="108"/>
      <c r="AI201" s="5"/>
      <c r="AJ201" s="108"/>
    </row>
    <row r="202" s="1" customFormat="1" spans="1:36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108"/>
    </row>
    <row r="203" s="1" customFormat="1" spans="1:36">
      <c r="C203" s="108" t="e">
        <f t="shared" ref="C203:AG203" si="63">C14/C96*10000</f>
        <v>#DIV/0!</v>
      </c>
      <c r="D203" s="108" t="e">
        <f t="shared" si="63"/>
        <v>#DIV/0!</v>
      </c>
      <c r="E203" s="108" t="e">
        <f t="shared" si="63"/>
        <v>#DIV/0!</v>
      </c>
      <c r="F203" s="108" t="e">
        <f t="shared" si="63"/>
        <v>#DIV/0!</v>
      </c>
      <c r="G203" s="108" t="e">
        <f t="shared" si="63"/>
        <v>#DIV/0!</v>
      </c>
      <c r="H203" s="108" t="e">
        <f t="shared" si="63"/>
        <v>#DIV/0!</v>
      </c>
      <c r="I203" s="108" t="e">
        <f t="shared" si="63"/>
        <v>#DIV/0!</v>
      </c>
      <c r="J203" s="108" t="e">
        <f t="shared" si="63"/>
        <v>#DIV/0!</v>
      </c>
      <c r="K203" s="108" t="e">
        <f t="shared" si="63"/>
        <v>#DIV/0!</v>
      </c>
      <c r="L203" s="108" t="e">
        <f t="shared" si="63"/>
        <v>#DIV/0!</v>
      </c>
      <c r="M203" s="108" t="e">
        <f t="shared" si="63"/>
        <v>#DIV/0!</v>
      </c>
      <c r="N203" s="108" t="e">
        <f t="shared" si="63"/>
        <v>#DIV/0!</v>
      </c>
      <c r="O203" s="108" t="e">
        <f t="shared" si="63"/>
        <v>#DIV/0!</v>
      </c>
      <c r="P203" s="108" t="e">
        <f t="shared" si="63"/>
        <v>#DIV/0!</v>
      </c>
      <c r="Q203" s="108" t="e">
        <f t="shared" si="63"/>
        <v>#DIV/0!</v>
      </c>
      <c r="R203" s="108" t="e">
        <f t="shared" si="63"/>
        <v>#DIV/0!</v>
      </c>
      <c r="S203" s="108" t="e">
        <f t="shared" si="63"/>
        <v>#DIV/0!</v>
      </c>
      <c r="T203" s="108" t="e">
        <f t="shared" si="63"/>
        <v>#DIV/0!</v>
      </c>
      <c r="U203" s="108" t="e">
        <f t="shared" si="63"/>
        <v>#DIV/0!</v>
      </c>
      <c r="V203" s="108" t="e">
        <f t="shared" si="63"/>
        <v>#DIV/0!</v>
      </c>
      <c r="W203" s="108" t="e">
        <f t="shared" si="63"/>
        <v>#DIV/0!</v>
      </c>
      <c r="X203" s="108" t="e">
        <f t="shared" si="63"/>
        <v>#DIV/0!</v>
      </c>
      <c r="Y203" s="108" t="e">
        <f t="shared" si="63"/>
        <v>#DIV/0!</v>
      </c>
      <c r="Z203" s="108" t="e">
        <f t="shared" si="63"/>
        <v>#DIV/0!</v>
      </c>
      <c r="AA203" s="108">
        <f t="shared" si="63"/>
        <v>0</v>
      </c>
      <c r="AB203" s="108">
        <f t="shared" si="63"/>
        <v>0.193062631812196</v>
      </c>
      <c r="AC203" s="108">
        <f t="shared" si="63"/>
        <v>0.344936207611869</v>
      </c>
      <c r="AD203" s="108">
        <f t="shared" si="63"/>
        <v>0.802048508634155</v>
      </c>
      <c r="AE203" s="108">
        <f t="shared" si="63"/>
        <v>1.59817088573196</v>
      </c>
      <c r="AF203" s="108">
        <f t="shared" si="63"/>
        <v>1.39814346265641</v>
      </c>
      <c r="AG203" s="108">
        <f t="shared" si="63"/>
        <v>2.36768666038754</v>
      </c>
      <c r="AH203" s="5"/>
      <c r="AI203" s="5"/>
      <c r="AJ203" s="108"/>
    </row>
    <row r="204" s="1" customFormat="1" spans="1:36">
      <c r="C204" s="108" t="e">
        <f t="shared" ref="C204:AG204" si="64">C15/C97*10000</f>
        <v>#DIV/0!</v>
      </c>
      <c r="D204" s="108" t="e">
        <f t="shared" si="64"/>
        <v>#DIV/0!</v>
      </c>
      <c r="E204" s="108" t="e">
        <f t="shared" si="64"/>
        <v>#DIV/0!</v>
      </c>
      <c r="F204" s="108" t="e">
        <f t="shared" si="64"/>
        <v>#DIV/0!</v>
      </c>
      <c r="G204" s="108" t="e">
        <f t="shared" si="64"/>
        <v>#DIV/0!</v>
      </c>
      <c r="H204" s="108" t="e">
        <f t="shared" si="64"/>
        <v>#DIV/0!</v>
      </c>
      <c r="I204" s="108" t="e">
        <f t="shared" si="64"/>
        <v>#DIV/0!</v>
      </c>
      <c r="J204" s="108" t="e">
        <f t="shared" si="64"/>
        <v>#DIV/0!</v>
      </c>
      <c r="K204" s="108" t="e">
        <f t="shared" si="64"/>
        <v>#DIV/0!</v>
      </c>
      <c r="L204" s="108" t="e">
        <f t="shared" si="64"/>
        <v>#DIV/0!</v>
      </c>
      <c r="M204" s="108" t="e">
        <f t="shared" si="64"/>
        <v>#DIV/0!</v>
      </c>
      <c r="N204" s="108" t="e">
        <f t="shared" si="64"/>
        <v>#DIV/0!</v>
      </c>
      <c r="O204" s="108" t="e">
        <f t="shared" si="64"/>
        <v>#DIV/0!</v>
      </c>
      <c r="P204" s="108" t="e">
        <f t="shared" si="64"/>
        <v>#DIV/0!</v>
      </c>
      <c r="Q204" s="108" t="e">
        <f t="shared" si="64"/>
        <v>#DIV/0!</v>
      </c>
      <c r="R204" s="108" t="e">
        <f t="shared" si="64"/>
        <v>#DIV/0!</v>
      </c>
      <c r="S204" s="108" t="e">
        <f t="shared" si="64"/>
        <v>#DIV/0!</v>
      </c>
      <c r="T204" s="108" t="e">
        <f t="shared" si="64"/>
        <v>#DIV/0!</v>
      </c>
      <c r="U204" s="108" t="e">
        <f t="shared" si="64"/>
        <v>#DIV/0!</v>
      </c>
      <c r="V204" s="108" t="e">
        <f t="shared" si="64"/>
        <v>#DIV/0!</v>
      </c>
      <c r="W204" s="108" t="e">
        <f t="shared" si="64"/>
        <v>#DIV/0!</v>
      </c>
      <c r="X204" s="108" t="e">
        <f t="shared" si="64"/>
        <v>#DIV/0!</v>
      </c>
      <c r="Y204" s="108" t="e">
        <f t="shared" si="64"/>
        <v>#DIV/0!</v>
      </c>
      <c r="Z204" s="108" t="e">
        <f t="shared" si="64"/>
        <v>#DIV/0!</v>
      </c>
      <c r="AA204" s="108">
        <f t="shared" si="64"/>
        <v>0.0483843548534739</v>
      </c>
      <c r="AB204" s="108">
        <f t="shared" si="64"/>
        <v>0.405036250696427</v>
      </c>
      <c r="AC204" s="108">
        <f t="shared" si="64"/>
        <v>0.908227124571381</v>
      </c>
      <c r="AD204" s="108">
        <f t="shared" si="64"/>
        <v>0</v>
      </c>
      <c r="AE204" s="108">
        <f t="shared" si="64"/>
        <v>0</v>
      </c>
      <c r="AF204" s="108">
        <f t="shared" si="64"/>
        <v>0</v>
      </c>
      <c r="AG204" s="108">
        <f t="shared" si="64"/>
        <v>0</v>
      </c>
      <c r="AH204" s="5"/>
      <c r="AI204" s="5"/>
      <c r="AJ204" s="108"/>
    </row>
    <row r="205" s="1" customFormat="1" spans="1:36">
      <c r="C205" s="108" t="e">
        <f t="shared" ref="C205:AG205" si="65">C21/C96*10000</f>
        <v>#DIV/0!</v>
      </c>
      <c r="D205" s="108" t="e">
        <f t="shared" si="65"/>
        <v>#DIV/0!</v>
      </c>
      <c r="E205" s="108" t="e">
        <f t="shared" si="65"/>
        <v>#DIV/0!</v>
      </c>
      <c r="F205" s="108" t="e">
        <f t="shared" si="65"/>
        <v>#DIV/0!</v>
      </c>
      <c r="G205" s="108" t="e">
        <f t="shared" si="65"/>
        <v>#DIV/0!</v>
      </c>
      <c r="H205" s="108" t="e">
        <f t="shared" si="65"/>
        <v>#DIV/0!</v>
      </c>
      <c r="I205" s="108" t="e">
        <f t="shared" si="65"/>
        <v>#DIV/0!</v>
      </c>
      <c r="J205" s="108" t="e">
        <f t="shared" si="65"/>
        <v>#DIV/0!</v>
      </c>
      <c r="K205" s="108" t="e">
        <f t="shared" si="65"/>
        <v>#DIV/0!</v>
      </c>
      <c r="L205" s="108" t="e">
        <f t="shared" si="65"/>
        <v>#DIV/0!</v>
      </c>
      <c r="M205" s="108" t="e">
        <f t="shared" si="65"/>
        <v>#DIV/0!</v>
      </c>
      <c r="N205" s="108" t="e">
        <f t="shared" si="65"/>
        <v>#DIV/0!</v>
      </c>
      <c r="O205" s="108" t="e">
        <f t="shared" si="65"/>
        <v>#DIV/0!</v>
      </c>
      <c r="P205" s="108" t="e">
        <f t="shared" si="65"/>
        <v>#DIV/0!</v>
      </c>
      <c r="Q205" s="108" t="e">
        <f t="shared" si="65"/>
        <v>#DIV/0!</v>
      </c>
      <c r="R205" s="108" t="e">
        <f t="shared" si="65"/>
        <v>#DIV/0!</v>
      </c>
      <c r="S205" s="108" t="e">
        <f t="shared" si="65"/>
        <v>#DIV/0!</v>
      </c>
      <c r="T205" s="108" t="e">
        <f t="shared" si="65"/>
        <v>#DIV/0!</v>
      </c>
      <c r="U205" s="108" t="e">
        <f t="shared" si="65"/>
        <v>#DIV/0!</v>
      </c>
      <c r="V205" s="108" t="e">
        <f t="shared" si="65"/>
        <v>#DIV/0!</v>
      </c>
      <c r="W205" s="108" t="e">
        <f t="shared" si="65"/>
        <v>#DIV/0!</v>
      </c>
      <c r="X205" s="108" t="e">
        <f t="shared" si="65"/>
        <v>#DIV/0!</v>
      </c>
      <c r="Y205" s="108" t="e">
        <f t="shared" si="65"/>
        <v>#DIV/0!</v>
      </c>
      <c r="Z205" s="108" t="e">
        <f t="shared" si="65"/>
        <v>#DIV/0!</v>
      </c>
      <c r="AA205" s="108">
        <f t="shared" si="65"/>
        <v>1.96706697822196</v>
      </c>
      <c r="AB205" s="108">
        <f t="shared" si="65"/>
        <v>3.3578387462113</v>
      </c>
      <c r="AC205" s="108">
        <f t="shared" si="65"/>
        <v>2.65152269169103</v>
      </c>
      <c r="AD205" s="108">
        <f t="shared" si="65"/>
        <v>3.07714577769676</v>
      </c>
      <c r="AE205" s="108">
        <f t="shared" si="65"/>
        <v>3.45715079961263</v>
      </c>
      <c r="AF205" s="108">
        <f t="shared" si="65"/>
        <v>3.41589810050746</v>
      </c>
      <c r="AG205" s="108">
        <f t="shared" si="65"/>
        <v>3.83235392004537</v>
      </c>
      <c r="AH205" s="5"/>
      <c r="AI205" s="5"/>
      <c r="AJ205" s="108"/>
    </row>
    <row r="206" s="1" customFormat="1" spans="1:36">
      <c r="C206" s="108" t="e">
        <f t="shared" ref="C206:AG206" si="66">C24/C97*10000</f>
        <v>#DIV/0!</v>
      </c>
      <c r="D206" s="108" t="e">
        <f t="shared" si="66"/>
        <v>#DIV/0!</v>
      </c>
      <c r="E206" s="108" t="e">
        <f t="shared" si="66"/>
        <v>#DIV/0!</v>
      </c>
      <c r="F206" s="108" t="e">
        <f t="shared" si="66"/>
        <v>#DIV/0!</v>
      </c>
      <c r="G206" s="108" t="e">
        <f t="shared" si="66"/>
        <v>#DIV/0!</v>
      </c>
      <c r="H206" s="108" t="e">
        <f t="shared" si="66"/>
        <v>#DIV/0!</v>
      </c>
      <c r="I206" s="108" t="e">
        <f t="shared" si="66"/>
        <v>#DIV/0!</v>
      </c>
      <c r="J206" s="108" t="e">
        <f t="shared" si="66"/>
        <v>#DIV/0!</v>
      </c>
      <c r="K206" s="108" t="e">
        <f t="shared" si="66"/>
        <v>#DIV/0!</v>
      </c>
      <c r="L206" s="108" t="e">
        <f t="shared" si="66"/>
        <v>#DIV/0!</v>
      </c>
      <c r="M206" s="108" t="e">
        <f t="shared" si="66"/>
        <v>#DIV/0!</v>
      </c>
      <c r="N206" s="108" t="e">
        <f t="shared" si="66"/>
        <v>#DIV/0!</v>
      </c>
      <c r="O206" s="108" t="e">
        <f t="shared" si="66"/>
        <v>#DIV/0!</v>
      </c>
      <c r="P206" s="108" t="e">
        <f t="shared" si="66"/>
        <v>#DIV/0!</v>
      </c>
      <c r="Q206" s="108" t="e">
        <f t="shared" si="66"/>
        <v>#DIV/0!</v>
      </c>
      <c r="R206" s="108" t="e">
        <f t="shared" si="66"/>
        <v>#DIV/0!</v>
      </c>
      <c r="S206" s="108" t="e">
        <f t="shared" si="66"/>
        <v>#DIV/0!</v>
      </c>
      <c r="T206" s="108" t="e">
        <f t="shared" si="66"/>
        <v>#DIV/0!</v>
      </c>
      <c r="U206" s="108" t="e">
        <f t="shared" si="66"/>
        <v>#DIV/0!</v>
      </c>
      <c r="V206" s="108" t="e">
        <f t="shared" si="66"/>
        <v>#DIV/0!</v>
      </c>
      <c r="W206" s="108" t="e">
        <f t="shared" si="66"/>
        <v>#DIV/0!</v>
      </c>
      <c r="X206" s="108" t="e">
        <f t="shared" si="66"/>
        <v>#DIV/0!</v>
      </c>
      <c r="Y206" s="108" t="e">
        <f t="shared" si="66"/>
        <v>#DIV/0!</v>
      </c>
      <c r="Z206" s="108" t="e">
        <f t="shared" si="66"/>
        <v>#DIV/0!</v>
      </c>
      <c r="AA206" s="108">
        <f t="shared" si="66"/>
        <v>2.38918457105744</v>
      </c>
      <c r="AB206" s="108">
        <f t="shared" si="66"/>
        <v>2.84813851002341</v>
      </c>
      <c r="AC206" s="108">
        <f t="shared" si="66"/>
        <v>3.48410944453889</v>
      </c>
      <c r="AD206" s="108">
        <f t="shared" si="66"/>
        <v>0</v>
      </c>
      <c r="AE206" s="108">
        <f t="shared" si="66"/>
        <v>0</v>
      </c>
      <c r="AF206" s="108">
        <f t="shared" si="66"/>
        <v>0</v>
      </c>
      <c r="AG206" s="108">
        <f t="shared" si="66"/>
        <v>0</v>
      </c>
      <c r="AH206" s="5"/>
      <c r="AI206" s="5"/>
      <c r="AJ206" s="108"/>
    </row>
    <row r="207" s="1" customFormat="1" spans="1:36">
      <c r="C207" s="108" t="e">
        <f t="shared" ref="C207:AG207" si="67">C28/C96*10000</f>
        <v>#DIV/0!</v>
      </c>
      <c r="D207" s="108" t="e">
        <f t="shared" si="67"/>
        <v>#DIV/0!</v>
      </c>
      <c r="E207" s="108" t="e">
        <f t="shared" si="67"/>
        <v>#DIV/0!</v>
      </c>
      <c r="F207" s="108" t="e">
        <f t="shared" si="67"/>
        <v>#DIV/0!</v>
      </c>
      <c r="G207" s="108" t="e">
        <f t="shared" si="67"/>
        <v>#DIV/0!</v>
      </c>
      <c r="H207" s="108" t="e">
        <f t="shared" si="67"/>
        <v>#DIV/0!</v>
      </c>
      <c r="I207" s="108" t="e">
        <f t="shared" si="67"/>
        <v>#DIV/0!</v>
      </c>
      <c r="J207" s="108" t="e">
        <f t="shared" si="67"/>
        <v>#DIV/0!</v>
      </c>
      <c r="K207" s="108" t="e">
        <f t="shared" si="67"/>
        <v>#DIV/0!</v>
      </c>
      <c r="L207" s="108" t="e">
        <f t="shared" si="67"/>
        <v>#DIV/0!</v>
      </c>
      <c r="M207" s="108" t="e">
        <f t="shared" si="67"/>
        <v>#DIV/0!</v>
      </c>
      <c r="N207" s="108" t="e">
        <f t="shared" si="67"/>
        <v>#DIV/0!</v>
      </c>
      <c r="O207" s="108" t="e">
        <f t="shared" si="67"/>
        <v>#DIV/0!</v>
      </c>
      <c r="P207" s="108" t="e">
        <f t="shared" si="67"/>
        <v>#DIV/0!</v>
      </c>
      <c r="Q207" s="108" t="e">
        <f t="shared" si="67"/>
        <v>#DIV/0!</v>
      </c>
      <c r="R207" s="108" t="e">
        <f t="shared" si="67"/>
        <v>#DIV/0!</v>
      </c>
      <c r="S207" s="108" t="e">
        <f t="shared" si="67"/>
        <v>#DIV/0!</v>
      </c>
      <c r="T207" s="108" t="e">
        <f t="shared" si="67"/>
        <v>#DIV/0!</v>
      </c>
      <c r="U207" s="108" t="e">
        <f t="shared" si="67"/>
        <v>#DIV/0!</v>
      </c>
      <c r="V207" s="108" t="e">
        <f t="shared" si="67"/>
        <v>#DIV/0!</v>
      </c>
      <c r="W207" s="108" t="e">
        <f t="shared" si="67"/>
        <v>#DIV/0!</v>
      </c>
      <c r="X207" s="108" t="e">
        <f t="shared" si="67"/>
        <v>#DIV/0!</v>
      </c>
      <c r="Y207" s="108" t="e">
        <f t="shared" si="67"/>
        <v>#DIV/0!</v>
      </c>
      <c r="Z207" s="108" t="e">
        <f t="shared" si="67"/>
        <v>#DIV/0!</v>
      </c>
      <c r="AA207" s="108">
        <f t="shared" si="67"/>
        <v>4.00806338172641</v>
      </c>
      <c r="AB207" s="108">
        <f t="shared" si="67"/>
        <v>8.7394606993175</v>
      </c>
      <c r="AC207" s="108">
        <f t="shared" si="67"/>
        <v>9.25981220549065</v>
      </c>
      <c r="AD207" s="108">
        <f t="shared" si="67"/>
        <v>12.2768154767209</v>
      </c>
      <c r="AE207" s="108">
        <f t="shared" si="67"/>
        <v>22.0614921027059</v>
      </c>
      <c r="AF207" s="108">
        <f t="shared" si="67"/>
        <v>32.9202283679567</v>
      </c>
      <c r="AG207" s="108">
        <f t="shared" si="67"/>
        <v>38.7630930391984</v>
      </c>
      <c r="AH207" s="5"/>
      <c r="AI207" s="5"/>
      <c r="AJ207" s="108"/>
    </row>
    <row r="208" s="1" customFormat="1" spans="1:36">
      <c r="C208" s="108" t="e">
        <f t="shared" ref="C208:AG208" si="68">C29/C97*10000</f>
        <v>#DIV/0!</v>
      </c>
      <c r="D208" s="108" t="e">
        <f t="shared" si="68"/>
        <v>#DIV/0!</v>
      </c>
      <c r="E208" s="108" t="e">
        <f t="shared" si="68"/>
        <v>#DIV/0!</v>
      </c>
      <c r="F208" s="108" t="e">
        <f t="shared" si="68"/>
        <v>#DIV/0!</v>
      </c>
      <c r="G208" s="108" t="e">
        <f t="shared" si="68"/>
        <v>#DIV/0!</v>
      </c>
      <c r="H208" s="108" t="e">
        <f t="shared" si="68"/>
        <v>#DIV/0!</v>
      </c>
      <c r="I208" s="108" t="e">
        <f t="shared" si="68"/>
        <v>#DIV/0!</v>
      </c>
      <c r="J208" s="108" t="e">
        <f t="shared" si="68"/>
        <v>#DIV/0!</v>
      </c>
      <c r="K208" s="108" t="e">
        <f t="shared" si="68"/>
        <v>#DIV/0!</v>
      </c>
      <c r="L208" s="108" t="e">
        <f t="shared" si="68"/>
        <v>#DIV/0!</v>
      </c>
      <c r="M208" s="108" t="e">
        <f t="shared" si="68"/>
        <v>#DIV/0!</v>
      </c>
      <c r="N208" s="108" t="e">
        <f t="shared" si="68"/>
        <v>#DIV/0!</v>
      </c>
      <c r="O208" s="108" t="e">
        <f t="shared" si="68"/>
        <v>#DIV/0!</v>
      </c>
      <c r="P208" s="108" t="e">
        <f t="shared" si="68"/>
        <v>#DIV/0!</v>
      </c>
      <c r="Q208" s="108" t="e">
        <f t="shared" si="68"/>
        <v>#DIV/0!</v>
      </c>
      <c r="R208" s="108" t="e">
        <f t="shared" si="68"/>
        <v>#DIV/0!</v>
      </c>
      <c r="S208" s="108" t="e">
        <f t="shared" si="68"/>
        <v>#DIV/0!</v>
      </c>
      <c r="T208" s="108" t="e">
        <f t="shared" si="68"/>
        <v>#DIV/0!</v>
      </c>
      <c r="U208" s="108" t="e">
        <f t="shared" si="68"/>
        <v>#DIV/0!</v>
      </c>
      <c r="V208" s="108" t="e">
        <f t="shared" si="68"/>
        <v>#DIV/0!</v>
      </c>
      <c r="W208" s="108" t="e">
        <f t="shared" si="68"/>
        <v>#DIV/0!</v>
      </c>
      <c r="X208" s="108" t="e">
        <f t="shared" si="68"/>
        <v>#DIV/0!</v>
      </c>
      <c r="Y208" s="108" t="e">
        <f t="shared" si="68"/>
        <v>#DIV/0!</v>
      </c>
      <c r="Z208" s="108" t="e">
        <f t="shared" si="68"/>
        <v>#DIV/0!</v>
      </c>
      <c r="AA208" s="108">
        <f t="shared" si="68"/>
        <v>8.94067566644737</v>
      </c>
      <c r="AB208" s="108">
        <f t="shared" si="68"/>
        <v>16.1109856978671</v>
      </c>
      <c r="AC208" s="108">
        <f t="shared" si="68"/>
        <v>19.7716765334633</v>
      </c>
      <c r="AD208" s="108">
        <f t="shared" si="68"/>
        <v>0</v>
      </c>
      <c r="AE208" s="108">
        <f t="shared" si="68"/>
        <v>0</v>
      </c>
      <c r="AF208" s="108">
        <f t="shared" si="68"/>
        <v>0</v>
      </c>
      <c r="AG208" s="108">
        <f t="shared" si="68"/>
        <v>0</v>
      </c>
      <c r="AH208" s="5"/>
      <c r="AI208" s="5"/>
      <c r="AJ208" s="108"/>
    </row>
  </sheetData>
  <mergeCells count="27">
    <mergeCell ref="A1:AK1"/>
    <mergeCell ref="AA99:AH99"/>
    <mergeCell ref="AA100:AH100"/>
    <mergeCell ref="AA131:AH131"/>
    <mergeCell ref="A3:A8"/>
    <mergeCell ref="A9:A13"/>
    <mergeCell ref="A14:A18"/>
    <mergeCell ref="A19:A27"/>
    <mergeCell ref="A28:A32"/>
    <mergeCell ref="A33:A43"/>
    <mergeCell ref="A44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98"/>
    <mergeCell ref="A176:A177"/>
    <mergeCell ref="A178:A179"/>
    <mergeCell ref="A180:A181"/>
    <mergeCell ref="A183:A184"/>
    <mergeCell ref="A185:A186"/>
    <mergeCell ref="B188:B197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2026.10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扬帆远航</cp:lastModifiedBy>
  <dcterms:created xsi:type="dcterms:W3CDTF">2023-05-12T11:15:00Z</dcterms:created>
  <dcterms:modified xsi:type="dcterms:W3CDTF">2026-10-28T07:22:18Z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C57564D1780D4CC18DCE3917442C9BF2_12</vt:lpwstr>
  </property>
  <property fmtid="{D5CDD505-2E9C-101B-9397-08002B2CF9AE}" pid="4" name="CalculationRule">
    <vt:i4>0</vt:i4>
  </property>
</Properties>
</file>