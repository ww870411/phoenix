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685" windowHeight="13275" tabRatio="600" firstSheet="0" activeTab="0" autoFilterDateGrouping="1"/>
  </bookViews>
  <sheets>
    <sheet xmlns:r="http://schemas.openxmlformats.org/officeDocument/2006/relationships" name="单位常量搜集" sheetId="1" state="visible" r:id="rId1"/>
    <sheet xmlns:r="http://schemas.openxmlformats.org/officeDocument/2006/relationships" name="供热分中心搜集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.000_ "/>
  </numFmts>
  <fonts count="28">
    <font>
      <name val="Carlito"/>
      <charset val="134"/>
      <sz val="11"/>
    </font>
    <font>
      <name val="Arial"/>
      <charset val="134"/>
      <color rgb="FF24364B"/>
      <sz val="11"/>
    </font>
    <font>
      <name val="Arial"/>
      <charset val="134"/>
      <b val="1"/>
      <color rgb="FF173654"/>
      <sz val="16"/>
    </font>
    <font>
      <name val="Arial"/>
      <charset val="134"/>
      <b val="1"/>
      <color rgb="FFFFFFFF"/>
      <sz val="11"/>
    </font>
    <font>
      <name val="Arial"/>
      <charset val="134"/>
      <color rgb="FFFF0000"/>
      <sz val="11"/>
    </font>
    <font>
      <name val="宋体"/>
      <charset val="134"/>
      <color rgb="FF24364B"/>
      <sz val="11"/>
    </font>
    <font>
      <name val="Arial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b val="1"/>
      <color rgb="FFFFFFFF"/>
      <sz val="11"/>
    </font>
  </fonts>
  <fills count="36">
    <fill>
      <patternFill/>
    </fill>
    <fill>
      <patternFill patternType="gray125"/>
    </fill>
    <fill>
      <patternFill patternType="solid">
        <fgColor rgb="FF254B70"/>
        <bgColor indexed="64"/>
      </patternFill>
    </fill>
    <fill>
      <patternFill patternType="solid">
        <fgColor rgb="FFEDF1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0" fillId="0" borderId="0"/>
  </cellStyleXfs>
  <cellXfs count="24">
    <xf numFmtId="0" fontId="0" fillId="0" borderId="0" pivotButton="0" quotePrefix="0" xfId="49"/>
    <xf numFmtId="0" fontId="1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0" fontId="3" fillId="2" borderId="1" applyAlignment="1" pivotButton="0" quotePrefix="0" xfId="49">
      <alignment horizontal="center" vertical="center"/>
    </xf>
    <xf numFmtId="0" fontId="3" fillId="2" borderId="2" applyAlignment="1" pivotButton="0" quotePrefix="0" xfId="49">
      <alignment horizontal="center" vertical="center"/>
    </xf>
    <xf numFmtId="0" fontId="1" fillId="0" borderId="0" applyAlignment="1" pivotButton="0" quotePrefix="0" xfId="49">
      <alignment vertical="center" wrapText="1"/>
    </xf>
    <xf numFmtId="164" fontId="1" fillId="3" borderId="0" applyAlignment="1" pivotButton="0" quotePrefix="0" xfId="49">
      <alignment vertical="center"/>
    </xf>
    <xf numFmtId="0" fontId="1" fillId="0" borderId="0" applyAlignment="1" pivotButton="0" quotePrefix="0" xfId="49">
      <alignment horizontal="center" vertical="center"/>
    </xf>
    <xf numFmtId="0" fontId="1" fillId="0" borderId="0" applyAlignment="1" pivotButton="0" quotePrefix="0" xfId="49">
      <alignment horizontal="center" vertical="center" wrapText="1"/>
    </xf>
    <xf numFmtId="165" fontId="1" fillId="4" borderId="0" applyAlignment="1" pivotButton="0" quotePrefix="0" xfId="49">
      <alignment horizontal="center" vertical="center"/>
    </xf>
    <xf numFmtId="165" fontId="1" fillId="3" borderId="0" applyAlignment="1" pivotButton="0" quotePrefix="0" xfId="49">
      <alignment horizontal="center" vertical="center"/>
    </xf>
    <xf numFmtId="164" fontId="1" fillId="3" borderId="0" applyAlignment="1" pivotButton="0" quotePrefix="0" xfId="49">
      <alignment horizontal="center" vertical="center"/>
    </xf>
    <xf numFmtId="164" fontId="4" fillId="3" borderId="0" applyAlignment="1" pivotButton="0" quotePrefix="0" xfId="49">
      <alignment horizontal="center" vertical="center"/>
    </xf>
    <xf numFmtId="165" fontId="4" fillId="3" borderId="0" applyAlignment="1" pivotButton="0" quotePrefix="0" xfId="49">
      <alignment horizontal="center" vertical="center"/>
    </xf>
    <xf numFmtId="0" fontId="5" fillId="0" borderId="0" applyAlignment="1" pivotButton="0" quotePrefix="0" xfId="49">
      <alignment horizontal="center" vertical="center" wrapText="1"/>
    </xf>
    <xf numFmtId="164" fontId="6" fillId="3" borderId="0" applyAlignment="1" pivotButton="0" quotePrefix="0" xfId="49">
      <alignment horizontal="center" vertical="center"/>
    </xf>
    <xf numFmtId="0" fontId="0" fillId="0" borderId="0" pivotButton="0" quotePrefix="0" xfId="0"/>
    <xf numFmtId="165" fontId="1" fillId="4" borderId="0" applyAlignment="1" pivotButton="0" quotePrefix="0" xfId="49">
      <alignment horizontal="center" vertical="center"/>
    </xf>
    <xf numFmtId="165" fontId="1" fillId="3" borderId="0" applyAlignment="1" pivotButton="0" quotePrefix="0" xfId="49">
      <alignment horizontal="center" vertical="center"/>
    </xf>
    <xf numFmtId="164" fontId="1" fillId="3" borderId="0" applyAlignment="1" pivotButton="0" quotePrefix="0" xfId="49">
      <alignment horizontal="center" vertical="center"/>
    </xf>
    <xf numFmtId="164" fontId="4" fillId="3" borderId="0" applyAlignment="1" pivotButton="0" quotePrefix="0" xfId="49">
      <alignment horizontal="center" vertical="center"/>
    </xf>
    <xf numFmtId="165" fontId="4" fillId="3" borderId="0" applyAlignment="1" pivotButton="0" quotePrefix="0" xfId="49">
      <alignment horizontal="center" vertical="center"/>
    </xf>
    <xf numFmtId="164" fontId="6" fillId="3" borderId="0" applyAlignment="1" pivotButton="0" quotePrefix="0" xfId="49">
      <alignment horizontal="center" vertical="center"/>
    </xf>
    <xf numFmtId="164" fontId="1" fillId="3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3">
    <dxf>
      <alignment horizontal="center"/>
    </dxf>
    <dxf>
      <alignment horizontal="center"/>
    </dxf>
    <dxf>
      <alignment horizontal="center"/>
    </dxf>
    <dxf>
      <numFmt numFmtId="176" formatCode="#,##0.00_ "/>
      <alignment horizontal="center"/>
    </dxf>
    <dxf>
      <alignment horizontal="center"/>
    </dxf>
    <dxf>
      <numFmt numFmtId="176" formatCode="#,##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nitConstants" displayName="UnitConstants" ref="A4:E87" headerRowCount="1" totalsRowShown="0">
  <tableColumns count="5">
    <tableColumn id="1" name="单位/中心" dataDxfId="0"/>
    <tableColumn id="2" name="常量指标" dataDxfId="1"/>
    <tableColumn id="3" name="计量单位" dataDxfId="2"/>
    <tableColumn id="4" name="25–26同期值" dataDxfId="3"/>
    <tableColumn id="5" name="26–27本期值" dataDxfId="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CenterConstants" displayName="CenterConstants" ref="A4:E74" headerRowCount="1" totalsRowShown="0">
  <tableColumns count="5">
    <tableColumn id="1" name="单位/中心"/>
    <tableColumn id="2" name="常量指标"/>
    <tableColumn id="3" name="计量单位"/>
    <tableColumn id="4" name="25–26同期值" dataDxfId="5"/>
    <tableColumn id="5" name="26–27本期值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254B70"/>
    <outlinePr summaryBelow="1" summaryRight="1"/>
    <pageSetUpPr/>
  </sheetPr>
  <dimension ref="A1:E87"/>
  <sheetViews>
    <sheetView showGridLines="0" tabSelected="1" workbookViewId="0">
      <pane xSplit="2" ySplit="4" topLeftCell="C73" activePane="bottomRight" state="frozen"/>
      <selection activeCell="A1" sqref="A1"/>
      <selection pane="topRight" activeCell="A1" sqref="A1"/>
      <selection pane="bottomLeft" activeCell="A1" sqref="A1"/>
      <selection pane="bottomRight" activeCell="H83" sqref="H83"/>
    </sheetView>
  </sheetViews>
  <sheetFormatPr baseColWidth="8" defaultColWidth="9" defaultRowHeight="14.25"/>
  <cols>
    <col width="18" customWidth="1" style="16" min="1" max="1"/>
    <col width="23" customWidth="1" style="16" min="2" max="2"/>
    <col width="13" customWidth="1" style="16" min="3" max="3"/>
    <col width="19" customWidth="1" style="16" min="4" max="5"/>
  </cols>
  <sheetData>
    <row r="1">
      <c r="A1" s="1" t="n"/>
      <c r="B1" s="1" t="n"/>
      <c r="C1" s="1" t="n"/>
      <c r="D1" s="1" t="n"/>
      <c r="E1" s="1" t="n"/>
    </row>
    <row r="2" ht="20.25" customHeight="1" s="16">
      <c r="A2" s="2" t="inlineStr">
        <is>
          <t>26–27供暖期常量指标搜集表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2" customHeight="1" s="16">
      <c r="A4" s="3" t="inlineStr">
        <is>
          <t>单位/中心</t>
        </is>
      </c>
      <c r="B4" s="4" t="inlineStr">
        <is>
          <t>常量指标</t>
        </is>
      </c>
      <c r="C4" s="4" t="inlineStr">
        <is>
          <t>计量单位</t>
        </is>
      </c>
      <c r="D4" s="4" t="inlineStr">
        <is>
          <t>25–26同期值</t>
        </is>
      </c>
      <c r="E4" s="4" t="inlineStr">
        <is>
          <t>26–27本期值</t>
        </is>
      </c>
    </row>
    <row r="5" ht="36" customHeight="1" s="16">
      <c r="A5" s="7" t="inlineStr">
        <is>
          <t>北海热电厂</t>
        </is>
      </c>
      <c r="B5" s="8" t="inlineStr">
        <is>
          <t>售电单价</t>
        </is>
      </c>
      <c r="C5" s="8" t="inlineStr">
        <is>
          <t>元/kWh</t>
        </is>
      </c>
      <c r="D5" s="17" t="n">
        <v>0.33</v>
      </c>
      <c r="E5" s="18" t="n">
        <v>0.33</v>
      </c>
    </row>
    <row r="6" ht="36" customHeight="1" s="16">
      <c r="A6" s="7" t="inlineStr">
        <is>
          <t>北海热电厂</t>
        </is>
      </c>
      <c r="B6" s="8" t="inlineStr">
        <is>
          <t>内售热单价</t>
        </is>
      </c>
      <c r="C6" s="8" t="inlineStr">
        <is>
          <t>元/GJ</t>
        </is>
      </c>
      <c r="D6" s="19" t="n">
        <v>50</v>
      </c>
      <c r="E6" s="19" t="n">
        <v>50</v>
      </c>
    </row>
    <row r="7" ht="36" customHeight="1" s="16">
      <c r="A7" s="7" t="inlineStr">
        <is>
          <t>北海热电厂</t>
        </is>
      </c>
      <c r="B7" s="8" t="inlineStr">
        <is>
          <t>标煤单价</t>
        </is>
      </c>
      <c r="C7" s="8" t="inlineStr">
        <is>
          <t>元/吨</t>
        </is>
      </c>
      <c r="D7" s="19" t="n">
        <v>833</v>
      </c>
      <c r="E7" s="19" t="n">
        <v>1139.11747857309</v>
      </c>
    </row>
    <row r="8" ht="36" customHeight="1" s="16">
      <c r="A8" s="7" t="inlineStr">
        <is>
          <t>北海热电厂</t>
        </is>
      </c>
      <c r="B8" s="8" t="inlineStr">
        <is>
          <t>可比标煤单价</t>
        </is>
      </c>
      <c r="C8" s="8" t="inlineStr">
        <is>
          <t>元/吨</t>
        </is>
      </c>
      <c r="D8" s="19" t="n">
        <v>1000</v>
      </c>
      <c r="E8" s="19" t="n">
        <v>1000</v>
      </c>
    </row>
    <row r="9" ht="36" customHeight="1" s="16">
      <c r="A9" s="7" t="inlineStr">
        <is>
          <t>北海热电厂</t>
        </is>
      </c>
      <c r="B9" s="8" t="inlineStr">
        <is>
          <t>外购电单价</t>
        </is>
      </c>
      <c r="C9" s="8" t="inlineStr">
        <is>
          <t>元/kWh</t>
        </is>
      </c>
      <c r="D9" s="18" t="n">
        <v>0.55</v>
      </c>
      <c r="E9" s="18" t="n">
        <v>0.53</v>
      </c>
    </row>
    <row r="10" ht="36" customHeight="1" s="16">
      <c r="A10" s="7" t="inlineStr">
        <is>
          <t>北海热电厂</t>
        </is>
      </c>
      <c r="B10" s="8" t="inlineStr">
        <is>
          <t>购水单价</t>
        </is>
      </c>
      <c r="C10" s="8" t="inlineStr">
        <is>
          <t>元/吨</t>
        </is>
      </c>
      <c r="D10" s="19" t="n">
        <v>4.1</v>
      </c>
      <c r="E10" s="19" t="n">
        <v>4.51</v>
      </c>
    </row>
    <row r="11" ht="36" customHeight="1" s="16">
      <c r="A11" s="7" t="inlineStr">
        <is>
          <t>北海热电厂</t>
        </is>
      </c>
      <c r="B11" s="8" t="inlineStr">
        <is>
          <t>购天然气单价</t>
        </is>
      </c>
      <c r="C11" s="8" t="inlineStr">
        <is>
          <t>元/m³</t>
        </is>
      </c>
      <c r="D11" s="19" t="n">
        <v>0</v>
      </c>
      <c r="E11" s="20" t="n">
        <v>0</v>
      </c>
    </row>
    <row r="12" ht="36" customHeight="1" s="16">
      <c r="A12" s="7" t="inlineStr">
        <is>
          <t>北海热电厂</t>
        </is>
      </c>
      <c r="B12" s="8" t="inlineStr">
        <is>
          <t>酸单价</t>
        </is>
      </c>
      <c r="C12" s="8" t="inlineStr">
        <is>
          <t>元/吨</t>
        </is>
      </c>
      <c r="D12" s="19" t="n">
        <v>310</v>
      </c>
      <c r="E12" s="19">
        <f>325/1.13</f>
        <v/>
      </c>
    </row>
    <row r="13" ht="36" customHeight="1" s="16">
      <c r="A13" s="7" t="inlineStr">
        <is>
          <t>北海热电厂</t>
        </is>
      </c>
      <c r="B13" s="8" t="inlineStr">
        <is>
          <t>碱单价</t>
        </is>
      </c>
      <c r="C13" s="8" t="inlineStr">
        <is>
          <t>元/吨</t>
        </is>
      </c>
      <c r="D13" s="19" t="n">
        <v>947</v>
      </c>
      <c r="E13" s="19">
        <f>888/1.13</f>
        <v/>
      </c>
    </row>
    <row r="14" ht="36" customHeight="1" s="16">
      <c r="A14" s="7" t="inlineStr">
        <is>
          <t>北海热电厂</t>
        </is>
      </c>
      <c r="B14" s="8" t="inlineStr">
        <is>
          <t>油单价</t>
        </is>
      </c>
      <c r="C14" s="8" t="inlineStr">
        <is>
          <t>元/吨</t>
        </is>
      </c>
      <c r="D14" s="19" t="n">
        <v>6106</v>
      </c>
      <c r="E14" s="20" t="n">
        <v>6106</v>
      </c>
    </row>
    <row r="15" ht="36" customHeight="1" s="16">
      <c r="A15" s="7" t="inlineStr">
        <is>
          <t>北海热电厂</t>
        </is>
      </c>
      <c r="B15" s="8" t="inlineStr">
        <is>
          <t>氨水单价</t>
        </is>
      </c>
      <c r="C15" s="8" t="inlineStr">
        <is>
          <t>元/吨</t>
        </is>
      </c>
      <c r="D15" s="19" t="n">
        <v>542</v>
      </c>
      <c r="E15" s="19">
        <f>575/1.13</f>
        <v/>
      </c>
    </row>
    <row r="16" ht="36" customHeight="1" s="16">
      <c r="A16" s="7" t="inlineStr">
        <is>
          <t>北海热电厂</t>
        </is>
      </c>
      <c r="B16" s="8" t="inlineStr">
        <is>
          <t>石灰石粉单价</t>
        </is>
      </c>
      <c r="C16" s="8" t="inlineStr">
        <is>
          <t>元/吨</t>
        </is>
      </c>
      <c r="D16" s="19" t="n">
        <v>113</v>
      </c>
      <c r="E16" s="19">
        <f>107/1.13</f>
        <v/>
      </c>
    </row>
    <row r="17" ht="36" customHeight="1" s="16">
      <c r="A17" s="7" t="inlineStr">
        <is>
          <t>香海热电厂</t>
        </is>
      </c>
      <c r="B17" s="8" t="inlineStr">
        <is>
          <t>售电单价</t>
        </is>
      </c>
      <c r="C17" s="8" t="inlineStr">
        <is>
          <t>元/kWh</t>
        </is>
      </c>
      <c r="D17" s="17" t="n">
        <v>0.33</v>
      </c>
      <c r="E17" s="18" t="n">
        <v>0.33</v>
      </c>
    </row>
    <row r="18" ht="36" customHeight="1" s="16">
      <c r="A18" s="7" t="inlineStr">
        <is>
          <t>香海热电厂</t>
        </is>
      </c>
      <c r="B18" s="8" t="inlineStr">
        <is>
          <t>内售热单价</t>
        </is>
      </c>
      <c r="C18" s="8" t="inlineStr">
        <is>
          <t>元/GJ</t>
        </is>
      </c>
      <c r="D18" s="19" t="n">
        <v>50</v>
      </c>
      <c r="E18" s="19" t="n">
        <v>50</v>
      </c>
    </row>
    <row r="19" ht="36" customHeight="1" s="16">
      <c r="A19" s="7" t="inlineStr">
        <is>
          <t>香海热电厂</t>
        </is>
      </c>
      <c r="B19" s="8" t="inlineStr">
        <is>
          <t>标煤单价</t>
        </is>
      </c>
      <c r="C19" s="8" t="inlineStr">
        <is>
          <t>元/吨</t>
        </is>
      </c>
      <c r="D19" s="19" t="n">
        <v>862.2914</v>
      </c>
      <c r="E19" s="19" t="n">
        <v>1235.99065478487</v>
      </c>
    </row>
    <row r="20" ht="36" customHeight="1" s="16">
      <c r="A20" s="7" t="inlineStr">
        <is>
          <t>香海热电厂</t>
        </is>
      </c>
      <c r="B20" s="8" t="inlineStr">
        <is>
          <t>可比标煤单价</t>
        </is>
      </c>
      <c r="C20" s="8" t="inlineStr">
        <is>
          <t>元/吨</t>
        </is>
      </c>
      <c r="D20" s="19" t="n">
        <v>1000</v>
      </c>
      <c r="E20" s="19" t="n">
        <v>1000</v>
      </c>
    </row>
    <row r="21" ht="36" customHeight="1" s="16">
      <c r="A21" s="7" t="inlineStr">
        <is>
          <t>香海热电厂</t>
        </is>
      </c>
      <c r="B21" s="8" t="inlineStr">
        <is>
          <t>外购电单价</t>
        </is>
      </c>
      <c r="C21" s="8" t="inlineStr">
        <is>
          <t>元/kWh</t>
        </is>
      </c>
      <c r="D21" s="18" t="n">
        <v>0.55</v>
      </c>
      <c r="E21" s="18" t="n">
        <v>0.53</v>
      </c>
    </row>
    <row r="22" ht="36" customHeight="1" s="16">
      <c r="A22" s="7" t="inlineStr">
        <is>
          <t>香海热电厂</t>
        </is>
      </c>
      <c r="B22" s="8" t="inlineStr">
        <is>
          <t>购水单价</t>
        </is>
      </c>
      <c r="C22" s="8" t="inlineStr">
        <is>
          <t>元/吨</t>
        </is>
      </c>
      <c r="D22" s="19" t="n">
        <v>4.1</v>
      </c>
      <c r="E22" s="19" t="n">
        <v>4.63</v>
      </c>
    </row>
    <row r="23" ht="36" customHeight="1" s="16">
      <c r="A23" s="7" t="inlineStr">
        <is>
          <t>香海热电厂</t>
        </is>
      </c>
      <c r="B23" s="8" t="inlineStr">
        <is>
          <t>酸单价</t>
        </is>
      </c>
      <c r="C23" s="8" t="inlineStr">
        <is>
          <t>元/吨</t>
        </is>
      </c>
      <c r="D23" s="19" t="n">
        <v>310</v>
      </c>
      <c r="E23" s="19">
        <f>325/1.13</f>
        <v/>
      </c>
    </row>
    <row r="24" ht="36" customHeight="1" s="16">
      <c r="A24" s="7" t="inlineStr">
        <is>
          <t>香海热电厂</t>
        </is>
      </c>
      <c r="B24" s="8" t="inlineStr">
        <is>
          <t>碱单价</t>
        </is>
      </c>
      <c r="C24" s="8" t="inlineStr">
        <is>
          <t>元/吨</t>
        </is>
      </c>
      <c r="D24" s="19" t="n">
        <v>947</v>
      </c>
      <c r="E24" s="19">
        <f>888/1.13</f>
        <v/>
      </c>
    </row>
    <row r="25" ht="36" customHeight="1" s="16">
      <c r="A25" s="7" t="inlineStr">
        <is>
          <t>香海热电厂</t>
        </is>
      </c>
      <c r="B25" s="8" t="inlineStr">
        <is>
          <t>油单价</t>
        </is>
      </c>
      <c r="C25" s="8" t="inlineStr">
        <is>
          <t>元/吨</t>
        </is>
      </c>
      <c r="D25" s="19" t="n">
        <v>5929</v>
      </c>
      <c r="E25" s="20" t="n">
        <v>5929</v>
      </c>
    </row>
    <row r="26" ht="36" customHeight="1" s="16">
      <c r="A26" s="7" t="inlineStr">
        <is>
          <t>香海热电厂</t>
        </is>
      </c>
      <c r="B26" s="8" t="inlineStr">
        <is>
          <t>氨水单价</t>
        </is>
      </c>
      <c r="C26" s="8" t="inlineStr">
        <is>
          <t>元/吨</t>
        </is>
      </c>
      <c r="D26" s="19" t="n">
        <v>542</v>
      </c>
      <c r="E26" s="19">
        <f>575/1.13</f>
        <v/>
      </c>
    </row>
    <row r="27" ht="36" customHeight="1" s="16">
      <c r="A27" s="7" t="inlineStr">
        <is>
          <t>香海热电厂</t>
        </is>
      </c>
      <c r="B27" s="8" t="inlineStr">
        <is>
          <t>石灰石粉单价</t>
        </is>
      </c>
      <c r="C27" s="8" t="inlineStr">
        <is>
          <t>元/吨</t>
        </is>
      </c>
      <c r="D27" s="19" t="n">
        <v>113</v>
      </c>
      <c r="E27" s="19">
        <f>107/1.13</f>
        <v/>
      </c>
    </row>
    <row r="28" ht="36" customHeight="1" s="16">
      <c r="A28" s="7" t="inlineStr">
        <is>
          <t>供热公司</t>
        </is>
      </c>
      <c r="B28" s="8" t="inlineStr">
        <is>
          <t>挂网面积</t>
        </is>
      </c>
      <c r="C28" s="8" t="inlineStr">
        <is>
          <t>万㎡</t>
        </is>
      </c>
      <c r="D28" s="19" t="n">
        <v>3236</v>
      </c>
      <c r="E28" s="19" t="n">
        <v>3320.489247</v>
      </c>
    </row>
    <row r="29" ht="36" customHeight="1" s="16">
      <c r="A29" s="7" t="inlineStr">
        <is>
          <t>供热公司</t>
        </is>
      </c>
      <c r="B29" s="8" t="inlineStr">
        <is>
          <t>供暖收费面积</t>
        </is>
      </c>
      <c r="C29" s="8" t="inlineStr">
        <is>
          <t>万㎡</t>
        </is>
      </c>
      <c r="D29" s="19" t="n">
        <v>2294.8925</v>
      </c>
      <c r="E29" s="19" t="n">
        <v>2323.0925</v>
      </c>
    </row>
    <row r="30" ht="36" customHeight="1" s="16">
      <c r="A30" s="7" t="inlineStr">
        <is>
          <t>供热公司</t>
        </is>
      </c>
      <c r="B30" s="8" t="inlineStr">
        <is>
          <t>采暖期供暖收入</t>
        </is>
      </c>
      <c r="C30" s="8" t="inlineStr">
        <is>
          <t>万元</t>
        </is>
      </c>
      <c r="D30" s="19" t="n">
        <v>57078.8109</v>
      </c>
      <c r="E30" s="19">
        <f>D30/D29*E29</f>
        <v/>
      </c>
    </row>
    <row r="31" ht="36" customHeight="1" s="16">
      <c r="A31" s="7" t="inlineStr">
        <is>
          <t>供热公司</t>
        </is>
      </c>
      <c r="B31" s="8" t="inlineStr">
        <is>
          <t>外购电单价</t>
        </is>
      </c>
      <c r="C31" s="8" t="inlineStr">
        <is>
          <t>元/kWh</t>
        </is>
      </c>
      <c r="D31" s="18" t="n">
        <v>0.74</v>
      </c>
      <c r="E31" s="18" t="n">
        <v>0.65</v>
      </c>
    </row>
    <row r="32" ht="36" customHeight="1" s="16">
      <c r="A32" s="7" t="inlineStr">
        <is>
          <t>供热公司</t>
        </is>
      </c>
      <c r="B32" s="8" t="inlineStr">
        <is>
          <t>购水单价</t>
        </is>
      </c>
      <c r="C32" s="8" t="inlineStr">
        <is>
          <t>元/吨</t>
        </is>
      </c>
      <c r="D32" s="19" t="n">
        <v>4.6</v>
      </c>
      <c r="E32" s="19" t="n">
        <v>4.51</v>
      </c>
    </row>
    <row r="33" ht="36" customHeight="1" s="16">
      <c r="A33" s="7" t="inlineStr">
        <is>
          <t>供热公司</t>
        </is>
      </c>
      <c r="B33" s="8" t="inlineStr">
        <is>
          <t>内购热单价</t>
        </is>
      </c>
      <c r="C33" s="8" t="inlineStr">
        <is>
          <t>元/GJ</t>
        </is>
      </c>
      <c r="D33" s="19" t="n">
        <v>50</v>
      </c>
      <c r="E33" s="19" t="n">
        <v>50</v>
      </c>
    </row>
    <row r="34" ht="36" customHeight="1" s="16">
      <c r="A34" s="7" t="inlineStr">
        <is>
          <t>金州热电</t>
        </is>
      </c>
      <c r="B34" s="8" t="inlineStr">
        <is>
          <t>挂网面积</t>
        </is>
      </c>
      <c r="C34" s="8" t="inlineStr">
        <is>
          <t>万㎡</t>
        </is>
      </c>
      <c r="D34" s="19" t="n">
        <v>964</v>
      </c>
      <c r="E34" s="19" t="n">
        <v>964.6308</v>
      </c>
    </row>
    <row r="35" ht="36" customHeight="1" s="16">
      <c r="A35" s="7" t="inlineStr">
        <is>
          <t>金州热电</t>
        </is>
      </c>
      <c r="B35" s="8" t="inlineStr">
        <is>
          <t>供暖收费面积</t>
        </is>
      </c>
      <c r="C35" s="8" t="inlineStr">
        <is>
          <t>万㎡</t>
        </is>
      </c>
      <c r="D35" s="19" t="n">
        <v>633.7791999999999</v>
      </c>
      <c r="E35" s="19" t="n">
        <v>633.7791999999999</v>
      </c>
    </row>
    <row r="36" ht="36" customHeight="1" s="16">
      <c r="A36" s="7" t="inlineStr">
        <is>
          <t>金州热电</t>
        </is>
      </c>
      <c r="B36" s="8" t="inlineStr">
        <is>
          <t>采暖期供暖收入</t>
        </is>
      </c>
      <c r="C36" s="8" t="inlineStr">
        <is>
          <t>万元</t>
        </is>
      </c>
      <c r="D36" s="19" t="n">
        <v>15724.9737</v>
      </c>
      <c r="E36" s="19">
        <f>D36/D35*E35</f>
        <v/>
      </c>
    </row>
    <row r="37" ht="36" customHeight="1" s="16">
      <c r="A37" s="7" t="inlineStr">
        <is>
          <t>金州热电</t>
        </is>
      </c>
      <c r="B37" s="8" t="inlineStr">
        <is>
          <t>售电单价</t>
        </is>
      </c>
      <c r="C37" s="8" t="inlineStr">
        <is>
          <t>元/kWh</t>
        </is>
      </c>
      <c r="D37" s="17" t="n">
        <v>0.33</v>
      </c>
      <c r="E37" s="18" t="n">
        <v>0.33</v>
      </c>
    </row>
    <row r="38" ht="36" customHeight="1" s="16">
      <c r="A38" s="7" t="inlineStr">
        <is>
          <t>金州热电</t>
        </is>
      </c>
      <c r="B38" s="8" t="inlineStr">
        <is>
          <t>售高温水单价</t>
        </is>
      </c>
      <c r="C38" s="8" t="inlineStr">
        <is>
          <t>元/GJ</t>
        </is>
      </c>
      <c r="D38" s="19" t="n">
        <v>85.72</v>
      </c>
      <c r="E38" s="19" t="n">
        <v>85.72</v>
      </c>
    </row>
    <row r="39" ht="36" customHeight="1" s="16">
      <c r="A39" s="7" t="inlineStr">
        <is>
          <t>金州热电</t>
        </is>
      </c>
      <c r="B39" s="8" t="inlineStr">
        <is>
          <t>标煤单价</t>
        </is>
      </c>
      <c r="C39" s="8" t="inlineStr">
        <is>
          <t>元/吨</t>
        </is>
      </c>
      <c r="D39" s="19" t="n">
        <v>825.45</v>
      </c>
      <c r="E39" s="19" t="n">
        <v>1237.50426751315</v>
      </c>
    </row>
    <row r="40" ht="36" customHeight="1" s="16">
      <c r="A40" s="7" t="inlineStr">
        <is>
          <t>金州热电</t>
        </is>
      </c>
      <c r="B40" s="8" t="inlineStr">
        <is>
          <t>可比标煤单价</t>
        </is>
      </c>
      <c r="C40" s="8" t="inlineStr">
        <is>
          <t>元/吨</t>
        </is>
      </c>
      <c r="D40" s="19" t="n">
        <v>1000</v>
      </c>
      <c r="E40" s="19" t="n">
        <v>1000</v>
      </c>
    </row>
    <row r="41" ht="36" customHeight="1" s="16">
      <c r="A41" s="7" t="inlineStr">
        <is>
          <t>金州热电</t>
        </is>
      </c>
      <c r="B41" s="8" t="inlineStr">
        <is>
          <t>外购电单价</t>
        </is>
      </c>
      <c r="C41" s="8" t="inlineStr">
        <is>
          <t>元/kWh</t>
        </is>
      </c>
      <c r="D41" s="18" t="n">
        <v>0.72</v>
      </c>
      <c r="E41" s="21" t="n">
        <v>0.669</v>
      </c>
    </row>
    <row r="42" ht="36" customHeight="1" s="16">
      <c r="A42" s="7" t="inlineStr">
        <is>
          <t>金州热电</t>
        </is>
      </c>
      <c r="B42" s="8" t="inlineStr">
        <is>
          <t>购水单价</t>
        </is>
      </c>
      <c r="C42" s="8" t="inlineStr">
        <is>
          <t>元/吨</t>
        </is>
      </c>
      <c r="D42" s="19" t="n">
        <v>4.47</v>
      </c>
      <c r="E42" s="19" t="n">
        <v>4.5068</v>
      </c>
    </row>
    <row r="43" ht="36" customHeight="1" s="16">
      <c r="A43" s="7" t="inlineStr">
        <is>
          <t>金州热电</t>
        </is>
      </c>
      <c r="B43" s="8" t="inlineStr">
        <is>
          <t>酸单价</t>
        </is>
      </c>
      <c r="C43" s="8" t="inlineStr">
        <is>
          <t>元/吨</t>
        </is>
      </c>
      <c r="D43" s="19" t="n">
        <v>261</v>
      </c>
      <c r="E43" s="19" t="n">
        <v>358.41</v>
      </c>
    </row>
    <row r="44" ht="36" customHeight="1" s="16">
      <c r="A44" s="7" t="inlineStr">
        <is>
          <t>金州热电</t>
        </is>
      </c>
      <c r="B44" s="8" t="inlineStr">
        <is>
          <t>碱单价</t>
        </is>
      </c>
      <c r="C44" s="8" t="inlineStr">
        <is>
          <t>元/吨</t>
        </is>
      </c>
      <c r="D44" s="19" t="n">
        <v>947</v>
      </c>
      <c r="E44" s="19" t="n">
        <v>785.84</v>
      </c>
    </row>
    <row r="45" ht="36" customHeight="1" s="16">
      <c r="A45" s="7" t="inlineStr">
        <is>
          <t>金州热电</t>
        </is>
      </c>
      <c r="B45" s="8" t="inlineStr">
        <is>
          <t>油单价</t>
        </is>
      </c>
      <c r="C45" s="8" t="inlineStr">
        <is>
          <t>元/吨</t>
        </is>
      </c>
      <c r="D45" s="19" t="n">
        <v>7477</v>
      </c>
      <c r="E45" s="19" t="n">
        <v>8742.48</v>
      </c>
    </row>
    <row r="46" ht="36" customHeight="1" s="16">
      <c r="A46" s="7" t="inlineStr">
        <is>
          <t>金州热电</t>
        </is>
      </c>
      <c r="B46" s="8" t="inlineStr">
        <is>
          <t>氨水单价</t>
        </is>
      </c>
      <c r="C46" s="8" t="inlineStr">
        <is>
          <t>元/吨</t>
        </is>
      </c>
      <c r="D46" s="19" t="n">
        <v>542</v>
      </c>
      <c r="E46" s="19" t="n">
        <v>543.36</v>
      </c>
    </row>
    <row r="47" ht="36" customHeight="1" s="16">
      <c r="A47" s="7" t="inlineStr">
        <is>
          <t>金州热电</t>
        </is>
      </c>
      <c r="B47" s="8" t="inlineStr">
        <is>
          <t>石灰石粉单价</t>
        </is>
      </c>
      <c r="C47" s="8" t="inlineStr">
        <is>
          <t>元/吨</t>
        </is>
      </c>
      <c r="D47" s="19" t="n">
        <v>124</v>
      </c>
      <c r="E47" s="19" t="n">
        <v>123</v>
      </c>
    </row>
    <row r="48" ht="36" customHeight="1" s="16">
      <c r="A48" s="7" t="inlineStr">
        <is>
          <t>北方热电</t>
        </is>
      </c>
      <c r="B48" s="8" t="inlineStr">
        <is>
          <t>挂网面积</t>
        </is>
      </c>
      <c r="C48" s="8" t="inlineStr">
        <is>
          <t>万㎡</t>
        </is>
      </c>
      <c r="D48" s="19" t="n">
        <v>385</v>
      </c>
      <c r="E48" s="19" t="n">
        <v>391.0401</v>
      </c>
    </row>
    <row r="49" ht="36" customHeight="1" s="16">
      <c r="A49" s="7" t="inlineStr">
        <is>
          <t>北方热电</t>
        </is>
      </c>
      <c r="B49" s="8" t="inlineStr">
        <is>
          <t>供暖收费面积</t>
        </is>
      </c>
      <c r="C49" s="8" t="inlineStr">
        <is>
          <t>万㎡</t>
        </is>
      </c>
      <c r="D49" s="19" t="n">
        <v>299.3404</v>
      </c>
      <c r="E49" s="19" t="n">
        <v>299</v>
      </c>
    </row>
    <row r="50" ht="36" customHeight="1" s="16">
      <c r="A50" s="7" t="inlineStr">
        <is>
          <t>北方热电</t>
        </is>
      </c>
      <c r="B50" s="8" t="inlineStr">
        <is>
          <t>采暖期供暖收入</t>
        </is>
      </c>
      <c r="C50" s="8" t="inlineStr">
        <is>
          <t>万元</t>
        </is>
      </c>
      <c r="D50" s="19" t="n">
        <v>6981</v>
      </c>
      <c r="E50" s="19">
        <f>D50/D49*E49</f>
        <v/>
      </c>
    </row>
    <row r="51" ht="36" customHeight="1" s="16">
      <c r="A51" s="7" t="inlineStr">
        <is>
          <t>北方热电</t>
        </is>
      </c>
      <c r="B51" s="8" t="inlineStr">
        <is>
          <t>售电单价</t>
        </is>
      </c>
      <c r="C51" s="8" t="inlineStr">
        <is>
          <t>元/kWh</t>
        </is>
      </c>
      <c r="D51" s="17" t="n">
        <v>0.33</v>
      </c>
      <c r="E51" s="18" t="n">
        <v>0.33</v>
      </c>
    </row>
    <row r="52" ht="36" customHeight="1" s="16">
      <c r="A52" s="7" t="inlineStr">
        <is>
          <t>北方热电</t>
        </is>
      </c>
      <c r="B52" s="8" t="inlineStr">
        <is>
          <t>售高温水单价</t>
        </is>
      </c>
      <c r="C52" s="8" t="inlineStr">
        <is>
          <t>元/GJ</t>
        </is>
      </c>
      <c r="D52" s="19" t="n">
        <v>88.06999999999999</v>
      </c>
      <c r="E52" s="19" t="n">
        <v>88.06999999999999</v>
      </c>
    </row>
    <row r="53" ht="36" customHeight="1" s="16">
      <c r="A53" s="7" t="inlineStr">
        <is>
          <t>北方热电</t>
        </is>
      </c>
      <c r="B53" s="8" t="inlineStr">
        <is>
          <t>标煤单价</t>
        </is>
      </c>
      <c r="C53" s="8" t="inlineStr">
        <is>
          <t>元/吨</t>
        </is>
      </c>
      <c r="D53" s="19" t="n">
        <v>879.6799999999999</v>
      </c>
      <c r="E53" s="19" t="n">
        <v>1261.58447539537</v>
      </c>
    </row>
    <row r="54" ht="36" customHeight="1" s="16">
      <c r="A54" s="7" t="inlineStr">
        <is>
          <t>北方热电</t>
        </is>
      </c>
      <c r="B54" s="8" t="inlineStr">
        <is>
          <t>可比标煤单价</t>
        </is>
      </c>
      <c r="C54" s="8" t="inlineStr">
        <is>
          <t>元/吨</t>
        </is>
      </c>
      <c r="D54" s="19" t="n">
        <v>1000</v>
      </c>
      <c r="E54" s="19" t="n">
        <v>1000</v>
      </c>
    </row>
    <row r="55" ht="36" customHeight="1" s="16">
      <c r="A55" s="7" t="inlineStr">
        <is>
          <t>北方热电</t>
        </is>
      </c>
      <c r="B55" s="8" t="inlineStr">
        <is>
          <t>外购电单价</t>
        </is>
      </c>
      <c r="C55" s="8" t="inlineStr">
        <is>
          <t>元/kWh</t>
        </is>
      </c>
      <c r="D55" s="18" t="n">
        <v>0.51</v>
      </c>
      <c r="E55" s="18" t="n">
        <v>0.63</v>
      </c>
    </row>
    <row r="56" ht="36" customHeight="1" s="16">
      <c r="A56" s="7" t="inlineStr">
        <is>
          <t>北方热电</t>
        </is>
      </c>
      <c r="B56" s="8" t="inlineStr">
        <is>
          <t>购水单价</t>
        </is>
      </c>
      <c r="C56" s="8" t="inlineStr">
        <is>
          <t>元/吨</t>
        </is>
      </c>
      <c r="D56" s="19" t="n">
        <v>4.51</v>
      </c>
      <c r="E56" s="19" t="n">
        <v>4.5</v>
      </c>
    </row>
    <row r="57" ht="36" customHeight="1" s="16">
      <c r="A57" s="7" t="inlineStr">
        <is>
          <t>北方热电</t>
        </is>
      </c>
      <c r="B57" s="8" t="inlineStr">
        <is>
          <t>酸单价</t>
        </is>
      </c>
      <c r="C57" s="8" t="inlineStr">
        <is>
          <t>元/吨</t>
        </is>
      </c>
      <c r="D57" s="19" t="n">
        <v>407</v>
      </c>
      <c r="E57" s="19" t="n">
        <v>407</v>
      </c>
    </row>
    <row r="58" ht="36" customHeight="1" s="16">
      <c r="A58" s="7" t="inlineStr">
        <is>
          <t>北方热电</t>
        </is>
      </c>
      <c r="B58" s="8" t="inlineStr">
        <is>
          <t>碱单价</t>
        </is>
      </c>
      <c r="C58" s="8" t="inlineStr">
        <is>
          <t>元/吨</t>
        </is>
      </c>
      <c r="D58" s="19" t="n">
        <v>947</v>
      </c>
      <c r="E58" s="19" t="n">
        <v>947</v>
      </c>
    </row>
    <row r="59" ht="36" customHeight="1" s="16">
      <c r="A59" s="7" t="inlineStr">
        <is>
          <t>北方热电</t>
        </is>
      </c>
      <c r="B59" s="8" t="inlineStr">
        <is>
          <t>油单价</t>
        </is>
      </c>
      <c r="C59" s="8" t="inlineStr">
        <is>
          <t>元/吨</t>
        </is>
      </c>
      <c r="D59" s="19" t="n">
        <v>5814</v>
      </c>
      <c r="E59" s="19" t="n">
        <v>6165</v>
      </c>
    </row>
    <row r="60" ht="36" customHeight="1" s="16">
      <c r="A60" s="7" t="inlineStr">
        <is>
          <t>北方热电</t>
        </is>
      </c>
      <c r="B60" s="8" t="inlineStr">
        <is>
          <t>氨水单价</t>
        </is>
      </c>
      <c r="C60" s="8" t="inlineStr">
        <is>
          <t>元/吨</t>
        </is>
      </c>
      <c r="D60" s="19" t="n">
        <v>542</v>
      </c>
      <c r="E60" s="19" t="n">
        <v>542</v>
      </c>
    </row>
    <row r="61" ht="36" customHeight="1" s="16">
      <c r="A61" s="7" t="inlineStr">
        <is>
          <t>北方热电</t>
        </is>
      </c>
      <c r="B61" s="8" t="inlineStr">
        <is>
          <t>石灰石单价</t>
        </is>
      </c>
      <c r="C61" s="8" t="inlineStr">
        <is>
          <t>元/吨</t>
        </is>
      </c>
      <c r="D61" s="19" t="n">
        <v>58</v>
      </c>
      <c r="E61" s="19" t="n">
        <v>58</v>
      </c>
    </row>
    <row r="62" ht="36" customHeight="1" s="16">
      <c r="A62" s="7" t="inlineStr">
        <is>
          <t>北方热电</t>
        </is>
      </c>
      <c r="B62" s="8" t="inlineStr">
        <is>
          <t>石灰石粉单价</t>
        </is>
      </c>
      <c r="C62" s="8" t="inlineStr">
        <is>
          <t>元/吨</t>
        </is>
      </c>
      <c r="D62" s="19" t="n">
        <v>124</v>
      </c>
      <c r="E62" s="19" t="n">
        <v>124</v>
      </c>
    </row>
    <row r="63" ht="36" customHeight="1" s="16">
      <c r="A63" s="7" t="inlineStr">
        <is>
          <t>金普热电</t>
        </is>
      </c>
      <c r="B63" s="8" t="inlineStr">
        <is>
          <t>挂网面积</t>
        </is>
      </c>
      <c r="C63" s="8" t="inlineStr">
        <is>
          <t>万㎡</t>
        </is>
      </c>
      <c r="D63" s="19" t="n">
        <v>312</v>
      </c>
      <c r="E63" s="19" t="n">
        <v>318.992649</v>
      </c>
    </row>
    <row r="64" ht="36" customHeight="1" s="16">
      <c r="A64" s="7" t="inlineStr">
        <is>
          <t>金普热电</t>
        </is>
      </c>
      <c r="B64" s="8" t="inlineStr">
        <is>
          <t>供暖收费面积</t>
        </is>
      </c>
      <c r="C64" s="8" t="inlineStr">
        <is>
          <t>万㎡</t>
        </is>
      </c>
      <c r="D64" s="19" t="n">
        <v>171.4459</v>
      </c>
      <c r="E64" s="19" t="n">
        <v>171.6498</v>
      </c>
    </row>
    <row r="65" ht="36" customHeight="1" s="16">
      <c r="A65" s="7" t="inlineStr">
        <is>
          <t>金普热电</t>
        </is>
      </c>
      <c r="B65" s="8" t="inlineStr">
        <is>
          <t>采暖期供暖收入</t>
        </is>
      </c>
      <c r="C65" s="8" t="inlineStr">
        <is>
          <t>万元</t>
        </is>
      </c>
      <c r="D65" s="19" t="n">
        <v>4221.5513</v>
      </c>
      <c r="E65" s="19">
        <f>D65/D64*E64</f>
        <v/>
      </c>
    </row>
    <row r="66" ht="36" customHeight="1" s="16">
      <c r="A66" s="7" t="inlineStr">
        <is>
          <t>金普热电</t>
        </is>
      </c>
      <c r="B66" s="8" t="inlineStr">
        <is>
          <t>售高温水单价</t>
        </is>
      </c>
      <c r="C66" s="8" t="inlineStr">
        <is>
          <t>元/GJ</t>
        </is>
      </c>
      <c r="D66" s="19" t="n">
        <v>67</v>
      </c>
      <c r="E66" s="20" t="n">
        <v>67</v>
      </c>
    </row>
    <row r="67" ht="36" customHeight="1" s="16">
      <c r="A67" s="7" t="inlineStr">
        <is>
          <t>金普热电</t>
        </is>
      </c>
      <c r="B67" s="8" t="inlineStr">
        <is>
          <t>标煤单价</t>
        </is>
      </c>
      <c r="C67" s="8" t="inlineStr">
        <is>
          <t>元/吨</t>
        </is>
      </c>
      <c r="D67" s="19" t="n">
        <v>885</v>
      </c>
      <c r="E67" s="19" t="n">
        <v>1331.51993555939</v>
      </c>
    </row>
    <row r="68" ht="36" customHeight="1" s="16">
      <c r="A68" s="7" t="inlineStr">
        <is>
          <t>金普热电</t>
        </is>
      </c>
      <c r="B68" s="8" t="inlineStr">
        <is>
          <t>可比标煤单价</t>
        </is>
      </c>
      <c r="C68" s="8" t="inlineStr">
        <is>
          <t>元/吨</t>
        </is>
      </c>
      <c r="D68" s="19" t="n">
        <v>1000</v>
      </c>
      <c r="E68" s="19" t="n">
        <v>1000</v>
      </c>
    </row>
    <row r="69" ht="36" customHeight="1" s="16">
      <c r="A69" s="7" t="inlineStr">
        <is>
          <t>金普热电</t>
        </is>
      </c>
      <c r="B69" s="8" t="inlineStr">
        <is>
          <t>外购电单价</t>
        </is>
      </c>
      <c r="C69" s="8" t="inlineStr">
        <is>
          <t>元/kWh</t>
        </is>
      </c>
      <c r="D69" s="18" t="n">
        <v>0.67</v>
      </c>
      <c r="E69" s="18" t="n">
        <v>0.628641371541017</v>
      </c>
    </row>
    <row r="70" ht="36" customHeight="1" s="16">
      <c r="A70" s="7" t="inlineStr">
        <is>
          <t>金普热电</t>
        </is>
      </c>
      <c r="B70" s="8" t="inlineStr">
        <is>
          <t>购水单价</t>
        </is>
      </c>
      <c r="C70" s="8" t="inlineStr">
        <is>
          <t>元/吨</t>
        </is>
      </c>
      <c r="D70" s="19" t="n">
        <v>4.51</v>
      </c>
      <c r="E70" s="19" t="n">
        <v>4.50679584826762</v>
      </c>
    </row>
    <row r="71" ht="36" customHeight="1" s="16">
      <c r="A71" s="7" t="inlineStr">
        <is>
          <t>金普热电</t>
        </is>
      </c>
      <c r="B71" s="8" t="inlineStr">
        <is>
          <t>氧化镁单价</t>
        </is>
      </c>
      <c r="C71" s="8" t="inlineStr">
        <is>
          <t>元/吨</t>
        </is>
      </c>
      <c r="D71" s="19" t="n">
        <v>988</v>
      </c>
      <c r="E71" s="19" t="n">
        <v>1064.6017699115</v>
      </c>
    </row>
    <row r="72" ht="36" customHeight="1" s="16">
      <c r="A72" s="7" t="inlineStr">
        <is>
          <t>金普热电</t>
        </is>
      </c>
      <c r="B72" s="8" t="inlineStr">
        <is>
          <t>脱硝剂单价</t>
        </is>
      </c>
      <c r="C72" s="8" t="inlineStr">
        <is>
          <t>元/吨</t>
        </is>
      </c>
      <c r="D72" s="19" t="n">
        <v>3009</v>
      </c>
      <c r="E72" s="19" t="n">
        <v>2637.16814159292</v>
      </c>
    </row>
    <row r="73" ht="36" customHeight="1" s="16">
      <c r="A73" s="7" t="inlineStr">
        <is>
          <t>庄河环海</t>
        </is>
      </c>
      <c r="B73" s="8" t="inlineStr">
        <is>
          <t>挂网面积</t>
        </is>
      </c>
      <c r="C73" s="8" t="inlineStr">
        <is>
          <t>万㎡</t>
        </is>
      </c>
      <c r="D73" s="19" t="n">
        <v>384</v>
      </c>
      <c r="E73" s="19" t="n">
        <v>385.095352</v>
      </c>
    </row>
    <row r="74" ht="36" customHeight="1" s="16">
      <c r="A74" s="7" t="inlineStr">
        <is>
          <t>庄河环海</t>
        </is>
      </c>
      <c r="B74" s="8" t="inlineStr">
        <is>
          <t>供暖收费面积</t>
        </is>
      </c>
      <c r="C74" s="8" t="inlineStr">
        <is>
          <t>万㎡</t>
        </is>
      </c>
      <c r="D74" s="19" t="n">
        <v>230.9229</v>
      </c>
      <c r="E74" s="19" t="n">
        <v>227.28</v>
      </c>
    </row>
    <row r="75" ht="36" customHeight="1" s="16">
      <c r="A75" s="7" t="inlineStr">
        <is>
          <t>庄河环海</t>
        </is>
      </c>
      <c r="B75" s="8" t="inlineStr">
        <is>
          <t>采暖期供暖收入</t>
        </is>
      </c>
      <c r="C75" s="8" t="inlineStr">
        <is>
          <t>万元</t>
        </is>
      </c>
      <c r="D75" s="19" t="n">
        <v>5547.797</v>
      </c>
      <c r="E75" s="19">
        <f>D75/D74*E74</f>
        <v/>
      </c>
    </row>
    <row r="76" ht="36" customHeight="1" s="16">
      <c r="A76" s="7" t="inlineStr">
        <is>
          <t>庄河环海</t>
        </is>
      </c>
      <c r="B76" s="8" t="inlineStr">
        <is>
          <t>标煤单价</t>
        </is>
      </c>
      <c r="C76" s="8" t="inlineStr">
        <is>
          <t>元/吨</t>
        </is>
      </c>
      <c r="D76" s="19" t="n">
        <v>932</v>
      </c>
      <c r="E76" s="19" t="n">
        <v>0</v>
      </c>
    </row>
    <row r="77" ht="36" customHeight="1" s="16">
      <c r="A77" s="7" t="inlineStr">
        <is>
          <t>庄河环海</t>
        </is>
      </c>
      <c r="B77" s="8" t="inlineStr">
        <is>
          <t>可比标煤单价</t>
        </is>
      </c>
      <c r="C77" s="8" t="inlineStr">
        <is>
          <t>元/吨</t>
        </is>
      </c>
      <c r="D77" s="19" t="n">
        <v>1000</v>
      </c>
      <c r="E77" s="19" t="n">
        <v>1000</v>
      </c>
    </row>
    <row r="78" ht="36" customHeight="1" s="16">
      <c r="A78" s="7" t="inlineStr">
        <is>
          <t>庄河环海</t>
        </is>
      </c>
      <c r="B78" s="8" t="inlineStr">
        <is>
          <t>外购电单价</t>
        </is>
      </c>
      <c r="C78" s="8" t="inlineStr">
        <is>
          <t>元/kWh</t>
        </is>
      </c>
      <c r="D78" s="18" t="n">
        <v>0.65</v>
      </c>
      <c r="E78" s="18" t="n">
        <v>0.645</v>
      </c>
    </row>
    <row r="79" ht="36" customHeight="1" s="16">
      <c r="A79" s="7" t="inlineStr">
        <is>
          <t>庄河环海</t>
        </is>
      </c>
      <c r="B79" s="8" t="inlineStr">
        <is>
          <t>购水单价</t>
        </is>
      </c>
      <c r="C79" s="8" t="inlineStr">
        <is>
          <t>元/吨</t>
        </is>
      </c>
      <c r="D79" s="19" t="n">
        <v>4.51</v>
      </c>
      <c r="E79" s="19" t="n">
        <v>4.51</v>
      </c>
    </row>
    <row r="80" ht="36" customHeight="1" s="16">
      <c r="A80" s="7" t="inlineStr">
        <is>
          <t>庄河环海</t>
        </is>
      </c>
      <c r="B80" s="8" t="inlineStr">
        <is>
          <t>外购热单价</t>
        </is>
      </c>
      <c r="C80" s="8" t="inlineStr">
        <is>
          <t>元/GJ</t>
        </is>
      </c>
      <c r="D80" s="19" t="n">
        <v>47.71</v>
      </c>
      <c r="E80" s="19" t="n">
        <v>47.71</v>
      </c>
    </row>
    <row r="81" ht="36" customHeight="1" s="16">
      <c r="A81" s="7" t="inlineStr">
        <is>
          <t>庄河环海</t>
        </is>
      </c>
      <c r="B81" s="14" t="inlineStr">
        <is>
          <t>氧化镁单价</t>
        </is>
      </c>
      <c r="C81" s="8" t="inlineStr">
        <is>
          <t>元/吨</t>
        </is>
      </c>
      <c r="D81" s="19" t="n">
        <v>988.5</v>
      </c>
      <c r="E81" s="19" t="n">
        <v>0</v>
      </c>
    </row>
    <row r="82" ht="36" customHeight="1" s="16">
      <c r="A82" s="7" t="inlineStr">
        <is>
          <t>庄河环海</t>
        </is>
      </c>
      <c r="B82" s="8" t="inlineStr">
        <is>
          <t>脱硝剂单价</t>
        </is>
      </c>
      <c r="C82" s="8" t="inlineStr">
        <is>
          <t>元/吨</t>
        </is>
      </c>
      <c r="D82" s="19" t="n">
        <v>3124</v>
      </c>
      <c r="E82" s="19" t="n">
        <v>0</v>
      </c>
    </row>
    <row r="83" ht="36" customHeight="1" s="16">
      <c r="A83" s="7" t="inlineStr">
        <is>
          <t>研究院</t>
        </is>
      </c>
      <c r="B83" s="8" t="inlineStr">
        <is>
          <t>挂网面积</t>
        </is>
      </c>
      <c r="C83" s="8" t="inlineStr">
        <is>
          <t>万㎡</t>
        </is>
      </c>
      <c r="D83" s="19" t="n">
        <v>13.1495</v>
      </c>
      <c r="E83" s="19" t="n">
        <v>13.1495</v>
      </c>
    </row>
    <row r="84" ht="36" customHeight="1" s="16">
      <c r="A84" s="7" t="inlineStr">
        <is>
          <t>研究院</t>
        </is>
      </c>
      <c r="B84" s="8" t="inlineStr">
        <is>
          <t>供暖收费面积</t>
        </is>
      </c>
      <c r="C84" s="8" t="inlineStr">
        <is>
          <t>万㎡</t>
        </is>
      </c>
      <c r="D84" s="19" t="n">
        <v>7.6088</v>
      </c>
      <c r="E84" s="19" t="n">
        <v>7.6093</v>
      </c>
    </row>
    <row r="85" ht="36" customHeight="1" s="16">
      <c r="A85" s="7" t="inlineStr">
        <is>
          <t>研究院</t>
        </is>
      </c>
      <c r="B85" s="8" t="inlineStr">
        <is>
          <t>采暖期供暖收入</t>
        </is>
      </c>
      <c r="C85" s="8" t="inlineStr">
        <is>
          <t>万元</t>
        </is>
      </c>
      <c r="D85" s="19" t="n">
        <v>195.1581</v>
      </c>
      <c r="E85" s="19">
        <f>D85/D84*E84</f>
        <v/>
      </c>
    </row>
    <row r="86" ht="36" customHeight="1" s="16">
      <c r="A86" s="7" t="inlineStr">
        <is>
          <t>研究院</t>
        </is>
      </c>
      <c r="B86" s="8" t="inlineStr">
        <is>
          <t>外购电单价</t>
        </is>
      </c>
      <c r="C86" s="8" t="inlineStr">
        <is>
          <t>元/kWh</t>
        </is>
      </c>
      <c r="D86" s="18" t="n">
        <v>0.34</v>
      </c>
      <c r="E86" s="21" t="n">
        <v>0.34</v>
      </c>
    </row>
    <row r="87" ht="36" customHeight="1" s="16">
      <c r="A87" s="7" t="inlineStr">
        <is>
          <t>研究院</t>
        </is>
      </c>
      <c r="B87" s="8" t="inlineStr">
        <is>
          <t>购水单价</t>
        </is>
      </c>
      <c r="C87" s="8" t="inlineStr">
        <is>
          <t>元/吨</t>
        </is>
      </c>
      <c r="D87" s="19" t="n">
        <v>4.6</v>
      </c>
      <c r="E87" s="22" t="n">
        <v>4.466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54B70"/>
    <outlinePr summaryBelow="1" summaryRight="1"/>
    <pageSetUpPr/>
  </sheetPr>
  <dimension ref="A1:E74"/>
  <sheetViews>
    <sheetView showGridLines="0" workbookViewId="0">
      <pane xSplit="2" ySplit="4" topLeftCell="C7" activePane="bottomRight" state="frozen"/>
      <selection activeCell="A1" sqref="A1"/>
      <selection pane="topRight" activeCell="A1" sqref="A1"/>
      <selection pane="bottomLeft" activeCell="A1" sqref="A1"/>
      <selection pane="bottomRight" activeCell="E11" sqref="E11"/>
    </sheetView>
  </sheetViews>
  <sheetFormatPr baseColWidth="8" defaultColWidth="9" defaultRowHeight="14.25"/>
  <cols>
    <col width="18" customWidth="1" style="16" min="1" max="1"/>
    <col width="23" customWidth="1" style="16" min="2" max="2"/>
    <col width="13" customWidth="1" style="16" min="3" max="3"/>
    <col width="19" customWidth="1" style="16" min="4" max="5"/>
  </cols>
  <sheetData>
    <row r="1">
      <c r="A1" s="1" t="n"/>
      <c r="B1" s="1" t="n"/>
      <c r="C1" s="1" t="n"/>
      <c r="D1" s="1" t="n"/>
      <c r="E1" s="1" t="n"/>
    </row>
    <row r="2" ht="20.25" customHeight="1" s="16">
      <c r="A2" s="2" t="inlineStr">
        <is>
          <t>供热公司分中心常量搜集表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2" customHeight="1" s="16">
      <c r="A4" s="3" t="inlineStr">
        <is>
          <t>单位/中心</t>
        </is>
      </c>
      <c r="B4" s="4" t="inlineStr">
        <is>
          <t>常量指标</t>
        </is>
      </c>
      <c r="C4" s="4" t="inlineStr">
        <is>
          <t>计量单位</t>
        </is>
      </c>
      <c r="D4" s="4" t="inlineStr">
        <is>
          <t>25–26同期值</t>
        </is>
      </c>
      <c r="E4" s="4" t="inlineStr">
        <is>
          <t>26–27本期值</t>
        </is>
      </c>
    </row>
    <row r="5" ht="36" customHeight="1" s="16">
      <c r="A5" s="1" t="inlineStr">
        <is>
          <t>华乐中心</t>
        </is>
      </c>
      <c r="B5" s="5" t="inlineStr">
        <is>
          <t>挂网面积</t>
        </is>
      </c>
      <c r="C5" s="5" t="inlineStr">
        <is>
          <t>万㎡</t>
        </is>
      </c>
      <c r="D5" s="23" t="n">
        <v>350.9971</v>
      </c>
      <c r="E5" s="23" t="n">
        <v>361.2245</v>
      </c>
    </row>
    <row r="6" ht="36" customHeight="1" s="16">
      <c r="A6" s="1" t="inlineStr">
        <is>
          <t>东港中心</t>
        </is>
      </c>
      <c r="B6" s="5" t="inlineStr">
        <is>
          <t>挂网面积</t>
        </is>
      </c>
      <c r="C6" s="5" t="inlineStr">
        <is>
          <t>万㎡</t>
        </is>
      </c>
      <c r="D6" s="23" t="n">
        <v>521.4683</v>
      </c>
      <c r="E6" s="23" t="n">
        <v>536.6629</v>
      </c>
    </row>
    <row r="7" ht="36" customHeight="1" s="16">
      <c r="A7" s="1" t="inlineStr">
        <is>
          <t>春海中心</t>
        </is>
      </c>
      <c r="B7" s="5" t="inlineStr">
        <is>
          <t>挂网面积</t>
        </is>
      </c>
      <c r="C7" s="5" t="inlineStr">
        <is>
          <t>万㎡</t>
        </is>
      </c>
      <c r="D7" s="23" t="n">
        <v>409.4958</v>
      </c>
      <c r="E7" s="23" t="n">
        <v>421.4277</v>
      </c>
    </row>
    <row r="8" ht="36" customHeight="1" s="16">
      <c r="A8" s="1" t="inlineStr">
        <is>
          <t>中山中心</t>
        </is>
      </c>
      <c r="B8" s="5" t="inlineStr">
        <is>
          <t>挂网面积</t>
        </is>
      </c>
      <c r="C8" s="5" t="inlineStr">
        <is>
          <t>万㎡</t>
        </is>
      </c>
      <c r="D8" s="23" t="n">
        <v>333.1005</v>
      </c>
      <c r="E8" s="23" t="n">
        <v>342.8064</v>
      </c>
    </row>
    <row r="9" ht="36" customHeight="1" s="16">
      <c r="A9" s="1" t="inlineStr">
        <is>
          <t>北岗中心</t>
        </is>
      </c>
      <c r="B9" s="5" t="inlineStr">
        <is>
          <t>挂网面积</t>
        </is>
      </c>
      <c r="C9" s="5" t="inlineStr">
        <is>
          <t>万㎡</t>
        </is>
      </c>
      <c r="D9" s="23" t="n">
        <v>377.7312</v>
      </c>
      <c r="E9" s="23" t="n">
        <v>388.7375</v>
      </c>
    </row>
    <row r="10" ht="36" customHeight="1" s="16">
      <c r="A10" s="1" t="inlineStr">
        <is>
          <t>双兴中心</t>
        </is>
      </c>
      <c r="B10" s="5" t="inlineStr">
        <is>
          <t>挂网面积</t>
        </is>
      </c>
      <c r="C10" s="5" t="inlineStr">
        <is>
          <t>万㎡</t>
        </is>
      </c>
      <c r="D10" s="23" t="n">
        <v>272.1724</v>
      </c>
      <c r="E10" s="23" t="n">
        <v>280.103</v>
      </c>
    </row>
    <row r="11" ht="36" customHeight="1" s="16">
      <c r="A11" s="1" t="inlineStr">
        <is>
          <t>香炉礁中心</t>
        </is>
      </c>
      <c r="B11" s="5" t="inlineStr">
        <is>
          <t>挂网面积</t>
        </is>
      </c>
      <c r="C11" s="5" t="inlineStr">
        <is>
          <t>万㎡</t>
        </is>
      </c>
      <c r="D11" s="23" t="n">
        <v>341.431</v>
      </c>
      <c r="E11" s="23" t="n">
        <v>351.3796</v>
      </c>
    </row>
    <row r="12" ht="36" customHeight="1" s="16">
      <c r="A12" s="1" t="inlineStr">
        <is>
          <t>兴工中心</t>
        </is>
      </c>
      <c r="B12" s="5" t="inlineStr">
        <is>
          <t>挂网面积</t>
        </is>
      </c>
      <c r="C12" s="5" t="inlineStr">
        <is>
          <t>万㎡</t>
        </is>
      </c>
      <c r="D12" s="23" t="n">
        <v>305.0523</v>
      </c>
      <c r="E12" s="23" t="n">
        <v>313.9409</v>
      </c>
    </row>
    <row r="13" ht="36" customHeight="1" s="16">
      <c r="A13" s="1" t="inlineStr">
        <is>
          <t>大纺中心</t>
        </is>
      </c>
      <c r="B13" s="5" t="inlineStr">
        <is>
          <t>挂网面积</t>
        </is>
      </c>
      <c r="C13" s="5" t="inlineStr">
        <is>
          <t>万㎡</t>
        </is>
      </c>
      <c r="D13" s="23" t="n">
        <v>315.0275</v>
      </c>
      <c r="E13" s="23" t="n">
        <v>324.2068</v>
      </c>
    </row>
    <row r="14" ht="36" customHeight="1" s="16">
      <c r="A14" s="1" t="inlineStr">
        <is>
          <t>管网中心</t>
        </is>
      </c>
      <c r="B14" s="5" t="inlineStr">
        <is>
          <t>挂网面积</t>
        </is>
      </c>
      <c r="C14" s="5" t="inlineStr">
        <is>
          <t>万㎡</t>
        </is>
      </c>
      <c r="D14" s="23" t="n">
        <v>0</v>
      </c>
      <c r="E14" s="23" t="n">
        <v>0</v>
      </c>
    </row>
    <row r="15" ht="36" customHeight="1" s="16">
      <c r="A15" s="1" t="inlineStr">
        <is>
          <t>华乐中心</t>
        </is>
      </c>
      <c r="B15" s="5" t="inlineStr">
        <is>
          <t>供暖收费面积</t>
        </is>
      </c>
      <c r="C15" s="5" t="inlineStr">
        <is>
          <t>万㎡</t>
        </is>
      </c>
      <c r="D15" s="23" t="n">
        <v>253.4926</v>
      </c>
      <c r="E15" s="23" t="n">
        <v>257.0706</v>
      </c>
    </row>
    <row r="16" ht="36" customHeight="1" s="16">
      <c r="A16" s="1" t="inlineStr">
        <is>
          <t>东港中心</t>
        </is>
      </c>
      <c r="B16" s="5" t="inlineStr">
        <is>
          <t>供暖收费面积</t>
        </is>
      </c>
      <c r="C16" s="5" t="inlineStr">
        <is>
          <t>万㎡</t>
        </is>
      </c>
      <c r="D16" s="23" t="n">
        <v>317.9891</v>
      </c>
      <c r="E16" s="23" t="n">
        <v>322.4774</v>
      </c>
    </row>
    <row r="17" ht="36" customHeight="1" s="16">
      <c r="A17" s="1" t="inlineStr">
        <is>
          <t>春海中心</t>
        </is>
      </c>
      <c r="B17" s="5" t="inlineStr">
        <is>
          <t>供暖收费面积</t>
        </is>
      </c>
      <c r="C17" s="5" t="inlineStr">
        <is>
          <t>万㎡</t>
        </is>
      </c>
      <c r="D17" s="23" t="n">
        <v>252.6943</v>
      </c>
      <c r="E17" s="23" t="n">
        <v>256.261</v>
      </c>
    </row>
    <row r="18" ht="36" customHeight="1" s="16">
      <c r="A18" s="1" t="inlineStr">
        <is>
          <t>中山中心</t>
        </is>
      </c>
      <c r="B18" s="5" t="inlineStr">
        <is>
          <t>供暖收费面积</t>
        </is>
      </c>
      <c r="C18" s="5" t="inlineStr">
        <is>
          <t>万㎡</t>
        </is>
      </c>
      <c r="D18" s="23" t="n">
        <v>238.416</v>
      </c>
      <c r="E18" s="23" t="n">
        <v>241.7812</v>
      </c>
    </row>
    <row r="19" ht="36" customHeight="1" s="16">
      <c r="A19" s="1" t="inlineStr">
        <is>
          <t>北岗中心</t>
        </is>
      </c>
      <c r="B19" s="5" t="inlineStr">
        <is>
          <t>供暖收费面积</t>
        </is>
      </c>
      <c r="C19" s="5" t="inlineStr">
        <is>
          <t>万㎡</t>
        </is>
      </c>
      <c r="D19" s="23" t="n">
        <v>280.9035</v>
      </c>
      <c r="E19" s="23" t="n">
        <v>284.8683</v>
      </c>
    </row>
    <row r="20" ht="36" customHeight="1" s="16">
      <c r="A20" s="1" t="inlineStr">
        <is>
          <t>双兴中心</t>
        </is>
      </c>
      <c r="B20" s="5" t="inlineStr">
        <is>
          <t>供暖收费面积</t>
        </is>
      </c>
      <c r="C20" s="5" t="inlineStr">
        <is>
          <t>万㎡</t>
        </is>
      </c>
      <c r="D20" s="23" t="n">
        <v>212.4776</v>
      </c>
      <c r="E20" s="23" t="n">
        <v>215.4766</v>
      </c>
    </row>
    <row r="21" ht="36" customHeight="1" s="16">
      <c r="A21" s="1" t="inlineStr">
        <is>
          <t>香炉礁中心</t>
        </is>
      </c>
      <c r="B21" s="5" t="inlineStr">
        <is>
          <t>供暖收费面积</t>
        </is>
      </c>
      <c r="C21" s="5" t="inlineStr">
        <is>
          <t>万㎡</t>
        </is>
      </c>
      <c r="D21" s="23" t="n">
        <v>265.0386</v>
      </c>
      <c r="E21" s="23" t="n">
        <v>268.7795</v>
      </c>
    </row>
    <row r="22" ht="36" customHeight="1" s="16">
      <c r="A22" s="1" t="inlineStr">
        <is>
          <t>兴工中心</t>
        </is>
      </c>
      <c r="B22" s="5" t="inlineStr">
        <is>
          <t>供暖收费面积</t>
        </is>
      </c>
      <c r="C22" s="5" t="inlineStr">
        <is>
          <t>万㎡</t>
        </is>
      </c>
      <c r="D22" s="23" t="n">
        <v>217.9731</v>
      </c>
      <c r="E22" s="23" t="n">
        <v>221.0497</v>
      </c>
    </row>
    <row r="23" ht="36" customHeight="1" s="16">
      <c r="A23" s="1" t="inlineStr">
        <is>
          <t>大纺中心</t>
        </is>
      </c>
      <c r="B23" s="5" t="inlineStr">
        <is>
          <t>供暖收费面积</t>
        </is>
      </c>
      <c r="C23" s="5" t="inlineStr">
        <is>
          <t>万㎡</t>
        </is>
      </c>
      <c r="D23" s="23" t="n">
        <v>251.7745</v>
      </c>
      <c r="E23" s="23" t="n">
        <v>255.3282</v>
      </c>
    </row>
    <row r="24" ht="36" customHeight="1" s="16">
      <c r="A24" s="1" t="inlineStr">
        <is>
          <t>管网中心</t>
        </is>
      </c>
      <c r="B24" s="5" t="inlineStr">
        <is>
          <t>供暖收费面积</t>
        </is>
      </c>
      <c r="C24" s="5" t="inlineStr">
        <is>
          <t>万㎡</t>
        </is>
      </c>
      <c r="D24" s="23" t="n">
        <v>0</v>
      </c>
      <c r="E24" s="23" t="n">
        <v>0</v>
      </c>
    </row>
    <row r="25" ht="36" customHeight="1" s="16">
      <c r="A25" s="1" t="inlineStr">
        <is>
          <t>华乐中心</t>
        </is>
      </c>
      <c r="B25" s="5" t="inlineStr">
        <is>
          <t>采暖期供暖收入</t>
        </is>
      </c>
      <c r="C25" s="5" t="inlineStr">
        <is>
          <t>万元</t>
        </is>
      </c>
      <c r="D25" s="23" t="n">
        <v>6863.279</v>
      </c>
      <c r="E25" s="23" t="n">
        <v>6393.8871</v>
      </c>
    </row>
    <row r="26" ht="36" customHeight="1" s="16">
      <c r="A26" s="1" t="inlineStr">
        <is>
          <t>东港中心</t>
        </is>
      </c>
      <c r="B26" s="5" t="inlineStr">
        <is>
          <t>采暖期供暖收入</t>
        </is>
      </c>
      <c r="C26" s="5" t="inlineStr">
        <is>
          <t>万元</t>
        </is>
      </c>
      <c r="D26" s="23" t="n">
        <v>8609.5113</v>
      </c>
      <c r="E26" s="23" t="n">
        <v>8020.6914</v>
      </c>
    </row>
    <row r="27" ht="36" customHeight="1" s="16">
      <c r="A27" s="1" t="inlineStr">
        <is>
          <t>春海中心</t>
        </is>
      </c>
      <c r="B27" s="5" t="inlineStr">
        <is>
          <t>采暖期供暖收入</t>
        </is>
      </c>
      <c r="C27" s="5" t="inlineStr">
        <is>
          <t>万元</t>
        </is>
      </c>
      <c r="D27" s="23" t="n">
        <v>6841.6641</v>
      </c>
      <c r="E27" s="23" t="n">
        <v>6373.7504</v>
      </c>
    </row>
    <row r="28" ht="36" customHeight="1" s="16">
      <c r="A28" s="1" t="inlineStr">
        <is>
          <t>中山中心</t>
        </is>
      </c>
      <c r="B28" s="5" t="inlineStr">
        <is>
          <t>采暖期供暖收入</t>
        </is>
      </c>
      <c r="C28" s="5" t="inlineStr">
        <is>
          <t>万元</t>
        </is>
      </c>
      <c r="D28" s="23" t="n">
        <v>6455.0801</v>
      </c>
      <c r="E28" s="23" t="n">
        <v>6013.6056</v>
      </c>
    </row>
    <row r="29" ht="36" customHeight="1" s="16">
      <c r="A29" s="1" t="inlineStr">
        <is>
          <t>北岗中心</t>
        </is>
      </c>
      <c r="B29" s="5" t="inlineStr">
        <is>
          <t>采暖期供暖收入</t>
        </is>
      </c>
      <c r="C29" s="5" t="inlineStr">
        <is>
          <t>万元</t>
        </is>
      </c>
      <c r="D29" s="23" t="n">
        <v>7605.4255</v>
      </c>
      <c r="E29" s="23" t="n">
        <v>7085.2768</v>
      </c>
    </row>
    <row r="30" ht="36" customHeight="1" s="16">
      <c r="A30" s="1" t="inlineStr">
        <is>
          <t>双兴中心</t>
        </is>
      </c>
      <c r="B30" s="5" t="inlineStr">
        <is>
          <t>采暖期供暖收入</t>
        </is>
      </c>
      <c r="C30" s="5" t="inlineStr">
        <is>
          <t>万元</t>
        </is>
      </c>
      <c r="D30" s="23" t="n">
        <v>5752.8019</v>
      </c>
      <c r="E30" s="23" t="n">
        <v>5359.3575</v>
      </c>
    </row>
    <row r="31" ht="36" customHeight="1" s="16">
      <c r="A31" s="1" t="inlineStr">
        <is>
          <t>香炉礁中心</t>
        </is>
      </c>
      <c r="B31" s="5" t="inlineStr">
        <is>
          <t>采暖期供暖收入</t>
        </is>
      </c>
      <c r="C31" s="5" t="inlineStr">
        <is>
          <t>万元</t>
        </is>
      </c>
      <c r="D31" s="23" t="n">
        <v>7175.8851</v>
      </c>
      <c r="E31" s="23" t="n">
        <v>6685.1135</v>
      </c>
    </row>
    <row r="32" ht="36" customHeight="1" s="16">
      <c r="A32" s="1" t="inlineStr">
        <is>
          <t>兴工中心</t>
        </is>
      </c>
      <c r="B32" s="5" t="inlineStr">
        <is>
          <t>采暖期供暖收入</t>
        </is>
      </c>
      <c r="C32" s="5" t="inlineStr">
        <is>
          <t>万元</t>
        </is>
      </c>
      <c r="D32" s="23" t="n">
        <v>5901.5926</v>
      </c>
      <c r="E32" s="23" t="n">
        <v>5497.9721</v>
      </c>
    </row>
    <row r="33" ht="36" customHeight="1" s="16">
      <c r="A33" s="1" t="inlineStr">
        <is>
          <t>大纺中心</t>
        </is>
      </c>
      <c r="B33" s="5" t="inlineStr">
        <is>
          <t>采暖期供暖收入</t>
        </is>
      </c>
      <c r="C33" s="5" t="inlineStr">
        <is>
          <t>万元</t>
        </is>
      </c>
      <c r="D33" s="23" t="n">
        <v>6816.7604</v>
      </c>
      <c r="E33" s="23" t="n">
        <v>6350.5499</v>
      </c>
    </row>
    <row r="34" ht="36" customHeight="1" s="16">
      <c r="A34" s="1" t="inlineStr">
        <is>
          <t>管网中心</t>
        </is>
      </c>
      <c r="B34" s="5" t="inlineStr">
        <is>
          <t>采暖期供暖收入</t>
        </is>
      </c>
      <c r="C34" s="5" t="inlineStr">
        <is>
          <t>万元</t>
        </is>
      </c>
      <c r="D34" s="23" t="n">
        <v>0</v>
      </c>
      <c r="E34" s="23" t="n">
        <v>0</v>
      </c>
    </row>
    <row r="35" ht="36" customHeight="1" s="16">
      <c r="A35" s="1" t="inlineStr">
        <is>
          <t>华乐中心</t>
        </is>
      </c>
      <c r="B35" s="5" t="inlineStr">
        <is>
          <t>分摊比</t>
        </is>
      </c>
      <c r="C35" s="5" t="inlineStr">
        <is>
          <t>%</t>
        </is>
      </c>
      <c r="D35" s="23" t="n">
        <v>11.07</v>
      </c>
      <c r="E35" s="23" t="n">
        <v>11.07</v>
      </c>
    </row>
    <row r="36" ht="36" customHeight="1" s="16">
      <c r="A36" s="1" t="inlineStr">
        <is>
          <t>东港中心</t>
        </is>
      </c>
      <c r="B36" s="5" t="inlineStr">
        <is>
          <t>分摊比</t>
        </is>
      </c>
      <c r="C36" s="5" t="inlineStr">
        <is>
          <t>%</t>
        </is>
      </c>
      <c r="D36" s="23" t="n">
        <v>13.88</v>
      </c>
      <c r="E36" s="23" t="n">
        <v>13.88</v>
      </c>
    </row>
    <row r="37" ht="36" customHeight="1" s="16">
      <c r="A37" s="1" t="inlineStr">
        <is>
          <t>春海中心</t>
        </is>
      </c>
      <c r="B37" s="5" t="inlineStr">
        <is>
          <t>分摊比</t>
        </is>
      </c>
      <c r="C37" s="5" t="inlineStr">
        <is>
          <t>%</t>
        </is>
      </c>
      <c r="D37" s="23" t="n">
        <v>11.03</v>
      </c>
      <c r="E37" s="23" t="n">
        <v>11.03</v>
      </c>
    </row>
    <row r="38" ht="36" customHeight="1" s="16">
      <c r="A38" s="1" t="inlineStr">
        <is>
          <t>中山中心</t>
        </is>
      </c>
      <c r="B38" s="5" t="inlineStr">
        <is>
          <t>分摊比</t>
        </is>
      </c>
      <c r="C38" s="5" t="inlineStr">
        <is>
          <t>%</t>
        </is>
      </c>
      <c r="D38" s="23" t="n">
        <v>10.41</v>
      </c>
      <c r="E38" s="23" t="n">
        <v>10.41</v>
      </c>
    </row>
    <row r="39" ht="36" customHeight="1" s="16">
      <c r="A39" s="1" t="inlineStr">
        <is>
          <t>北岗中心</t>
        </is>
      </c>
      <c r="B39" s="5" t="inlineStr">
        <is>
          <t>分摊比</t>
        </is>
      </c>
      <c r="C39" s="5" t="inlineStr">
        <is>
          <t>%</t>
        </is>
      </c>
      <c r="D39" s="23" t="n">
        <v>12.26</v>
      </c>
      <c r="E39" s="23" t="n">
        <v>12.26</v>
      </c>
    </row>
    <row r="40" ht="36" customHeight="1" s="16">
      <c r="A40" s="1" t="inlineStr">
        <is>
          <t>双兴中心</t>
        </is>
      </c>
      <c r="B40" s="5" t="inlineStr">
        <is>
          <t>分摊比</t>
        </is>
      </c>
      <c r="C40" s="5" t="inlineStr">
        <is>
          <t>%</t>
        </is>
      </c>
      <c r="D40" s="23" t="n">
        <v>9.279999999999999</v>
      </c>
      <c r="E40" s="23" t="n">
        <v>9.279999999999999</v>
      </c>
    </row>
    <row r="41" ht="36" customHeight="1" s="16">
      <c r="A41" s="1" t="inlineStr">
        <is>
          <t>香炉礁中心</t>
        </is>
      </c>
      <c r="B41" s="5" t="inlineStr">
        <is>
          <t>分摊比</t>
        </is>
      </c>
      <c r="C41" s="5" t="inlineStr">
        <is>
          <t>%</t>
        </is>
      </c>
      <c r="D41" s="23" t="n">
        <v>11.57</v>
      </c>
      <c r="E41" s="23" t="n">
        <v>11.57</v>
      </c>
    </row>
    <row r="42" ht="36" customHeight="1" s="16">
      <c r="A42" s="1" t="inlineStr">
        <is>
          <t>兴工中心</t>
        </is>
      </c>
      <c r="B42" s="5" t="inlineStr">
        <is>
          <t>分摊比</t>
        </is>
      </c>
      <c r="C42" s="5" t="inlineStr">
        <is>
          <t>%</t>
        </is>
      </c>
      <c r="D42" s="23" t="n">
        <v>9.52</v>
      </c>
      <c r="E42" s="23" t="n">
        <v>9.52</v>
      </c>
    </row>
    <row r="43" ht="36" customHeight="1" s="16">
      <c r="A43" s="1" t="inlineStr">
        <is>
          <t>大纺中心</t>
        </is>
      </c>
      <c r="B43" s="5" t="inlineStr">
        <is>
          <t>分摊比</t>
        </is>
      </c>
      <c r="C43" s="5" t="inlineStr">
        <is>
          <t>%</t>
        </is>
      </c>
      <c r="D43" s="23" t="n">
        <v>10.99</v>
      </c>
      <c r="E43" s="23" t="n">
        <v>10.99</v>
      </c>
    </row>
    <row r="44" ht="36" customHeight="1" s="16">
      <c r="A44" s="1" t="inlineStr">
        <is>
          <t>管网中心</t>
        </is>
      </c>
      <c r="B44" s="5" t="inlineStr">
        <is>
          <t>分摊比</t>
        </is>
      </c>
      <c r="C44" s="5" t="inlineStr">
        <is>
          <t>%</t>
        </is>
      </c>
      <c r="D44" s="23" t="n">
        <v>0</v>
      </c>
      <c r="E44" s="23" t="n">
        <v>0</v>
      </c>
    </row>
    <row r="45" ht="36" customHeight="1" s="16">
      <c r="A45" s="1" t="inlineStr">
        <is>
          <t>华乐中心</t>
        </is>
      </c>
      <c r="B45" s="5" t="inlineStr">
        <is>
          <t>内购热单价</t>
        </is>
      </c>
      <c r="C45" s="5" t="inlineStr">
        <is>
          <t>元/GJ</t>
        </is>
      </c>
      <c r="D45" s="23" t="n">
        <v>50</v>
      </c>
      <c r="E45" s="23" t="n">
        <v>50</v>
      </c>
    </row>
    <row r="46" ht="36" customHeight="1" s="16">
      <c r="A46" s="1" t="inlineStr">
        <is>
          <t>东港中心</t>
        </is>
      </c>
      <c r="B46" s="5" t="inlineStr">
        <is>
          <t>内购热单价</t>
        </is>
      </c>
      <c r="C46" s="5" t="inlineStr">
        <is>
          <t>元/GJ</t>
        </is>
      </c>
      <c r="D46" s="23" t="n">
        <v>50</v>
      </c>
      <c r="E46" s="23" t="n">
        <v>50</v>
      </c>
    </row>
    <row r="47" ht="36" customHeight="1" s="16">
      <c r="A47" s="1" t="inlineStr">
        <is>
          <t>春海中心</t>
        </is>
      </c>
      <c r="B47" s="5" t="inlineStr">
        <is>
          <t>内购热单价</t>
        </is>
      </c>
      <c r="C47" s="5" t="inlineStr">
        <is>
          <t>元/GJ</t>
        </is>
      </c>
      <c r="D47" s="23" t="n">
        <v>50</v>
      </c>
      <c r="E47" s="23" t="n">
        <v>50</v>
      </c>
    </row>
    <row r="48" ht="36" customHeight="1" s="16">
      <c r="A48" s="1" t="inlineStr">
        <is>
          <t>中山中心</t>
        </is>
      </c>
      <c r="B48" s="5" t="inlineStr">
        <is>
          <t>内购热单价</t>
        </is>
      </c>
      <c r="C48" s="5" t="inlineStr">
        <is>
          <t>元/GJ</t>
        </is>
      </c>
      <c r="D48" s="23" t="n">
        <v>50</v>
      </c>
      <c r="E48" s="23" t="n">
        <v>50</v>
      </c>
    </row>
    <row r="49" ht="36" customHeight="1" s="16">
      <c r="A49" s="1" t="inlineStr">
        <is>
          <t>北岗中心</t>
        </is>
      </c>
      <c r="B49" s="5" t="inlineStr">
        <is>
          <t>内购热单价</t>
        </is>
      </c>
      <c r="C49" s="5" t="inlineStr">
        <is>
          <t>元/GJ</t>
        </is>
      </c>
      <c r="D49" s="23" t="n">
        <v>50</v>
      </c>
      <c r="E49" s="23" t="n">
        <v>50</v>
      </c>
    </row>
    <row r="50" ht="36" customHeight="1" s="16">
      <c r="A50" s="1" t="inlineStr">
        <is>
          <t>双兴中心</t>
        </is>
      </c>
      <c r="B50" s="5" t="inlineStr">
        <is>
          <t>内购热单价</t>
        </is>
      </c>
      <c r="C50" s="5" t="inlineStr">
        <is>
          <t>元/GJ</t>
        </is>
      </c>
      <c r="D50" s="23" t="n">
        <v>50</v>
      </c>
      <c r="E50" s="23" t="n">
        <v>50</v>
      </c>
    </row>
    <row r="51" ht="36" customHeight="1" s="16">
      <c r="A51" s="1" t="inlineStr">
        <is>
          <t>香炉礁中心</t>
        </is>
      </c>
      <c r="B51" s="5" t="inlineStr">
        <is>
          <t>内购热单价</t>
        </is>
      </c>
      <c r="C51" s="5" t="inlineStr">
        <is>
          <t>元/GJ</t>
        </is>
      </c>
      <c r="D51" s="23" t="n">
        <v>50</v>
      </c>
      <c r="E51" s="23" t="n">
        <v>50</v>
      </c>
    </row>
    <row r="52" ht="36" customHeight="1" s="16">
      <c r="A52" s="1" t="inlineStr">
        <is>
          <t>兴工中心</t>
        </is>
      </c>
      <c r="B52" s="5" t="inlineStr">
        <is>
          <t>内购热单价</t>
        </is>
      </c>
      <c r="C52" s="5" t="inlineStr">
        <is>
          <t>元/GJ</t>
        </is>
      </c>
      <c r="D52" s="23" t="n">
        <v>50</v>
      </c>
      <c r="E52" s="23" t="n">
        <v>50</v>
      </c>
    </row>
    <row r="53" ht="36" customHeight="1" s="16">
      <c r="A53" s="1" t="inlineStr">
        <is>
          <t>大纺中心</t>
        </is>
      </c>
      <c r="B53" s="5" t="inlineStr">
        <is>
          <t>内购热单价</t>
        </is>
      </c>
      <c r="C53" s="5" t="inlineStr">
        <is>
          <t>元/GJ</t>
        </is>
      </c>
      <c r="D53" s="23" t="n">
        <v>50</v>
      </c>
      <c r="E53" s="23" t="n">
        <v>50</v>
      </c>
    </row>
    <row r="54" ht="36" customHeight="1" s="16">
      <c r="A54" s="1" t="inlineStr">
        <is>
          <t>管网中心</t>
        </is>
      </c>
      <c r="B54" s="5" t="inlineStr">
        <is>
          <t>内购热单价</t>
        </is>
      </c>
      <c r="C54" s="5" t="inlineStr">
        <is>
          <t>元/GJ</t>
        </is>
      </c>
      <c r="D54" s="23" t="n">
        <v>50</v>
      </c>
      <c r="E54" s="23" t="n">
        <v>50</v>
      </c>
    </row>
    <row r="55" ht="36" customHeight="1" s="16">
      <c r="A55" s="1" t="inlineStr">
        <is>
          <t>华乐中心</t>
        </is>
      </c>
      <c r="B55" s="5" t="inlineStr">
        <is>
          <t>购水单价</t>
        </is>
      </c>
      <c r="C55" s="5" t="inlineStr">
        <is>
          <t>元/吨</t>
        </is>
      </c>
      <c r="D55" s="23" t="n">
        <v>4.6</v>
      </c>
      <c r="E55" s="23" t="n">
        <v>4.51</v>
      </c>
    </row>
    <row r="56" ht="36" customHeight="1" s="16">
      <c r="A56" s="1" t="inlineStr">
        <is>
          <t>东港中心</t>
        </is>
      </c>
      <c r="B56" s="5" t="inlineStr">
        <is>
          <t>购水单价</t>
        </is>
      </c>
      <c r="C56" s="5" t="inlineStr">
        <is>
          <t>元/吨</t>
        </is>
      </c>
      <c r="D56" s="23" t="n">
        <v>4.6</v>
      </c>
      <c r="E56" s="23" t="n">
        <v>4.51</v>
      </c>
    </row>
    <row r="57" ht="36" customHeight="1" s="16">
      <c r="A57" s="1" t="inlineStr">
        <is>
          <t>春海中心</t>
        </is>
      </c>
      <c r="B57" s="5" t="inlineStr">
        <is>
          <t>购水单价</t>
        </is>
      </c>
      <c r="C57" s="5" t="inlineStr">
        <is>
          <t>元/吨</t>
        </is>
      </c>
      <c r="D57" s="23" t="n">
        <v>4.6</v>
      </c>
      <c r="E57" s="23" t="n">
        <v>4.51</v>
      </c>
    </row>
    <row r="58" ht="36" customHeight="1" s="16">
      <c r="A58" s="1" t="inlineStr">
        <is>
          <t>中山中心</t>
        </is>
      </c>
      <c r="B58" s="5" t="inlineStr">
        <is>
          <t>购水单价</t>
        </is>
      </c>
      <c r="C58" s="5" t="inlineStr">
        <is>
          <t>元/吨</t>
        </is>
      </c>
      <c r="D58" s="23" t="n">
        <v>4.6</v>
      </c>
      <c r="E58" s="23" t="n">
        <v>4.51</v>
      </c>
    </row>
    <row r="59" ht="36" customHeight="1" s="16">
      <c r="A59" s="1" t="inlineStr">
        <is>
          <t>北岗中心</t>
        </is>
      </c>
      <c r="B59" s="5" t="inlineStr">
        <is>
          <t>购水单价</t>
        </is>
      </c>
      <c r="C59" s="5" t="inlineStr">
        <is>
          <t>元/吨</t>
        </is>
      </c>
      <c r="D59" s="23" t="n">
        <v>4.6</v>
      </c>
      <c r="E59" s="23" t="n">
        <v>4.51</v>
      </c>
    </row>
    <row r="60" ht="36" customHeight="1" s="16">
      <c r="A60" s="1" t="inlineStr">
        <is>
          <t>双兴中心</t>
        </is>
      </c>
      <c r="B60" s="5" t="inlineStr">
        <is>
          <t>购水单价</t>
        </is>
      </c>
      <c r="C60" s="5" t="inlineStr">
        <is>
          <t>元/吨</t>
        </is>
      </c>
      <c r="D60" s="23" t="n">
        <v>4.6</v>
      </c>
      <c r="E60" s="23" t="n">
        <v>4.51</v>
      </c>
    </row>
    <row r="61" ht="36" customHeight="1" s="16">
      <c r="A61" s="1" t="inlineStr">
        <is>
          <t>香炉礁中心</t>
        </is>
      </c>
      <c r="B61" s="5" t="inlineStr">
        <is>
          <t>购水单价</t>
        </is>
      </c>
      <c r="C61" s="5" t="inlineStr">
        <is>
          <t>元/吨</t>
        </is>
      </c>
      <c r="D61" s="23" t="n">
        <v>4.6</v>
      </c>
      <c r="E61" s="23" t="n">
        <v>4.51</v>
      </c>
    </row>
    <row r="62" ht="36" customHeight="1" s="16">
      <c r="A62" s="1" t="inlineStr">
        <is>
          <t>兴工中心</t>
        </is>
      </c>
      <c r="B62" s="5" t="inlineStr">
        <is>
          <t>购水单价</t>
        </is>
      </c>
      <c r="C62" s="5" t="inlineStr">
        <is>
          <t>元/吨</t>
        </is>
      </c>
      <c r="D62" s="23" t="n">
        <v>4.6</v>
      </c>
      <c r="E62" s="23" t="n">
        <v>4.51</v>
      </c>
    </row>
    <row r="63" ht="36" customHeight="1" s="16">
      <c r="A63" s="1" t="inlineStr">
        <is>
          <t>大纺中心</t>
        </is>
      </c>
      <c r="B63" s="5" t="inlineStr">
        <is>
          <t>购水单价</t>
        </is>
      </c>
      <c r="C63" s="5" t="inlineStr">
        <is>
          <t>元/吨</t>
        </is>
      </c>
      <c r="D63" s="23" t="n">
        <v>4.6</v>
      </c>
      <c r="E63" s="23" t="n">
        <v>4.51</v>
      </c>
    </row>
    <row r="64" ht="36" customHeight="1" s="16">
      <c r="A64" s="1" t="inlineStr">
        <is>
          <t>管网中心</t>
        </is>
      </c>
      <c r="B64" s="5" t="inlineStr">
        <is>
          <t>购水单价</t>
        </is>
      </c>
      <c r="C64" s="5" t="inlineStr">
        <is>
          <t>元/吨</t>
        </is>
      </c>
      <c r="D64" s="23" t="n">
        <v>4.6</v>
      </c>
      <c r="E64" s="23" t="n">
        <v>4.51</v>
      </c>
    </row>
    <row r="65" ht="36" customHeight="1" s="16">
      <c r="A65" s="1" t="inlineStr">
        <is>
          <t>华乐中心</t>
        </is>
      </c>
      <c r="B65" s="5" t="inlineStr">
        <is>
          <t>外购电单价</t>
        </is>
      </c>
      <c r="C65" s="5" t="inlineStr">
        <is>
          <t>元/kWh</t>
        </is>
      </c>
      <c r="D65" s="23" t="n">
        <v>0.74</v>
      </c>
      <c r="E65" s="23" t="n">
        <v>0.65</v>
      </c>
    </row>
    <row r="66" ht="36" customHeight="1" s="16">
      <c r="A66" s="1" t="inlineStr">
        <is>
          <t>东港中心</t>
        </is>
      </c>
      <c r="B66" s="5" t="inlineStr">
        <is>
          <t>外购电单价</t>
        </is>
      </c>
      <c r="C66" s="5" t="inlineStr">
        <is>
          <t>元/kWh</t>
        </is>
      </c>
      <c r="D66" s="23" t="n">
        <v>0.74</v>
      </c>
      <c r="E66" s="23" t="n">
        <v>0.65</v>
      </c>
    </row>
    <row r="67" ht="36" customHeight="1" s="16">
      <c r="A67" s="1" t="inlineStr">
        <is>
          <t>春海中心</t>
        </is>
      </c>
      <c r="B67" s="5" t="inlineStr">
        <is>
          <t>外购电单价</t>
        </is>
      </c>
      <c r="C67" s="5" t="inlineStr">
        <is>
          <t>元/kWh</t>
        </is>
      </c>
      <c r="D67" s="23" t="n">
        <v>0.74</v>
      </c>
      <c r="E67" s="23" t="n">
        <v>0.65</v>
      </c>
    </row>
    <row r="68" ht="36" customHeight="1" s="16">
      <c r="A68" s="1" t="inlineStr">
        <is>
          <t>中山中心</t>
        </is>
      </c>
      <c r="B68" s="5" t="inlineStr">
        <is>
          <t>外购电单价</t>
        </is>
      </c>
      <c r="C68" s="5" t="inlineStr">
        <is>
          <t>元/kWh</t>
        </is>
      </c>
      <c r="D68" s="23" t="n">
        <v>0.74</v>
      </c>
      <c r="E68" s="23" t="n">
        <v>0.65</v>
      </c>
    </row>
    <row r="69" ht="36" customHeight="1" s="16">
      <c r="A69" s="1" t="inlineStr">
        <is>
          <t>北岗中心</t>
        </is>
      </c>
      <c r="B69" s="5" t="inlineStr">
        <is>
          <t>外购电单价</t>
        </is>
      </c>
      <c r="C69" s="5" t="inlineStr">
        <is>
          <t>元/kWh</t>
        </is>
      </c>
      <c r="D69" s="23" t="n">
        <v>0.74</v>
      </c>
      <c r="E69" s="23" t="n">
        <v>0.65</v>
      </c>
    </row>
    <row r="70" ht="36" customHeight="1" s="16">
      <c r="A70" s="1" t="inlineStr">
        <is>
          <t>双兴中心</t>
        </is>
      </c>
      <c r="B70" s="5" t="inlineStr">
        <is>
          <t>外购电单价</t>
        </is>
      </c>
      <c r="C70" s="5" t="inlineStr">
        <is>
          <t>元/kWh</t>
        </is>
      </c>
      <c r="D70" s="23" t="n">
        <v>0.74</v>
      </c>
      <c r="E70" s="23" t="n">
        <v>0.65</v>
      </c>
    </row>
    <row r="71" ht="36" customHeight="1" s="16">
      <c r="A71" s="1" t="inlineStr">
        <is>
          <t>香炉礁中心</t>
        </is>
      </c>
      <c r="B71" s="5" t="inlineStr">
        <is>
          <t>外购电单价</t>
        </is>
      </c>
      <c r="C71" s="5" t="inlineStr">
        <is>
          <t>元/kWh</t>
        </is>
      </c>
      <c r="D71" s="23" t="n">
        <v>0.74</v>
      </c>
      <c r="E71" s="23" t="n">
        <v>0.65</v>
      </c>
    </row>
    <row r="72" ht="36" customHeight="1" s="16">
      <c r="A72" s="1" t="inlineStr">
        <is>
          <t>兴工中心</t>
        </is>
      </c>
      <c r="B72" s="5" t="inlineStr">
        <is>
          <t>外购电单价</t>
        </is>
      </c>
      <c r="C72" s="5" t="inlineStr">
        <is>
          <t>元/kWh</t>
        </is>
      </c>
      <c r="D72" s="23" t="n">
        <v>0.74</v>
      </c>
      <c r="E72" s="23" t="n">
        <v>0.65</v>
      </c>
    </row>
    <row r="73" ht="36" customHeight="1" s="16">
      <c r="A73" s="1" t="inlineStr">
        <is>
          <t>大纺中心</t>
        </is>
      </c>
      <c r="B73" s="5" t="inlineStr">
        <is>
          <t>外购电单价</t>
        </is>
      </c>
      <c r="C73" s="5" t="inlineStr">
        <is>
          <t>元/kWh</t>
        </is>
      </c>
      <c r="D73" s="23" t="n">
        <v>0.74</v>
      </c>
      <c r="E73" s="23" t="n">
        <v>0.65</v>
      </c>
    </row>
    <row r="74" ht="36" customHeight="1" s="16">
      <c r="A74" s="1" t="inlineStr">
        <is>
          <t>管网中心</t>
        </is>
      </c>
      <c r="B74" s="5" t="inlineStr">
        <is>
          <t>外购电单价</t>
        </is>
      </c>
      <c r="C74" s="5" t="inlineStr">
        <is>
          <t>元/kWh</t>
        </is>
      </c>
      <c r="D74" s="23" t="n">
        <v>0.74</v>
      </c>
      <c r="E74" s="23" t="n">
        <v>0.65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2026-10-22T01:29:00Z</dcterms:created>
  <dcterms:modified xmlns:dcterms="http://purl.org/dc/terms/" xmlns:xsi="http://www.w3.org/2001/XMLSchema-instance" xsi:type="dcterms:W3CDTF">2026-10-30T04:16:42Z</dcterms:modified>
  <cp:lastModifiedBy>王巍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BC3F41E8434741A8B428C09BC65D529C_13</vt:lpwstr>
  </property>
  <property name="KSOProductBuildVer" fmtid="{D5CDD505-2E9C-101B-9397-08002B2CF9AE}" pid="3">
    <vt:lpwstr xmlns:vt="http://schemas.openxmlformats.org/officeDocument/2006/docPropsVTypes">2052-12.1.0.29680</vt:lpwstr>
  </property>
  <property name="CalculationRule" fmtid="{D5CDD505-2E9C-101B-9397-08002B2CF9AE}" pid="4">
    <vt:i4 xmlns:vt="http://schemas.openxmlformats.org/officeDocument/2006/docPropsVTypes">0</vt:i4>
  </property>
</Properties>
</file>