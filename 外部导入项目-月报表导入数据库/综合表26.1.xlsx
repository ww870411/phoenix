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 tabRatio="744" activeTab="4"/>
  </bookViews>
  <sheets>
    <sheet name="全口径" sheetId="19" r:id="rId1"/>
    <sheet name="主城区" sheetId="13" r:id="rId2"/>
    <sheet name="集团本部" sheetId="20" r:id="rId3"/>
    <sheet name="股份本部" sheetId="14" r:id="rId4"/>
    <sheet name="北海" sheetId="8" r:id="rId5"/>
    <sheet name="北海水炉" sheetId="42" r:id="rId6"/>
    <sheet name="香海" sheetId="9" r:id="rId7"/>
    <sheet name="供热公司" sheetId="1" r:id="rId8"/>
    <sheet name="金州" sheetId="22" r:id="rId9"/>
    <sheet name="北方" sheetId="21" r:id="rId10"/>
    <sheet name="金普" sheetId="26" r:id="rId11"/>
    <sheet name="庄河" sheetId="32" r:id="rId12"/>
    <sheet name="研究院" sheetId="40" r:id="rId13"/>
    <sheet name="主城区电锅炉" sheetId="35" r:id="rId14"/>
    <sheet name="恒流" sheetId="43" r:id="rId15"/>
    <sheet name="天然气炉" sheetId="36" r:id="rId16"/>
    <sheet name="中水" sheetId="18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Database" localSheetId="4" hidden="1">#REF!</definedName>
    <definedName name="Database" hidden="1">#REF!</definedName>
    <definedName name="_xlnm.Print_Area" localSheetId="11">庄河!$A$1:$M$26</definedName>
    <definedName name="_xlnm.Print_Area" localSheetId="10">金普!$A$1:$M$27</definedName>
    <definedName name="_xlnm.Print_Area" localSheetId="15">天然气炉!$A$1:$G$14</definedName>
    <definedName name="_xlnm.Print_Titles" localSheetId="0">全口径!$1:$2</definedName>
    <definedName name="_xlnm.Print_Titles" localSheetId="1">主城区!$1:$2</definedName>
    <definedName name="_xlnm.Print_Titles" localSheetId="2">集团本部!$1:$2</definedName>
    <definedName name="_xlnm.Print_Titles" localSheetId="3">股份本部!$1:$2</definedName>
    <definedName name="_xlnm.Print_Titles" localSheetId="4">北海!$1:$2</definedName>
    <definedName name="_xlnm.Print_Titles" localSheetId="5">北海水炉!$1:$2</definedName>
    <definedName name="_xlnm.Print_Titles" localSheetId="6">香海!$1:$2</definedName>
    <definedName name="_xlnm.Print_Titles" localSheetId="7">供热公司!$1:$2</definedName>
    <definedName name="_xlnm.Print_Titles" localSheetId="8">金州!$1:$2</definedName>
    <definedName name="_xlnm.Print_Titles" localSheetId="9">北方!$1:$2</definedName>
    <definedName name="_xlnm.Print_Titles" localSheetId="10">金普!$1:$2</definedName>
    <definedName name="_xlnm.Print_Titles" localSheetId="11">庄河!$1:$2</definedName>
    <definedName name="_xlnm.Print_Titles" localSheetId="12">研究院!$1:$2</definedName>
    <definedName name="_xlnm.Print_Titles" localSheetId="13">主城区电锅炉!$1:$2</definedName>
    <definedName name="_xlnm.Print_Titles" localSheetId="14">恒流!$1:$2</definedName>
    <definedName name="_xlnm.Print_Titles" localSheetId="15">天然气炉!$1:$2</definedName>
    <definedName name="_xlnm.Print_Titles" localSheetId="16">中水!$1:$2</definedName>
    <definedName name="_xlnm.Print_Area" localSheetId="1">主城区!$A$1:$M$45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wanxinhong</author>
  </authors>
  <commentList>
    <comment ref="D5" authorId="0">
      <text>
        <r>
          <rPr>
            <b/>
            <sz val="9"/>
            <rFont val="Tahoma"/>
            <charset val="134"/>
          </rPr>
          <t>+燃</t>
        </r>
        <r>
          <rPr>
            <b/>
            <sz val="9"/>
            <rFont val="宋体"/>
            <charset val="134"/>
          </rPr>
          <t>气锅炉供汽量</t>
        </r>
      </text>
    </comment>
  </commentList>
</comments>
</file>

<file path=xl/comments2.xml><?xml version="1.0" encoding="utf-8"?>
<comments xmlns="http://schemas.openxmlformats.org/spreadsheetml/2006/main">
  <authors>
    <author>wanxinhong</author>
    <author>zqb8182</author>
  </authors>
  <commentList>
    <comment ref="D5" authorId="0">
      <text>
        <r>
          <rPr>
            <b/>
            <sz val="9"/>
            <rFont val="Tahoma"/>
            <charset val="134"/>
          </rPr>
          <t>+</t>
        </r>
        <r>
          <rPr>
            <b/>
            <sz val="9"/>
            <rFont val="宋体"/>
            <charset val="134"/>
          </rPr>
          <t>燃气锅炉供汽量吨</t>
        </r>
      </text>
    </comment>
    <comment ref="E5" authorId="1">
      <text>
        <r>
          <rPr>
            <b/>
            <sz val="9"/>
            <rFont val="宋体"/>
            <charset val="134"/>
          </rPr>
          <t>zqb8182:</t>
        </r>
        <r>
          <rPr>
            <sz val="9"/>
            <rFont val="宋体"/>
            <charset val="134"/>
          </rPr>
          <t xml:space="preserve">
+燃气锅炉供汽量吨</t>
        </r>
      </text>
    </comment>
    <comment ref="D6" authorId="1">
      <text>
        <r>
          <rPr>
            <b/>
            <sz val="9"/>
            <rFont val="宋体"/>
            <charset val="134"/>
          </rPr>
          <t>zqb8182:</t>
        </r>
        <r>
          <rPr>
            <sz val="9"/>
            <rFont val="宋体"/>
            <charset val="134"/>
          </rPr>
          <t xml:space="preserve">
+燃气锅炉供热量</t>
        </r>
      </text>
    </comment>
    <comment ref="E6" authorId="1">
      <text>
        <r>
          <rPr>
            <b/>
            <sz val="9"/>
            <rFont val="宋体"/>
            <charset val="134"/>
          </rPr>
          <t>zqb8182:</t>
        </r>
        <r>
          <rPr>
            <sz val="9"/>
            <rFont val="宋体"/>
            <charset val="134"/>
          </rPr>
          <t xml:space="preserve">
+燃气锅炉供热量</t>
        </r>
      </text>
    </comment>
  </commentList>
</comments>
</file>

<file path=xl/comments3.xml><?xml version="1.0" encoding="utf-8"?>
<comments xmlns="http://schemas.openxmlformats.org/spreadsheetml/2006/main">
  <authors>
    <author>zqb8182</author>
  </authors>
  <commentList>
    <comment ref="D4" authorId="0">
      <text>
        <r>
          <rPr>
            <b/>
            <sz val="9"/>
            <rFont val="宋体"/>
            <charset val="134"/>
          </rPr>
          <t>zqb8182:</t>
        </r>
        <r>
          <rPr>
            <sz val="9"/>
            <rFont val="宋体"/>
            <charset val="134"/>
          </rPr>
          <t xml:space="preserve">
不改</t>
        </r>
      </text>
    </comment>
  </commentList>
</comments>
</file>

<file path=xl/sharedStrings.xml><?xml version="1.0" encoding="utf-8"?>
<sst xmlns="http://schemas.openxmlformats.org/spreadsheetml/2006/main" count="1534" uniqueCount="269">
  <si>
    <t>指标
类别</t>
  </si>
  <si>
    <r>
      <rPr>
        <sz val="10"/>
        <rFont val="宋体"/>
        <charset val="134"/>
      </rPr>
      <t>项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目</t>
    </r>
  </si>
  <si>
    <t>计量单位</t>
  </si>
  <si>
    <t>本年计划</t>
  </si>
  <si>
    <t>本月计划</t>
  </si>
  <si>
    <t>上年同期</t>
  </si>
  <si>
    <t>本月实际</t>
  </si>
  <si>
    <t>本年累计</t>
  </si>
  <si>
    <r>
      <rPr>
        <sz val="10"/>
        <rFont val="宋体"/>
        <charset val="134"/>
      </rPr>
      <t>年计划</t>
    </r>
    <r>
      <rPr>
        <sz val="10"/>
        <rFont val="Times New Roman"/>
        <charset val="0"/>
      </rPr>
      <t xml:space="preserve">      </t>
    </r>
    <r>
      <rPr>
        <sz val="10"/>
        <rFont val="宋体"/>
        <charset val="134"/>
      </rPr>
      <t>完成率</t>
    </r>
  </si>
  <si>
    <t>与月计划比较</t>
  </si>
  <si>
    <t>与上年同期比较</t>
  </si>
  <si>
    <t>差异</t>
  </si>
  <si>
    <t>±%</t>
  </si>
  <si>
    <t>产品
销量</t>
  </si>
  <si>
    <t>售电量</t>
  </si>
  <si>
    <t>万千瓦时</t>
  </si>
  <si>
    <t>售汽量</t>
  </si>
  <si>
    <t>吨</t>
  </si>
  <si>
    <t>高温水销售量</t>
  </si>
  <si>
    <t>吉焦</t>
  </si>
  <si>
    <t>期末供暖收费面积</t>
  </si>
  <si>
    <t>平方米</t>
  </si>
  <si>
    <t>产品
产量</t>
  </si>
  <si>
    <t>发电量</t>
  </si>
  <si>
    <t>供热量</t>
  </si>
  <si>
    <r>
      <rPr>
        <sz val="10"/>
        <rFont val="宋体"/>
        <charset val="134"/>
      </rPr>
      <t>其中：</t>
    </r>
    <r>
      <rPr>
        <sz val="10"/>
        <rFont val="宋体"/>
        <charset val="134"/>
      </rPr>
      <t>低真空供热量</t>
    </r>
  </si>
  <si>
    <r>
      <rPr>
        <sz val="10"/>
        <rFont val="Times New Roman"/>
        <charset val="0"/>
      </rPr>
      <t xml:space="preserve">             </t>
    </r>
    <r>
      <rPr>
        <sz val="10"/>
        <rFont val="宋体"/>
        <charset val="134"/>
      </rPr>
      <t>高温水网供热量</t>
    </r>
  </si>
  <si>
    <t>供汽量</t>
  </si>
  <si>
    <t>主要物料消耗量</t>
  </si>
  <si>
    <t>生产耗原煤量</t>
  </si>
  <si>
    <t>锅炉耗柴油量</t>
  </si>
  <si>
    <t>耗水量</t>
  </si>
  <si>
    <t>其中：热网耗水量</t>
  </si>
  <si>
    <t xml:space="preserve">    耗井水量</t>
  </si>
  <si>
    <t xml:space="preserve">    耗再生水量</t>
  </si>
  <si>
    <t>耗酸量</t>
  </si>
  <si>
    <t>耗碱量</t>
  </si>
  <si>
    <t>耗石灰石量</t>
  </si>
  <si>
    <t>耗石灰石粉量</t>
  </si>
  <si>
    <t>耗氨水量</t>
  </si>
  <si>
    <t>耗阻垢剂量</t>
  </si>
  <si>
    <t>耗杀菌剂量</t>
  </si>
  <si>
    <t>耗钢球量</t>
  </si>
  <si>
    <t>耗氧化镁量</t>
  </si>
  <si>
    <t>脱硫脱硝耗水量</t>
  </si>
  <si>
    <t>脱硫脱硝耗电量</t>
  </si>
  <si>
    <t>千瓦时</t>
  </si>
  <si>
    <t>主城区一次网电厂补水量</t>
  </si>
  <si>
    <t>供暖耗热量</t>
  </si>
  <si>
    <t>外购电量</t>
  </si>
  <si>
    <t>其中：热网耗电量</t>
  </si>
  <si>
    <t>综合厂用电量</t>
  </si>
  <si>
    <t xml:space="preserve">         非生产厂用电量</t>
  </si>
  <si>
    <r>
      <rPr>
        <sz val="10"/>
        <rFont val="Times New Roman"/>
        <charset val="0"/>
      </rPr>
      <t xml:space="preserve">                </t>
    </r>
    <r>
      <rPr>
        <sz val="10"/>
        <rFont val="宋体"/>
        <charset val="134"/>
      </rPr>
      <t>发电厂用电量</t>
    </r>
  </si>
  <si>
    <r>
      <rPr>
        <sz val="10"/>
        <rFont val="Times New Roman"/>
        <charset val="0"/>
      </rPr>
      <t xml:space="preserve">                </t>
    </r>
    <r>
      <rPr>
        <sz val="10"/>
        <rFont val="宋体"/>
        <charset val="134"/>
      </rPr>
      <t>供热厂用电量</t>
    </r>
  </si>
  <si>
    <t>耗标煤总量</t>
  </si>
  <si>
    <r>
      <rPr>
        <sz val="10"/>
        <rFont val="Times New Roman"/>
        <charset val="0"/>
      </rPr>
      <t xml:space="preserve">              </t>
    </r>
    <r>
      <rPr>
        <sz val="10"/>
        <rFont val="宋体"/>
        <charset val="134"/>
      </rPr>
      <t>发电标准煤耗量</t>
    </r>
  </si>
  <si>
    <r>
      <rPr>
        <sz val="10"/>
        <rFont val="Times New Roman"/>
        <charset val="0"/>
      </rPr>
      <t xml:space="preserve">              </t>
    </r>
    <r>
      <rPr>
        <sz val="10"/>
        <rFont val="宋体"/>
        <charset val="134"/>
      </rPr>
      <t>供热标准煤耗量</t>
    </r>
  </si>
  <si>
    <t>其中：煤折标煤量</t>
  </si>
  <si>
    <t>耗天然气量</t>
  </si>
  <si>
    <t>万立方米</t>
  </si>
  <si>
    <t>外购热量</t>
  </si>
  <si>
    <t>单耗</t>
  </si>
  <si>
    <t>综合厂用电率</t>
  </si>
  <si>
    <t>%</t>
  </si>
  <si>
    <t>-</t>
  </si>
  <si>
    <t>发电煤耗率</t>
  </si>
  <si>
    <r>
      <rPr>
        <sz val="10"/>
        <rFont val="宋体"/>
        <charset val="134"/>
      </rPr>
      <t>克</t>
    </r>
    <r>
      <rPr>
        <sz val="10"/>
        <rFont val="Times New Roman"/>
        <charset val="0"/>
      </rPr>
      <t>/</t>
    </r>
    <r>
      <rPr>
        <sz val="10"/>
        <rFont val="宋体"/>
        <charset val="134"/>
      </rPr>
      <t>千瓦时</t>
    </r>
  </si>
  <si>
    <t>供电煤耗率</t>
  </si>
  <si>
    <t>供热煤耗率</t>
  </si>
  <si>
    <r>
      <rPr>
        <sz val="10"/>
        <rFont val="宋体"/>
        <charset val="134"/>
      </rPr>
      <t>千克</t>
    </r>
    <r>
      <rPr>
        <sz val="10"/>
        <rFont val="Times New Roman"/>
        <charset val="0"/>
      </rPr>
      <t>/</t>
    </r>
    <r>
      <rPr>
        <sz val="10"/>
        <rFont val="宋体"/>
        <charset val="134"/>
      </rPr>
      <t>吉焦</t>
    </r>
  </si>
  <si>
    <t>发电水耗率</t>
  </si>
  <si>
    <r>
      <rPr>
        <sz val="10"/>
        <rFont val="宋体"/>
        <charset val="134"/>
      </rPr>
      <t>吨</t>
    </r>
    <r>
      <rPr>
        <sz val="10"/>
        <rFont val="Times New Roman"/>
        <charset val="0"/>
      </rPr>
      <t>/</t>
    </r>
    <r>
      <rPr>
        <sz val="10"/>
        <rFont val="宋体"/>
        <charset val="134"/>
      </rPr>
      <t>万千瓦时</t>
    </r>
  </si>
  <si>
    <t>供热水耗率</t>
  </si>
  <si>
    <r>
      <rPr>
        <sz val="10"/>
        <rFont val="宋体"/>
        <charset val="134"/>
      </rPr>
      <t>吨</t>
    </r>
    <r>
      <rPr>
        <sz val="10"/>
        <rFont val="Times New Roman"/>
        <charset val="0"/>
      </rPr>
      <t>/</t>
    </r>
    <r>
      <rPr>
        <sz val="10"/>
        <rFont val="宋体"/>
        <charset val="134"/>
      </rPr>
      <t>吉焦</t>
    </r>
  </si>
  <si>
    <t>供暖热耗率</t>
  </si>
  <si>
    <r>
      <rPr>
        <sz val="10"/>
        <rFont val="宋体"/>
        <charset val="134"/>
      </rPr>
      <t>吉焦/米</t>
    </r>
    <r>
      <rPr>
        <vertAlign val="superscript"/>
        <sz val="10"/>
        <rFont val="宋体"/>
        <charset val="134"/>
      </rPr>
      <t>2</t>
    </r>
  </si>
  <si>
    <t>供暖水耗率</t>
  </si>
  <si>
    <t>千克/米2</t>
  </si>
  <si>
    <t>供暖电耗率</t>
  </si>
  <si>
    <t>千瓦时/米2</t>
  </si>
  <si>
    <t>设备
利用率</t>
  </si>
  <si>
    <t>发电设备利用率</t>
  </si>
  <si>
    <t>供热设备利用率</t>
  </si>
  <si>
    <t>指标类别</t>
  </si>
  <si>
    <t>项  目</t>
  </si>
  <si>
    <t>年计划      完成率</t>
  </si>
  <si>
    <t>产销指标</t>
  </si>
  <si>
    <r>
      <rPr>
        <sz val="10"/>
        <rFont val="Times New Roman"/>
        <charset val="0"/>
      </rPr>
      <t xml:space="preserve">            </t>
    </r>
    <r>
      <rPr>
        <sz val="10"/>
        <rFont val="宋体"/>
        <charset val="134"/>
      </rPr>
      <t>低真空供热量</t>
    </r>
  </si>
  <si>
    <r>
      <rPr>
        <sz val="10"/>
        <rFont val="Times New Roman"/>
        <charset val="0"/>
      </rPr>
      <t xml:space="preserve">            </t>
    </r>
    <r>
      <rPr>
        <sz val="10"/>
        <rFont val="宋体"/>
        <charset val="134"/>
      </rPr>
      <t>高温水网供热量</t>
    </r>
  </si>
  <si>
    <t>消耗指标</t>
  </si>
  <si>
    <t>热网耗水量</t>
  </si>
  <si>
    <t>其中：一次网电厂补水量</t>
  </si>
  <si>
    <t>非生产厂用电量</t>
  </si>
  <si>
    <r>
      <rPr>
        <sz val="10"/>
        <rFont val="Times New Roman"/>
        <charset val="0"/>
      </rPr>
      <t xml:space="preserve">              </t>
    </r>
    <r>
      <rPr>
        <sz val="10"/>
        <rFont val="宋体"/>
        <charset val="134"/>
      </rPr>
      <t>发电厂用电量</t>
    </r>
  </si>
  <si>
    <r>
      <rPr>
        <sz val="10"/>
        <rFont val="Times New Roman"/>
        <charset val="0"/>
      </rPr>
      <t xml:space="preserve">              </t>
    </r>
    <r>
      <rPr>
        <sz val="10"/>
        <rFont val="宋体"/>
        <charset val="134"/>
      </rPr>
      <t>供热厂用电量</t>
    </r>
  </si>
  <si>
    <t>单耗与效率</t>
  </si>
  <si>
    <t>入炉煤低位发热量</t>
  </si>
  <si>
    <r>
      <rPr>
        <sz val="10"/>
        <rFont val="宋体"/>
        <charset val="134"/>
      </rPr>
      <t>千焦</t>
    </r>
    <r>
      <rPr>
        <sz val="10"/>
        <rFont val="Times New Roman"/>
        <charset val="0"/>
      </rPr>
      <t>/</t>
    </r>
    <r>
      <rPr>
        <sz val="10"/>
        <rFont val="宋体"/>
        <charset val="134"/>
      </rPr>
      <t>千克</t>
    </r>
  </si>
  <si>
    <t>设备利用率</t>
  </si>
  <si>
    <t>项    目</t>
  </si>
  <si>
    <t>其中：香海热电厂生产</t>
  </si>
  <si>
    <r>
      <rPr>
        <sz val="10"/>
        <rFont val="Times New Roman"/>
        <charset val="0"/>
      </rPr>
      <t xml:space="preserve">         </t>
    </r>
    <r>
      <rPr>
        <sz val="10"/>
        <rFont val="宋体"/>
        <charset val="134"/>
      </rPr>
      <t>自股份公司购入量</t>
    </r>
    <r>
      <rPr>
        <sz val="10"/>
        <rFont val="Times New Roman"/>
        <charset val="0"/>
      </rPr>
      <t>(</t>
    </r>
    <r>
      <rPr>
        <sz val="10"/>
        <rFont val="宋体"/>
        <charset val="134"/>
      </rPr>
      <t>蒸汽</t>
    </r>
    <r>
      <rPr>
        <sz val="10"/>
        <rFont val="Times New Roman"/>
        <charset val="0"/>
      </rPr>
      <t>)</t>
    </r>
  </si>
  <si>
    <r>
      <rPr>
        <sz val="10"/>
        <rFont val="Times New Roman"/>
        <charset val="0"/>
      </rPr>
      <t xml:space="preserve">         </t>
    </r>
    <r>
      <rPr>
        <sz val="10"/>
        <rFont val="宋体"/>
        <charset val="134"/>
      </rPr>
      <t>自股份公司购入量</t>
    </r>
    <r>
      <rPr>
        <sz val="10"/>
        <rFont val="Times New Roman"/>
        <charset val="0"/>
      </rPr>
      <t>(</t>
    </r>
    <r>
      <rPr>
        <sz val="10"/>
        <rFont val="宋体"/>
        <charset val="134"/>
      </rPr>
      <t>高温水</t>
    </r>
    <r>
      <rPr>
        <sz val="10"/>
        <rFont val="Times New Roman"/>
        <charset val="0"/>
      </rPr>
      <t>)</t>
    </r>
  </si>
  <si>
    <t>一次网电厂补水量</t>
  </si>
  <si>
    <r>
      <rPr>
        <sz val="10"/>
        <rFont val="Times New Roman"/>
        <charset val="0"/>
      </rPr>
      <t xml:space="preserve">                    </t>
    </r>
    <r>
      <rPr>
        <sz val="10"/>
        <rFont val="宋体"/>
        <charset val="134"/>
      </rPr>
      <t>发电厂用电量</t>
    </r>
  </si>
  <si>
    <r>
      <rPr>
        <sz val="10"/>
        <rFont val="Times New Roman"/>
        <charset val="0"/>
      </rPr>
      <t xml:space="preserve">                    </t>
    </r>
    <r>
      <rPr>
        <sz val="10"/>
        <rFont val="宋体"/>
        <charset val="134"/>
      </rPr>
      <t>供热厂用电量</t>
    </r>
  </si>
  <si>
    <r>
      <rPr>
        <sz val="10"/>
        <rFont val="Times New Roman"/>
        <charset val="0"/>
      </rPr>
      <t xml:space="preserve">                </t>
    </r>
    <r>
      <rPr>
        <sz val="10"/>
        <rFont val="宋体"/>
        <charset val="134"/>
      </rPr>
      <t>发电标准煤耗量</t>
    </r>
  </si>
  <si>
    <r>
      <rPr>
        <sz val="10"/>
        <rFont val="Times New Roman"/>
        <charset val="0"/>
      </rPr>
      <t xml:space="preserve">                </t>
    </r>
    <r>
      <rPr>
        <sz val="10"/>
        <rFont val="宋体"/>
        <charset val="134"/>
      </rPr>
      <t>供热标准煤耗量</t>
    </r>
  </si>
  <si>
    <t>其中：高温水网供热量</t>
  </si>
  <si>
    <t>关联交易量(蒸汽)</t>
  </si>
  <si>
    <r>
      <rPr>
        <sz val="10"/>
        <rFont val="宋体"/>
        <charset val="134"/>
      </rPr>
      <t>关联交易量(高温水</t>
    </r>
    <r>
      <rPr>
        <sz val="10"/>
        <rFont val="宋体"/>
        <charset val="134"/>
      </rPr>
      <t>)</t>
    </r>
  </si>
  <si>
    <t>项   目</t>
  </si>
  <si>
    <t>年计划          完成率</t>
  </si>
  <si>
    <t>其中：首站供热量</t>
  </si>
  <si>
    <t>发电耗标煤量</t>
  </si>
  <si>
    <t>供热耗标煤量</t>
  </si>
  <si>
    <t>高温水网电厂补水量</t>
  </si>
  <si>
    <t>电厂耗水量</t>
  </si>
  <si>
    <t>耗再生水量</t>
  </si>
  <si>
    <t>炉耗油量</t>
  </si>
  <si>
    <t>发电厂用电量</t>
  </si>
  <si>
    <t>供热厂用电量</t>
  </si>
  <si>
    <t>发电厂用电率</t>
  </si>
  <si>
    <t>供热厂用电率</t>
  </si>
  <si>
    <r>
      <rPr>
        <sz val="10"/>
        <rFont val="宋体"/>
        <charset val="134"/>
      </rPr>
      <t>千瓦时</t>
    </r>
    <r>
      <rPr>
        <sz val="10"/>
        <rFont val="Times New Roman"/>
        <charset val="0"/>
      </rPr>
      <t>/</t>
    </r>
    <r>
      <rPr>
        <sz val="10"/>
        <rFont val="宋体"/>
        <charset val="134"/>
      </rPr>
      <t>吉焦</t>
    </r>
  </si>
  <si>
    <t>入厂煤量</t>
  </si>
  <si>
    <t>期末库存煤量</t>
  </si>
  <si>
    <t>入厂煤低位发热量</t>
  </si>
  <si>
    <t>总热效率</t>
  </si>
  <si>
    <t>热电比</t>
  </si>
  <si>
    <t>热分摊比</t>
  </si>
  <si>
    <t>年计划  完成率</t>
  </si>
  <si>
    <t>装机总容量</t>
  </si>
  <si>
    <t>兆瓦</t>
  </si>
  <si>
    <t>耗油量</t>
  </si>
  <si>
    <t>其中：耗再生水量</t>
  </si>
  <si>
    <t>耗电量</t>
  </si>
  <si>
    <t>其中：耗厂用电量</t>
  </si>
  <si>
    <t xml:space="preserve">      耗外购电量</t>
  </si>
  <si>
    <t>供热用电率</t>
  </si>
  <si>
    <t>锅炉热效率</t>
  </si>
  <si>
    <t>锅炉设备利用率</t>
  </si>
  <si>
    <t>其中：低真空供热量</t>
  </si>
  <si>
    <t xml:space="preserve">      首站供热量</t>
  </si>
  <si>
    <t>高温水、低真空电厂补水量</t>
  </si>
  <si>
    <t>吨/万千瓦时</t>
  </si>
  <si>
    <t>吨/吉焦</t>
  </si>
  <si>
    <t>本采暖期   累计</t>
  </si>
  <si>
    <r>
      <rPr>
        <sz val="10"/>
        <rFont val="宋体"/>
        <charset val="134"/>
      </rPr>
      <t>米</t>
    </r>
    <r>
      <rPr>
        <vertAlign val="superscript"/>
        <sz val="10"/>
        <rFont val="宋体"/>
        <charset val="134"/>
      </rPr>
      <t>2</t>
    </r>
  </si>
  <si>
    <t>本期平均供暖面积</t>
  </si>
  <si>
    <t>总耗热量</t>
  </si>
  <si>
    <t>各热力站耗热量</t>
  </si>
  <si>
    <t>其中：供暖耗汽量</t>
  </si>
  <si>
    <r>
      <rPr>
        <sz val="10"/>
        <rFont val="Times New Roman"/>
        <charset val="0"/>
      </rPr>
      <t xml:space="preserve">       </t>
    </r>
    <r>
      <rPr>
        <sz val="10"/>
        <rFont val="宋体"/>
        <charset val="134"/>
      </rPr>
      <t>低真空供暖耗热量</t>
    </r>
  </si>
  <si>
    <r>
      <rPr>
        <sz val="10"/>
        <rFont val="Times New Roman"/>
        <charset val="0"/>
      </rPr>
      <t xml:space="preserve">       </t>
    </r>
    <r>
      <rPr>
        <sz val="10"/>
        <rFont val="宋体"/>
        <charset val="134"/>
      </rPr>
      <t>水源热泵供暖耗热量</t>
    </r>
  </si>
  <si>
    <t xml:space="preserve">   高温水供暖耗热量</t>
  </si>
  <si>
    <t>供暖汽耗率</t>
  </si>
  <si>
    <r>
      <rPr>
        <sz val="10"/>
        <rFont val="宋体"/>
        <charset val="134"/>
      </rPr>
      <t>吨/米</t>
    </r>
    <r>
      <rPr>
        <vertAlign val="superscript"/>
        <sz val="10"/>
        <rFont val="宋体"/>
        <charset val="134"/>
      </rPr>
      <t>2</t>
    </r>
  </si>
  <si>
    <r>
      <rPr>
        <sz val="10"/>
        <rFont val="宋体"/>
        <charset val="134"/>
      </rPr>
      <t>千克/米</t>
    </r>
    <r>
      <rPr>
        <vertAlign val="superscript"/>
        <sz val="10"/>
        <rFont val="宋体"/>
        <charset val="134"/>
      </rPr>
      <t>2</t>
    </r>
  </si>
  <si>
    <r>
      <rPr>
        <sz val="10"/>
        <rFont val="宋体"/>
        <charset val="134"/>
      </rPr>
      <t>千瓦时/米</t>
    </r>
    <r>
      <rPr>
        <vertAlign val="superscript"/>
        <sz val="10"/>
        <rFont val="宋体"/>
        <charset val="134"/>
      </rPr>
      <t>2</t>
    </r>
  </si>
  <si>
    <t>供暖质量</t>
  </si>
  <si>
    <t>管网循环水总量</t>
  </si>
  <si>
    <t>吨/小时</t>
  </si>
  <si>
    <t>管网失水量</t>
  </si>
  <si>
    <t>管网失水率</t>
  </si>
  <si>
    <t>本月内最高气温</t>
  </si>
  <si>
    <t>℃</t>
  </si>
  <si>
    <t>本月内最低气温</t>
  </si>
  <si>
    <t>本月平均气温</t>
  </si>
  <si>
    <t>蒸汽平均焓</t>
  </si>
  <si>
    <t>千焦/千克</t>
  </si>
  <si>
    <t>实际检测户数（室温）</t>
  </si>
  <si>
    <t>户</t>
  </si>
  <si>
    <t>检测合格户数</t>
  </si>
  <si>
    <t>用户室温合格率</t>
  </si>
  <si>
    <t>用户报修次数</t>
  </si>
  <si>
    <t>次</t>
  </si>
  <si>
    <t>24小时处理次数</t>
  </si>
  <si>
    <t>用户报修处理及时率</t>
  </si>
  <si>
    <t>本月供暖小时数</t>
  </si>
  <si>
    <t>小时</t>
  </si>
  <si>
    <t>应按期结案总数</t>
  </si>
  <si>
    <t>件</t>
  </si>
  <si>
    <t>按期结案总数</t>
  </si>
  <si>
    <t>信访处结率</t>
  </si>
  <si>
    <t>耗水质稳定剂量</t>
  </si>
  <si>
    <t>其中：耗井水量</t>
  </si>
  <si>
    <t xml:space="preserve">      热网耗水量</t>
  </si>
  <si>
    <t>期末供热面积</t>
  </si>
  <si>
    <t>其中：高温水面积</t>
  </si>
  <si>
    <t>实际平均供热面积</t>
  </si>
  <si>
    <t>耗脱硝剂量</t>
  </si>
  <si>
    <r>
      <rPr>
        <sz val="10"/>
        <rFont val="宋体"/>
        <charset val="134"/>
      </rPr>
      <t>单耗与</t>
    </r>
    <r>
      <rPr>
        <sz val="10"/>
        <rFont val="Times New Roman"/>
        <charset val="0"/>
      </rPr>
      <t xml:space="preserve">
</t>
    </r>
    <r>
      <rPr>
        <sz val="10"/>
        <rFont val="宋体"/>
        <charset val="134"/>
      </rPr>
      <t>利用率</t>
    </r>
  </si>
  <si>
    <t>吉焦/平方米</t>
  </si>
  <si>
    <t>单位面积耗标准煤量</t>
  </si>
  <si>
    <t>千克/平方米</t>
  </si>
  <si>
    <t>单位面积耗电量</t>
  </si>
  <si>
    <t>千瓦时/平方米</t>
  </si>
  <si>
    <t>单位面积耗水量</t>
  </si>
  <si>
    <t>其中：高压电量</t>
  </si>
  <si>
    <t>序号</t>
  </si>
  <si>
    <t>指标名称</t>
  </si>
  <si>
    <r>
      <rPr>
        <sz val="10"/>
        <rFont val="宋体"/>
        <charset val="134"/>
      </rPr>
      <t>年计划</t>
    </r>
    <r>
      <rPr>
        <sz val="10"/>
        <rFont val="宋体"/>
        <charset val="134"/>
      </rPr>
      <t xml:space="preserve">   </t>
    </r>
    <r>
      <rPr>
        <sz val="10"/>
        <rFont val="宋体"/>
        <charset val="134"/>
      </rPr>
      <t>完成率</t>
    </r>
  </si>
  <si>
    <r>
      <rPr>
        <sz val="10"/>
        <rFont val="宋体"/>
        <charset val="134"/>
      </rPr>
      <t>SOC</t>
    </r>
    <r>
      <rPr>
        <sz val="10"/>
        <rFont val="宋体"/>
        <charset val="134"/>
      </rPr>
      <t>状态（月初）</t>
    </r>
  </si>
  <si>
    <r>
      <rPr>
        <sz val="10"/>
        <rFont val="宋体"/>
        <charset val="134"/>
      </rPr>
      <t>SOC</t>
    </r>
    <r>
      <rPr>
        <sz val="10"/>
        <rFont val="宋体"/>
        <charset val="134"/>
      </rPr>
      <t>状态（月末）</t>
    </r>
  </si>
  <si>
    <t>充电次数</t>
  </si>
  <si>
    <t>放电次数</t>
  </si>
  <si>
    <t>总充电电量</t>
  </si>
  <si>
    <t>储能单元充电量</t>
  </si>
  <si>
    <t>储能单元总充电量</t>
  </si>
  <si>
    <r>
      <rPr>
        <sz val="10"/>
        <rFont val="宋体"/>
        <charset val="134"/>
      </rPr>
      <t>其中：</t>
    </r>
    <r>
      <rPr>
        <sz val="10"/>
        <rFont val="宋体"/>
        <charset val="134"/>
      </rPr>
      <t>1</t>
    </r>
    <r>
      <rPr>
        <sz val="10"/>
        <rFont val="宋体"/>
        <charset val="134"/>
      </rPr>
      <t>区储能单元</t>
    </r>
  </si>
  <si>
    <r>
      <rPr>
        <sz val="10"/>
        <rFont val="宋体"/>
        <charset val="134"/>
      </rPr>
      <t>其中：</t>
    </r>
    <r>
      <rPr>
        <sz val="10"/>
        <rFont val="宋体"/>
        <charset val="134"/>
      </rPr>
      <t>2</t>
    </r>
    <r>
      <rPr>
        <sz val="10"/>
        <rFont val="宋体"/>
        <charset val="134"/>
      </rPr>
      <t>区储能单元</t>
    </r>
  </si>
  <si>
    <r>
      <rPr>
        <sz val="10"/>
        <rFont val="宋体"/>
        <charset val="134"/>
      </rPr>
      <t>其中：</t>
    </r>
    <r>
      <rPr>
        <sz val="10"/>
        <rFont val="宋体"/>
        <charset val="134"/>
      </rPr>
      <t>3</t>
    </r>
    <r>
      <rPr>
        <sz val="10"/>
        <rFont val="宋体"/>
        <charset val="134"/>
      </rPr>
      <t>区储能单元</t>
    </r>
  </si>
  <si>
    <r>
      <rPr>
        <sz val="10"/>
        <rFont val="宋体"/>
        <charset val="134"/>
      </rPr>
      <t>其中：</t>
    </r>
    <r>
      <rPr>
        <sz val="10"/>
        <rFont val="宋体"/>
        <charset val="134"/>
      </rPr>
      <t>4</t>
    </r>
    <r>
      <rPr>
        <sz val="10"/>
        <rFont val="宋体"/>
        <charset val="134"/>
      </rPr>
      <t>区储能单元</t>
    </r>
  </si>
  <si>
    <t>总放电电量</t>
  </si>
  <si>
    <t>储能单元放电量</t>
  </si>
  <si>
    <t>储能单元总放电量</t>
  </si>
  <si>
    <t>总耗电量</t>
  </si>
  <si>
    <t>总站用变电量</t>
  </si>
  <si>
    <r>
      <rPr>
        <sz val="10"/>
        <rFont val="宋体"/>
        <charset val="134"/>
      </rPr>
      <t>其中：</t>
    </r>
    <r>
      <rPr>
        <sz val="10"/>
        <rFont val="宋体"/>
        <charset val="134"/>
      </rPr>
      <t>1#</t>
    </r>
    <r>
      <rPr>
        <sz val="10"/>
        <rFont val="宋体"/>
        <charset val="134"/>
      </rPr>
      <t>站用变</t>
    </r>
  </si>
  <si>
    <r>
      <rPr>
        <sz val="10"/>
        <rFont val="宋体"/>
        <charset val="134"/>
      </rPr>
      <t>其中：</t>
    </r>
    <r>
      <rPr>
        <sz val="10"/>
        <rFont val="宋体"/>
        <charset val="134"/>
      </rPr>
      <t>2#</t>
    </r>
    <r>
      <rPr>
        <sz val="10"/>
        <rFont val="宋体"/>
        <charset val="134"/>
      </rPr>
      <t>站用变</t>
    </r>
  </si>
  <si>
    <r>
      <rPr>
        <sz val="10"/>
        <rFont val="宋体"/>
        <charset val="134"/>
      </rPr>
      <t>其中：</t>
    </r>
    <r>
      <rPr>
        <sz val="10"/>
        <rFont val="宋体"/>
        <charset val="134"/>
      </rPr>
      <t>3#</t>
    </r>
    <r>
      <rPr>
        <sz val="10"/>
        <rFont val="宋体"/>
        <charset val="134"/>
      </rPr>
      <t>站用变</t>
    </r>
  </si>
  <si>
    <r>
      <rPr>
        <sz val="10"/>
        <rFont val="宋体"/>
        <charset val="134"/>
      </rPr>
      <t>其中：</t>
    </r>
    <r>
      <rPr>
        <sz val="10"/>
        <rFont val="宋体"/>
        <charset val="134"/>
      </rPr>
      <t>4#</t>
    </r>
    <r>
      <rPr>
        <sz val="10"/>
        <rFont val="宋体"/>
        <charset val="134"/>
      </rPr>
      <t>站用变</t>
    </r>
  </si>
  <si>
    <t>总公用变电量</t>
  </si>
  <si>
    <r>
      <rPr>
        <sz val="10"/>
        <rFont val="宋体"/>
        <charset val="134"/>
      </rPr>
      <t>其中：</t>
    </r>
    <r>
      <rPr>
        <sz val="10"/>
        <rFont val="宋体"/>
        <charset val="134"/>
      </rPr>
      <t>1#</t>
    </r>
    <r>
      <rPr>
        <sz val="10"/>
        <rFont val="宋体"/>
        <charset val="134"/>
      </rPr>
      <t>公用变</t>
    </r>
  </si>
  <si>
    <r>
      <rPr>
        <sz val="10"/>
        <rFont val="宋体"/>
        <charset val="134"/>
      </rPr>
      <t>其中：</t>
    </r>
    <r>
      <rPr>
        <sz val="10"/>
        <rFont val="宋体"/>
        <charset val="134"/>
      </rPr>
      <t>2#</t>
    </r>
    <r>
      <rPr>
        <sz val="10"/>
        <rFont val="宋体"/>
        <charset val="134"/>
      </rPr>
      <t>公用变</t>
    </r>
  </si>
  <si>
    <t>备用变</t>
  </si>
  <si>
    <t>交流侧电池效率(含变压器损耗、热泵)</t>
  </si>
  <si>
    <t>综合效率</t>
  </si>
  <si>
    <t>运行简报：本月全月参与辽宁现货电能量市场，自主预测D日实时节点价格申报充放电曲线，市场出清后按曲线运行。共充电16次，放电14次，上网电量1848000kWh，下网电量3630000kWh，整站效率50.91%，PCS交流测效率52.52%。</t>
  </si>
  <si>
    <t>北海热电厂</t>
  </si>
  <si>
    <t>裕 景</t>
  </si>
  <si>
    <t>耗天然气(人工煤气)量</t>
  </si>
  <si>
    <t>立方米</t>
  </si>
  <si>
    <t>天然气(煤气)发热量</t>
  </si>
  <si>
    <r>
      <rPr>
        <sz val="10"/>
        <rFont val="宋体"/>
        <charset val="134"/>
      </rPr>
      <t>千焦</t>
    </r>
    <r>
      <rPr>
        <sz val="10"/>
        <rFont val="Times New Roman"/>
        <charset val="0"/>
      </rPr>
      <t>/</t>
    </r>
    <r>
      <rPr>
        <sz val="10"/>
        <rFont val="宋体"/>
        <charset val="134"/>
      </rPr>
      <t>立方米</t>
    </r>
  </si>
  <si>
    <t>代码</t>
  </si>
  <si>
    <t>年计划完成率</t>
  </si>
  <si>
    <t>再生水总制水量</t>
  </si>
  <si>
    <t>01</t>
  </si>
  <si>
    <t>其中：北海生产用水量</t>
  </si>
  <si>
    <t>(1)</t>
  </si>
  <si>
    <t xml:space="preserve">      北海售水量</t>
  </si>
  <si>
    <t>(2)</t>
  </si>
  <si>
    <t>中水水量</t>
  </si>
  <si>
    <t>02</t>
  </si>
  <si>
    <t>出水率</t>
  </si>
  <si>
    <t>03</t>
  </si>
  <si>
    <t>04</t>
  </si>
  <si>
    <t>中水厂用电率</t>
  </si>
  <si>
    <t>05</t>
  </si>
  <si>
    <t>耗汽量</t>
  </si>
  <si>
    <t>06</t>
  </si>
  <si>
    <t>耗自来水量</t>
  </si>
  <si>
    <t>07</t>
  </si>
  <si>
    <r>
      <rPr>
        <sz val="11"/>
        <rFont val="宋体"/>
        <charset val="134"/>
      </rPr>
      <t>药</t>
    </r>
    <r>
      <rPr>
        <sz val="11"/>
        <rFont val="Times New Roman"/>
        <charset val="0"/>
      </rPr>
      <t xml:space="preserve">           </t>
    </r>
    <r>
      <rPr>
        <sz val="11"/>
        <rFont val="宋体"/>
        <charset val="134"/>
      </rPr>
      <t>剂</t>
    </r>
    <r>
      <rPr>
        <sz val="11"/>
        <rFont val="Times New Roman"/>
        <charset val="0"/>
      </rPr>
      <t xml:space="preserve">               </t>
    </r>
    <r>
      <rPr>
        <sz val="11"/>
        <rFont val="宋体"/>
        <charset val="134"/>
      </rPr>
      <t>使</t>
    </r>
    <r>
      <rPr>
        <sz val="11"/>
        <rFont val="Times New Roman"/>
        <charset val="0"/>
      </rPr>
      <t xml:space="preserve">           </t>
    </r>
    <r>
      <rPr>
        <sz val="11"/>
        <rFont val="宋体"/>
        <charset val="134"/>
      </rPr>
      <t>用</t>
    </r>
    <r>
      <rPr>
        <sz val="11"/>
        <rFont val="Times New Roman"/>
        <charset val="0"/>
      </rPr>
      <t xml:space="preserve">              </t>
    </r>
    <r>
      <rPr>
        <sz val="11"/>
        <rFont val="宋体"/>
        <charset val="134"/>
      </rPr>
      <t>量</t>
    </r>
  </si>
  <si>
    <t>聚合铝</t>
  </si>
  <si>
    <t>08</t>
  </si>
  <si>
    <t>NACLO</t>
  </si>
  <si>
    <t>09</t>
  </si>
  <si>
    <t>阻垢剂</t>
  </si>
  <si>
    <t>10</t>
  </si>
  <si>
    <t>还原剂</t>
  </si>
  <si>
    <t>11</t>
  </si>
  <si>
    <t>杀菌剂</t>
  </si>
  <si>
    <t>12</t>
  </si>
  <si>
    <r>
      <rPr>
        <sz val="11"/>
        <rFont val="宋体"/>
        <charset val="134"/>
      </rPr>
      <t>注：</t>
    </r>
    <r>
      <rPr>
        <sz val="11"/>
        <rFont val="Times New Roman"/>
        <charset val="0"/>
      </rPr>
      <t xml:space="preserve">1. </t>
    </r>
    <r>
      <rPr>
        <sz val="11"/>
        <rFont val="宋体"/>
        <charset val="134"/>
      </rPr>
      <t>北海中水本期耗用受电量为</t>
    </r>
    <r>
      <rPr>
        <sz val="11"/>
        <rFont val="Times New Roman"/>
        <charset val="0"/>
      </rPr>
      <t>0</t>
    </r>
    <r>
      <rPr>
        <sz val="11"/>
        <rFont val="宋体"/>
        <charset val="134"/>
      </rPr>
      <t>千瓦时，本年累计</t>
    </r>
    <r>
      <rPr>
        <sz val="11"/>
        <rFont val="Times New Roman"/>
        <charset val="0"/>
      </rPr>
      <t>20,000</t>
    </r>
    <r>
      <rPr>
        <sz val="11"/>
        <rFont val="宋体"/>
        <charset val="134"/>
      </rPr>
      <t>千瓦时。</t>
    </r>
  </si>
  <si>
    <r>
      <rPr>
        <sz val="11"/>
        <rFont val="Times New Roman"/>
        <charset val="0"/>
      </rPr>
      <t xml:space="preserve">        2. </t>
    </r>
    <r>
      <rPr>
        <sz val="11"/>
        <rFont val="宋体"/>
        <charset val="134"/>
      </rPr>
      <t>北海热电厂本期外售自来水量</t>
    </r>
    <r>
      <rPr>
        <sz val="11"/>
        <rFont val="Times New Roman"/>
        <charset val="0"/>
      </rPr>
      <t>0</t>
    </r>
    <r>
      <rPr>
        <sz val="11"/>
        <rFont val="宋体"/>
        <charset val="134"/>
      </rPr>
      <t>吨，本年累计</t>
    </r>
    <r>
      <rPr>
        <sz val="11"/>
        <rFont val="Times New Roman"/>
        <charset val="0"/>
      </rPr>
      <t>72,740</t>
    </r>
    <r>
      <rPr>
        <sz val="11"/>
        <rFont val="宋体"/>
        <charset val="134"/>
      </rPr>
      <t>吨。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</si>
</sst>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-&quot;_);_(@_)"/>
    <numFmt numFmtId="177" formatCode="_(* #,##0.00_);_(* \(#,##0.00\);_(* &quot;-&quot;??_);_(@_)"/>
    <numFmt numFmtId="178" formatCode="#,##0_ "/>
    <numFmt numFmtId="179" formatCode="0.0%"/>
    <numFmt numFmtId="180" formatCode="#,##0.00_ "/>
    <numFmt numFmtId="181" formatCode="#,##0.0_ "/>
    <numFmt numFmtId="182" formatCode="#,##0_);[Red]\(#,##0\)"/>
    <numFmt numFmtId="183" formatCode="#,##0.0000_ "/>
    <numFmt numFmtId="184" formatCode="0.00_ "/>
    <numFmt numFmtId="185" formatCode="0.0_ "/>
    <numFmt numFmtId="186" formatCode="0_ "/>
    <numFmt numFmtId="187" formatCode="0.000_ "/>
    <numFmt numFmtId="188" formatCode="#,##0.000_ "/>
    <numFmt numFmtId="189" formatCode="_ * #,##0_ ;_ * \-#,##0_ ;_ * &quot;-&quot;??_ ;_ @_ "/>
  </numFmts>
  <fonts count="36">
    <font>
      <sz val="12"/>
      <name val="宋体"/>
      <charset val="134"/>
    </font>
    <font>
      <sz val="12"/>
      <name val="Times New Roman"/>
      <charset val="0"/>
    </font>
    <font>
      <sz val="10"/>
      <name val="宋体"/>
      <charset val="134"/>
    </font>
    <font>
      <sz val="11"/>
      <name val="宋体"/>
      <charset val="134"/>
    </font>
    <font>
      <sz val="11"/>
      <name val="Times New Roman"/>
      <charset val="0"/>
    </font>
    <font>
      <sz val="10"/>
      <name val="Times New Roman"/>
      <charset val="0"/>
    </font>
    <font>
      <sz val="11"/>
      <name val="宋体"/>
      <charset val="134"/>
      <scheme val="minor"/>
    </font>
    <font>
      <sz val="10"/>
      <color indexed="8"/>
      <name val="Times New Roman"/>
      <charset val="0"/>
    </font>
    <font>
      <sz val="10"/>
      <name val="黑体"/>
      <charset val="134"/>
    </font>
    <font>
      <sz val="8"/>
      <name val="宋体"/>
      <charset val="134"/>
    </font>
    <font>
      <sz val="9"/>
      <name val="宋体"/>
      <charset val="134"/>
    </font>
    <font>
      <sz val="10"/>
      <name val="宋体"/>
      <charset val="0"/>
    </font>
    <font>
      <u/>
      <sz val="12"/>
      <color indexed="12"/>
      <name val="宋体"/>
      <charset val="134"/>
    </font>
    <font>
      <u/>
      <sz val="9"/>
      <color indexed="36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6"/>
      <name val="宋体"/>
      <charset val="134"/>
    </font>
    <font>
      <sz val="11"/>
      <color indexed="19"/>
      <name val="宋体"/>
      <charset val="134"/>
    </font>
    <font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vertAlign val="superscript"/>
      <sz val="10"/>
      <name val="宋体"/>
      <charset val="134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55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7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4" borderId="4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8" applyNumberFormat="0" applyFill="0" applyAlignment="0" applyProtection="0">
      <alignment vertical="center"/>
    </xf>
    <xf numFmtId="0" fontId="19" fillId="0" borderId="48" applyNumberFormat="0" applyFill="0" applyAlignment="0" applyProtection="0">
      <alignment vertical="center"/>
    </xf>
    <xf numFmtId="0" fontId="20" fillId="0" borderId="4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0" applyNumberFormat="0" applyAlignment="0" applyProtection="0">
      <alignment vertical="center"/>
    </xf>
    <xf numFmtId="0" fontId="22" fillId="6" borderId="51" applyNumberFormat="0" applyAlignment="0" applyProtection="0">
      <alignment vertical="center"/>
    </xf>
    <xf numFmtId="0" fontId="23" fillId="6" borderId="50" applyNumberFormat="0" applyAlignment="0" applyProtection="0">
      <alignment vertical="center"/>
    </xf>
    <xf numFmtId="0" fontId="24" fillId="7" borderId="52" applyNumberFormat="0" applyAlignment="0" applyProtection="0">
      <alignment vertical="center"/>
    </xf>
    <xf numFmtId="0" fontId="25" fillId="0" borderId="53" applyNumberFormat="0" applyFill="0" applyAlignment="0" applyProtection="0">
      <alignment vertical="center"/>
    </xf>
    <xf numFmtId="0" fontId="26" fillId="0" borderId="54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Border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1" fillId="0" borderId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4" fillId="0" borderId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14" fillId="0" borderId="0" applyProtection="0">
      <alignment vertical="center"/>
    </xf>
    <xf numFmtId="9" fontId="14" fillId="0" borderId="0" applyProtection="0">
      <alignment vertical="center"/>
    </xf>
    <xf numFmtId="43" fontId="31" fillId="0" borderId="0" applyFont="0" applyFill="0" applyBorder="0" applyAlignment="0" applyProtection="0">
      <alignment vertical="center"/>
    </xf>
  </cellStyleXfs>
  <cellXfs count="55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2" fillId="0" borderId="5" xfId="0" applyFont="1" applyFill="1" applyBorder="1">
      <alignment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1" fontId="5" fillId="0" borderId="6" xfId="1" applyNumberFormat="1" applyFont="1" applyFill="1" applyBorder="1" applyAlignment="1">
      <alignment vertical="center"/>
    </xf>
    <xf numFmtId="0" fontId="4" fillId="0" borderId="7" xfId="0" applyNumberFormat="1" applyFont="1" applyFill="1" applyBorder="1">
      <alignment vertical="center"/>
    </xf>
    <xf numFmtId="178" fontId="4" fillId="0" borderId="6" xfId="0" applyNumberFormat="1" applyFont="1" applyFill="1" applyBorder="1" applyAlignment="1">
      <alignment vertical="center"/>
    </xf>
    <xf numFmtId="178" fontId="5" fillId="0" borderId="11" xfId="0" applyNumberFormat="1" applyFont="1" applyFill="1" applyBorder="1" applyAlignment="1">
      <alignment horizontal="right" vertical="center"/>
    </xf>
    <xf numFmtId="179" fontId="4" fillId="0" borderId="12" xfId="0" applyNumberFormat="1" applyFont="1" applyFill="1" applyBorder="1" applyAlignment="1">
      <alignment horizontal="right" vertical="center"/>
    </xf>
    <xf numFmtId="0" fontId="3" fillId="0" borderId="13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vertical="center"/>
    </xf>
    <xf numFmtId="178" fontId="4" fillId="0" borderId="6" xfId="0" applyNumberFormat="1" applyFont="1" applyFill="1" applyBorder="1" applyAlignment="1">
      <alignment horizontal="right" vertical="center"/>
    </xf>
    <xf numFmtId="179" fontId="4" fillId="0" borderId="8" xfId="0" applyNumberFormat="1" applyFont="1" applyFill="1" applyBorder="1" applyAlignment="1">
      <alignment horizontal="right" vertical="center"/>
    </xf>
    <xf numFmtId="0" fontId="0" fillId="0" borderId="0" xfId="0" applyFill="1" applyBorder="1">
      <alignment vertical="center"/>
    </xf>
    <xf numFmtId="0" fontId="3" fillId="0" borderId="6" xfId="0" applyFont="1" applyFill="1" applyBorder="1" applyAlignment="1">
      <alignment vertical="center"/>
    </xf>
    <xf numFmtId="0" fontId="0" fillId="0" borderId="0" xfId="0" applyFont="1" applyFill="1" applyBorder="1">
      <alignment vertical="center"/>
    </xf>
    <xf numFmtId="0" fontId="4" fillId="0" borderId="6" xfId="0" applyFont="1" applyFill="1" applyBorder="1" applyAlignment="1">
      <alignment horizontal="center" vertical="center"/>
    </xf>
    <xf numFmtId="41" fontId="5" fillId="0" borderId="11" xfId="1" applyNumberFormat="1" applyFont="1" applyFill="1" applyBorder="1" applyAlignment="1">
      <alignment vertical="center"/>
    </xf>
    <xf numFmtId="41" fontId="5" fillId="0" borderId="7" xfId="1" applyNumberFormat="1" applyFont="1" applyFill="1" applyBorder="1" applyAlignment="1">
      <alignment vertical="center"/>
    </xf>
    <xf numFmtId="41" fontId="5" fillId="0" borderId="11" xfId="1" applyNumberFormat="1" applyFont="1" applyFill="1" applyBorder="1" applyAlignment="1">
      <alignment horizontal="right" vertical="center"/>
    </xf>
    <xf numFmtId="41" fontId="5" fillId="0" borderId="14" xfId="1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vertical="center"/>
    </xf>
    <xf numFmtId="179" fontId="4" fillId="0" borderId="6" xfId="0" applyNumberFormat="1" applyFont="1" applyFill="1" applyBorder="1" applyAlignment="1">
      <alignment horizontal="right" vertical="center"/>
    </xf>
    <xf numFmtId="179" fontId="4" fillId="0" borderId="6" xfId="0" applyNumberFormat="1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180" fontId="4" fillId="0" borderId="6" xfId="0" applyNumberFormat="1" applyFont="1" applyFill="1" applyBorder="1" applyAlignment="1">
      <alignment horizontal="right"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/>
    </xf>
    <xf numFmtId="49" fontId="4" fillId="0" borderId="16" xfId="0" applyNumberFormat="1" applyFont="1" applyFill="1" applyBorder="1" applyAlignment="1">
      <alignment horizontal="center" vertical="center"/>
    </xf>
    <xf numFmtId="41" fontId="5" fillId="0" borderId="16" xfId="1" applyNumberFormat="1" applyFont="1" applyFill="1" applyBorder="1" applyAlignment="1">
      <alignment vertical="center"/>
    </xf>
    <xf numFmtId="0" fontId="4" fillId="0" borderId="16" xfId="0" applyNumberFormat="1" applyFont="1" applyFill="1" applyBorder="1" applyAlignment="1">
      <alignment vertical="center"/>
    </xf>
    <xf numFmtId="180" fontId="4" fillId="0" borderId="17" xfId="0" applyNumberFormat="1" applyFont="1" applyFill="1" applyBorder="1" applyAlignment="1">
      <alignment vertical="center"/>
    </xf>
    <xf numFmtId="0" fontId="4" fillId="0" borderId="17" xfId="0" applyNumberFormat="1" applyFont="1" applyFill="1" applyBorder="1" applyAlignment="1">
      <alignment vertical="center"/>
    </xf>
    <xf numFmtId="180" fontId="4" fillId="0" borderId="16" xfId="0" applyNumberFormat="1" applyFont="1" applyFill="1" applyBorder="1" applyAlignment="1">
      <alignment horizontal="right" vertical="center"/>
    </xf>
    <xf numFmtId="179" fontId="4" fillId="0" borderId="17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179" fontId="4" fillId="0" borderId="0" xfId="0" applyNumberFormat="1" applyFont="1" applyFill="1" applyBorder="1" applyAlignment="1">
      <alignment vertical="center"/>
    </xf>
    <xf numFmtId="180" fontId="4" fillId="0" borderId="0" xfId="0" applyNumberFormat="1" applyFont="1" applyFill="1" applyBorder="1">
      <alignment vertical="center"/>
    </xf>
    <xf numFmtId="179" fontId="4" fillId="0" borderId="0" xfId="0" applyNumberFormat="1" applyFont="1" applyFill="1" applyBorder="1">
      <alignment vertical="center"/>
    </xf>
    <xf numFmtId="0" fontId="4" fillId="0" borderId="0" xfId="0" applyFont="1" applyFill="1">
      <alignment vertical="center"/>
    </xf>
    <xf numFmtId="0" fontId="4" fillId="0" borderId="0" xfId="52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52" applyFont="1" applyFill="1" applyAlignment="1">
      <alignment vertical="center"/>
    </xf>
    <xf numFmtId="0" fontId="5" fillId="0" borderId="0" xfId="52" applyFont="1" applyFill="1" applyAlignment="1">
      <alignment vertical="center"/>
    </xf>
    <xf numFmtId="0" fontId="5" fillId="0" borderId="0" xfId="52" applyFont="1" applyFill="1" applyAlignment="1"/>
    <xf numFmtId="0" fontId="5" fillId="0" borderId="0" xfId="52" applyFont="1" applyFill="1" applyAlignment="1">
      <alignment horizontal="center"/>
    </xf>
    <xf numFmtId="0" fontId="5" fillId="0" borderId="0" xfId="52" applyFont="1" applyFill="1"/>
    <xf numFmtId="0" fontId="2" fillId="0" borderId="0" xfId="0" applyFont="1" applyFill="1">
      <alignment vertical="center"/>
    </xf>
    <xf numFmtId="1" fontId="2" fillId="0" borderId="18" xfId="52" applyNumberFormat="1" applyFont="1" applyFill="1" applyBorder="1" applyAlignment="1">
      <alignment horizontal="center" vertical="center" wrapText="1"/>
    </xf>
    <xf numFmtId="1" fontId="2" fillId="0" borderId="3" xfId="52" applyNumberFormat="1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52" applyFont="1" applyFill="1" applyBorder="1" applyAlignment="1">
      <alignment vertical="center"/>
    </xf>
    <xf numFmtId="1" fontId="2" fillId="0" borderId="10" xfId="52" applyNumberFormat="1" applyFont="1" applyFill="1" applyBorder="1" applyAlignment="1">
      <alignment horizontal="center" vertical="center" wrapText="1"/>
    </xf>
    <xf numFmtId="0" fontId="2" fillId="0" borderId="7" xfId="52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1" fontId="2" fillId="0" borderId="0" xfId="52" applyNumberFormat="1" applyFont="1" applyFill="1" applyAlignment="1">
      <alignment horizontal="center" vertical="center"/>
    </xf>
    <xf numFmtId="43" fontId="2" fillId="0" borderId="11" xfId="1" applyNumberFormat="1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vertical="center"/>
    </xf>
    <xf numFmtId="0" fontId="5" fillId="0" borderId="0" xfId="52" applyFont="1" applyFill="1" applyBorder="1" applyAlignment="1">
      <alignment vertical="center"/>
    </xf>
    <xf numFmtId="43" fontId="2" fillId="0" borderId="11" xfId="1" applyNumberFormat="1" applyFont="1" applyFill="1" applyBorder="1" applyAlignment="1">
      <alignment vertical="center" shrinkToFit="1"/>
    </xf>
    <xf numFmtId="0" fontId="2" fillId="0" borderId="11" xfId="0" applyFont="1" applyFill="1" applyBorder="1" applyAlignment="1">
      <alignment horizontal="center" vertical="center" shrinkToFit="1"/>
    </xf>
    <xf numFmtId="1" fontId="2" fillId="0" borderId="9" xfId="52" applyNumberFormat="1" applyFont="1" applyFill="1" applyBorder="1" applyAlignment="1">
      <alignment horizontal="center" vertical="center"/>
    </xf>
    <xf numFmtId="43" fontId="2" fillId="0" borderId="7" xfId="1" applyNumberFormat="1" applyFont="1" applyFill="1" applyBorder="1" applyAlignment="1">
      <alignment vertical="center" shrinkToFit="1"/>
    </xf>
    <xf numFmtId="0" fontId="2" fillId="0" borderId="7" xfId="0" applyFont="1" applyFill="1" applyBorder="1" applyAlignment="1">
      <alignment horizontal="center" vertical="center" shrinkToFit="1"/>
    </xf>
    <xf numFmtId="0" fontId="5" fillId="0" borderId="12" xfId="0" applyNumberFormat="1" applyFont="1" applyFill="1" applyBorder="1" applyAlignment="1">
      <alignment vertical="center"/>
    </xf>
    <xf numFmtId="43" fontId="3" fillId="0" borderId="11" xfId="1" applyNumberFormat="1" applyFont="1" applyFill="1" applyBorder="1" applyAlignment="1">
      <alignment vertical="center" shrinkToFit="1"/>
    </xf>
    <xf numFmtId="0" fontId="5" fillId="0" borderId="14" xfId="0" applyNumberFormat="1" applyFont="1" applyFill="1" applyBorder="1" applyAlignment="1">
      <alignment horizontal="right" vertical="center"/>
    </xf>
    <xf numFmtId="0" fontId="5" fillId="0" borderId="12" xfId="0" applyNumberFormat="1" applyFont="1" applyFill="1" applyBorder="1" applyAlignment="1">
      <alignment horizontal="right" vertical="center"/>
    </xf>
    <xf numFmtId="1" fontId="2" fillId="0" borderId="0" xfId="52" applyNumberFormat="1" applyFont="1" applyFill="1" applyAlignment="1">
      <alignment horizontal="center" vertical="center" wrapText="1"/>
    </xf>
    <xf numFmtId="0" fontId="5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horizontal="right" vertical="center"/>
    </xf>
    <xf numFmtId="1" fontId="5" fillId="0" borderId="0" xfId="52" applyNumberFormat="1" applyFont="1" applyFill="1" applyAlignment="1">
      <alignment horizontal="center" vertical="center"/>
    </xf>
    <xf numFmtId="0" fontId="5" fillId="0" borderId="14" xfId="3" applyNumberFormat="1" applyFont="1" applyFill="1" applyBorder="1">
      <alignment vertical="center"/>
    </xf>
    <xf numFmtId="0" fontId="5" fillId="0" borderId="11" xfId="0" applyFont="1" applyFill="1" applyBorder="1" applyAlignment="1">
      <alignment horizontal="center" vertical="center" shrinkToFit="1"/>
    </xf>
    <xf numFmtId="0" fontId="5" fillId="0" borderId="14" xfId="1" applyNumberFormat="1" applyFont="1" applyFill="1" applyBorder="1">
      <alignment vertical="center"/>
    </xf>
    <xf numFmtId="1" fontId="5" fillId="0" borderId="20" xfId="52" applyNumberFormat="1" applyFont="1" applyFill="1" applyBorder="1" applyAlignment="1">
      <alignment horizontal="center" vertical="center"/>
    </xf>
    <xf numFmtId="43" fontId="2" fillId="0" borderId="21" xfId="1" applyNumberFormat="1" applyFont="1" applyFill="1" applyBorder="1" applyAlignment="1">
      <alignment vertical="center" shrinkToFit="1"/>
    </xf>
    <xf numFmtId="0" fontId="5" fillId="0" borderId="21" xfId="0" applyFont="1" applyFill="1" applyBorder="1" applyAlignment="1">
      <alignment horizontal="center" vertical="center" shrinkToFit="1"/>
    </xf>
    <xf numFmtId="0" fontId="5" fillId="0" borderId="22" xfId="1" applyNumberFormat="1" applyFont="1" applyFill="1" applyBorder="1">
      <alignment vertical="center"/>
    </xf>
    <xf numFmtId="0" fontId="1" fillId="0" borderId="0" xfId="52" applyFont="1" applyFill="1" applyAlignment="1"/>
    <xf numFmtId="0" fontId="1" fillId="0" borderId="0" xfId="52" applyFont="1" applyFill="1" applyAlignment="1">
      <alignment horizontal="center"/>
    </xf>
    <xf numFmtId="43" fontId="1" fillId="0" borderId="23" xfId="1" applyNumberFormat="1" applyFont="1" applyFill="1" applyBorder="1" applyAlignment="1"/>
    <xf numFmtId="43" fontId="5" fillId="0" borderId="0" xfId="1" applyNumberFormat="1" applyFont="1" applyFill="1">
      <alignment vertical="center"/>
    </xf>
    <xf numFmtId="0" fontId="6" fillId="0" borderId="0" xfId="0" applyFont="1" applyFill="1" applyBorder="1" applyAlignment="1"/>
    <xf numFmtId="0" fontId="2" fillId="0" borderId="1" xfId="64" applyFont="1" applyFill="1" applyBorder="1" applyAlignment="1">
      <alignment horizontal="center" vertical="center"/>
    </xf>
    <xf numFmtId="0" fontId="2" fillId="0" borderId="2" xfId="64" applyFont="1" applyFill="1" applyBorder="1" applyAlignment="1">
      <alignment horizontal="center" vertical="center"/>
    </xf>
    <xf numFmtId="0" fontId="2" fillId="0" borderId="3" xfId="64" applyFont="1" applyFill="1" applyBorder="1" applyAlignment="1">
      <alignment horizontal="center" vertical="center" wrapText="1"/>
    </xf>
    <xf numFmtId="0" fontId="2" fillId="0" borderId="2" xfId="64" applyFont="1" applyFill="1" applyBorder="1" applyAlignment="1">
      <alignment horizontal="center" vertical="center" wrapText="1"/>
    </xf>
    <xf numFmtId="0" fontId="2" fillId="0" borderId="5" xfId="64" applyFont="1" applyFill="1" applyBorder="1" applyAlignment="1">
      <alignment horizontal="center" vertical="center"/>
    </xf>
    <xf numFmtId="0" fontId="2" fillId="0" borderId="6" xfId="64" applyFont="1" applyFill="1" applyBorder="1" applyAlignment="1">
      <alignment horizontal="center" vertical="center"/>
    </xf>
    <xf numFmtId="0" fontId="2" fillId="0" borderId="7" xfId="64" applyFont="1" applyFill="1" applyBorder="1" applyAlignment="1">
      <alignment horizontal="center" vertical="center" wrapText="1"/>
    </xf>
    <xf numFmtId="49" fontId="7" fillId="0" borderId="24" xfId="0" applyNumberFormat="1" applyFont="1" applyFill="1" applyBorder="1" applyAlignment="1">
      <alignment horizontal="center" vertical="center"/>
    </xf>
    <xf numFmtId="49" fontId="7" fillId="0" borderId="24" xfId="0" applyNumberFormat="1" applyFont="1" applyFill="1" applyBorder="1" applyAlignment="1" applyProtection="1">
      <alignment horizontal="center" vertical="center"/>
    </xf>
    <xf numFmtId="10" fontId="7" fillId="0" borderId="24" xfId="0" applyNumberFormat="1" applyFont="1" applyFill="1" applyBorder="1" applyAlignment="1">
      <alignment horizontal="center" vertical="center"/>
    </xf>
    <xf numFmtId="0" fontId="7" fillId="0" borderId="24" xfId="0" applyNumberFormat="1" applyFont="1" applyFill="1" applyBorder="1" applyAlignment="1" applyProtection="1">
      <alignment horizontal="center" vertical="center"/>
    </xf>
    <xf numFmtId="0" fontId="7" fillId="0" borderId="24" xfId="0" applyNumberFormat="1" applyFont="1" applyFill="1" applyBorder="1" applyAlignment="1">
      <alignment horizontal="center" vertical="center"/>
    </xf>
    <xf numFmtId="178" fontId="7" fillId="0" borderId="24" xfId="0" applyNumberFormat="1" applyFont="1" applyFill="1" applyBorder="1" applyAlignment="1">
      <alignment horizontal="center" vertical="center"/>
    </xf>
    <xf numFmtId="0" fontId="2" fillId="0" borderId="25" xfId="64" applyFont="1" applyFill="1" applyBorder="1" applyAlignment="1">
      <alignment horizontal="center" vertical="center"/>
    </xf>
    <xf numFmtId="0" fontId="2" fillId="0" borderId="26" xfId="64" applyFont="1" applyFill="1" applyBorder="1" applyAlignment="1">
      <alignment horizontal="center" vertical="center"/>
    </xf>
    <xf numFmtId="0" fontId="2" fillId="0" borderId="27" xfId="64" applyFont="1" applyFill="1" applyBorder="1" applyAlignment="1">
      <alignment horizontal="center" vertical="center"/>
    </xf>
    <xf numFmtId="0" fontId="2" fillId="0" borderId="11" xfId="64" applyFont="1" applyFill="1" applyBorder="1" applyAlignment="1">
      <alignment horizontal="center" vertical="center"/>
    </xf>
    <xf numFmtId="0" fontId="2" fillId="0" borderId="10" xfId="64" applyFont="1" applyFill="1" applyBorder="1" applyAlignment="1">
      <alignment horizontal="center" vertical="center"/>
    </xf>
    <xf numFmtId="0" fontId="2" fillId="0" borderId="7" xfId="64" applyFont="1" applyFill="1" applyBorder="1" applyAlignment="1">
      <alignment horizontal="center" vertical="center"/>
    </xf>
    <xf numFmtId="0" fontId="2" fillId="0" borderId="6" xfId="64" applyFont="1" applyFill="1" applyBorder="1" applyAlignment="1">
      <alignment horizontal="center" vertical="center" wrapText="1"/>
    </xf>
    <xf numFmtId="10" fontId="7" fillId="0" borderId="24" xfId="0" applyNumberFormat="1" applyFont="1" applyFill="1" applyBorder="1" applyAlignment="1" applyProtection="1">
      <alignment horizontal="center" vertical="center"/>
    </xf>
    <xf numFmtId="0" fontId="2" fillId="0" borderId="15" xfId="64" applyFont="1" applyFill="1" applyBorder="1" applyAlignment="1">
      <alignment horizontal="center" vertical="center"/>
    </xf>
    <xf numFmtId="0" fontId="2" fillId="0" borderId="16" xfId="64" applyFont="1" applyFill="1" applyBorder="1" applyAlignment="1">
      <alignment horizontal="center" vertical="center"/>
    </xf>
    <xf numFmtId="10" fontId="7" fillId="0" borderId="28" xfId="0" applyNumberFormat="1" applyFont="1" applyFill="1" applyBorder="1" applyAlignment="1" applyProtection="1">
      <alignment horizontal="center" vertical="center"/>
    </xf>
    <xf numFmtId="10" fontId="7" fillId="0" borderId="29" xfId="0" applyNumberFormat="1" applyFont="1" applyFill="1" applyBorder="1" applyAlignment="1" applyProtection="1">
      <alignment horizontal="center" vertical="center"/>
    </xf>
    <xf numFmtId="10" fontId="7" fillId="0" borderId="29" xfId="0" applyNumberFormat="1" applyFont="1" applyFill="1" applyBorder="1" applyAlignment="1">
      <alignment horizontal="center" vertical="center"/>
    </xf>
    <xf numFmtId="10" fontId="7" fillId="0" borderId="3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/>
    </xf>
    <xf numFmtId="0" fontId="2" fillId="0" borderId="18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43" fontId="2" fillId="0" borderId="11" xfId="1" applyNumberFormat="1" applyFont="1" applyFill="1" applyBorder="1" applyAlignment="1">
      <alignment vertical="center"/>
    </xf>
    <xf numFmtId="1" fontId="2" fillId="0" borderId="27" xfId="52" applyNumberFormat="1" applyFont="1" applyFill="1" applyBorder="1" applyAlignment="1">
      <alignment horizontal="center" vertical="center"/>
    </xf>
    <xf numFmtId="180" fontId="5" fillId="0" borderId="27" xfId="0" applyNumberFormat="1" applyFont="1" applyFill="1" applyBorder="1" applyAlignment="1">
      <alignment vertical="center"/>
    </xf>
    <xf numFmtId="179" fontId="5" fillId="0" borderId="11" xfId="0" applyNumberFormat="1" applyFont="1" applyFill="1" applyBorder="1" applyAlignment="1">
      <alignment horizontal="right" vertical="center"/>
    </xf>
    <xf numFmtId="180" fontId="5" fillId="0" borderId="11" xfId="0" applyNumberFormat="1" applyFont="1" applyFill="1" applyBorder="1" applyAlignment="1">
      <alignment horizontal="right" vertical="center"/>
    </xf>
    <xf numFmtId="179" fontId="5" fillId="0" borderId="14" xfId="0" applyNumberFormat="1" applyFont="1" applyFill="1" applyBorder="1" applyAlignment="1">
      <alignment horizontal="right" vertical="center"/>
    </xf>
    <xf numFmtId="178" fontId="5" fillId="0" borderId="11" xfId="1" applyNumberFormat="1" applyFont="1" applyFill="1" applyBorder="1" applyAlignment="1">
      <alignment vertical="center"/>
    </xf>
    <xf numFmtId="1" fontId="5" fillId="0" borderId="9" xfId="52" applyNumberFormat="1" applyFont="1" applyFill="1" applyBorder="1" applyAlignment="1">
      <alignment horizontal="center" vertical="center"/>
    </xf>
    <xf numFmtId="43" fontId="2" fillId="0" borderId="7" xfId="1" applyNumberFormat="1" applyFont="1" applyFill="1" applyBorder="1" applyAlignment="1">
      <alignment vertical="center"/>
    </xf>
    <xf numFmtId="1" fontId="2" fillId="0" borderId="10" xfId="52" applyNumberFormat="1" applyFont="1" applyFill="1" applyBorder="1" applyAlignment="1">
      <alignment horizontal="center" vertical="center"/>
    </xf>
    <xf numFmtId="178" fontId="5" fillId="0" borderId="7" xfId="1" applyNumberFormat="1" applyFont="1" applyFill="1" applyBorder="1" applyAlignment="1">
      <alignment vertical="center"/>
    </xf>
    <xf numFmtId="179" fontId="5" fillId="0" borderId="7" xfId="0" applyNumberFormat="1" applyFont="1" applyFill="1" applyBorder="1" applyAlignment="1">
      <alignment horizontal="right" vertical="center"/>
    </xf>
    <xf numFmtId="180" fontId="5" fillId="0" borderId="31" xfId="0" applyNumberFormat="1" applyFont="1" applyFill="1" applyBorder="1" applyAlignment="1">
      <alignment horizontal="right" vertical="center"/>
    </xf>
    <xf numFmtId="179" fontId="5" fillId="0" borderId="32" xfId="0" applyNumberFormat="1" applyFont="1" applyFill="1" applyBorder="1" applyAlignment="1">
      <alignment horizontal="right" vertical="center"/>
    </xf>
    <xf numFmtId="178" fontId="5" fillId="0" borderId="7" xfId="0" applyNumberFormat="1" applyFont="1" applyFill="1" applyBorder="1" applyAlignment="1">
      <alignment horizontal="right" vertical="center"/>
    </xf>
    <xf numFmtId="179" fontId="5" fillId="0" borderId="12" xfId="0" applyNumberFormat="1" applyFont="1" applyFill="1" applyBorder="1" applyAlignment="1">
      <alignment horizontal="right" vertical="center"/>
    </xf>
    <xf numFmtId="1" fontId="2" fillId="0" borderId="0" xfId="52" applyNumberFormat="1" applyFont="1" applyFill="1" applyBorder="1" applyAlignment="1">
      <alignment horizontal="center" vertical="center"/>
    </xf>
    <xf numFmtId="41" fontId="5" fillId="0" borderId="26" xfId="1" applyNumberFormat="1" applyFont="1" applyFill="1" applyBorder="1" applyAlignment="1">
      <alignment vertical="center"/>
    </xf>
    <xf numFmtId="181" fontId="5" fillId="0" borderId="11" xfId="0" applyNumberFormat="1" applyFont="1" applyFill="1" applyBorder="1" applyAlignment="1">
      <alignment horizontal="right" vertical="center"/>
    </xf>
    <xf numFmtId="43" fontId="2" fillId="0" borderId="11" xfId="1" applyNumberFormat="1" applyFont="1" applyFill="1" applyBorder="1" applyAlignment="1">
      <alignment horizontal="left" vertical="center"/>
    </xf>
    <xf numFmtId="179" fontId="5" fillId="0" borderId="11" xfId="1" applyNumberFormat="1" applyFont="1" applyFill="1" applyBorder="1" applyAlignment="1">
      <alignment vertical="center"/>
    </xf>
    <xf numFmtId="10" fontId="5" fillId="0" borderId="11" xfId="1" applyNumberFormat="1" applyFont="1" applyFill="1" applyBorder="1" applyAlignment="1">
      <alignment horizontal="right" vertical="center"/>
    </xf>
    <xf numFmtId="43" fontId="5" fillId="0" borderId="11" xfId="1" applyNumberFormat="1" applyFont="1" applyFill="1" applyBorder="1" applyAlignment="1">
      <alignment vertical="center"/>
    </xf>
    <xf numFmtId="43" fontId="2" fillId="0" borderId="21" xfId="1" applyNumberFormat="1" applyFont="1" applyFill="1" applyBorder="1" applyAlignment="1">
      <alignment vertical="center"/>
    </xf>
    <xf numFmtId="1" fontId="2" fillId="0" borderId="22" xfId="52" applyNumberFormat="1" applyFont="1" applyFill="1" applyBorder="1" applyAlignment="1">
      <alignment horizontal="center" vertical="center"/>
    </xf>
    <xf numFmtId="43" fontId="5" fillId="0" borderId="21" xfId="1" applyNumberFormat="1" applyFont="1" applyFill="1" applyBorder="1" applyAlignment="1">
      <alignment vertical="center"/>
    </xf>
    <xf numFmtId="179" fontId="5" fillId="0" borderId="21" xfId="0" applyNumberFormat="1" applyFont="1" applyFill="1" applyBorder="1" applyAlignment="1">
      <alignment horizontal="right" vertical="center"/>
    </xf>
    <xf numFmtId="180" fontId="5" fillId="0" borderId="21" xfId="0" applyNumberFormat="1" applyFont="1" applyFill="1" applyBorder="1" applyAlignment="1">
      <alignment horizontal="right" vertical="center"/>
    </xf>
    <xf numFmtId="179" fontId="5" fillId="0" borderId="22" xfId="0" applyNumberFormat="1" applyFont="1" applyFill="1" applyBorder="1" applyAlignment="1">
      <alignment horizontal="right" vertical="center"/>
    </xf>
    <xf numFmtId="181" fontId="5" fillId="0" borderId="21" xfId="0" applyNumberFormat="1" applyFont="1" applyFill="1" applyBorder="1" applyAlignment="1">
      <alignment horizontal="right" vertical="center"/>
    </xf>
    <xf numFmtId="43" fontId="1" fillId="0" borderId="0" xfId="1" applyNumberFormat="1" applyFont="1" applyFill="1" applyAlignment="1"/>
    <xf numFmtId="43" fontId="0" fillId="0" borderId="0" xfId="1" applyNumberFormat="1" applyFont="1" applyFill="1" applyAlignment="1"/>
    <xf numFmtId="0" fontId="0" fillId="0" borderId="0" xfId="0" applyFont="1" applyFill="1" applyAlignment="1"/>
    <xf numFmtId="178" fontId="5" fillId="0" borderId="27" xfId="0" applyNumberFormat="1" applyFont="1" applyFill="1" applyBorder="1" applyAlignment="1">
      <alignment vertical="center"/>
    </xf>
    <xf numFmtId="178" fontId="5" fillId="0" borderId="11" xfId="1" applyNumberFormat="1" applyFont="1" applyFill="1" applyBorder="1" applyAlignment="1">
      <alignment horizontal="right" vertical="center"/>
    </xf>
    <xf numFmtId="178" fontId="5" fillId="0" borderId="10" xfId="0" applyNumberFormat="1" applyFont="1" applyFill="1" applyBorder="1" applyAlignment="1">
      <alignment vertical="center"/>
    </xf>
    <xf numFmtId="178" fontId="5" fillId="0" borderId="11" xfId="0" applyNumberFormat="1" applyFont="1" applyFill="1" applyBorder="1" applyAlignment="1">
      <alignment vertical="center"/>
    </xf>
    <xf numFmtId="41" fontId="5" fillId="0" borderId="7" xfId="1" applyNumberFormat="1" applyFont="1" applyFill="1" applyBorder="1" applyAlignment="1">
      <alignment horizontal="right" vertical="center"/>
    </xf>
    <xf numFmtId="181" fontId="5" fillId="0" borderId="11" xfId="3" applyNumberFormat="1" applyFont="1" applyFill="1" applyBorder="1" applyAlignment="1">
      <alignment vertical="center" shrinkToFit="1"/>
    </xf>
    <xf numFmtId="179" fontId="5" fillId="0" borderId="27" xfId="0" applyNumberFormat="1" applyFont="1" applyFill="1" applyBorder="1" applyAlignment="1">
      <alignment vertical="center"/>
    </xf>
    <xf numFmtId="180" fontId="5" fillId="0" borderId="27" xfId="0" applyNumberFormat="1" applyFont="1" applyFill="1" applyBorder="1" applyAlignment="1">
      <alignment horizontal="right" vertical="center"/>
    </xf>
    <xf numFmtId="181" fontId="5" fillId="0" borderId="11" xfId="0" applyNumberFormat="1" applyFont="1" applyFill="1" applyBorder="1" applyAlignment="1">
      <alignment vertical="center"/>
    </xf>
    <xf numFmtId="1" fontId="2" fillId="0" borderId="21" xfId="52" applyNumberFormat="1" applyFont="1" applyFill="1" applyBorder="1" applyAlignment="1">
      <alignment horizontal="center" vertical="center"/>
    </xf>
    <xf numFmtId="181" fontId="5" fillId="0" borderId="33" xfId="0" applyNumberFormat="1" applyFont="1" applyFill="1" applyBorder="1" applyAlignment="1">
      <alignment vertical="center"/>
    </xf>
    <xf numFmtId="0" fontId="2" fillId="0" borderId="0" xfId="52" applyFont="1" applyFill="1" applyAlignment="1">
      <alignment horizontal="left"/>
    </xf>
    <xf numFmtId="0" fontId="5" fillId="2" borderId="0" xfId="52" applyFont="1" applyFill="1" applyAlignment="1">
      <alignment vertical="center"/>
    </xf>
    <xf numFmtId="0" fontId="1" fillId="2" borderId="0" xfId="52" applyFont="1" applyFill="1" applyAlignment="1"/>
    <xf numFmtId="0" fontId="5" fillId="2" borderId="0" xfId="52" applyFont="1" applyFill="1" applyAlignment="1">
      <alignment horizontal="center"/>
    </xf>
    <xf numFmtId="0" fontId="5" fillId="2" borderId="0" xfId="52" applyFont="1" applyFill="1"/>
    <xf numFmtId="0" fontId="0" fillId="2" borderId="0" xfId="0" applyFill="1">
      <alignment vertical="center"/>
    </xf>
    <xf numFmtId="0" fontId="5" fillId="2" borderId="0" xfId="52" applyFont="1" applyFill="1" applyBorder="1" applyAlignment="1">
      <alignment vertical="center"/>
    </xf>
    <xf numFmtId="1" fontId="5" fillId="0" borderId="34" xfId="52" applyNumberFormat="1" applyFont="1" applyFill="1" applyBorder="1" applyAlignment="1">
      <alignment horizontal="center" vertical="center"/>
    </xf>
    <xf numFmtId="43" fontId="2" fillId="0" borderId="31" xfId="1" applyNumberFormat="1" applyFont="1" applyFill="1" applyBorder="1" applyAlignment="1">
      <alignment vertical="center"/>
    </xf>
    <xf numFmtId="1" fontId="2" fillId="0" borderId="35" xfId="52" applyNumberFormat="1" applyFont="1" applyFill="1" applyBorder="1" applyAlignment="1">
      <alignment horizontal="center" vertical="center"/>
    </xf>
    <xf numFmtId="178" fontId="5" fillId="0" borderId="35" xfId="0" applyNumberFormat="1" applyFont="1" applyFill="1" applyBorder="1" applyAlignment="1">
      <alignment vertical="center"/>
    </xf>
    <xf numFmtId="178" fontId="5" fillId="0" borderId="31" xfId="0" applyNumberFormat="1" applyFont="1" applyFill="1" applyBorder="1" applyAlignment="1">
      <alignment horizontal="right" vertical="center"/>
    </xf>
    <xf numFmtId="1" fontId="2" fillId="0" borderId="36" xfId="52" applyNumberFormat="1" applyFont="1" applyFill="1" applyBorder="1" applyAlignment="1">
      <alignment horizontal="center" vertical="center"/>
    </xf>
    <xf numFmtId="1" fontId="5" fillId="0" borderId="36" xfId="52" applyNumberFormat="1" applyFont="1" applyFill="1" applyBorder="1" applyAlignment="1">
      <alignment horizontal="center" vertical="center"/>
    </xf>
    <xf numFmtId="182" fontId="5" fillId="0" borderId="11" xfId="0" applyNumberFormat="1" applyFont="1" applyFill="1" applyBorder="1" applyAlignment="1">
      <alignment vertical="center"/>
    </xf>
    <xf numFmtId="1" fontId="5" fillId="0" borderId="37" xfId="52" applyNumberFormat="1" applyFont="1" applyFill="1" applyBorder="1" applyAlignment="1">
      <alignment horizontal="center" vertical="center"/>
    </xf>
    <xf numFmtId="1" fontId="2" fillId="0" borderId="27" xfId="52" applyNumberFormat="1" applyFont="1" applyFill="1" applyBorder="1" applyAlignment="1">
      <alignment horizontal="center" vertical="center" wrapText="1"/>
    </xf>
    <xf numFmtId="43" fontId="2" fillId="0" borderId="27" xfId="1" applyNumberFormat="1" applyFont="1" applyFill="1" applyBorder="1" applyAlignment="1">
      <alignment vertical="center"/>
    </xf>
    <xf numFmtId="181" fontId="5" fillId="0" borderId="11" xfId="1" applyNumberFormat="1" applyFont="1" applyFill="1" applyBorder="1" applyAlignment="1">
      <alignment vertical="center"/>
    </xf>
    <xf numFmtId="1" fontId="5" fillId="0" borderId="27" xfId="52" applyNumberFormat="1" applyFont="1" applyFill="1" applyBorder="1" applyAlignment="1">
      <alignment horizontal="center" vertical="center"/>
    </xf>
    <xf numFmtId="178" fontId="5" fillId="0" borderId="27" xfId="1" applyNumberFormat="1" applyFont="1" applyFill="1" applyBorder="1" applyAlignment="1">
      <alignment vertical="center"/>
    </xf>
    <xf numFmtId="43" fontId="2" fillId="0" borderId="27" xfId="1" applyNumberFormat="1" applyFont="1" applyFill="1" applyBorder="1" applyAlignment="1">
      <alignment horizontal="left" vertical="center"/>
    </xf>
    <xf numFmtId="179" fontId="5" fillId="0" borderId="11" xfId="3" applyNumberFormat="1" applyFont="1" applyFill="1" applyBorder="1" applyAlignment="1">
      <alignment vertical="center" shrinkToFit="1"/>
    </xf>
    <xf numFmtId="179" fontId="5" fillId="0" borderId="11" xfId="3" applyNumberFormat="1" applyFont="1" applyFill="1" applyBorder="1">
      <alignment vertical="center"/>
    </xf>
    <xf numFmtId="183" fontId="5" fillId="0" borderId="11" xfId="3" applyNumberFormat="1" applyFont="1" applyFill="1" applyBorder="1" applyAlignment="1">
      <alignment vertical="center"/>
    </xf>
    <xf numFmtId="183" fontId="5" fillId="0" borderId="11" xfId="0" applyNumberFormat="1" applyFont="1" applyFill="1" applyBorder="1" applyAlignment="1">
      <alignment horizontal="right" vertical="center"/>
    </xf>
    <xf numFmtId="43" fontId="2" fillId="0" borderId="27" xfId="1" applyNumberFormat="1" applyFont="1" applyFill="1" applyBorder="1" applyAlignment="1">
      <alignment horizontal="center" vertical="center"/>
    </xf>
    <xf numFmtId="183" fontId="5" fillId="0" borderId="27" xfId="3" applyNumberFormat="1" applyFont="1" applyFill="1" applyBorder="1" applyAlignment="1">
      <alignment vertical="center"/>
    </xf>
    <xf numFmtId="184" fontId="5" fillId="0" borderId="11" xfId="1" applyNumberFormat="1" applyFont="1" applyFill="1" applyBorder="1">
      <alignment vertical="center"/>
    </xf>
    <xf numFmtId="185" fontId="5" fillId="0" borderId="11" xfId="0" applyNumberFormat="1" applyFont="1" applyFill="1" applyBorder="1" applyAlignment="1">
      <alignment horizontal="right" vertical="center"/>
    </xf>
    <xf numFmtId="1" fontId="5" fillId="0" borderId="33" xfId="52" applyNumberFormat="1" applyFont="1" applyFill="1" applyBorder="1" applyAlignment="1">
      <alignment horizontal="center" vertical="center"/>
    </xf>
    <xf numFmtId="43" fontId="2" fillId="0" borderId="33" xfId="1" applyNumberFormat="1" applyFont="1" applyFill="1" applyBorder="1" applyAlignment="1">
      <alignment vertical="center"/>
    </xf>
    <xf numFmtId="181" fontId="5" fillId="0" borderId="21" xfId="1" applyNumberFormat="1" applyFont="1" applyFill="1" applyBorder="1">
      <alignment vertical="center"/>
    </xf>
    <xf numFmtId="181" fontId="5" fillId="0" borderId="21" xfId="1" applyNumberFormat="1" applyFont="1" applyFill="1" applyBorder="1" applyAlignment="1">
      <alignment horizontal="right" vertical="center"/>
    </xf>
    <xf numFmtId="0" fontId="1" fillId="2" borderId="0" xfId="52" applyFont="1" applyFill="1" applyAlignment="1">
      <alignment horizontal="center"/>
    </xf>
    <xf numFmtId="43" fontId="1" fillId="2" borderId="0" xfId="1" applyNumberFormat="1" applyFont="1" applyFill="1" applyAlignment="1"/>
    <xf numFmtId="43" fontId="0" fillId="2" borderId="0" xfId="1" applyNumberFormat="1" applyFont="1" applyFill="1" applyAlignment="1"/>
    <xf numFmtId="0" fontId="0" fillId="2" borderId="0" xfId="0" applyFont="1" applyFill="1" applyAlignment="1"/>
    <xf numFmtId="0" fontId="2" fillId="2" borderId="0" xfId="52" applyFont="1" applyFill="1" applyAlignment="1">
      <alignment horizontal="left" vertical="top" wrapText="1"/>
    </xf>
    <xf numFmtId="186" fontId="5" fillId="0" borderId="27" xfId="0" applyNumberFormat="1" applyFont="1" applyFill="1" applyBorder="1" applyAlignment="1">
      <alignment vertical="center"/>
    </xf>
    <xf numFmtId="41" fontId="5" fillId="2" borderId="0" xfId="52" applyNumberFormat="1" applyFont="1" applyFill="1" applyAlignment="1">
      <alignment vertical="center"/>
    </xf>
    <xf numFmtId="178" fontId="5" fillId="0" borderId="7" xfId="0" applyNumberFormat="1" applyFont="1" applyFill="1" applyBorder="1" applyAlignment="1">
      <alignment vertical="center"/>
    </xf>
    <xf numFmtId="185" fontId="5" fillId="0" borderId="11" xfId="1" applyNumberFormat="1" applyFont="1" applyFill="1" applyBorder="1" applyAlignment="1">
      <alignment vertical="center"/>
    </xf>
    <xf numFmtId="179" fontId="5" fillId="3" borderId="11" xfId="3" applyNumberFormat="1" applyFont="1" applyFill="1" applyBorder="1">
      <alignment vertical="center"/>
    </xf>
    <xf numFmtId="183" fontId="4" fillId="0" borderId="11" xfId="3" applyNumberFormat="1" applyFont="1" applyFill="1" applyBorder="1" applyAlignment="1">
      <alignment vertical="center"/>
    </xf>
    <xf numFmtId="183" fontId="4" fillId="0" borderId="27" xfId="3" applyNumberFormat="1" applyFont="1" applyFill="1" applyBorder="1" applyAlignment="1">
      <alignment vertical="center"/>
    </xf>
    <xf numFmtId="180" fontId="5" fillId="0" borderId="11" xfId="1" applyNumberFormat="1" applyFont="1" applyFill="1" applyBorder="1">
      <alignment vertical="center"/>
    </xf>
    <xf numFmtId="0" fontId="2" fillId="2" borderId="0" xfId="52" applyFont="1" applyFill="1" applyAlignment="1">
      <alignment horizontal="left"/>
    </xf>
    <xf numFmtId="43" fontId="5" fillId="2" borderId="0" xfId="1" applyNumberFormat="1" applyFont="1" applyFill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179" fontId="5" fillId="0" borderId="0" xfId="0" applyNumberFormat="1" applyFont="1" applyFill="1" applyAlignment="1">
      <alignment horizontal="right" vertical="center"/>
    </xf>
    <xf numFmtId="2" fontId="5" fillId="0" borderId="0" xfId="52" applyNumberFormat="1" applyFont="1" applyFill="1" applyBorder="1" applyAlignment="1">
      <alignment vertical="center"/>
    </xf>
    <xf numFmtId="179" fontId="5" fillId="0" borderId="0" xfId="0" applyNumberFormat="1" applyFont="1" applyFill="1" applyBorder="1" applyAlignment="1">
      <alignment horizontal="right" vertical="center"/>
    </xf>
    <xf numFmtId="1" fontId="5" fillId="0" borderId="10" xfId="52" applyNumberFormat="1" applyFont="1" applyFill="1" applyBorder="1" applyAlignment="1">
      <alignment horizontal="center" vertical="center"/>
    </xf>
    <xf numFmtId="43" fontId="2" fillId="0" borderId="7" xfId="1" applyNumberFormat="1" applyFont="1" applyFill="1" applyBorder="1" applyAlignment="1">
      <alignment horizontal="center" vertical="center"/>
    </xf>
    <xf numFmtId="179" fontId="5" fillId="0" borderId="9" xfId="0" applyNumberFormat="1" applyFont="1" applyFill="1" applyBorder="1" applyAlignment="1">
      <alignment horizontal="right" vertical="center"/>
    </xf>
    <xf numFmtId="43" fontId="2" fillId="0" borderId="27" xfId="1" applyNumberFormat="1" applyFont="1" applyFill="1" applyBorder="1" applyAlignment="1">
      <alignment horizontal="right" vertical="center"/>
    </xf>
    <xf numFmtId="187" fontId="5" fillId="0" borderId="11" xfId="0" applyNumberFormat="1" applyFont="1" applyFill="1" applyBorder="1" applyAlignment="1">
      <alignment vertical="center"/>
    </xf>
    <xf numFmtId="188" fontId="5" fillId="0" borderId="11" xfId="0" applyNumberFormat="1" applyFont="1" applyFill="1" applyBorder="1" applyAlignment="1">
      <alignment horizontal="right" vertical="center"/>
    </xf>
    <xf numFmtId="41" fontId="5" fillId="0" borderId="27" xfId="1" applyNumberFormat="1" applyFont="1" applyFill="1" applyBorder="1" applyAlignment="1">
      <alignment horizontal="right" vertical="center"/>
    </xf>
    <xf numFmtId="0" fontId="2" fillId="0" borderId="0" xfId="52" applyFont="1" applyFill="1" applyAlignment="1">
      <alignment vertical="center"/>
    </xf>
    <xf numFmtId="43" fontId="2" fillId="0" borderId="11" xfId="1" applyNumberFormat="1" applyFont="1" applyFill="1" applyBorder="1" applyAlignment="1">
      <alignment horizontal="center" vertical="center"/>
    </xf>
    <xf numFmtId="43" fontId="2" fillId="0" borderId="38" xfId="1" applyNumberFormat="1" applyFont="1" applyFill="1" applyBorder="1" applyAlignment="1">
      <alignment vertical="center"/>
    </xf>
    <xf numFmtId="1" fontId="2" fillId="0" borderId="38" xfId="52" applyNumberFormat="1" applyFont="1" applyFill="1" applyBorder="1" applyAlignment="1">
      <alignment horizontal="center" vertical="center"/>
    </xf>
    <xf numFmtId="178" fontId="5" fillId="0" borderId="38" xfId="0" applyNumberFormat="1" applyFont="1" applyFill="1" applyBorder="1" applyAlignment="1">
      <alignment vertical="center"/>
    </xf>
    <xf numFmtId="178" fontId="5" fillId="0" borderId="39" xfId="0" applyNumberFormat="1" applyFont="1" applyFill="1" applyBorder="1" applyAlignment="1">
      <alignment horizontal="right" vertical="center"/>
    </xf>
    <xf numFmtId="179" fontId="5" fillId="0" borderId="40" xfId="0" applyNumberFormat="1" applyFont="1" applyFill="1" applyBorder="1" applyAlignment="1">
      <alignment horizontal="right" vertical="center"/>
    </xf>
    <xf numFmtId="1" fontId="2" fillId="0" borderId="25" xfId="52" applyNumberFormat="1" applyFont="1" applyFill="1" applyBorder="1" applyAlignment="1">
      <alignment horizontal="center" vertical="center" wrapText="1"/>
    </xf>
    <xf numFmtId="185" fontId="5" fillId="0" borderId="27" xfId="0" applyNumberFormat="1" applyFont="1" applyFill="1" applyBorder="1" applyAlignment="1">
      <alignment vertical="center"/>
    </xf>
    <xf numFmtId="185" fontId="5" fillId="0" borderId="14" xfId="0" applyNumberFormat="1" applyFont="1" applyFill="1" applyBorder="1" applyAlignment="1">
      <alignment horizontal="right" vertical="center"/>
    </xf>
    <xf numFmtId="189" fontId="5" fillId="0" borderId="27" xfId="1" applyNumberFormat="1" applyFont="1" applyFill="1" applyBorder="1" applyAlignment="1">
      <alignment vertical="center"/>
    </xf>
    <xf numFmtId="178" fontId="5" fillId="0" borderId="14" xfId="0" applyNumberFormat="1" applyFont="1" applyFill="1" applyBorder="1" applyAlignment="1">
      <alignment horizontal="right" vertical="center"/>
    </xf>
    <xf numFmtId="182" fontId="5" fillId="0" borderId="0" xfId="52" applyNumberFormat="1" applyFont="1" applyFill="1" applyBorder="1" applyAlignment="1">
      <alignment vertical="center"/>
    </xf>
    <xf numFmtId="182" fontId="5" fillId="0" borderId="0" xfId="52" applyNumberFormat="1" applyFont="1" applyFill="1" applyAlignment="1">
      <alignment vertical="center"/>
    </xf>
    <xf numFmtId="185" fontId="5" fillId="0" borderId="27" xfId="1" applyNumberFormat="1" applyFont="1" applyFill="1" applyBorder="1" applyAlignment="1">
      <alignment vertical="center"/>
    </xf>
    <xf numFmtId="185" fontId="5" fillId="0" borderId="14" xfId="1" applyNumberFormat="1" applyFont="1" applyFill="1" applyBorder="1" applyAlignment="1">
      <alignment horizontal="right" vertical="center"/>
    </xf>
    <xf numFmtId="181" fontId="5" fillId="0" borderId="11" xfId="0" applyNumberFormat="1" applyFont="1" applyFill="1" applyBorder="1">
      <alignment vertical="center"/>
    </xf>
    <xf numFmtId="180" fontId="5" fillId="0" borderId="11" xfId="0" applyNumberFormat="1" applyFont="1" applyFill="1" applyBorder="1">
      <alignment vertical="center"/>
    </xf>
    <xf numFmtId="178" fontId="5" fillId="0" borderId="14" xfId="1" applyNumberFormat="1" applyFont="1" applyFill="1" applyBorder="1" applyAlignment="1">
      <alignment horizontal="right" vertical="center"/>
    </xf>
    <xf numFmtId="179" fontId="5" fillId="0" borderId="14" xfId="1" applyNumberFormat="1" applyFont="1" applyFill="1" applyBorder="1" applyAlignment="1">
      <alignment horizontal="right" vertical="center"/>
    </xf>
    <xf numFmtId="10" fontId="5" fillId="0" borderId="0" xfId="52" applyNumberFormat="1" applyFont="1" applyFill="1" applyBorder="1" applyAlignment="1">
      <alignment vertical="center"/>
    </xf>
    <xf numFmtId="10" fontId="5" fillId="0" borderId="0" xfId="52" applyNumberFormat="1" applyFont="1" applyFill="1" applyAlignment="1">
      <alignment vertical="center"/>
    </xf>
    <xf numFmtId="9" fontId="5" fillId="0" borderId="14" xfId="1" applyNumberFormat="1" applyFont="1" applyFill="1" applyBorder="1" applyAlignment="1">
      <alignment horizontal="right" vertical="center"/>
    </xf>
    <xf numFmtId="179" fontId="5" fillId="0" borderId="27" xfId="1" applyNumberFormat="1" applyFont="1" applyFill="1" applyBorder="1" applyAlignment="1">
      <alignment vertical="center"/>
    </xf>
    <xf numFmtId="0" fontId="2" fillId="0" borderId="27" xfId="58" applyFont="1" applyFill="1" applyBorder="1" applyAlignment="1">
      <alignment horizontal="center" vertical="center"/>
    </xf>
    <xf numFmtId="183" fontId="5" fillId="0" borderId="27" xfId="1" applyNumberFormat="1" applyFont="1" applyFill="1" applyBorder="1" applyAlignment="1">
      <alignment vertical="center"/>
    </xf>
    <xf numFmtId="183" fontId="5" fillId="0" borderId="14" xfId="0" applyNumberFormat="1" applyFont="1" applyFill="1" applyBorder="1" applyAlignment="1">
      <alignment horizontal="right" vertical="center"/>
    </xf>
    <xf numFmtId="43" fontId="2" fillId="0" borderId="10" xfId="1" applyNumberFormat="1" applyFont="1" applyFill="1" applyBorder="1" applyAlignment="1">
      <alignment vertical="center"/>
    </xf>
    <xf numFmtId="43" fontId="2" fillId="0" borderId="10" xfId="1" applyNumberFormat="1" applyFont="1" applyFill="1" applyBorder="1" applyAlignment="1">
      <alignment horizontal="center" vertical="center"/>
    </xf>
    <xf numFmtId="183" fontId="5" fillId="0" borderId="7" xfId="1" applyNumberFormat="1" applyFont="1" applyFill="1" applyBorder="1" applyAlignment="1">
      <alignment vertical="center"/>
    </xf>
    <xf numFmtId="183" fontId="5" fillId="0" borderId="12" xfId="0" applyNumberFormat="1" applyFont="1" applyFill="1" applyBorder="1" applyAlignment="1">
      <alignment horizontal="right" vertical="center"/>
    </xf>
    <xf numFmtId="179" fontId="5" fillId="3" borderId="11" xfId="1" applyNumberFormat="1" applyFont="1" applyFill="1" applyBorder="1" applyAlignment="1">
      <alignment vertical="center"/>
    </xf>
    <xf numFmtId="179" fontId="5" fillId="0" borderId="11" xfId="1" applyNumberFormat="1" applyFont="1" applyFill="1" applyBorder="1" applyAlignment="1">
      <alignment horizontal="right" vertical="center"/>
    </xf>
    <xf numFmtId="179" fontId="5" fillId="0" borderId="21" xfId="1" applyNumberFormat="1" applyFont="1" applyFill="1" applyBorder="1" applyAlignment="1">
      <alignment vertical="center"/>
    </xf>
    <xf numFmtId="179" fontId="5" fillId="3" borderId="21" xfId="1" applyNumberFormat="1" applyFont="1" applyFill="1" applyBorder="1" applyAlignment="1">
      <alignment vertical="center"/>
    </xf>
    <xf numFmtId="41" fontId="5" fillId="0" borderId="21" xfId="1" applyNumberFormat="1" applyFont="1" applyFill="1" applyBorder="1" applyAlignment="1">
      <alignment horizontal="right" vertical="center"/>
    </xf>
    <xf numFmtId="179" fontId="5" fillId="0" borderId="21" xfId="1" applyNumberFormat="1" applyFont="1" applyFill="1" applyBorder="1" applyAlignment="1">
      <alignment horizontal="right" vertical="center"/>
    </xf>
    <xf numFmtId="41" fontId="5" fillId="0" borderId="22" xfId="1" applyNumberFormat="1" applyFont="1" applyFill="1" applyBorder="1" applyAlignment="1">
      <alignment horizontal="right" vertical="center"/>
    </xf>
    <xf numFmtId="0" fontId="1" fillId="0" borderId="0" xfId="52" applyFont="1" applyFill="1" applyBorder="1" applyAlignment="1"/>
    <xf numFmtId="178" fontId="2" fillId="0" borderId="0" xfId="0" applyNumberFormat="1" applyFont="1" applyFill="1">
      <alignment vertical="center"/>
    </xf>
    <xf numFmtId="184" fontId="5" fillId="0" borderId="27" xfId="0" applyNumberFormat="1" applyFont="1" applyFill="1" applyBorder="1" applyAlignment="1">
      <alignment vertical="center"/>
    </xf>
    <xf numFmtId="0" fontId="2" fillId="0" borderId="11" xfId="52" applyFont="1" applyFill="1" applyBorder="1" applyAlignment="1">
      <alignment horizontal="center"/>
    </xf>
    <xf numFmtId="41" fontId="5" fillId="0" borderId="0" xfId="1" applyNumberFormat="1" applyFont="1" applyFill="1" applyBorder="1" applyAlignment="1">
      <alignment horizontal="right" vertical="center"/>
    </xf>
    <xf numFmtId="185" fontId="5" fillId="0" borderId="11" xfId="1" applyNumberFormat="1" applyFont="1" applyFill="1" applyBorder="1" applyAlignment="1">
      <alignment horizontal="right" vertical="center"/>
    </xf>
    <xf numFmtId="0" fontId="2" fillId="0" borderId="0" xfId="52" applyFont="1" applyFill="1" applyBorder="1" applyAlignment="1">
      <alignment horizontal="center"/>
    </xf>
    <xf numFmtId="178" fontId="5" fillId="0" borderId="27" xfId="0" applyNumberFormat="1" applyFont="1" applyFill="1" applyBorder="1" applyAlignment="1">
      <alignment horizontal="right" vertical="center"/>
    </xf>
    <xf numFmtId="41" fontId="5" fillId="0" borderId="27" xfId="1" applyNumberFormat="1" applyFont="1" applyFill="1" applyBorder="1" applyAlignment="1">
      <alignment vertical="center"/>
    </xf>
    <xf numFmtId="179" fontId="5" fillId="0" borderId="27" xfId="1" applyNumberFormat="1" applyFont="1" applyFill="1" applyBorder="1" applyAlignment="1">
      <alignment horizontal="right" vertical="center"/>
    </xf>
    <xf numFmtId="9" fontId="5" fillId="0" borderId="11" xfId="1" applyNumberFormat="1" applyFont="1" applyFill="1" applyBorder="1" applyAlignment="1">
      <alignment vertical="center"/>
    </xf>
    <xf numFmtId="9" fontId="5" fillId="0" borderId="27" xfId="1" applyNumberFormat="1" applyFont="1" applyFill="1" applyBorder="1" applyAlignment="1">
      <alignment vertical="center"/>
    </xf>
    <xf numFmtId="9" fontId="5" fillId="0" borderId="27" xfId="1" applyNumberFormat="1" applyFont="1" applyFill="1" applyBorder="1" applyAlignment="1">
      <alignment horizontal="right" vertical="center"/>
    </xf>
    <xf numFmtId="9" fontId="5" fillId="0" borderId="11" xfId="1" applyNumberFormat="1" applyFont="1" applyFill="1" applyBorder="1" applyAlignment="1">
      <alignment horizontal="right" vertical="center"/>
    </xf>
    <xf numFmtId="188" fontId="5" fillId="0" borderId="27" xfId="1" applyNumberFormat="1" applyFont="1" applyFill="1" applyBorder="1" applyAlignment="1">
      <alignment vertical="center"/>
    </xf>
    <xf numFmtId="179" fontId="5" fillId="0" borderId="27" xfId="0" applyNumberFormat="1" applyFont="1" applyFill="1" applyBorder="1" applyAlignment="1">
      <alignment horizontal="right" vertical="center"/>
    </xf>
    <xf numFmtId="183" fontId="5" fillId="0" borderId="27" xfId="0" applyNumberFormat="1" applyFont="1" applyFill="1" applyBorder="1" applyAlignment="1">
      <alignment horizontal="right" vertical="center"/>
    </xf>
    <xf numFmtId="183" fontId="5" fillId="0" borderId="10" xfId="1" applyNumberFormat="1" applyFont="1" applyFill="1" applyBorder="1" applyAlignment="1">
      <alignment vertical="center"/>
    </xf>
    <xf numFmtId="183" fontId="5" fillId="0" borderId="10" xfId="0" applyNumberFormat="1" applyFont="1" applyFill="1" applyBorder="1" applyAlignment="1">
      <alignment horizontal="right" vertical="center"/>
    </xf>
    <xf numFmtId="179" fontId="5" fillId="0" borderId="10" xfId="0" applyNumberFormat="1" applyFont="1" applyFill="1" applyBorder="1" applyAlignment="1">
      <alignment horizontal="right" vertical="center"/>
    </xf>
    <xf numFmtId="1" fontId="2" fillId="0" borderId="25" xfId="52" applyNumberFormat="1" applyFont="1" applyFill="1" applyBorder="1" applyAlignment="1">
      <alignment horizontal="center" vertical="center"/>
    </xf>
    <xf numFmtId="180" fontId="5" fillId="0" borderId="0" xfId="0" applyNumberFormat="1" applyFont="1" applyFill="1" applyBorder="1">
      <alignment vertical="center"/>
    </xf>
    <xf numFmtId="0" fontId="8" fillId="0" borderId="0" xfId="58" applyFont="1" applyFill="1" applyAlignment="1">
      <alignment horizontal="center" vertical="center" wrapText="1"/>
    </xf>
    <xf numFmtId="0" fontId="5" fillId="0" borderId="0" xfId="58" applyFont="1" applyFill="1" applyAlignment="1">
      <alignment vertical="center"/>
    </xf>
    <xf numFmtId="0" fontId="1" fillId="0" borderId="0" xfId="58" applyFill="1"/>
    <xf numFmtId="0" fontId="1" fillId="0" borderId="0" xfId="58" applyFill="1" applyAlignment="1">
      <alignment horizontal="center"/>
    </xf>
    <xf numFmtId="0" fontId="2" fillId="0" borderId="18" xfId="58" applyFont="1" applyFill="1" applyBorder="1" applyAlignment="1">
      <alignment horizontal="center" vertical="center" wrapText="1"/>
    </xf>
    <xf numFmtId="0" fontId="2" fillId="0" borderId="3" xfId="58" applyFont="1" applyFill="1" applyBorder="1" applyAlignment="1">
      <alignment horizontal="center" vertical="center" wrapText="1"/>
    </xf>
    <xf numFmtId="0" fontId="2" fillId="0" borderId="41" xfId="58" applyFont="1" applyFill="1" applyBorder="1" applyAlignment="1">
      <alignment horizontal="center" vertical="center" wrapText="1"/>
    </xf>
    <xf numFmtId="0" fontId="2" fillId="0" borderId="10" xfId="58" applyFont="1" applyFill="1" applyBorder="1" applyAlignment="1">
      <alignment horizontal="center" vertical="center" wrapText="1"/>
    </xf>
    <xf numFmtId="0" fontId="2" fillId="0" borderId="7" xfId="58" applyFont="1" applyFill="1" applyBorder="1" applyAlignment="1">
      <alignment horizontal="center" vertical="center" wrapText="1"/>
    </xf>
    <xf numFmtId="0" fontId="2" fillId="0" borderId="12" xfId="58" applyFont="1" applyFill="1" applyBorder="1" applyAlignment="1">
      <alignment horizontal="center" vertical="center" wrapText="1"/>
    </xf>
    <xf numFmtId="49" fontId="2" fillId="0" borderId="0" xfId="58" applyNumberFormat="1" applyFont="1" applyFill="1" applyAlignment="1">
      <alignment horizontal="center" vertical="center"/>
    </xf>
    <xf numFmtId="0" fontId="2" fillId="0" borderId="11" xfId="58" applyFont="1" applyFill="1" applyBorder="1" applyAlignment="1">
      <alignment vertical="center"/>
    </xf>
    <xf numFmtId="0" fontId="2" fillId="0" borderId="0" xfId="58" applyFont="1" applyFill="1" applyBorder="1" applyAlignment="1">
      <alignment horizontal="center" vertical="center"/>
    </xf>
    <xf numFmtId="182" fontId="5" fillId="0" borderId="11" xfId="58" applyNumberFormat="1" applyFont="1" applyFill="1" applyBorder="1" applyAlignment="1">
      <alignment vertical="center"/>
    </xf>
    <xf numFmtId="49" fontId="5" fillId="0" borderId="0" xfId="58" applyNumberFormat="1" applyFont="1" applyFill="1" applyAlignment="1">
      <alignment horizontal="center" vertical="center"/>
    </xf>
    <xf numFmtId="49" fontId="5" fillId="0" borderId="9" xfId="58" applyNumberFormat="1" applyFont="1" applyFill="1" applyBorder="1" applyAlignment="1">
      <alignment horizontal="center" vertical="center"/>
    </xf>
    <xf numFmtId="0" fontId="2" fillId="0" borderId="7" xfId="58" applyFont="1" applyFill="1" applyBorder="1" applyAlignment="1">
      <alignment vertical="center"/>
    </xf>
    <xf numFmtId="0" fontId="2" fillId="0" borderId="9" xfId="58" applyFont="1" applyFill="1" applyBorder="1" applyAlignment="1">
      <alignment horizontal="center" vertical="center"/>
    </xf>
    <xf numFmtId="178" fontId="5" fillId="0" borderId="7" xfId="58" applyNumberFormat="1" applyFont="1" applyFill="1" applyBorder="1" applyAlignment="1">
      <alignment vertical="center"/>
    </xf>
    <xf numFmtId="178" fontId="5" fillId="0" borderId="10" xfId="0" applyNumberFormat="1" applyFont="1" applyFill="1" applyBorder="1" applyAlignment="1">
      <alignment horizontal="right" vertical="center"/>
    </xf>
    <xf numFmtId="43" fontId="5" fillId="0" borderId="11" xfId="1" applyNumberFormat="1" applyFont="1" applyFill="1" applyBorder="1" applyAlignment="1">
      <alignment horizontal="right" vertical="center"/>
    </xf>
    <xf numFmtId="0" fontId="5" fillId="0" borderId="11" xfId="58" applyFont="1" applyFill="1" applyBorder="1" applyAlignment="1">
      <alignment vertical="center"/>
    </xf>
    <xf numFmtId="182" fontId="5" fillId="0" borderId="11" xfId="58" applyNumberFormat="1" applyFont="1" applyFill="1" applyBorder="1" applyAlignment="1">
      <alignment horizontal="right" vertical="center"/>
    </xf>
    <xf numFmtId="0" fontId="2" fillId="2" borderId="11" xfId="58" applyFont="1" applyFill="1" applyBorder="1" applyAlignment="1">
      <alignment vertical="center"/>
    </xf>
    <xf numFmtId="49" fontId="2" fillId="0" borderId="0" xfId="58" applyNumberFormat="1" applyFont="1" applyFill="1" applyAlignment="1">
      <alignment horizontal="center" vertical="center" wrapText="1"/>
    </xf>
    <xf numFmtId="187" fontId="5" fillId="0" borderId="11" xfId="58" applyNumberFormat="1" applyFont="1" applyFill="1" applyBorder="1" applyAlignment="1">
      <alignment vertical="center"/>
    </xf>
    <xf numFmtId="188" fontId="5" fillId="0" borderId="11" xfId="58" applyNumberFormat="1" applyFont="1" applyFill="1" applyBorder="1" applyAlignment="1">
      <alignment vertical="center"/>
    </xf>
    <xf numFmtId="187" fontId="5" fillId="0" borderId="14" xfId="58" applyNumberFormat="1" applyFont="1" applyFill="1" applyBorder="1" applyAlignment="1">
      <alignment vertical="center"/>
    </xf>
    <xf numFmtId="0" fontId="5" fillId="0" borderId="0" xfId="58" applyFont="1" applyFill="1" applyBorder="1" applyAlignment="1">
      <alignment vertical="center"/>
    </xf>
    <xf numFmtId="49" fontId="2" fillId="0" borderId="9" xfId="58" applyNumberFormat="1" applyFont="1" applyFill="1" applyBorder="1" applyAlignment="1">
      <alignment horizontal="center" vertical="center"/>
    </xf>
    <xf numFmtId="188" fontId="5" fillId="0" borderId="7" xfId="58" applyNumberFormat="1" applyFont="1" applyFill="1" applyBorder="1" applyAlignment="1">
      <alignment vertical="center"/>
    </xf>
    <xf numFmtId="188" fontId="5" fillId="0" borderId="7" xfId="0" applyNumberFormat="1" applyFont="1" applyFill="1" applyBorder="1" applyAlignment="1">
      <alignment horizontal="right" vertical="center"/>
    </xf>
    <xf numFmtId="49" fontId="2" fillId="0" borderId="27" xfId="58" applyNumberFormat="1" applyFont="1" applyFill="1" applyBorder="1" applyAlignment="1">
      <alignment horizontal="center" vertical="center"/>
    </xf>
    <xf numFmtId="43" fontId="5" fillId="0" borderId="14" xfId="1" applyNumberFormat="1" applyFont="1" applyFill="1" applyBorder="1" applyAlignment="1">
      <alignment horizontal="right" vertical="center"/>
    </xf>
    <xf numFmtId="49" fontId="5" fillId="0" borderId="27" xfId="58" applyNumberFormat="1" applyFont="1" applyFill="1" applyBorder="1" applyAlignment="1">
      <alignment horizontal="center" vertical="center"/>
    </xf>
    <xf numFmtId="0" fontId="5" fillId="0" borderId="0" xfId="58" applyFont="1" applyFill="1" applyBorder="1" applyAlignment="1">
      <alignment horizontal="center" vertical="center"/>
    </xf>
    <xf numFmtId="0" fontId="5" fillId="0" borderId="11" xfId="58" applyFont="1" applyFill="1" applyBorder="1" applyAlignment="1">
      <alignment horizontal="right" vertical="center"/>
    </xf>
    <xf numFmtId="0" fontId="5" fillId="0" borderId="14" xfId="58" applyFont="1" applyFill="1" applyBorder="1" applyAlignment="1">
      <alignment horizontal="right" vertical="center"/>
    </xf>
    <xf numFmtId="180" fontId="5" fillId="0" borderId="7" xfId="58" applyNumberFormat="1" applyFont="1" applyFill="1" applyBorder="1" applyAlignment="1">
      <alignment horizontal="right" vertical="center"/>
    </xf>
    <xf numFmtId="180" fontId="5" fillId="0" borderId="7" xfId="0" applyNumberFormat="1" applyFont="1" applyFill="1" applyBorder="1" applyAlignment="1">
      <alignment horizontal="right" vertical="center"/>
    </xf>
    <xf numFmtId="43" fontId="5" fillId="0" borderId="26" xfId="1" applyNumberFormat="1" applyFont="1" applyFill="1" applyBorder="1" applyAlignment="1">
      <alignment horizontal="right" vertical="center"/>
    </xf>
    <xf numFmtId="43" fontId="5" fillId="0" borderId="11" xfId="0" applyNumberFormat="1" applyFont="1" applyFill="1" applyBorder="1" applyAlignment="1">
      <alignment horizontal="right" vertical="center"/>
    </xf>
    <xf numFmtId="0" fontId="5" fillId="0" borderId="9" xfId="58" applyFont="1" applyFill="1" applyBorder="1" applyAlignment="1">
      <alignment horizontal="center" vertical="center"/>
    </xf>
    <xf numFmtId="43" fontId="5" fillId="0" borderId="7" xfId="1" applyNumberFormat="1" applyFont="1" applyFill="1" applyBorder="1" applyAlignment="1">
      <alignment horizontal="right" vertical="center"/>
    </xf>
    <xf numFmtId="43" fontId="5" fillId="0" borderId="7" xfId="0" applyNumberFormat="1" applyFont="1" applyFill="1" applyBorder="1" applyAlignment="1">
      <alignment horizontal="right" vertical="center"/>
    </xf>
    <xf numFmtId="179" fontId="5" fillId="0" borderId="7" xfId="58" applyNumberFormat="1" applyFont="1" applyFill="1" applyBorder="1" applyAlignment="1">
      <alignment horizontal="right" vertical="center"/>
    </xf>
    <xf numFmtId="43" fontId="5" fillId="0" borderId="12" xfId="0" applyNumberFormat="1" applyFont="1" applyFill="1" applyBorder="1" applyAlignment="1">
      <alignment horizontal="right" vertical="center"/>
    </xf>
    <xf numFmtId="179" fontId="5" fillId="0" borderId="42" xfId="58" applyNumberFormat="1" applyFont="1" applyFill="1" applyBorder="1" applyAlignment="1">
      <alignment horizontal="right" vertical="center"/>
    </xf>
    <xf numFmtId="49" fontId="5" fillId="0" borderId="33" xfId="58" applyNumberFormat="1" applyFont="1" applyFill="1" applyBorder="1" applyAlignment="1">
      <alignment horizontal="center" vertical="center"/>
    </xf>
    <xf numFmtId="0" fontId="2" fillId="0" borderId="21" xfId="58" applyFont="1" applyFill="1" applyBorder="1" applyAlignment="1">
      <alignment vertical="center"/>
    </xf>
    <xf numFmtId="0" fontId="5" fillId="0" borderId="20" xfId="58" applyFont="1" applyFill="1" applyBorder="1" applyAlignment="1">
      <alignment horizontal="center" vertical="center"/>
    </xf>
    <xf numFmtId="43" fontId="5" fillId="0" borderId="21" xfId="1" applyNumberFormat="1" applyFont="1" applyFill="1" applyBorder="1" applyAlignment="1">
      <alignment horizontal="right" vertical="center"/>
    </xf>
    <xf numFmtId="43" fontId="5" fillId="0" borderId="21" xfId="0" applyNumberFormat="1" applyFont="1" applyFill="1" applyBorder="1" applyAlignment="1">
      <alignment horizontal="right" vertical="center"/>
    </xf>
    <xf numFmtId="179" fontId="5" fillId="0" borderId="21" xfId="58" applyNumberFormat="1" applyFont="1" applyFill="1" applyBorder="1" applyAlignment="1">
      <alignment horizontal="right" vertical="center"/>
    </xf>
    <xf numFmtId="43" fontId="5" fillId="0" borderId="22" xfId="0" applyNumberFormat="1" applyFont="1" applyFill="1" applyBorder="1" applyAlignment="1">
      <alignment horizontal="right" vertical="center"/>
    </xf>
    <xf numFmtId="178" fontId="5" fillId="0" borderId="0" xfId="0" applyNumberFormat="1" applyFont="1" applyFill="1" applyAlignment="1">
      <alignment vertical="center"/>
    </xf>
    <xf numFmtId="10" fontId="5" fillId="2" borderId="0" xfId="52" applyNumberFormat="1" applyFont="1" applyFill="1" applyBorder="1" applyAlignment="1">
      <alignment vertical="center"/>
    </xf>
    <xf numFmtId="2" fontId="5" fillId="2" borderId="0" xfId="52" applyNumberFormat="1" applyFont="1" applyFill="1" applyBorder="1" applyAlignment="1">
      <alignment vertical="center"/>
    </xf>
    <xf numFmtId="178" fontId="5" fillId="0" borderId="0" xfId="0" applyNumberFormat="1" applyFont="1" applyFill="1" applyBorder="1" applyAlignment="1">
      <alignment vertical="center"/>
    </xf>
    <xf numFmtId="178" fontId="5" fillId="0" borderId="39" xfId="1" applyNumberFormat="1" applyFont="1" applyFill="1" applyBorder="1" applyAlignment="1">
      <alignment horizontal="right" vertical="center"/>
    </xf>
    <xf numFmtId="178" fontId="5" fillId="0" borderId="38" xfId="1" applyNumberFormat="1" applyFont="1" applyFill="1" applyBorder="1" applyAlignment="1">
      <alignment horizontal="right" vertical="center"/>
    </xf>
    <xf numFmtId="180" fontId="5" fillId="0" borderId="11" xfId="1" applyNumberFormat="1" applyFont="1" applyFill="1" applyBorder="1" applyAlignment="1">
      <alignment vertical="center"/>
    </xf>
    <xf numFmtId="180" fontId="5" fillId="0" borderId="27" xfId="1" applyNumberFormat="1" applyFont="1" applyFill="1" applyBorder="1" applyAlignment="1">
      <alignment vertical="center"/>
    </xf>
    <xf numFmtId="43" fontId="9" fillId="0" borderId="27" xfId="1" applyNumberFormat="1" applyFont="1" applyFill="1" applyBorder="1" applyAlignment="1">
      <alignment vertical="center"/>
    </xf>
    <xf numFmtId="178" fontId="5" fillId="0" borderId="40" xfId="0" applyNumberFormat="1" applyFont="1" applyFill="1" applyBorder="1" applyAlignment="1">
      <alignment vertical="center"/>
    </xf>
    <xf numFmtId="1" fontId="2" fillId="0" borderId="36" xfId="52" applyNumberFormat="1" applyFont="1" applyFill="1" applyBorder="1" applyAlignment="1">
      <alignment horizontal="center" vertical="center" wrapText="1"/>
    </xf>
    <xf numFmtId="179" fontId="5" fillId="0" borderId="11" xfId="0" applyNumberFormat="1" applyFont="1" applyFill="1" applyBorder="1" applyAlignment="1">
      <alignment vertical="center"/>
    </xf>
    <xf numFmtId="43" fontId="5" fillId="0" borderId="14" xfId="0" applyNumberFormat="1" applyFont="1" applyFill="1" applyBorder="1" applyAlignment="1">
      <alignment horizontal="right" vertical="center"/>
    </xf>
    <xf numFmtId="181" fontId="5" fillId="0" borderId="27" xfId="0" applyNumberFormat="1" applyFont="1" applyFill="1" applyBorder="1" applyAlignment="1">
      <alignment vertical="center"/>
    </xf>
    <xf numFmtId="182" fontId="5" fillId="0" borderId="11" xfId="1" applyNumberFormat="1" applyFont="1" applyFill="1" applyBorder="1" applyAlignment="1">
      <alignment vertical="center"/>
    </xf>
    <xf numFmtId="182" fontId="5" fillId="0" borderId="27" xfId="1" applyNumberFormat="1" applyFont="1" applyFill="1" applyBorder="1" applyAlignment="1">
      <alignment vertical="center"/>
    </xf>
    <xf numFmtId="182" fontId="5" fillId="2" borderId="0" xfId="52" applyNumberFormat="1" applyFont="1" applyFill="1" applyBorder="1" applyAlignment="1">
      <alignment vertical="center"/>
    </xf>
    <xf numFmtId="182" fontId="5" fillId="2" borderId="0" xfId="52" applyNumberFormat="1" applyFont="1" applyFill="1" applyAlignment="1">
      <alignment vertical="center"/>
    </xf>
    <xf numFmtId="181" fontId="5" fillId="0" borderId="27" xfId="1" applyNumberFormat="1" applyFont="1" applyFill="1" applyBorder="1" applyAlignment="1">
      <alignment vertical="center"/>
    </xf>
    <xf numFmtId="181" fontId="5" fillId="0" borderId="0" xfId="1" applyNumberFormat="1" applyFont="1" applyFill="1" applyBorder="1" applyAlignment="1">
      <alignment vertical="center"/>
    </xf>
    <xf numFmtId="181" fontId="5" fillId="0" borderId="27" xfId="0" applyNumberFormat="1" applyFont="1" applyFill="1" applyBorder="1">
      <alignment vertical="center"/>
    </xf>
    <xf numFmtId="180" fontId="5" fillId="0" borderId="27" xfId="0" applyNumberFormat="1" applyFont="1" applyFill="1" applyBorder="1">
      <alignment vertical="center"/>
    </xf>
    <xf numFmtId="43" fontId="5" fillId="0" borderId="27" xfId="1" applyNumberFormat="1" applyFont="1" applyFill="1" applyBorder="1" applyAlignment="1">
      <alignment horizontal="right" vertical="center"/>
    </xf>
    <xf numFmtId="178" fontId="5" fillId="0" borderId="0" xfId="1" applyNumberFormat="1" applyFont="1" applyFill="1" applyAlignment="1">
      <alignment vertical="center"/>
    </xf>
    <xf numFmtId="10" fontId="5" fillId="2" borderId="0" xfId="52" applyNumberFormat="1" applyFont="1" applyFill="1" applyAlignment="1">
      <alignment vertical="center"/>
    </xf>
    <xf numFmtId="179" fontId="5" fillId="0" borderId="7" xfId="1" applyNumberFormat="1" applyFont="1" applyFill="1" applyBorder="1" applyAlignment="1">
      <alignment vertical="center"/>
    </xf>
    <xf numFmtId="179" fontId="5" fillId="0" borderId="10" xfId="1" applyNumberFormat="1" applyFont="1" applyFill="1" applyBorder="1" applyAlignment="1">
      <alignment vertical="center"/>
    </xf>
    <xf numFmtId="179" fontId="5" fillId="0" borderId="12" xfId="1" applyNumberFormat="1" applyFont="1" applyFill="1" applyBorder="1" applyAlignment="1">
      <alignment horizontal="right" vertical="center"/>
    </xf>
    <xf numFmtId="43" fontId="5" fillId="0" borderId="12" xfId="1" applyNumberFormat="1" applyFont="1" applyFill="1" applyBorder="1" applyAlignment="1">
      <alignment horizontal="right" vertical="center"/>
    </xf>
    <xf numFmtId="179" fontId="5" fillId="3" borderId="27" xfId="1" applyNumberFormat="1" applyFont="1" applyFill="1" applyBorder="1" applyAlignment="1">
      <alignment vertical="center"/>
    </xf>
    <xf numFmtId="179" fontId="5" fillId="0" borderId="33" xfId="1" applyNumberFormat="1" applyFont="1" applyFill="1" applyBorder="1" applyAlignment="1">
      <alignment vertical="center"/>
    </xf>
    <xf numFmtId="179" fontId="5" fillId="3" borderId="33" xfId="1" applyNumberFormat="1" applyFont="1" applyFill="1" applyBorder="1" applyAlignment="1">
      <alignment vertical="center"/>
    </xf>
    <xf numFmtId="43" fontId="5" fillId="0" borderId="22" xfId="1" applyNumberFormat="1" applyFont="1" applyFill="1" applyBorder="1" applyAlignment="1">
      <alignment horizontal="right" vertical="center"/>
    </xf>
    <xf numFmtId="0" fontId="1" fillId="2" borderId="0" xfId="52" applyFont="1" applyFill="1" applyBorder="1" applyAlignment="1"/>
    <xf numFmtId="1" fontId="5" fillId="0" borderId="0" xfId="52" applyNumberFormat="1" applyFont="1" applyFill="1" applyBorder="1" applyAlignment="1">
      <alignment horizontal="center" vertical="center"/>
    </xf>
    <xf numFmtId="43" fontId="2" fillId="0" borderId="11" xfId="1" applyNumberFormat="1" applyFont="1" applyFill="1" applyBorder="1" applyAlignment="1">
      <alignment horizontal="right" vertical="center"/>
    </xf>
    <xf numFmtId="178" fontId="5" fillId="0" borderId="10" xfId="1" applyNumberFormat="1" applyFont="1" applyFill="1" applyBorder="1" applyAlignment="1">
      <alignment vertical="center"/>
    </xf>
    <xf numFmtId="43" fontId="2" fillId="0" borderId="7" xfId="1" applyNumberFormat="1" applyFont="1" applyFill="1" applyBorder="1" applyAlignment="1">
      <alignment horizontal="left" vertical="center"/>
    </xf>
    <xf numFmtId="179" fontId="5" fillId="0" borderId="7" xfId="3" applyNumberFormat="1" applyFont="1" applyFill="1" applyBorder="1" applyAlignment="1">
      <alignment vertical="center" shrinkToFit="1"/>
    </xf>
    <xf numFmtId="179" fontId="5" fillId="0" borderId="10" xfId="3" applyNumberFormat="1" applyFont="1" applyFill="1" applyBorder="1" applyAlignment="1">
      <alignment vertical="center" shrinkToFit="1"/>
    </xf>
    <xf numFmtId="41" fontId="5" fillId="0" borderId="10" xfId="1" applyNumberFormat="1" applyFont="1" applyFill="1" applyBorder="1" applyAlignment="1">
      <alignment horizontal="right" vertical="center"/>
    </xf>
    <xf numFmtId="41" fontId="5" fillId="0" borderId="12" xfId="1" applyNumberFormat="1" applyFont="1" applyFill="1" applyBorder="1" applyAlignment="1">
      <alignment horizontal="right" vertical="center"/>
    </xf>
    <xf numFmtId="1" fontId="2" fillId="0" borderId="20" xfId="52" applyNumberFormat="1" applyFont="1" applyFill="1" applyBorder="1" applyAlignment="1">
      <alignment horizontal="center" vertical="center"/>
    </xf>
    <xf numFmtId="43" fontId="2" fillId="0" borderId="21" xfId="1" applyNumberFormat="1" applyFont="1" applyFill="1" applyBorder="1" applyAlignment="1">
      <alignment horizontal="left" vertical="center"/>
    </xf>
    <xf numFmtId="1" fontId="2" fillId="0" borderId="33" xfId="52" applyNumberFormat="1" applyFont="1" applyFill="1" applyBorder="1" applyAlignment="1">
      <alignment horizontal="center" vertical="center"/>
    </xf>
    <xf numFmtId="179" fontId="5" fillId="0" borderId="21" xfId="3" applyNumberFormat="1" applyFont="1" applyFill="1" applyBorder="1" applyAlignment="1">
      <alignment vertical="center"/>
    </xf>
    <xf numFmtId="179" fontId="5" fillId="0" borderId="33" xfId="3" applyNumberFormat="1" applyFont="1" applyFill="1" applyBorder="1" applyAlignment="1">
      <alignment vertical="center"/>
    </xf>
    <xf numFmtId="0" fontId="1" fillId="2" borderId="0" xfId="52" applyFont="1" applyFill="1"/>
    <xf numFmtId="178" fontId="5" fillId="0" borderId="39" xfId="0" applyNumberFormat="1" applyFont="1" applyFill="1" applyBorder="1" applyAlignment="1">
      <alignment vertical="center"/>
    </xf>
    <xf numFmtId="41" fontId="5" fillId="0" borderId="0" xfId="1" applyNumberFormat="1" applyFont="1" applyFill="1" applyBorder="1" applyAlignment="1">
      <alignment vertical="center"/>
    </xf>
    <xf numFmtId="178" fontId="5" fillId="0" borderId="27" xfId="1" applyNumberFormat="1" applyFont="1" applyFill="1" applyBorder="1" applyAlignment="1">
      <alignment horizontal="right" vertical="center"/>
    </xf>
    <xf numFmtId="178" fontId="5" fillId="0" borderId="0" xfId="1" applyNumberFormat="1" applyFont="1" applyFill="1" applyBorder="1" applyAlignment="1">
      <alignment horizontal="right" vertical="center"/>
    </xf>
    <xf numFmtId="180" fontId="5" fillId="0" borderId="0" xfId="1" applyNumberFormat="1" applyFont="1" applyFill="1" applyBorder="1" applyAlignment="1">
      <alignment vertical="center"/>
    </xf>
    <xf numFmtId="178" fontId="5" fillId="0" borderId="0" xfId="1" applyNumberFormat="1" applyFont="1" applyFill="1" applyBorder="1" applyAlignment="1">
      <alignment vertical="center"/>
    </xf>
    <xf numFmtId="43" fontId="10" fillId="0" borderId="27" xfId="1" applyNumberFormat="1" applyFont="1" applyFill="1" applyBorder="1" applyAlignment="1">
      <alignment vertical="center"/>
    </xf>
    <xf numFmtId="189" fontId="5" fillId="0" borderId="11" xfId="1" applyNumberFormat="1" applyFont="1" applyFill="1" applyBorder="1" applyAlignment="1">
      <alignment vertical="center"/>
    </xf>
    <xf numFmtId="189" fontId="5" fillId="0" borderId="0" xfId="1" applyNumberFormat="1" applyFont="1" applyFill="1" applyBorder="1" applyAlignment="1">
      <alignment vertical="center"/>
    </xf>
    <xf numFmtId="41" fontId="5" fillId="0" borderId="11" xfId="0" applyNumberFormat="1" applyFont="1" applyFill="1" applyBorder="1" applyAlignment="1">
      <alignment horizontal="right" vertical="center"/>
    </xf>
    <xf numFmtId="43" fontId="5" fillId="0" borderId="27" xfId="0" applyNumberFormat="1" applyFont="1" applyFill="1" applyBorder="1" applyAlignment="1">
      <alignment horizontal="right" vertical="center"/>
    </xf>
    <xf numFmtId="43" fontId="5" fillId="0" borderId="35" xfId="0" applyNumberFormat="1" applyFont="1" applyFill="1" applyBorder="1" applyAlignment="1">
      <alignment horizontal="right" vertical="center"/>
    </xf>
    <xf numFmtId="43" fontId="5" fillId="0" borderId="11" xfId="1" applyNumberFormat="1" applyFont="1" applyFill="1" applyBorder="1" applyAlignment="1">
      <alignment horizontal="center" vertical="center"/>
    </xf>
    <xf numFmtId="179" fontId="5" fillId="0" borderId="0" xfId="0" applyNumberFormat="1" applyFont="1" applyFill="1" applyAlignment="1">
      <alignment vertical="center"/>
    </xf>
    <xf numFmtId="185" fontId="5" fillId="0" borderId="0" xfId="0" applyNumberFormat="1" applyFont="1" applyFill="1" applyAlignment="1">
      <alignment vertical="center"/>
    </xf>
    <xf numFmtId="185" fontId="5" fillId="0" borderId="11" xfId="0" applyNumberFormat="1" applyFont="1" applyFill="1" applyBorder="1" applyAlignment="1">
      <alignment vertical="center"/>
    </xf>
    <xf numFmtId="185" fontId="5" fillId="0" borderId="0" xfId="1" applyNumberFormat="1" applyFont="1" applyFill="1" applyBorder="1" applyAlignment="1">
      <alignment vertical="center"/>
    </xf>
    <xf numFmtId="181" fontId="5" fillId="0" borderId="0" xfId="0" applyNumberFormat="1" applyFont="1" applyFill="1" applyBorder="1">
      <alignment vertical="center"/>
    </xf>
    <xf numFmtId="43" fontId="5" fillId="0" borderId="0" xfId="0" applyNumberFormat="1" applyFont="1" applyFill="1" applyBorder="1" applyAlignment="1">
      <alignment horizontal="right" vertical="center"/>
    </xf>
    <xf numFmtId="182" fontId="5" fillId="0" borderId="27" xfId="0" applyNumberFormat="1" applyFont="1" applyFill="1" applyBorder="1" applyAlignment="1">
      <alignment vertical="center"/>
    </xf>
    <xf numFmtId="182" fontId="5" fillId="0" borderId="0" xfId="0" applyNumberFormat="1" applyFont="1" applyFill="1" applyBorder="1" applyAlignment="1">
      <alignment vertical="center"/>
    </xf>
    <xf numFmtId="43" fontId="5" fillId="0" borderId="0" xfId="1" applyNumberFormat="1" applyFont="1" applyFill="1" applyBorder="1" applyAlignment="1">
      <alignment horizontal="right" vertical="center"/>
    </xf>
    <xf numFmtId="179" fontId="5" fillId="0" borderId="0" xfId="1" applyNumberFormat="1" applyFont="1" applyFill="1" applyBorder="1" applyAlignment="1">
      <alignment vertical="center"/>
    </xf>
    <xf numFmtId="9" fontId="5" fillId="0" borderId="0" xfId="1" applyNumberFormat="1" applyFont="1" applyFill="1" applyBorder="1" applyAlignment="1">
      <alignment vertical="center"/>
    </xf>
    <xf numFmtId="179" fontId="5" fillId="0" borderId="9" xfId="1" applyNumberFormat="1" applyFont="1" applyFill="1" applyBorder="1" applyAlignment="1">
      <alignment vertical="center"/>
    </xf>
    <xf numFmtId="43" fontId="5" fillId="0" borderId="10" xfId="1" applyNumberFormat="1" applyFont="1" applyFill="1" applyBorder="1" applyAlignment="1">
      <alignment horizontal="right" vertical="center"/>
    </xf>
    <xf numFmtId="1" fontId="5" fillId="0" borderId="21" xfId="52" applyNumberFormat="1" applyFont="1" applyFill="1" applyBorder="1" applyAlignment="1">
      <alignment horizontal="center" vertical="center"/>
    </xf>
    <xf numFmtId="179" fontId="5" fillId="0" borderId="20" xfId="1" applyNumberFormat="1" applyFont="1" applyFill="1" applyBorder="1" applyAlignment="1">
      <alignment vertical="center"/>
    </xf>
    <xf numFmtId="43" fontId="5" fillId="0" borderId="33" xfId="1" applyNumberFormat="1" applyFont="1" applyFill="1" applyBorder="1" applyAlignment="1">
      <alignment horizontal="right" vertical="center"/>
    </xf>
    <xf numFmtId="43" fontId="1" fillId="2" borderId="0" xfId="1" applyNumberFormat="1" applyFont="1" applyFill="1">
      <alignment vertical="center"/>
    </xf>
    <xf numFmtId="0" fontId="0" fillId="2" borderId="0" xfId="0" applyFont="1" applyFill="1">
      <alignment vertical="center"/>
    </xf>
    <xf numFmtId="0" fontId="1" fillId="2" borderId="0" xfId="52" applyFont="1" applyFill="1" applyBorder="1"/>
    <xf numFmtId="0" fontId="5" fillId="0" borderId="0" xfId="0" applyFont="1" applyFill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0" xfId="1" applyNumberFormat="1" applyFont="1" applyFill="1" applyBorder="1" applyAlignment="1">
      <alignment horizontal="center" vertical="center"/>
    </xf>
    <xf numFmtId="179" fontId="5" fillId="0" borderId="0" xfId="3" applyNumberFormat="1" applyFont="1" applyFill="1" applyBorder="1" applyAlignment="1">
      <alignment horizontal="right" vertical="center"/>
    </xf>
    <xf numFmtId="49" fontId="5" fillId="0" borderId="0" xfId="1" applyNumberFormat="1" applyFont="1" applyFill="1" applyBorder="1" applyAlignment="1">
      <alignment horizontal="center" vertical="center"/>
    </xf>
    <xf numFmtId="49" fontId="2" fillId="0" borderId="25" xfId="1" applyNumberFormat="1" applyFont="1" applyFill="1" applyBorder="1" applyAlignment="1">
      <alignment horizontal="center" vertical="center"/>
    </xf>
    <xf numFmtId="43" fontId="2" fillId="0" borderId="25" xfId="1" applyNumberFormat="1" applyFont="1" applyFill="1" applyBorder="1" applyAlignment="1">
      <alignment vertical="center"/>
    </xf>
    <xf numFmtId="43" fontId="2" fillId="0" borderId="26" xfId="1" applyNumberFormat="1" applyFont="1" applyFill="1" applyBorder="1" applyAlignment="1">
      <alignment horizontal="center" vertical="center"/>
    </xf>
    <xf numFmtId="178" fontId="5" fillId="0" borderId="25" xfId="0" applyNumberFormat="1" applyFont="1" applyFill="1" applyBorder="1" applyAlignment="1">
      <alignment vertical="center"/>
    </xf>
    <xf numFmtId="178" fontId="5" fillId="0" borderId="26" xfId="0" applyNumberFormat="1" applyFont="1" applyFill="1" applyBorder="1" applyAlignment="1">
      <alignment horizontal="right" vertical="center"/>
    </xf>
    <xf numFmtId="179" fontId="5" fillId="0" borderId="43" xfId="3" applyNumberFormat="1" applyFont="1" applyFill="1" applyBorder="1" applyAlignment="1">
      <alignment horizontal="right" vertical="center"/>
    </xf>
    <xf numFmtId="49" fontId="2" fillId="0" borderId="27" xfId="1" applyNumberFormat="1" applyFont="1" applyFill="1" applyBorder="1" applyAlignment="1">
      <alignment horizontal="center" vertical="center"/>
    </xf>
    <xf numFmtId="43" fontId="5" fillId="0" borderId="27" xfId="1" applyNumberFormat="1" applyFont="1" applyFill="1" applyBorder="1" applyAlignment="1">
      <alignment vertical="center"/>
    </xf>
    <xf numFmtId="49" fontId="2" fillId="0" borderId="10" xfId="1" applyNumberFormat="1" applyFont="1" applyFill="1" applyBorder="1" applyAlignment="1">
      <alignment horizontal="center" vertical="center"/>
    </xf>
    <xf numFmtId="43" fontId="2" fillId="0" borderId="10" xfId="1" applyNumberFormat="1" applyFont="1" applyFill="1" applyBorder="1" applyAlignment="1">
      <alignment horizontal="left" vertical="center"/>
    </xf>
    <xf numFmtId="1" fontId="2" fillId="0" borderId="7" xfId="52" applyNumberFormat="1" applyFont="1" applyFill="1" applyBorder="1" applyAlignment="1">
      <alignment horizontal="center" vertical="center"/>
    </xf>
    <xf numFmtId="179" fontId="5" fillId="0" borderId="34" xfId="3" applyNumberFormat="1" applyFont="1" applyFill="1" applyBorder="1" applyAlignment="1">
      <alignment horizontal="right" vertical="center"/>
    </xf>
    <xf numFmtId="49" fontId="2" fillId="0" borderId="36" xfId="1" applyNumberFormat="1" applyFont="1" applyFill="1" applyBorder="1" applyAlignment="1">
      <alignment horizontal="center" vertical="center" wrapText="1"/>
    </xf>
    <xf numFmtId="49" fontId="5" fillId="0" borderId="36" xfId="1" applyNumberFormat="1" applyFont="1" applyFill="1" applyBorder="1" applyAlignment="1">
      <alignment horizontal="center" vertical="center"/>
    </xf>
    <xf numFmtId="49" fontId="5" fillId="0" borderId="44" xfId="1" applyNumberFormat="1" applyFont="1" applyFill="1" applyBorder="1" applyAlignment="1">
      <alignment horizontal="center" vertical="center"/>
    </xf>
    <xf numFmtId="49" fontId="5" fillId="0" borderId="37" xfId="1" applyNumberFormat="1" applyFont="1" applyFill="1" applyBorder="1" applyAlignment="1">
      <alignment horizontal="center" vertical="center"/>
    </xf>
    <xf numFmtId="182" fontId="5" fillId="0" borderId="10" xfId="0" applyNumberFormat="1" applyFont="1" applyFill="1" applyBorder="1" applyAlignment="1">
      <alignment vertical="center"/>
    </xf>
    <xf numFmtId="179" fontId="5" fillId="0" borderId="9" xfId="3" applyNumberFormat="1" applyFont="1" applyFill="1" applyBorder="1" applyAlignment="1">
      <alignment horizontal="right" vertical="center"/>
    </xf>
    <xf numFmtId="49" fontId="2" fillId="0" borderId="0" xfId="1" applyNumberFormat="1" applyFont="1" applyFill="1" applyAlignment="1">
      <alignment horizontal="center" vertical="center"/>
    </xf>
    <xf numFmtId="49" fontId="5" fillId="0" borderId="20" xfId="1" applyNumberFormat="1" applyFont="1" applyFill="1" applyBorder="1" applyAlignment="1">
      <alignment horizontal="center" vertical="center"/>
    </xf>
    <xf numFmtId="43" fontId="2" fillId="0" borderId="21" xfId="1" applyNumberFormat="1" applyFont="1" applyFill="1" applyBorder="1" applyAlignment="1">
      <alignment horizontal="center" vertical="center"/>
    </xf>
    <xf numFmtId="179" fontId="5" fillId="0" borderId="0" xfId="0" applyNumberFormat="1" applyFont="1" applyFill="1">
      <alignment vertical="center"/>
    </xf>
    <xf numFmtId="178" fontId="5" fillId="0" borderId="14" xfId="0" applyNumberFormat="1" applyFont="1" applyFill="1" applyBorder="1" applyAlignment="1">
      <alignment vertical="center"/>
    </xf>
    <xf numFmtId="189" fontId="5" fillId="0" borderId="11" xfId="0" applyNumberFormat="1" applyFont="1" applyFill="1" applyBorder="1" applyAlignment="1">
      <alignment horizontal="right" vertical="center"/>
    </xf>
    <xf numFmtId="189" fontId="5" fillId="0" borderId="27" xfId="0" applyNumberFormat="1" applyFont="1" applyFill="1" applyBorder="1" applyAlignment="1">
      <alignment horizontal="right" vertical="center"/>
    </xf>
    <xf numFmtId="178" fontId="5" fillId="0" borderId="45" xfId="0" applyNumberFormat="1" applyFont="1" applyFill="1" applyBorder="1" applyAlignment="1">
      <alignment vertical="center"/>
    </xf>
    <xf numFmtId="43" fontId="2" fillId="0" borderId="26" xfId="1" applyNumberFormat="1" applyFont="1" applyFill="1" applyBorder="1" applyAlignment="1">
      <alignment vertical="center"/>
    </xf>
    <xf numFmtId="178" fontId="5" fillId="0" borderId="26" xfId="0" applyNumberFormat="1" applyFont="1" applyFill="1" applyBorder="1" applyAlignment="1">
      <alignment vertical="center"/>
    </xf>
    <xf numFmtId="179" fontId="5" fillId="0" borderId="26" xfId="3" applyNumberFormat="1" applyFont="1" applyFill="1" applyBorder="1" applyAlignment="1">
      <alignment horizontal="right" vertical="center"/>
    </xf>
    <xf numFmtId="179" fontId="5" fillId="0" borderId="42" xfId="3" applyNumberFormat="1" applyFont="1" applyFill="1" applyBorder="1" applyAlignment="1">
      <alignment horizontal="right" vertical="center"/>
    </xf>
    <xf numFmtId="179" fontId="5" fillId="0" borderId="11" xfId="3" applyNumberFormat="1" applyFont="1" applyFill="1" applyBorder="1" applyAlignment="1">
      <alignment horizontal="right" vertical="center"/>
    </xf>
    <xf numFmtId="179" fontId="5" fillId="0" borderId="14" xfId="3" applyNumberFormat="1" applyFont="1" applyFill="1" applyBorder="1" applyAlignment="1">
      <alignment horizontal="right" vertical="center"/>
    </xf>
    <xf numFmtId="184" fontId="5" fillId="0" borderId="11" xfId="0" applyNumberFormat="1" applyFont="1" applyFill="1" applyBorder="1" applyAlignment="1">
      <alignment vertical="center"/>
    </xf>
    <xf numFmtId="188" fontId="5" fillId="0" borderId="11" xfId="0" applyNumberFormat="1" applyFont="1" applyFill="1" applyBorder="1" applyAlignment="1">
      <alignment vertical="center"/>
    </xf>
    <xf numFmtId="189" fontId="5" fillId="0" borderId="11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78" fontId="5" fillId="0" borderId="31" xfId="0" applyNumberFormat="1" applyFont="1" applyFill="1" applyBorder="1" applyAlignment="1">
      <alignment vertical="center"/>
    </xf>
    <xf numFmtId="179" fontId="5" fillId="0" borderId="31" xfId="3" applyNumberFormat="1" applyFont="1" applyFill="1" applyBorder="1" applyAlignment="1">
      <alignment horizontal="right" vertical="center"/>
    </xf>
    <xf numFmtId="179" fontId="5" fillId="0" borderId="32" xfId="3" applyNumberFormat="1" applyFont="1" applyFill="1" applyBorder="1" applyAlignment="1">
      <alignment horizontal="right" vertical="center"/>
    </xf>
    <xf numFmtId="179" fontId="5" fillId="0" borderId="14" xfId="0" applyNumberFormat="1" applyFont="1" applyFill="1" applyBorder="1" applyAlignment="1">
      <alignment vertical="center"/>
    </xf>
    <xf numFmtId="185" fontId="5" fillId="0" borderId="0" xfId="0" applyNumberFormat="1" applyFont="1" applyFill="1" applyBorder="1" applyAlignment="1">
      <alignment vertical="center"/>
    </xf>
    <xf numFmtId="185" fontId="5" fillId="0" borderId="14" xfId="0" applyNumberFormat="1" applyFont="1" applyFill="1" applyBorder="1" applyAlignment="1">
      <alignment vertical="center"/>
    </xf>
    <xf numFmtId="182" fontId="5" fillId="0" borderId="46" xfId="0" applyNumberFormat="1" applyFont="1" applyFill="1" applyBorder="1" applyAlignment="1">
      <alignment vertical="center"/>
    </xf>
    <xf numFmtId="179" fontId="5" fillId="0" borderId="14" xfId="1" applyNumberFormat="1" applyFont="1" applyFill="1" applyBorder="1" applyAlignment="1">
      <alignment vertical="center"/>
    </xf>
    <xf numFmtId="179" fontId="5" fillId="3" borderId="14" xfId="1" applyNumberFormat="1" applyFont="1" applyFill="1" applyBorder="1" applyAlignment="1">
      <alignment vertical="center"/>
    </xf>
    <xf numFmtId="179" fontId="5" fillId="0" borderId="22" xfId="1" applyNumberFormat="1" applyFont="1" applyFill="1" applyBorder="1" applyAlignment="1">
      <alignment vertical="center"/>
    </xf>
    <xf numFmtId="179" fontId="5" fillId="3" borderId="22" xfId="1" applyNumberFormat="1" applyFont="1" applyFill="1" applyBorder="1" applyAlignment="1">
      <alignment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178" fontId="5" fillId="2" borderId="0" xfId="0" applyNumberFormat="1" applyFont="1" applyFill="1" applyAlignment="1">
      <alignment vertical="center"/>
    </xf>
    <xf numFmtId="10" fontId="5" fillId="2" borderId="0" xfId="0" applyNumberFormat="1" applyFont="1" applyFill="1" applyAlignment="1">
      <alignment vertical="center"/>
    </xf>
    <xf numFmtId="178" fontId="5" fillId="0" borderId="0" xfId="0" applyNumberFormat="1" applyFont="1" applyFill="1" applyBorder="1" applyAlignment="1">
      <alignment horizontal="right" vertical="center"/>
    </xf>
    <xf numFmtId="178" fontId="5" fillId="0" borderId="42" xfId="0" applyNumberFormat="1" applyFont="1" applyFill="1" applyBorder="1" applyAlignment="1">
      <alignment vertical="center"/>
    </xf>
    <xf numFmtId="0" fontId="5" fillId="2" borderId="0" xfId="0" applyNumberFormat="1" applyFont="1" applyFill="1" applyAlignment="1">
      <alignment vertical="center"/>
    </xf>
    <xf numFmtId="180" fontId="5" fillId="0" borderId="14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178" fontId="2" fillId="2" borderId="0" xfId="0" applyNumberFormat="1" applyFont="1" applyFill="1" applyAlignment="1">
      <alignment vertical="center"/>
    </xf>
    <xf numFmtId="179" fontId="2" fillId="2" borderId="0" xfId="0" applyNumberFormat="1" applyFont="1" applyFill="1" applyAlignment="1">
      <alignment vertical="center"/>
    </xf>
    <xf numFmtId="179" fontId="5" fillId="2" borderId="0" xfId="0" applyNumberFormat="1" applyFont="1" applyFill="1" applyAlignment="1">
      <alignment vertical="center"/>
    </xf>
    <xf numFmtId="178" fontId="5" fillId="0" borderId="12" xfId="0" applyNumberFormat="1" applyFont="1" applyFill="1" applyBorder="1" applyAlignment="1">
      <alignment vertical="center"/>
    </xf>
    <xf numFmtId="49" fontId="2" fillId="0" borderId="27" xfId="1" applyNumberFormat="1" applyFont="1" applyFill="1" applyBorder="1" applyAlignment="1">
      <alignment horizontal="center" vertical="center" wrapText="1"/>
    </xf>
    <xf numFmtId="178" fontId="5" fillId="2" borderId="0" xfId="0" applyNumberFormat="1" applyFont="1" applyFill="1" applyBorder="1" applyAlignment="1">
      <alignment vertical="center"/>
    </xf>
    <xf numFmtId="49" fontId="2" fillId="0" borderId="10" xfId="1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83" fontId="5" fillId="0" borderId="11" xfId="0" applyNumberFormat="1" applyFont="1" applyFill="1" applyBorder="1" applyAlignment="1">
      <alignment vertical="center"/>
    </xf>
    <xf numFmtId="183" fontId="5" fillId="0" borderId="14" xfId="0" applyNumberFormat="1" applyFont="1" applyFill="1" applyBorder="1" applyAlignment="1">
      <alignment vertical="center"/>
    </xf>
    <xf numFmtId="43" fontId="2" fillId="0" borderId="0" xfId="1" applyNumberFormat="1" applyFont="1" applyFill="1" applyBorder="1" applyAlignment="1">
      <alignment horizontal="center" vertical="center"/>
    </xf>
    <xf numFmtId="183" fontId="5" fillId="0" borderId="14" xfId="1" applyNumberFormat="1" applyFont="1" applyFill="1" applyBorder="1" applyAlignment="1">
      <alignment vertical="center"/>
    </xf>
    <xf numFmtId="183" fontId="5" fillId="0" borderId="12" xfId="1" applyNumberFormat="1" applyFont="1" applyFill="1" applyBorder="1" applyAlignment="1">
      <alignment vertical="center"/>
    </xf>
    <xf numFmtId="183" fontId="5" fillId="0" borderId="7" xfId="0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49" fontId="5" fillId="0" borderId="9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49" fontId="2" fillId="0" borderId="25" xfId="1" applyNumberFormat="1" applyFont="1" applyFill="1" applyBorder="1" applyAlignment="1">
      <alignment horizontal="center" vertical="center" wrapText="1"/>
    </xf>
    <xf numFmtId="178" fontId="5" fillId="0" borderId="9" xfId="0" applyNumberFormat="1" applyFont="1" applyFill="1" applyBorder="1" applyAlignment="1">
      <alignment horizontal="right" vertical="center"/>
    </xf>
    <xf numFmtId="189" fontId="5" fillId="0" borderId="14" xfId="0" applyNumberFormat="1" applyFont="1" applyFill="1" applyBorder="1" applyAlignment="1">
      <alignment vertical="center"/>
    </xf>
    <xf numFmtId="189" fontId="5" fillId="0" borderId="14" xfId="0" applyNumberFormat="1" applyFont="1" applyFill="1" applyBorder="1" applyAlignment="1">
      <alignment horizontal="right" vertical="center"/>
    </xf>
    <xf numFmtId="43" fontId="11" fillId="0" borderId="27" xfId="1" applyNumberFormat="1" applyFont="1" applyFill="1" applyBorder="1" applyAlignment="1">
      <alignment vertical="center"/>
    </xf>
    <xf numFmtId="180" fontId="5" fillId="0" borderId="11" xfId="0" applyNumberFormat="1" applyFont="1" applyFill="1" applyBorder="1" applyAlignment="1">
      <alignment vertical="center"/>
    </xf>
    <xf numFmtId="0" fontId="2" fillId="0" borderId="0" xfId="52" applyFont="1" applyFill="1" applyBorder="1" applyAlignment="1">
      <alignment horizontal="center" vertical="center"/>
    </xf>
    <xf numFmtId="186" fontId="5" fillId="0" borderId="0" xfId="0" applyNumberFormat="1" applyFont="1" applyFill="1" applyAlignment="1">
      <alignment vertical="center"/>
    </xf>
    <xf numFmtId="1" fontId="2" fillId="0" borderId="11" xfId="52" applyNumberFormat="1" applyFont="1" applyFill="1" applyBorder="1" applyAlignment="1">
      <alignment horizontal="center" vertical="center"/>
    </xf>
    <xf numFmtId="43" fontId="5" fillId="0" borderId="31" xfId="1" applyNumberFormat="1" applyFont="1" applyFill="1" applyBorder="1" applyAlignment="1">
      <alignment horizontal="right" vertical="center"/>
    </xf>
    <xf numFmtId="43" fontId="5" fillId="0" borderId="32" xfId="1" applyNumberFormat="1" applyFont="1" applyFill="1" applyBorder="1" applyAlignment="1">
      <alignment horizontal="right" vertical="center"/>
    </xf>
    <xf numFmtId="181" fontId="5" fillId="0" borderId="14" xfId="1" applyNumberFormat="1" applyFont="1" applyFill="1" applyBorder="1" applyAlignment="1">
      <alignment horizontal="right" vertical="center"/>
    </xf>
    <xf numFmtId="181" fontId="5" fillId="0" borderId="14" xfId="1" applyNumberFormat="1" applyFont="1" applyFill="1" applyBorder="1" applyAlignment="1">
      <alignment vertical="center"/>
    </xf>
    <xf numFmtId="180" fontId="5" fillId="0" borderId="14" xfId="1" applyNumberFormat="1" applyFont="1" applyFill="1" applyBorder="1" applyAlignment="1">
      <alignment horizontal="right" vertical="center"/>
    </xf>
    <xf numFmtId="180" fontId="5" fillId="0" borderId="14" xfId="1" applyNumberFormat="1" applyFont="1" applyFill="1" applyBorder="1" applyAlignment="1">
      <alignment vertical="center"/>
    </xf>
    <xf numFmtId="184" fontId="5" fillId="0" borderId="11" xfId="0" applyNumberFormat="1" applyFont="1" applyFill="1" applyBorder="1" applyAlignment="1">
      <alignment horizontal="right" vertical="center"/>
    </xf>
    <xf numFmtId="183" fontId="5" fillId="0" borderId="27" xfId="0" applyNumberFormat="1" applyFont="1" applyFill="1" applyBorder="1" applyAlignment="1">
      <alignment vertical="center"/>
    </xf>
    <xf numFmtId="184" fontId="5" fillId="0" borderId="27" xfId="0" applyNumberFormat="1" applyFont="1" applyFill="1" applyBorder="1" applyAlignment="1">
      <alignment horizontal="right" vertical="center"/>
    </xf>
    <xf numFmtId="179" fontId="5" fillId="0" borderId="27" xfId="3" applyNumberFormat="1" applyFont="1" applyFill="1" applyBorder="1" applyAlignment="1">
      <alignment horizontal="right" vertical="center"/>
    </xf>
    <xf numFmtId="183" fontId="5" fillId="0" borderId="14" xfId="1" applyNumberFormat="1" applyFont="1" applyFill="1" applyBorder="1" applyAlignment="1">
      <alignment horizontal="right" vertical="center"/>
    </xf>
    <xf numFmtId="183" fontId="5" fillId="0" borderId="11" xfId="1" applyNumberFormat="1" applyFont="1" applyFill="1" applyBorder="1" applyAlignment="1">
      <alignment vertical="center"/>
    </xf>
    <xf numFmtId="183" fontId="5" fillId="0" borderId="12" xfId="1" applyNumberFormat="1" applyFont="1" applyFill="1" applyBorder="1" applyAlignment="1">
      <alignment horizontal="right" vertical="center"/>
    </xf>
    <xf numFmtId="179" fontId="5" fillId="0" borderId="10" xfId="3" applyNumberFormat="1" applyFont="1" applyFill="1" applyBorder="1" applyAlignment="1">
      <alignment horizontal="right" vertical="center"/>
    </xf>
    <xf numFmtId="49" fontId="5" fillId="0" borderId="33" xfId="1" applyNumberFormat="1" applyFont="1" applyFill="1" applyBorder="1" applyAlignment="1">
      <alignment horizontal="center" vertical="center" wrapText="1"/>
    </xf>
    <xf numFmtId="43" fontId="5" fillId="0" borderId="21" xfId="1" applyNumberFormat="1" applyFont="1" applyFill="1" applyBorder="1" applyAlignment="1">
      <alignment horizontal="center" vertical="center"/>
    </xf>
    <xf numFmtId="189" fontId="5" fillId="0" borderId="22" xfId="0" applyNumberFormat="1" applyFont="1" applyFill="1" applyBorder="1" applyAlignment="1">
      <alignment horizontal="right" vertical="center"/>
    </xf>
  </cellXfs>
  <cellStyles count="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普通_ 备 品 备 件" xfId="50"/>
    <cellStyle name="百分比 4" xfId="51"/>
    <cellStyle name="常规_power" xfId="52"/>
    <cellStyle name="百分比 2 2" xfId="53"/>
    <cellStyle name="百分比 2 3" xfId="54"/>
    <cellStyle name="百分比 2 2 2" xfId="55"/>
    <cellStyle name="千位分隔[0] 2" xfId="56"/>
    <cellStyle name="千分位[0]_ 备 品 备 件" xfId="57"/>
    <cellStyle name="常规_热力站核算" xfId="58"/>
    <cellStyle name="百分比 3" xfId="59"/>
    <cellStyle name="常规 2" xfId="60"/>
    <cellStyle name="常规 3" xfId="61"/>
    <cellStyle name="常规 4" xfId="62"/>
    <cellStyle name="常规 4 2" xfId="63"/>
    <cellStyle name="常规 5" xfId="64"/>
    <cellStyle name="千分位_ 备 品 备 件" xfId="65"/>
    <cellStyle name="千位[0]_ 损益预测 (2)" xfId="66"/>
    <cellStyle name="千位_ 损益预测 (2)" xfId="67"/>
    <cellStyle name="千位分隔 2" xfId="68"/>
    <cellStyle name="千位分隔 2 2" xfId="69"/>
    <cellStyle name="千位分隔 2 2 2" xfId="70"/>
    <cellStyle name="千位分隔 3" xfId="71"/>
    <cellStyle name="千位分隔_供热公司" xfId="72"/>
    <cellStyle name="千位分隔 5" xfId="73"/>
    <cellStyle name="千位分隔_香海" xfId="74"/>
    <cellStyle name="百分比_香海" xfId="75"/>
    <cellStyle name="千位分隔 4" xfId="76"/>
  </cellStyles>
  <tableStyles count="0" defaultTableStyle="TableStyleMedium2" defaultPivotStyle="PivotStyleLight16"/>
  <colors>
    <mruColors>
      <color rgb="00D9D9D9"/>
      <color rgb="0000B0F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externalLink" Target="externalLinks/externalLink8.xml"/><Relationship Id="rId24" Type="http://schemas.openxmlformats.org/officeDocument/2006/relationships/externalLink" Target="externalLinks/externalLink7.xml"/><Relationship Id="rId23" Type="http://schemas.openxmlformats.org/officeDocument/2006/relationships/externalLink" Target="externalLinks/externalLink6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w\WPS%20Cloud%20Files\.318532066\cachedata\9596217A292C433B913ABE17E3F69EE1\25-26&#20379;&#26262;&#26399;&#20135;&#38144;&#35745;&#210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32508;&#21512;&#34920;(2025)\&#32508;&#21512;&#34920;25.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32508;&#21512;&#34920;(2025)\&#32508;&#21512;&#34920;25.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9983;&#20135;&#25968;&#25454;\2026\&#29983;&#20135;&#26376;&#25253;(2026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9983;&#20135;&#25968;&#25454;\2026\&#38149;&#28809;&#25151;(2026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9983;&#20135;&#25968;&#25454;\2026\&#28909;&#21147;(202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>
        <row r="39">
          <cell r="D39">
            <v>0.55</v>
          </cell>
        </row>
        <row r="40">
          <cell r="D40">
            <v>7592.12</v>
          </cell>
        </row>
        <row r="41">
          <cell r="D41">
            <v>7592.12</v>
          </cell>
        </row>
        <row r="42">
          <cell r="D42">
            <v>397</v>
          </cell>
        </row>
        <row r="43">
          <cell r="D43">
            <v>42</v>
          </cell>
        </row>
        <row r="44">
          <cell r="D44">
            <v>118320</v>
          </cell>
        </row>
        <row r="45">
          <cell r="D45">
            <v>118320</v>
          </cell>
        </row>
        <row r="46">
          <cell r="D46">
            <v>298.035264483627</v>
          </cell>
        </row>
        <row r="47">
          <cell r="D47">
            <v>0.269496035625068</v>
          </cell>
        </row>
        <row r="48">
          <cell r="D48">
            <v>0.0522910596776658</v>
          </cell>
        </row>
        <row r="49">
          <cell r="D49">
            <v>15.5845798011623</v>
          </cell>
        </row>
        <row r="50">
          <cell r="D50">
            <v>5.53205165355658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0-12月对比用表"/>
      <sheetName val="打印用表-下发计划"/>
      <sheetName val="0.集团分单位汇总表"/>
      <sheetName val="1.集团汇总表"/>
      <sheetName val="2.主城区汇总表"/>
      <sheetName val="3.股份本部汇总表"/>
      <sheetName val="4.北海汇总表"/>
      <sheetName val="5.北海热电厂（热电联产）表"/>
      <sheetName val="6.北海热电厂（水炉）表"/>
      <sheetName val="7.北海热电厂（天然气炉）表"/>
      <sheetName val="8.香海热电厂表"/>
      <sheetName val="9.供热公司表"/>
      <sheetName val="10.主城区电锅炉表"/>
      <sheetName val="11.金州热电表"/>
      <sheetName val="12.北方热电表"/>
      <sheetName val="13.金普热电表"/>
      <sheetName val="14.庄河环海表"/>
      <sheetName val="15.研究院表"/>
    </sheetNames>
    <sheetDataSet>
      <sheetData sheetId="0"/>
      <sheetData sheetId="1"/>
      <sheetData sheetId="2"/>
      <sheetData sheetId="3">
        <row r="92">
          <cell r="M92">
            <v>0.0698959893472831</v>
          </cell>
        </row>
      </sheetData>
      <sheetData sheetId="4">
        <row r="15">
          <cell r="M15">
            <v>51000</v>
          </cell>
        </row>
        <row r="25">
          <cell r="M25">
            <v>430000</v>
          </cell>
        </row>
        <row r="92">
          <cell r="M92">
            <v>0.063734328581485</v>
          </cell>
        </row>
      </sheetData>
      <sheetData sheetId="5">
        <row r="16">
          <cell r="M16">
            <v>-6183</v>
          </cell>
        </row>
        <row r="17">
          <cell r="M17">
            <v>149928</v>
          </cell>
        </row>
        <row r="19">
          <cell r="M19">
            <v>16943010.51</v>
          </cell>
        </row>
        <row r="25">
          <cell r="M25">
            <v>100500</v>
          </cell>
        </row>
      </sheetData>
      <sheetData sheetId="6"/>
      <sheetData sheetId="7">
        <row r="7">
          <cell r="M7">
            <v>7582</v>
          </cell>
        </row>
        <row r="8">
          <cell r="M8">
            <v>1196417.594634</v>
          </cell>
        </row>
        <row r="9">
          <cell r="M9">
            <v>29011</v>
          </cell>
        </row>
        <row r="10">
          <cell r="M10">
            <v>1110786</v>
          </cell>
        </row>
        <row r="14">
          <cell r="M14">
            <v>5231</v>
          </cell>
        </row>
        <row r="26">
          <cell r="M26">
            <v>84567</v>
          </cell>
        </row>
        <row r="30">
          <cell r="M30">
            <v>10967</v>
          </cell>
        </row>
        <row r="33">
          <cell r="M33">
            <v>46822</v>
          </cell>
        </row>
        <row r="37">
          <cell r="M37">
            <v>42</v>
          </cell>
        </row>
        <row r="42">
          <cell r="M42">
            <v>125687</v>
          </cell>
        </row>
        <row r="43">
          <cell r="M43">
            <v>57300</v>
          </cell>
        </row>
        <row r="51">
          <cell r="M51">
            <v>113909</v>
          </cell>
        </row>
        <row r="52">
          <cell r="M52">
            <v>21</v>
          </cell>
        </row>
        <row r="53">
          <cell r="M53">
            <v>18</v>
          </cell>
        </row>
        <row r="55">
          <cell r="M55">
            <v>2598</v>
          </cell>
        </row>
        <row r="56">
          <cell r="M56">
            <v>496</v>
          </cell>
        </row>
        <row r="59">
          <cell r="M59">
            <v>1.2</v>
          </cell>
        </row>
        <row r="60">
          <cell r="M60">
            <v>0</v>
          </cell>
        </row>
        <row r="61">
          <cell r="M61">
            <v>40</v>
          </cell>
        </row>
        <row r="65">
          <cell r="M65">
            <v>2351</v>
          </cell>
        </row>
        <row r="66">
          <cell r="M66">
            <v>449.165945022548</v>
          </cell>
        </row>
        <row r="68">
          <cell r="M68">
            <v>360.923602777998</v>
          </cell>
        </row>
        <row r="69">
          <cell r="M69">
            <v>1540.91045219945</v>
          </cell>
        </row>
        <row r="70">
          <cell r="M70">
            <v>0</v>
          </cell>
        </row>
        <row r="75">
          <cell r="M75">
            <v>17019</v>
          </cell>
        </row>
        <row r="76">
          <cell r="M76">
            <v>87</v>
          </cell>
        </row>
      </sheetData>
      <sheetData sheetId="8">
        <row r="8">
          <cell r="M8">
            <v>352330</v>
          </cell>
        </row>
        <row r="26">
          <cell r="M26">
            <v>20712.2222222222</v>
          </cell>
        </row>
        <row r="29">
          <cell r="M29">
            <v>13340</v>
          </cell>
        </row>
        <row r="37">
          <cell r="M37">
            <v>17</v>
          </cell>
        </row>
        <row r="42">
          <cell r="M42">
            <v>10607</v>
          </cell>
        </row>
        <row r="51">
          <cell r="M51">
            <v>2800</v>
          </cell>
        </row>
        <row r="55">
          <cell r="M55">
            <v>491</v>
          </cell>
        </row>
        <row r="56">
          <cell r="M56">
            <v>99</v>
          </cell>
        </row>
        <row r="64">
          <cell r="M64">
            <v>259.027147022548</v>
          </cell>
        </row>
        <row r="69">
          <cell r="M69">
            <v>259.027147022548</v>
          </cell>
        </row>
        <row r="70">
          <cell r="M70">
            <v>0</v>
          </cell>
        </row>
        <row r="75">
          <cell r="M75">
            <v>6963</v>
          </cell>
        </row>
        <row r="76">
          <cell r="M76">
            <v>3.7019</v>
          </cell>
        </row>
      </sheetData>
      <sheetData sheetId="9"/>
      <sheetData sheetId="10">
        <row r="7">
          <cell r="M7">
            <v>5849</v>
          </cell>
        </row>
        <row r="8">
          <cell r="M8">
            <v>835500.11</v>
          </cell>
        </row>
        <row r="9">
          <cell r="M9">
            <v>65000</v>
          </cell>
        </row>
        <row r="10">
          <cell r="M10">
            <v>421558</v>
          </cell>
        </row>
        <row r="11">
          <cell r="M11">
            <v>222082</v>
          </cell>
        </row>
        <row r="14">
          <cell r="M14">
            <v>4387</v>
          </cell>
        </row>
        <row r="26">
          <cell r="M26">
            <v>59828</v>
          </cell>
        </row>
        <row r="29">
          <cell r="M29">
            <v>41037</v>
          </cell>
        </row>
        <row r="30">
          <cell r="M30">
            <v>7329</v>
          </cell>
        </row>
        <row r="33">
          <cell r="M33">
            <v>33708</v>
          </cell>
        </row>
        <row r="37">
          <cell r="M37">
            <v>8</v>
          </cell>
        </row>
        <row r="42">
          <cell r="M42">
            <v>165000</v>
          </cell>
        </row>
        <row r="43">
          <cell r="M43">
            <v>25000</v>
          </cell>
        </row>
        <row r="52">
          <cell r="M52">
            <v>46</v>
          </cell>
        </row>
        <row r="53">
          <cell r="M53">
            <v>37</v>
          </cell>
        </row>
        <row r="55">
          <cell r="M55">
            <v>925</v>
          </cell>
        </row>
        <row r="56">
          <cell r="M56">
            <v>130</v>
          </cell>
        </row>
        <row r="59">
          <cell r="M59">
            <v>0.9</v>
          </cell>
        </row>
        <row r="60">
          <cell r="M60">
            <v>0</v>
          </cell>
        </row>
        <row r="65">
          <cell r="M65">
            <v>1462</v>
          </cell>
        </row>
        <row r="68">
          <cell r="M68">
            <v>246</v>
          </cell>
        </row>
        <row r="69">
          <cell r="M69">
            <v>1131</v>
          </cell>
        </row>
        <row r="70">
          <cell r="M70">
            <v>0</v>
          </cell>
        </row>
        <row r="75">
          <cell r="M75">
            <v>25000</v>
          </cell>
        </row>
        <row r="76">
          <cell r="M76">
            <v>108</v>
          </cell>
        </row>
      </sheetData>
      <sheetData sheetId="11">
        <row r="19">
          <cell r="M19">
            <v>22899999.95</v>
          </cell>
        </row>
        <row r="25">
          <cell r="M25">
            <v>430000</v>
          </cell>
        </row>
        <row r="41">
          <cell r="M41">
            <v>109996.809522245</v>
          </cell>
        </row>
        <row r="63">
          <cell r="M63">
            <v>1460000</v>
          </cell>
        </row>
        <row r="64">
          <cell r="M64">
            <v>750</v>
          </cell>
        </row>
      </sheetData>
      <sheetData sheetId="12">
        <row r="8">
          <cell r="M8">
            <v>397</v>
          </cell>
        </row>
        <row r="19">
          <cell r="M19">
            <v>7592.12</v>
          </cell>
        </row>
        <row r="41">
          <cell r="M41">
            <v>42</v>
          </cell>
        </row>
        <row r="64">
          <cell r="M64">
            <v>11.832</v>
          </cell>
        </row>
      </sheetData>
      <sheetData sheetId="13">
        <row r="7">
          <cell r="M7">
            <v>2300</v>
          </cell>
        </row>
        <row r="8">
          <cell r="M8">
            <v>513000</v>
          </cell>
        </row>
        <row r="11">
          <cell r="M11">
            <v>103000</v>
          </cell>
        </row>
        <row r="14">
          <cell r="M14">
            <v>1620</v>
          </cell>
        </row>
        <row r="19">
          <cell r="M19">
            <v>6555000</v>
          </cell>
        </row>
        <row r="25">
          <cell r="M25">
            <v>9980</v>
          </cell>
        </row>
        <row r="26">
          <cell r="M26">
            <v>34620</v>
          </cell>
        </row>
        <row r="29">
          <cell r="M29">
            <v>25073</v>
          </cell>
        </row>
        <row r="30">
          <cell r="M30">
            <v>4754</v>
          </cell>
        </row>
        <row r="33">
          <cell r="M33">
            <v>20319</v>
          </cell>
        </row>
        <row r="37">
          <cell r="M37">
            <v>15</v>
          </cell>
        </row>
        <row r="41">
          <cell r="M41">
            <v>108630.4</v>
          </cell>
        </row>
        <row r="43">
          <cell r="M43">
            <v>33658.4</v>
          </cell>
        </row>
        <row r="47">
          <cell r="M47">
            <v>19972</v>
          </cell>
        </row>
        <row r="52">
          <cell r="M52">
            <v>14</v>
          </cell>
        </row>
        <row r="53">
          <cell r="M53">
            <v>10</v>
          </cell>
        </row>
        <row r="55">
          <cell r="M55">
            <v>574</v>
          </cell>
        </row>
        <row r="56">
          <cell r="M56">
            <v>384</v>
          </cell>
        </row>
        <row r="59">
          <cell r="M59">
            <v>2</v>
          </cell>
        </row>
        <row r="60">
          <cell r="M60">
            <v>0</v>
          </cell>
        </row>
        <row r="65">
          <cell r="M65">
            <v>680</v>
          </cell>
        </row>
        <row r="68">
          <cell r="M68">
            <v>127</v>
          </cell>
        </row>
        <row r="69">
          <cell r="M69">
            <v>533</v>
          </cell>
        </row>
        <row r="70">
          <cell r="M70">
            <v>189</v>
          </cell>
        </row>
        <row r="73">
          <cell r="M73">
            <v>189</v>
          </cell>
        </row>
        <row r="75">
          <cell r="M75">
            <v>18000</v>
          </cell>
        </row>
        <row r="76">
          <cell r="M76">
            <v>65</v>
          </cell>
        </row>
      </sheetData>
      <sheetData sheetId="14">
        <row r="7">
          <cell r="M7">
            <v>1221</v>
          </cell>
        </row>
        <row r="8">
          <cell r="M8">
            <v>261000</v>
          </cell>
        </row>
        <row r="14">
          <cell r="M14">
            <v>892</v>
          </cell>
        </row>
        <row r="19">
          <cell r="M19">
            <v>3038545</v>
          </cell>
        </row>
        <row r="25">
          <cell r="M25">
            <v>4500</v>
          </cell>
        </row>
        <row r="26">
          <cell r="M26">
            <v>17650</v>
          </cell>
        </row>
        <row r="29">
          <cell r="M29">
            <v>12812.2</v>
          </cell>
        </row>
        <row r="30">
          <cell r="M30">
            <v>2555.142</v>
          </cell>
        </row>
        <row r="33">
          <cell r="M33">
            <v>10257.058</v>
          </cell>
        </row>
        <row r="37">
          <cell r="M37">
            <v>7</v>
          </cell>
        </row>
        <row r="41">
          <cell r="M41">
            <v>38400</v>
          </cell>
        </row>
        <row r="43">
          <cell r="M43">
            <v>14000</v>
          </cell>
        </row>
        <row r="47">
          <cell r="M47">
            <v>14400</v>
          </cell>
        </row>
        <row r="51">
          <cell r="M51">
            <v>0</v>
          </cell>
        </row>
        <row r="52">
          <cell r="M52">
            <v>18</v>
          </cell>
        </row>
        <row r="53">
          <cell r="M53">
            <v>21</v>
          </cell>
        </row>
        <row r="54">
          <cell r="M54">
            <v>830</v>
          </cell>
        </row>
        <row r="55">
          <cell r="M55">
            <v>270</v>
          </cell>
        </row>
        <row r="56">
          <cell r="M56">
            <v>345</v>
          </cell>
        </row>
        <row r="59">
          <cell r="M59">
            <v>0.1</v>
          </cell>
        </row>
        <row r="60">
          <cell r="M60">
            <v>0</v>
          </cell>
        </row>
        <row r="65">
          <cell r="M65">
            <v>329</v>
          </cell>
        </row>
        <row r="68">
          <cell r="M68">
            <v>69.4</v>
          </cell>
        </row>
        <row r="69">
          <cell r="M69">
            <v>259.6</v>
          </cell>
        </row>
        <row r="70">
          <cell r="M70">
            <v>98</v>
          </cell>
        </row>
        <row r="73">
          <cell r="M73">
            <v>98</v>
          </cell>
        </row>
        <row r="75">
          <cell r="M75">
            <v>7400</v>
          </cell>
        </row>
        <row r="76">
          <cell r="M76">
            <v>44</v>
          </cell>
        </row>
      </sheetData>
      <sheetData sheetId="15">
        <row r="8">
          <cell r="M8">
            <v>152729.48017306</v>
          </cell>
        </row>
        <row r="19">
          <cell r="M19">
            <v>1741212</v>
          </cell>
        </row>
        <row r="25">
          <cell r="M25">
            <v>3989.7</v>
          </cell>
        </row>
        <row r="26">
          <cell r="M26">
            <v>12684.95</v>
          </cell>
        </row>
        <row r="29">
          <cell r="M29">
            <v>7651.59099285715</v>
          </cell>
        </row>
        <row r="41">
          <cell r="M41">
            <v>19720</v>
          </cell>
        </row>
        <row r="57">
          <cell r="M57">
            <v>61.48875</v>
          </cell>
        </row>
        <row r="58">
          <cell r="M58">
            <v>22.99</v>
          </cell>
        </row>
        <row r="70">
          <cell r="M70">
            <v>166.91781243</v>
          </cell>
        </row>
      </sheetData>
      <sheetData sheetId="16">
        <row r="5">
          <cell r="M5">
            <v>14</v>
          </cell>
        </row>
        <row r="8">
          <cell r="M8">
            <v>186430</v>
          </cell>
        </row>
        <row r="19">
          <cell r="M19">
            <v>2350000</v>
          </cell>
        </row>
        <row r="26">
          <cell r="M26">
            <v>446</v>
          </cell>
        </row>
        <row r="29">
          <cell r="M29">
            <v>291.747714285714</v>
          </cell>
        </row>
        <row r="40">
          <cell r="M40">
            <v>181300</v>
          </cell>
        </row>
        <row r="41">
          <cell r="M41">
            <v>31000</v>
          </cell>
        </row>
        <row r="57">
          <cell r="M57">
            <v>6.375</v>
          </cell>
        </row>
        <row r="58">
          <cell r="M58">
            <v>2.375</v>
          </cell>
        </row>
        <row r="64">
          <cell r="M64">
            <v>133.79</v>
          </cell>
        </row>
      </sheetData>
      <sheetData sheetId="17">
        <row r="6">
          <cell r="M6">
            <v>13.19</v>
          </cell>
        </row>
        <row r="8">
          <cell r="M8">
            <v>8805</v>
          </cell>
        </row>
        <row r="19">
          <cell r="M19">
            <v>83505</v>
          </cell>
        </row>
        <row r="41">
          <cell r="M41">
            <v>600</v>
          </cell>
        </row>
        <row r="70">
          <cell r="M70">
            <v>201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全口径"/>
      <sheetName val="主城区"/>
      <sheetName val="集团本部"/>
      <sheetName val="股份本部"/>
      <sheetName val="北海"/>
      <sheetName val="北海水炉"/>
      <sheetName val="香海"/>
      <sheetName val="供热公司"/>
      <sheetName val="金州"/>
      <sheetName val="北方"/>
      <sheetName val="金普"/>
      <sheetName val="临海"/>
      <sheetName val="庄河"/>
      <sheetName val="研究院"/>
      <sheetName val="主城区电锅炉"/>
      <sheetName val="恒流"/>
      <sheetName val="天然气炉"/>
      <sheetName val="中水"/>
    </sheetNames>
    <sheetDataSet>
      <sheetData sheetId="0"/>
      <sheetData sheetId="1">
        <row r="3">
          <cell r="G3">
            <v>10723.8669</v>
          </cell>
        </row>
        <row r="4">
          <cell r="G4">
            <v>48270</v>
          </cell>
        </row>
        <row r="5">
          <cell r="G5">
            <v>431877</v>
          </cell>
        </row>
        <row r="7">
          <cell r="G7">
            <v>15044.43</v>
          </cell>
        </row>
        <row r="8">
          <cell r="G8">
            <v>3363790.34449464</v>
          </cell>
        </row>
        <row r="9">
          <cell r="G9">
            <v>320756</v>
          </cell>
        </row>
        <row r="10">
          <cell r="G10">
            <v>2375894.46</v>
          </cell>
        </row>
        <row r="11">
          <cell r="G11">
            <v>93850</v>
          </cell>
        </row>
        <row r="12">
          <cell r="G12">
            <v>232266.77</v>
          </cell>
        </row>
        <row r="13">
          <cell r="G13">
            <v>98.3</v>
          </cell>
        </row>
        <row r="14">
          <cell r="G14">
            <v>810644.3</v>
          </cell>
        </row>
        <row r="15">
          <cell r="G15">
            <v>21789.9</v>
          </cell>
        </row>
        <row r="16">
          <cell r="G16">
            <v>116709</v>
          </cell>
        </row>
        <row r="17">
          <cell r="G17">
            <v>83.22</v>
          </cell>
        </row>
        <row r="18">
          <cell r="G18">
            <v>73.12</v>
          </cell>
        </row>
        <row r="19">
          <cell r="G19">
            <v>837.04</v>
          </cell>
        </row>
        <row r="20">
          <cell r="G20">
            <v>3668.42</v>
          </cell>
        </row>
        <row r="21">
          <cell r="G21">
            <v>1446.976</v>
          </cell>
        </row>
        <row r="22">
          <cell r="G22">
            <v>4.369</v>
          </cell>
        </row>
        <row r="23">
          <cell r="G23">
            <v>0</v>
          </cell>
        </row>
        <row r="24">
          <cell r="G24">
            <v>25</v>
          </cell>
        </row>
        <row r="25">
          <cell r="G25">
            <v>218.3</v>
          </cell>
        </row>
        <row r="26">
          <cell r="G26">
            <v>96729</v>
          </cell>
        </row>
        <row r="27">
          <cell r="G27">
            <v>3449610</v>
          </cell>
        </row>
        <row r="28">
          <cell r="G28">
            <v>90983</v>
          </cell>
        </row>
        <row r="29">
          <cell r="G29">
            <v>1650.9018018</v>
          </cell>
        </row>
        <row r="30">
          <cell r="G30">
            <v>4320.5631</v>
          </cell>
        </row>
        <row r="31">
          <cell r="G31">
            <v>713.110578865175</v>
          </cell>
        </row>
        <row r="32">
          <cell r="G32">
            <v>3068.14214613482</v>
          </cell>
        </row>
        <row r="33">
          <cell r="G33">
            <v>157462.539241068</v>
          </cell>
        </row>
        <row r="34">
          <cell r="G34">
            <v>23416.1296654892</v>
          </cell>
        </row>
        <row r="35">
          <cell r="G35">
            <v>134046.409575579</v>
          </cell>
        </row>
        <row r="37">
          <cell r="G37">
            <v>0</v>
          </cell>
        </row>
        <row r="38">
          <cell r="G38">
            <v>0.287186892424638</v>
          </cell>
        </row>
        <row r="39">
          <cell r="G39">
            <v>155.646506152039</v>
          </cell>
        </row>
        <row r="40">
          <cell r="G40">
            <v>163.391303880623</v>
          </cell>
        </row>
        <row r="41">
          <cell r="G41">
            <v>39.9546123076543</v>
          </cell>
        </row>
        <row r="42">
          <cell r="G42">
            <v>3.62076780920774</v>
          </cell>
        </row>
        <row r="43">
          <cell r="G43">
            <v>0.157634946843806</v>
          </cell>
        </row>
        <row r="44">
          <cell r="G44">
            <v>0.0667516167963607</v>
          </cell>
        </row>
        <row r="45">
          <cell r="G45">
            <v>0.752269645257296</v>
          </cell>
        </row>
        <row r="46">
          <cell r="G46">
            <v>0.473574328042678</v>
          </cell>
        </row>
      </sheetData>
      <sheetData sheetId="2">
        <row r="3">
          <cell r="G3">
            <v>11627.856</v>
          </cell>
        </row>
        <row r="4">
          <cell r="G4">
            <v>8297.9709</v>
          </cell>
        </row>
        <row r="5">
          <cell r="G5">
            <v>93850</v>
          </cell>
        </row>
        <row r="6">
          <cell r="G6">
            <v>2232740.4819</v>
          </cell>
        </row>
        <row r="7">
          <cell r="G7">
            <v>217507</v>
          </cell>
        </row>
        <row r="8">
          <cell r="G8">
            <v>1737820</v>
          </cell>
        </row>
        <row r="9">
          <cell r="G9">
            <v>48270</v>
          </cell>
        </row>
        <row r="10">
          <cell r="G10">
            <v>414571</v>
          </cell>
        </row>
        <row r="11">
          <cell r="G11">
            <v>22164541.47</v>
          </cell>
        </row>
        <row r="12">
          <cell r="G12">
            <v>154156</v>
          </cell>
        </row>
        <row r="13">
          <cell r="G13">
            <v>73.5</v>
          </cell>
        </row>
        <row r="14">
          <cell r="G14">
            <v>548648</v>
          </cell>
        </row>
        <row r="15">
          <cell r="G15">
            <v>60</v>
          </cell>
        </row>
        <row r="16">
          <cell r="G16">
            <v>55</v>
          </cell>
        </row>
        <row r="17">
          <cell r="G17">
            <v>2731</v>
          </cell>
        </row>
        <row r="18">
          <cell r="G18">
            <v>633.63</v>
          </cell>
        </row>
        <row r="19">
          <cell r="G19">
            <v>2.25</v>
          </cell>
        </row>
        <row r="20">
          <cell r="G20">
            <v>0</v>
          </cell>
        </row>
        <row r="21">
          <cell r="G21">
            <v>69222</v>
          </cell>
        </row>
        <row r="22">
          <cell r="G22">
            <v>2316899</v>
          </cell>
        </row>
        <row r="23">
          <cell r="G23">
            <v>90983</v>
          </cell>
        </row>
        <row r="24">
          <cell r="G24">
            <v>3329.8851</v>
          </cell>
        </row>
        <row r="25">
          <cell r="G25">
            <v>516.74749</v>
          </cell>
        </row>
        <row r="26">
          <cell r="G26">
            <v>2273.827235</v>
          </cell>
        </row>
        <row r="28">
          <cell r="G28">
            <v>103579.836964984</v>
          </cell>
        </row>
        <row r="29">
          <cell r="G29">
            <v>16136.6</v>
          </cell>
        </row>
        <row r="30">
          <cell r="G30">
            <v>87443.2369649835</v>
          </cell>
        </row>
        <row r="31">
          <cell r="G31">
            <v>103472.812330934</v>
          </cell>
        </row>
        <row r="32">
          <cell r="G32">
            <v>0.286371374052104</v>
          </cell>
        </row>
        <row r="33">
          <cell r="G33">
            <v>138.775368391215</v>
          </cell>
        </row>
        <row r="34">
          <cell r="G34">
            <v>145.229433998211</v>
          </cell>
        </row>
        <row r="35">
          <cell r="G35">
            <v>39.171049470648</v>
          </cell>
        </row>
        <row r="36">
          <cell r="G36">
            <v>19676.8957364942</v>
          </cell>
        </row>
        <row r="37">
          <cell r="G37">
            <v>0.0605619461443341</v>
          </cell>
        </row>
        <row r="38">
          <cell r="G38">
            <v>0.781441935483871</v>
          </cell>
        </row>
        <row r="39">
          <cell r="G39">
            <v>0.499003201103257</v>
          </cell>
        </row>
      </sheetData>
      <sheetData sheetId="3">
        <row r="3">
          <cell r="G3">
            <v>5823.936</v>
          </cell>
        </row>
        <row r="4">
          <cell r="G4">
            <v>4365.4248</v>
          </cell>
        </row>
        <row r="5">
          <cell r="G5">
            <v>996043.055266</v>
          </cell>
        </row>
        <row r="6">
          <cell r="G6">
            <v>840392.887266</v>
          </cell>
        </row>
        <row r="7">
          <cell r="G7">
            <v>4971.168</v>
          </cell>
        </row>
        <row r="8">
          <cell r="G8">
            <v>150679</v>
          </cell>
        </row>
        <row r="9">
          <cell r="G9">
            <v>48270</v>
          </cell>
        </row>
        <row r="10">
          <cell r="G10">
            <v>317566</v>
          </cell>
        </row>
        <row r="11">
          <cell r="G11">
            <v>6061989.44</v>
          </cell>
        </row>
        <row r="12">
          <cell r="G12">
            <v>61990</v>
          </cell>
        </row>
        <row r="13">
          <cell r="G13">
            <v>15</v>
          </cell>
        </row>
        <row r="14">
          <cell r="G14">
            <v>327634</v>
          </cell>
        </row>
        <row r="15">
          <cell r="G15">
            <v>46</v>
          </cell>
        </row>
        <row r="16">
          <cell r="G16">
            <v>37</v>
          </cell>
        </row>
        <row r="17">
          <cell r="G17">
            <v>840</v>
          </cell>
        </row>
        <row r="18">
          <cell r="G18">
            <v>113</v>
          </cell>
        </row>
        <row r="19">
          <cell r="G19">
            <v>1</v>
          </cell>
        </row>
        <row r="20">
          <cell r="G20">
            <v>0</v>
          </cell>
        </row>
        <row r="21">
          <cell r="G21">
            <v>25240</v>
          </cell>
        </row>
        <row r="22">
          <cell r="G22">
            <v>1075554</v>
          </cell>
        </row>
        <row r="23">
          <cell r="G23">
            <v>26263</v>
          </cell>
        </row>
        <row r="24">
          <cell r="G24">
            <v>1458.5112</v>
          </cell>
        </row>
        <row r="25">
          <cell r="G25">
            <v>255.8652</v>
          </cell>
        </row>
        <row r="26">
          <cell r="G26">
            <v>1117.539</v>
          </cell>
        </row>
        <row r="28">
          <cell r="G28">
            <v>40896.5569649835</v>
          </cell>
        </row>
        <row r="29">
          <cell r="G29">
            <v>7619</v>
          </cell>
        </row>
        <row r="30">
          <cell r="G30">
            <v>33277.5569649835</v>
          </cell>
        </row>
        <row r="31">
          <cell r="G31">
            <v>40874.7723309335</v>
          </cell>
        </row>
        <row r="32">
          <cell r="G32">
            <v>0.250433933339927</v>
          </cell>
        </row>
        <row r="33">
          <cell r="G33">
            <v>130.822179364608</v>
          </cell>
        </row>
        <row r="34">
          <cell r="G34">
            <v>136.833748593858</v>
          </cell>
        </row>
        <row r="35">
          <cell r="G35">
            <v>39.597618529642</v>
          </cell>
        </row>
        <row r="36">
          <cell r="G36">
            <v>19325.0173814325</v>
          </cell>
        </row>
        <row r="37">
          <cell r="G37">
            <v>0.782787096774194</v>
          </cell>
        </row>
        <row r="38">
          <cell r="G38">
            <v>0.594255225350786</v>
          </cell>
        </row>
      </sheetData>
      <sheetData sheetId="4">
        <row r="3">
          <cell r="G3">
            <v>5803.92</v>
          </cell>
        </row>
        <row r="4">
          <cell r="G4">
            <v>3932.5461</v>
          </cell>
        </row>
        <row r="5">
          <cell r="G5">
            <v>29011</v>
          </cell>
        </row>
        <row r="6">
          <cell r="G6">
            <v>1392347.594634</v>
          </cell>
        </row>
        <row r="7">
          <cell r="G7">
            <v>1306319</v>
          </cell>
        </row>
        <row r="8">
          <cell r="G8">
            <v>1684</v>
          </cell>
        </row>
        <row r="9">
          <cell r="G9">
            <v>150679</v>
          </cell>
        </row>
        <row r="10">
          <cell r="G10">
            <v>97005</v>
          </cell>
        </row>
        <row r="11">
          <cell r="G11">
            <v>16102552.03</v>
          </cell>
        </row>
        <row r="12">
          <cell r="G12">
            <v>92166</v>
          </cell>
        </row>
        <row r="13">
          <cell r="G13">
            <v>58.5</v>
          </cell>
        </row>
        <row r="14">
          <cell r="G14">
            <v>221014</v>
          </cell>
        </row>
        <row r="15">
          <cell r="G15">
            <v>14</v>
          </cell>
        </row>
        <row r="16">
          <cell r="G16">
            <v>18</v>
          </cell>
        </row>
        <row r="17">
          <cell r="G17">
            <v>1891</v>
          </cell>
        </row>
        <row r="18">
          <cell r="G18">
            <v>520.63</v>
          </cell>
        </row>
        <row r="19">
          <cell r="G19">
            <v>1.25</v>
          </cell>
        </row>
        <row r="20">
          <cell r="G20">
            <v>0</v>
          </cell>
        </row>
        <row r="22">
          <cell r="G22">
            <v>62683.28</v>
          </cell>
        </row>
        <row r="23">
          <cell r="G23">
            <v>8517.6</v>
          </cell>
        </row>
        <row r="24">
          <cell r="G24">
            <v>54165.68</v>
          </cell>
        </row>
        <row r="25">
          <cell r="G25">
            <v>62598.04</v>
          </cell>
        </row>
        <row r="26">
          <cell r="G26">
            <v>0.32243275234669</v>
          </cell>
        </row>
        <row r="27">
          <cell r="G27">
            <v>146.755985609726</v>
          </cell>
        </row>
        <row r="28">
          <cell r="G28">
            <v>153.663035426111</v>
          </cell>
        </row>
        <row r="29">
          <cell r="G29">
            <v>38.9135075690257</v>
          </cell>
        </row>
        <row r="30">
          <cell r="G30">
            <v>19905.6415198663</v>
          </cell>
        </row>
        <row r="31">
          <cell r="G31">
            <v>0.780096774193549</v>
          </cell>
        </row>
        <row r="32">
          <cell r="G32">
            <v>0.454984935992151</v>
          </cell>
        </row>
      </sheetData>
      <sheetData sheetId="5">
        <row r="3">
          <cell r="G3">
            <v>5803.92</v>
          </cell>
        </row>
        <row r="4">
          <cell r="G4">
            <v>3932.5461</v>
          </cell>
        </row>
        <row r="5">
          <cell r="G5">
            <v>29011</v>
          </cell>
        </row>
        <row r="6">
          <cell r="G6">
            <v>962532.594634</v>
          </cell>
        </row>
        <row r="7">
          <cell r="G7">
            <v>876901</v>
          </cell>
        </row>
        <row r="8">
          <cell r="G8">
            <v>8517.6</v>
          </cell>
        </row>
        <row r="9">
          <cell r="G9">
            <v>37752.04</v>
          </cell>
        </row>
        <row r="10">
          <cell r="G10">
            <v>46269.64</v>
          </cell>
        </row>
        <row r="12">
          <cell r="G12">
            <v>65510</v>
          </cell>
        </row>
        <row r="13">
          <cell r="G13">
            <v>18</v>
          </cell>
        </row>
        <row r="14">
          <cell r="G14">
            <v>14</v>
          </cell>
        </row>
        <row r="15">
          <cell r="G15">
            <v>376.96</v>
          </cell>
        </row>
        <row r="16">
          <cell r="G16">
            <v>1.2</v>
          </cell>
        </row>
        <row r="17">
          <cell r="G17">
            <v>0</v>
          </cell>
        </row>
        <row r="18">
          <cell r="G18">
            <v>25</v>
          </cell>
        </row>
        <row r="19">
          <cell r="G19">
            <v>37019</v>
          </cell>
        </row>
        <row r="20">
          <cell r="G20">
            <v>874260</v>
          </cell>
        </row>
        <row r="21">
          <cell r="G21">
            <v>64720</v>
          </cell>
        </row>
        <row r="22">
          <cell r="G22">
            <v>145687</v>
          </cell>
        </row>
        <row r="23">
          <cell r="G23">
            <v>113909</v>
          </cell>
        </row>
        <row r="24">
          <cell r="G24">
            <v>41.4</v>
          </cell>
        </row>
        <row r="25">
          <cell r="G25">
            <v>1581</v>
          </cell>
        </row>
        <row r="26">
          <cell r="G26">
            <v>0</v>
          </cell>
        </row>
        <row r="27">
          <cell r="G27">
            <v>1871.3739</v>
          </cell>
        </row>
        <row r="28">
          <cell r="G28">
            <v>260.88229</v>
          </cell>
        </row>
        <row r="29">
          <cell r="G29">
            <v>1156.288235</v>
          </cell>
        </row>
        <row r="30">
          <cell r="G30">
            <v>0.32243275234669</v>
          </cell>
        </row>
        <row r="31">
          <cell r="G31">
            <v>0.0449493256281961</v>
          </cell>
        </row>
        <row r="32">
          <cell r="G32">
            <v>12.0129774456072</v>
          </cell>
        </row>
        <row r="33">
          <cell r="G33">
            <v>146.755985609726</v>
          </cell>
        </row>
        <row r="34">
          <cell r="G34">
            <v>153.663035426111</v>
          </cell>
        </row>
        <row r="35">
          <cell r="G35">
            <v>39.2215704802756</v>
          </cell>
        </row>
        <row r="36">
          <cell r="G36">
            <v>3.70067745869654</v>
          </cell>
        </row>
        <row r="37">
          <cell r="G37">
            <v>0.129043488788192</v>
          </cell>
        </row>
        <row r="38">
          <cell r="G38">
            <v>80115</v>
          </cell>
        </row>
        <row r="39">
          <cell r="G39">
            <v>57922</v>
          </cell>
        </row>
        <row r="40">
          <cell r="G40">
            <v>20673.2216540986</v>
          </cell>
        </row>
        <row r="41">
          <cell r="G41">
            <v>20158.7629748137</v>
          </cell>
        </row>
        <row r="42">
          <cell r="G42">
            <v>0.814204891688782</v>
          </cell>
        </row>
        <row r="43">
          <cell r="G43">
            <v>6.79890733324426</v>
          </cell>
        </row>
        <row r="44">
          <cell r="G44">
            <v>0.815913847611522</v>
          </cell>
        </row>
        <row r="45">
          <cell r="G45">
            <v>0.780096774193549</v>
          </cell>
        </row>
        <row r="46">
          <cell r="G46">
            <v>0.622822359758743</v>
          </cell>
        </row>
      </sheetData>
      <sheetData sheetId="6">
        <row r="4">
          <cell r="G4">
            <v>429418</v>
          </cell>
        </row>
        <row r="5">
          <cell r="G5">
            <v>26656</v>
          </cell>
        </row>
        <row r="6">
          <cell r="G6">
            <v>17.1</v>
          </cell>
        </row>
        <row r="7">
          <cell r="G7">
            <v>16413.64</v>
          </cell>
        </row>
        <row r="9">
          <cell r="G9">
            <v>10607</v>
          </cell>
        </row>
        <row r="10">
          <cell r="G10">
            <v>2800</v>
          </cell>
        </row>
        <row r="11">
          <cell r="G11">
            <v>302.79476</v>
          </cell>
        </row>
        <row r="12">
          <cell r="G12">
            <v>302.79476</v>
          </cell>
        </row>
        <row r="13">
          <cell r="G13">
            <v>0</v>
          </cell>
        </row>
        <row r="14">
          <cell r="G14">
            <v>6963</v>
          </cell>
        </row>
        <row r="15">
          <cell r="G15">
            <v>367085</v>
          </cell>
        </row>
        <row r="16">
          <cell r="G16">
            <v>310</v>
          </cell>
        </row>
        <row r="17">
          <cell r="G17">
            <v>143.67</v>
          </cell>
        </row>
        <row r="18">
          <cell r="G18">
            <v>7.05128243343316</v>
          </cell>
        </row>
        <row r="19">
          <cell r="G19">
            <v>38.2229901867178</v>
          </cell>
        </row>
        <row r="20">
          <cell r="G20">
            <v>18019.2304081633</v>
          </cell>
        </row>
        <row r="21">
          <cell r="G21">
            <v>0.892666338302731</v>
          </cell>
        </row>
        <row r="22">
          <cell r="G22">
            <v>0.460707799475412</v>
          </cell>
        </row>
      </sheetData>
      <sheetData sheetId="7">
        <row r="3">
          <cell r="G3">
            <v>5823.936</v>
          </cell>
        </row>
        <row r="4">
          <cell r="G4">
            <v>4365.4248</v>
          </cell>
        </row>
        <row r="5">
          <cell r="G5">
            <v>64839</v>
          </cell>
        </row>
        <row r="6">
          <cell r="G6">
            <v>840392.887266</v>
          </cell>
        </row>
        <row r="7">
          <cell r="G7">
            <v>217507</v>
          </cell>
        </row>
        <row r="8">
          <cell r="G8">
            <v>431501</v>
          </cell>
        </row>
        <row r="9">
          <cell r="G9">
            <v>7619</v>
          </cell>
        </row>
        <row r="10">
          <cell r="G10">
            <v>33277.5569649835</v>
          </cell>
        </row>
        <row r="11">
          <cell r="G11">
            <v>40896.5569649835</v>
          </cell>
        </row>
        <row r="13">
          <cell r="G13">
            <v>61990</v>
          </cell>
        </row>
        <row r="14">
          <cell r="G14">
            <v>37</v>
          </cell>
        </row>
        <row r="15">
          <cell r="G15">
            <v>46</v>
          </cell>
        </row>
        <row r="16">
          <cell r="G16">
            <v>113</v>
          </cell>
        </row>
        <row r="17">
          <cell r="G17">
            <v>1</v>
          </cell>
        </row>
        <row r="18">
          <cell r="G18">
            <v>0</v>
          </cell>
        </row>
        <row r="19">
          <cell r="G19">
            <v>25240</v>
          </cell>
        </row>
        <row r="20">
          <cell r="G20">
            <v>1075554</v>
          </cell>
        </row>
        <row r="21">
          <cell r="G21">
            <v>26263</v>
          </cell>
        </row>
        <row r="22">
          <cell r="G22">
            <v>162989</v>
          </cell>
        </row>
        <row r="23">
          <cell r="G23">
            <v>15</v>
          </cell>
        </row>
        <row r="24">
          <cell r="G24">
            <v>840</v>
          </cell>
        </row>
        <row r="25">
          <cell r="G25">
            <v>0</v>
          </cell>
        </row>
        <row r="26">
          <cell r="G26">
            <v>1458.5112</v>
          </cell>
        </row>
        <row r="27">
          <cell r="G27">
            <v>255.8652</v>
          </cell>
        </row>
        <row r="28">
          <cell r="G28">
            <v>1117.539</v>
          </cell>
        </row>
        <row r="29">
          <cell r="G29">
            <v>0.250433933339927</v>
          </cell>
        </row>
        <row r="30">
          <cell r="G30">
            <v>0.0439333811360564</v>
          </cell>
        </row>
        <row r="31">
          <cell r="G31">
            <v>13.2978160207379</v>
          </cell>
        </row>
        <row r="32">
          <cell r="G32">
            <v>130.822179364608</v>
          </cell>
        </row>
        <row r="33">
          <cell r="G33">
            <v>136.833748593858</v>
          </cell>
        </row>
        <row r="34">
          <cell r="G34">
            <v>39.597618529642</v>
          </cell>
        </row>
        <row r="35">
          <cell r="G35">
            <v>3.24850181647561</v>
          </cell>
        </row>
        <row r="36">
          <cell r="G36">
            <v>0.175479749483273</v>
          </cell>
        </row>
        <row r="37">
          <cell r="G37">
            <v>62372</v>
          </cell>
        </row>
        <row r="38">
          <cell r="G38">
            <v>10148</v>
          </cell>
        </row>
        <row r="39">
          <cell r="G39">
            <v>19325.0173814325</v>
          </cell>
        </row>
        <row r="40">
          <cell r="G40">
            <v>20066</v>
          </cell>
        </row>
        <row r="41">
          <cell r="G41">
            <v>0.832275055403787</v>
          </cell>
        </row>
        <row r="42">
          <cell r="G42">
            <v>5.34753155489015</v>
          </cell>
        </row>
        <row r="43">
          <cell r="G43">
            <v>0.813700698410295</v>
          </cell>
        </row>
        <row r="44">
          <cell r="G44">
            <v>0.782787096774194</v>
          </cell>
        </row>
        <row r="45">
          <cell r="G45">
            <v>0.594255225350786</v>
          </cell>
        </row>
      </sheetData>
      <sheetData sheetId="8">
        <row r="3">
          <cell r="G3">
            <v>22156949.35</v>
          </cell>
        </row>
        <row r="5">
          <cell r="G5">
            <v>414571</v>
          </cell>
        </row>
        <row r="6">
          <cell r="G6">
            <v>2232343.4819</v>
          </cell>
        </row>
        <row r="7">
          <cell r="G7">
            <v>1341930.76682</v>
          </cell>
        </row>
        <row r="8">
          <cell r="G8">
            <v>35238</v>
          </cell>
        </row>
        <row r="9">
          <cell r="G9">
            <v>168815</v>
          </cell>
        </row>
        <row r="10">
          <cell r="G10">
            <v>0</v>
          </cell>
        </row>
        <row r="11">
          <cell r="G11">
            <v>1076268</v>
          </cell>
        </row>
        <row r="12">
          <cell r="G12">
            <v>229323</v>
          </cell>
        </row>
        <row r="13">
          <cell r="G13">
            <v>704.9947108</v>
          </cell>
        </row>
        <row r="15">
          <cell r="G15">
            <v>0.0255724675310651</v>
          </cell>
        </row>
        <row r="21">
          <cell r="G21">
            <v>7</v>
          </cell>
        </row>
        <row r="22">
          <cell r="G22">
            <v>-10</v>
          </cell>
        </row>
        <row r="23">
          <cell r="G23" t="str">
            <v>2.8   -3.1</v>
          </cell>
        </row>
        <row r="24">
          <cell r="G24">
            <v>2748.39</v>
          </cell>
        </row>
        <row r="25">
          <cell r="G25">
            <v>2043</v>
          </cell>
        </row>
        <row r="26">
          <cell r="G26">
            <v>2043</v>
          </cell>
        </row>
        <row r="27">
          <cell r="G27">
            <v>1</v>
          </cell>
        </row>
        <row r="28">
          <cell r="G28">
            <v>2917</v>
          </cell>
        </row>
        <row r="29">
          <cell r="G29">
            <v>2917</v>
          </cell>
        </row>
        <row r="30">
          <cell r="G30">
            <v>1</v>
          </cell>
        </row>
        <row r="31">
          <cell r="G31">
            <v>744</v>
          </cell>
        </row>
        <row r="32">
          <cell r="G32">
            <v>43</v>
          </cell>
        </row>
        <row r="33">
          <cell r="G33">
            <v>43</v>
          </cell>
        </row>
        <row r="34">
          <cell r="G34">
            <v>1</v>
          </cell>
        </row>
      </sheetData>
      <sheetData sheetId="9">
        <row r="3">
          <cell r="G3">
            <v>2213.064</v>
          </cell>
        </row>
        <row r="4">
          <cell r="G4">
            <v>1552.32</v>
          </cell>
        </row>
        <row r="5">
          <cell r="G5">
            <v>491140</v>
          </cell>
        </row>
        <row r="6">
          <cell r="G6">
            <v>103249</v>
          </cell>
        </row>
        <row r="7">
          <cell r="G7">
            <v>9073</v>
          </cell>
        </row>
        <row r="8">
          <cell r="G8">
            <v>6547599</v>
          </cell>
        </row>
        <row r="9">
          <cell r="G9">
            <v>4614</v>
          </cell>
        </row>
        <row r="10">
          <cell r="G10">
            <v>19444</v>
          </cell>
        </row>
        <row r="11">
          <cell r="G11">
            <v>24058</v>
          </cell>
        </row>
        <row r="13">
          <cell r="G13">
            <v>34632</v>
          </cell>
        </row>
        <row r="14">
          <cell r="G14">
            <v>11</v>
          </cell>
        </row>
        <row r="15">
          <cell r="G15">
            <v>16.5</v>
          </cell>
        </row>
        <row r="16">
          <cell r="G16">
            <v>427</v>
          </cell>
        </row>
        <row r="17">
          <cell r="G17">
            <v>2</v>
          </cell>
        </row>
        <row r="18">
          <cell r="G18">
            <v>0</v>
          </cell>
        </row>
        <row r="19">
          <cell r="G19">
            <v>20020</v>
          </cell>
        </row>
        <row r="20">
          <cell r="G20">
            <v>691699</v>
          </cell>
        </row>
        <row r="21">
          <cell r="G21">
            <v>125994</v>
          </cell>
        </row>
        <row r="22">
          <cell r="G22">
            <v>64121</v>
          </cell>
        </row>
        <row r="23">
          <cell r="G23">
            <v>16</v>
          </cell>
        </row>
        <row r="24">
          <cell r="G24">
            <v>638</v>
          </cell>
        </row>
        <row r="25">
          <cell r="G25">
            <v>199</v>
          </cell>
        </row>
        <row r="26">
          <cell r="G26">
            <v>199</v>
          </cell>
        </row>
        <row r="27">
          <cell r="G27">
            <v>660.744</v>
          </cell>
        </row>
        <row r="28">
          <cell r="G28">
            <v>126.7349</v>
          </cell>
        </row>
        <row r="29">
          <cell r="G29">
            <v>534.0091</v>
          </cell>
        </row>
        <row r="30">
          <cell r="G30">
            <v>0.298565247096333</v>
          </cell>
        </row>
        <row r="31">
          <cell r="G31">
            <v>0.0572667125758676</v>
          </cell>
        </row>
        <row r="32">
          <cell r="G32">
            <v>10.8728488821925</v>
          </cell>
        </row>
        <row r="33">
          <cell r="G33">
            <v>208.489225797356</v>
          </cell>
        </row>
        <row r="34">
          <cell r="G34">
            <v>221.153987642697</v>
          </cell>
        </row>
        <row r="35">
          <cell r="G35">
            <v>39.5895264079489</v>
          </cell>
        </row>
        <row r="36">
          <cell r="G36">
            <v>5.36198099083873</v>
          </cell>
        </row>
        <row r="37">
          <cell r="G37">
            <v>0.232372832390949</v>
          </cell>
        </row>
        <row r="38">
          <cell r="G38">
            <v>23611.8</v>
          </cell>
        </row>
        <row r="39">
          <cell r="G39">
            <v>13468.56</v>
          </cell>
        </row>
        <row r="40">
          <cell r="G40">
            <v>20340.0837375837</v>
          </cell>
        </row>
        <row r="41">
          <cell r="G41">
            <v>21020.9</v>
          </cell>
        </row>
        <row r="42">
          <cell r="G42">
            <v>0.775829383221079</v>
          </cell>
        </row>
        <row r="43">
          <cell r="G43">
            <v>8.7886375088756</v>
          </cell>
        </row>
        <row r="44">
          <cell r="G44">
            <v>0.80821348408014</v>
          </cell>
        </row>
        <row r="45">
          <cell r="G45">
            <v>0.0736250036081929</v>
          </cell>
        </row>
        <row r="46">
          <cell r="G46">
            <v>0.826263440860215</v>
          </cell>
        </row>
        <row r="47">
          <cell r="G47">
            <v>0.442924321391674</v>
          </cell>
        </row>
      </sheetData>
      <sheetData sheetId="10">
        <row r="3">
          <cell r="G3">
            <v>1203.51</v>
          </cell>
        </row>
        <row r="4">
          <cell r="G4">
            <v>873.576</v>
          </cell>
        </row>
        <row r="5">
          <cell r="G5">
            <v>250183.46</v>
          </cell>
        </row>
        <row r="6">
          <cell r="G6">
            <v>4203</v>
          </cell>
        </row>
        <row r="7">
          <cell r="G7">
            <v>3008545.17</v>
          </cell>
        </row>
        <row r="8">
          <cell r="G8">
            <v>2665.52966548918</v>
          </cell>
        </row>
        <row r="9">
          <cell r="G9">
            <v>9965.11431631004</v>
          </cell>
        </row>
        <row r="10">
          <cell r="G10">
            <v>12630.6439817992</v>
          </cell>
        </row>
        <row r="12">
          <cell r="G12">
            <v>17767.37</v>
          </cell>
        </row>
        <row r="13">
          <cell r="G13">
            <v>7.12</v>
          </cell>
        </row>
        <row r="14">
          <cell r="G14">
            <v>6.72</v>
          </cell>
        </row>
        <row r="15">
          <cell r="G15">
            <v>386.346</v>
          </cell>
        </row>
        <row r="16">
          <cell r="G16">
            <v>0.119</v>
          </cell>
        </row>
        <row r="17">
          <cell r="G17">
            <v>0</v>
          </cell>
        </row>
        <row r="18">
          <cell r="G18">
            <v>7487</v>
          </cell>
        </row>
        <row r="19">
          <cell r="G19">
            <v>441012</v>
          </cell>
        </row>
        <row r="20">
          <cell r="G20">
            <v>43108.9</v>
          </cell>
        </row>
        <row r="21">
          <cell r="G21">
            <v>21789.9</v>
          </cell>
        </row>
        <row r="22">
          <cell r="G22">
            <v>32644</v>
          </cell>
        </row>
        <row r="23">
          <cell r="G23">
            <v>8.8</v>
          </cell>
        </row>
        <row r="24">
          <cell r="G24">
            <v>837.04</v>
          </cell>
        </row>
        <row r="25">
          <cell r="G25">
            <v>299.42</v>
          </cell>
        </row>
        <row r="26">
          <cell r="G26">
            <v>100.3755</v>
          </cell>
        </row>
        <row r="27">
          <cell r="G27">
            <v>100.3755</v>
          </cell>
        </row>
        <row r="28">
          <cell r="G28">
            <v>329.934</v>
          </cell>
        </row>
        <row r="29">
          <cell r="G29">
            <v>69.6281888651753</v>
          </cell>
        </row>
        <row r="30">
          <cell r="G30">
            <v>260.305811134825</v>
          </cell>
        </row>
        <row r="31">
          <cell r="G31">
            <v>0.274143131340828</v>
          </cell>
        </row>
        <row r="32">
          <cell r="G32">
            <v>0.0578542669900336</v>
          </cell>
        </row>
        <row r="33">
          <cell r="G33">
            <v>10.4045971358308</v>
          </cell>
        </row>
        <row r="34">
          <cell r="G34">
            <v>221.479644164916</v>
          </cell>
        </row>
        <row r="35">
          <cell r="G35">
            <v>235.080026799392</v>
          </cell>
        </row>
        <row r="36">
          <cell r="G36">
            <v>39.8312275172389</v>
          </cell>
        </row>
        <row r="37">
          <cell r="G37">
            <v>1.83503100203072</v>
          </cell>
        </row>
        <row r="38">
          <cell r="G38">
            <v>0.163481717931098</v>
          </cell>
        </row>
        <row r="39">
          <cell r="G39">
            <v>27004.62</v>
          </cell>
        </row>
        <row r="40">
          <cell r="G40">
            <v>17683.45</v>
          </cell>
        </row>
        <row r="41">
          <cell r="G41">
            <v>20814.0242697709</v>
          </cell>
        </row>
        <row r="42">
          <cell r="G42">
            <v>20903.8184</v>
          </cell>
        </row>
        <row r="43">
          <cell r="G43">
            <v>0.760810595357519</v>
          </cell>
        </row>
        <row r="44">
          <cell r="G44">
            <v>7.95527871136061</v>
          </cell>
        </row>
        <row r="45">
          <cell r="G45">
            <v>0.788963280943536</v>
          </cell>
        </row>
        <row r="46">
          <cell r="G46">
            <v>0.0623141883116883</v>
          </cell>
        </row>
        <row r="47">
          <cell r="G47">
            <v>0.408490143369176</v>
          </cell>
        </row>
        <row r="48">
          <cell r="G48">
            <v>0.718521562815918</v>
          </cell>
        </row>
      </sheetData>
      <sheetData sheetId="11">
        <row r="3">
          <cell r="G3">
            <v>162</v>
          </cell>
        </row>
        <row r="4">
          <cell r="G4">
            <v>1759025.25</v>
          </cell>
        </row>
        <row r="5">
          <cell r="G5">
            <v>55000</v>
          </cell>
        </row>
        <row r="6">
          <cell r="G6">
            <v>1759025.25</v>
          </cell>
        </row>
        <row r="7">
          <cell r="G7">
            <v>148201.192094</v>
          </cell>
        </row>
        <row r="8">
          <cell r="G8">
            <v>4030</v>
          </cell>
        </row>
        <row r="9">
          <cell r="G9">
            <v>12005</v>
          </cell>
        </row>
        <row r="10">
          <cell r="G10">
            <v>7223.82928571429</v>
          </cell>
        </row>
        <row r="11">
          <cell r="G11">
            <v>23200</v>
          </cell>
        </row>
        <row r="12">
          <cell r="G12">
            <v>172.083369</v>
          </cell>
        </row>
        <row r="13">
          <cell r="G13">
            <v>64.725</v>
          </cell>
        </row>
        <row r="14">
          <cell r="G14">
            <v>24.825</v>
          </cell>
        </row>
        <row r="17">
          <cell r="G17">
            <v>12984</v>
          </cell>
        </row>
        <row r="18">
          <cell r="G18">
            <v>8180.7</v>
          </cell>
        </row>
        <row r="21">
          <cell r="G21">
            <v>0.341555470960183</v>
          </cell>
        </row>
      </sheetData>
      <sheetData sheetId="12"/>
      <sheetData sheetId="13">
        <row r="3">
          <cell r="G3">
            <v>263</v>
          </cell>
        </row>
        <row r="4">
          <cell r="G4">
            <v>2343648.97</v>
          </cell>
        </row>
        <row r="5">
          <cell r="G5">
            <v>2343648.97</v>
          </cell>
        </row>
        <row r="6">
          <cell r="G6">
            <v>233098.960753643</v>
          </cell>
        </row>
        <row r="7">
          <cell r="G7">
            <v>13706.4</v>
          </cell>
        </row>
        <row r="8">
          <cell r="G8">
            <v>9970.22900857143</v>
          </cell>
        </row>
        <row r="9">
          <cell r="G9">
            <v>68972</v>
          </cell>
        </row>
        <row r="10">
          <cell r="G10">
            <v>267.581198</v>
          </cell>
        </row>
        <row r="11">
          <cell r="G11">
            <v>153.575</v>
          </cell>
        </row>
        <row r="12">
          <cell r="G12">
            <v>24.725</v>
          </cell>
        </row>
        <row r="13">
          <cell r="G13">
            <v>11.4792960524093</v>
          </cell>
        </row>
        <row r="14">
          <cell r="G14">
            <v>42.7725159148554</v>
          </cell>
        </row>
        <row r="15">
          <cell r="G15">
            <v>15836</v>
          </cell>
        </row>
        <row r="16">
          <cell r="G16">
            <v>6682.40000000003</v>
          </cell>
        </row>
        <row r="17">
          <cell r="G17">
            <v>21319.0532731579</v>
          </cell>
        </row>
        <row r="18">
          <cell r="G18">
            <v>0.797717318216211</v>
          </cell>
        </row>
        <row r="19">
          <cell r="G19">
            <v>0.330909436814957</v>
          </cell>
        </row>
        <row r="20">
          <cell r="G20">
            <v>0.0994598439175141</v>
          </cell>
        </row>
        <row r="21">
          <cell r="G21">
            <v>4.25414775685091</v>
          </cell>
        </row>
        <row r="22">
          <cell r="G22">
            <v>1.14172899365556</v>
          </cell>
        </row>
        <row r="23">
          <cell r="G23">
            <v>29.4293219176078</v>
          </cell>
        </row>
      </sheetData>
      <sheetData sheetId="14">
        <row r="3">
          <cell r="G3">
            <v>13.1888</v>
          </cell>
        </row>
        <row r="4">
          <cell r="G4">
            <v>83505.38</v>
          </cell>
        </row>
        <row r="5">
          <cell r="G5">
            <v>83505.38</v>
          </cell>
        </row>
        <row r="6">
          <cell r="G6">
            <v>8426.249747</v>
          </cell>
        </row>
        <row r="7">
          <cell r="G7">
            <v>721.4</v>
          </cell>
        </row>
        <row r="8">
          <cell r="G8">
            <v>195.035024</v>
          </cell>
        </row>
        <row r="9">
          <cell r="G9">
            <v>152.224</v>
          </cell>
        </row>
        <row r="10">
          <cell r="G10">
            <v>231.461242968069</v>
          </cell>
        </row>
        <row r="11">
          <cell r="G11">
            <v>0.238535822032834</v>
          </cell>
        </row>
        <row r="12">
          <cell r="G12">
            <v>0.100906669091261</v>
          </cell>
        </row>
        <row r="13">
          <cell r="G13">
            <v>23.3559830516309</v>
          </cell>
        </row>
        <row r="14">
          <cell r="G14">
            <v>8.63896433978266</v>
          </cell>
        </row>
      </sheetData>
      <sheetData sheetId="15"/>
      <sheetData sheetId="16"/>
      <sheetData sheetId="17"/>
      <sheetData sheetId="18">
        <row r="3">
          <cell r="G3">
            <v>116709</v>
          </cell>
        </row>
        <row r="4">
          <cell r="G4">
            <v>116709</v>
          </cell>
        </row>
        <row r="5">
          <cell r="G5">
            <v>0</v>
          </cell>
        </row>
        <row r="6">
          <cell r="G6">
            <v>225994</v>
          </cell>
        </row>
        <row r="8">
          <cell r="G8">
            <v>23.562</v>
          </cell>
        </row>
        <row r="9">
          <cell r="G9">
            <v>0.00405967001612703</v>
          </cell>
        </row>
        <row r="10">
          <cell r="G10">
            <v>0</v>
          </cell>
        </row>
        <row r="11">
          <cell r="G11">
            <v>286</v>
          </cell>
        </row>
        <row r="12">
          <cell r="G12">
            <v>7.37</v>
          </cell>
        </row>
        <row r="13">
          <cell r="G13">
            <v>3.22</v>
          </cell>
        </row>
        <row r="14">
          <cell r="G14">
            <v>0.05</v>
          </cell>
        </row>
        <row r="15">
          <cell r="G15">
            <v>0.65</v>
          </cell>
        </row>
        <row r="16">
          <cell r="G16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全口径"/>
      <sheetName val="主城区"/>
      <sheetName val="集团本部"/>
      <sheetName val="股份本部"/>
      <sheetName val="北海"/>
      <sheetName val="北海水炉"/>
      <sheetName val="香海"/>
      <sheetName val="供热公司"/>
      <sheetName val="金州"/>
      <sheetName val="北方"/>
      <sheetName val="金普"/>
      <sheetName val="临海"/>
      <sheetName val="庄河"/>
      <sheetName val="研究院"/>
      <sheetName val="主城区电锅炉"/>
      <sheetName val="恒流"/>
      <sheetName val="天然气炉"/>
      <sheetName val="中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I6">
            <v>10968165.28496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售热量"/>
      <sheetName val="财务（折汽）"/>
    </sheetNames>
    <sheetDataSet>
      <sheetData sheetId="0">
        <row r="5">
          <cell r="D5">
            <v>1200</v>
          </cell>
        </row>
        <row r="6">
          <cell r="D6">
            <v>198254</v>
          </cell>
        </row>
        <row r="7">
          <cell r="D7">
            <v>104506</v>
          </cell>
        </row>
        <row r="11">
          <cell r="D11">
            <v>55460</v>
          </cell>
        </row>
        <row r="13">
          <cell r="D13">
            <v>358546</v>
          </cell>
        </row>
        <row r="18">
          <cell r="D18">
            <v>55460</v>
          </cell>
        </row>
        <row r="19">
          <cell r="D19">
            <v>463052</v>
          </cell>
        </row>
        <row r="23">
          <cell r="D23">
            <v>19518</v>
          </cell>
        </row>
        <row r="24">
          <cell r="D24">
            <v>6898.5</v>
          </cell>
        </row>
        <row r="27">
          <cell r="D27">
            <v>55460</v>
          </cell>
        </row>
        <row r="28">
          <cell r="D28">
            <v>493498.5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26.1"/>
      <sheetName val="26.2"/>
      <sheetName val="26.3"/>
      <sheetName val="26.4"/>
      <sheetName val="26.5"/>
      <sheetName val="26.6"/>
      <sheetName val="26.7"/>
      <sheetName val="26.8"/>
      <sheetName val="26.9"/>
      <sheetName val="26.10"/>
      <sheetName val="26.11"/>
      <sheetName val="26.12"/>
    </sheetNames>
    <sheetDataSet>
      <sheetData sheetId="0">
        <row r="7">
          <cell r="E7">
            <v>60753600</v>
          </cell>
          <cell r="F7">
            <v>57676320</v>
          </cell>
        </row>
        <row r="7">
          <cell r="H7">
            <v>22641600</v>
          </cell>
          <cell r="I7">
            <v>15352900</v>
          </cell>
        </row>
        <row r="7">
          <cell r="K7">
            <v>60753600</v>
          </cell>
          <cell r="L7">
            <v>57676320</v>
          </cell>
        </row>
        <row r="7">
          <cell r="N7">
            <v>22641600</v>
          </cell>
          <cell r="O7">
            <v>15352900</v>
          </cell>
        </row>
        <row r="8">
          <cell r="E8">
            <v>37145916</v>
          </cell>
          <cell r="F8">
            <v>41137272</v>
          </cell>
        </row>
        <row r="8">
          <cell r="H8">
            <v>15642792</v>
          </cell>
          <cell r="I8">
            <v>11150964</v>
          </cell>
        </row>
        <row r="8">
          <cell r="K8">
            <v>37145916</v>
          </cell>
          <cell r="L8">
            <v>41137272</v>
          </cell>
        </row>
        <row r="8">
          <cell r="N8">
            <v>15642792</v>
          </cell>
          <cell r="O8">
            <v>11150964</v>
          </cell>
        </row>
        <row r="9">
          <cell r="E9">
            <v>980229.19383</v>
          </cell>
          <cell r="F9">
            <v>967138.542272</v>
          </cell>
        </row>
        <row r="9">
          <cell r="H9">
            <v>570124</v>
          </cell>
          <cell r="I9">
            <v>292094.32</v>
          </cell>
        </row>
        <row r="9">
          <cell r="K9">
            <v>980229.19383</v>
          </cell>
          <cell r="L9">
            <v>967138.542272</v>
          </cell>
        </row>
        <row r="9">
          <cell r="N9">
            <v>570124</v>
          </cell>
          <cell r="O9">
            <v>292094.32</v>
          </cell>
        </row>
        <row r="10">
          <cell r="F10">
            <v>264848</v>
          </cell>
        </row>
        <row r="10">
          <cell r="H10">
            <v>113115</v>
          </cell>
        </row>
        <row r="10">
          <cell r="L10">
            <v>264848</v>
          </cell>
        </row>
        <row r="10">
          <cell r="N10">
            <v>113115</v>
          </cell>
        </row>
        <row r="11">
          <cell r="E11">
            <v>875606.4</v>
          </cell>
          <cell r="F11">
            <v>472389</v>
          </cell>
        </row>
        <row r="11">
          <cell r="K11">
            <v>875606.4</v>
          </cell>
          <cell r="L11">
            <v>472389</v>
          </cell>
        </row>
        <row r="12">
          <cell r="E12">
            <v>35445</v>
          </cell>
          <cell r="F12">
            <v>77888</v>
          </cell>
        </row>
        <row r="12">
          <cell r="K12">
            <v>35445</v>
          </cell>
          <cell r="L12">
            <v>77888</v>
          </cell>
        </row>
        <row r="13">
          <cell r="H13">
            <v>6337791.65</v>
          </cell>
          <cell r="I13">
            <v>2993404</v>
          </cell>
        </row>
        <row r="13">
          <cell r="N13">
            <v>6337791.65</v>
          </cell>
          <cell r="O13">
            <v>2993404</v>
          </cell>
        </row>
        <row r="14">
          <cell r="E14">
            <v>68272</v>
          </cell>
          <cell r="F14">
            <v>73239</v>
          </cell>
        </row>
        <row r="14">
          <cell r="H14">
            <v>39301</v>
          </cell>
          <cell r="I14">
            <v>20654.19</v>
          </cell>
        </row>
        <row r="14">
          <cell r="K14">
            <v>68272</v>
          </cell>
          <cell r="L14">
            <v>73239</v>
          </cell>
        </row>
        <row r="14">
          <cell r="N14">
            <v>39301</v>
          </cell>
          <cell r="O14">
            <v>20654.19</v>
          </cell>
        </row>
        <row r="17">
          <cell r="E17">
            <v>69.3</v>
          </cell>
          <cell r="F17">
            <v>25</v>
          </cell>
        </row>
        <row r="17">
          <cell r="H17">
            <v>14</v>
          </cell>
          <cell r="I17">
            <v>0.2</v>
          </cell>
        </row>
        <row r="17">
          <cell r="K17">
            <v>69.3</v>
          </cell>
          <cell r="L17">
            <v>25</v>
          </cell>
        </row>
        <row r="17">
          <cell r="N17">
            <v>14</v>
          </cell>
          <cell r="O17">
            <v>0.2</v>
          </cell>
        </row>
        <row r="20">
          <cell r="E20">
            <v>177610</v>
          </cell>
          <cell r="F20">
            <v>194774</v>
          </cell>
        </row>
        <row r="20">
          <cell r="H20">
            <v>94794</v>
          </cell>
          <cell r="I20">
            <v>34653</v>
          </cell>
        </row>
        <row r="20">
          <cell r="K20">
            <v>177610</v>
          </cell>
          <cell r="L20">
            <v>194774</v>
          </cell>
        </row>
        <row r="20">
          <cell r="N20">
            <v>94794</v>
          </cell>
          <cell r="O20">
            <v>34653</v>
          </cell>
        </row>
        <row r="21">
          <cell r="E21">
            <v>121213</v>
          </cell>
        </row>
        <row r="21">
          <cell r="I21">
            <v>11538</v>
          </cell>
        </row>
        <row r="21">
          <cell r="K21">
            <v>121213</v>
          </cell>
        </row>
        <row r="21">
          <cell r="O21">
            <v>11538</v>
          </cell>
        </row>
        <row r="22">
          <cell r="E22">
            <v>6.4</v>
          </cell>
          <cell r="F22">
            <v>40</v>
          </cell>
        </row>
        <row r="22">
          <cell r="H22">
            <v>15</v>
          </cell>
          <cell r="I22">
            <v>2.31</v>
          </cell>
        </row>
        <row r="22">
          <cell r="K22">
            <v>6.4</v>
          </cell>
          <cell r="L22">
            <v>40</v>
          </cell>
        </row>
        <row r="22">
          <cell r="N22">
            <v>15</v>
          </cell>
          <cell r="O22">
            <v>2.31</v>
          </cell>
        </row>
        <row r="23">
          <cell r="E23">
            <v>9.7</v>
          </cell>
          <cell r="F23">
            <v>32</v>
          </cell>
        </row>
        <row r="23">
          <cell r="H23">
            <v>10</v>
          </cell>
          <cell r="I23">
            <v>2.3</v>
          </cell>
        </row>
        <row r="23">
          <cell r="K23">
            <v>9.7</v>
          </cell>
          <cell r="L23">
            <v>32</v>
          </cell>
        </row>
        <row r="23">
          <cell r="N23">
            <v>10</v>
          </cell>
          <cell r="O23">
            <v>2.3</v>
          </cell>
        </row>
        <row r="24">
          <cell r="I24">
            <v>601.88</v>
          </cell>
        </row>
        <row r="24">
          <cell r="O24">
            <v>601.88</v>
          </cell>
        </row>
        <row r="25">
          <cell r="E25">
            <v>2045</v>
          </cell>
          <cell r="F25">
            <v>854</v>
          </cell>
        </row>
        <row r="25">
          <cell r="H25">
            <v>702</v>
          </cell>
          <cell r="I25">
            <v>364.38</v>
          </cell>
        </row>
        <row r="25">
          <cell r="K25">
            <v>2045</v>
          </cell>
          <cell r="L25">
            <v>854</v>
          </cell>
        </row>
        <row r="25">
          <cell r="N25">
            <v>702</v>
          </cell>
          <cell r="O25">
            <v>364.38</v>
          </cell>
        </row>
        <row r="26">
          <cell r="E26">
            <v>377.74</v>
          </cell>
          <cell r="F26">
            <v>201</v>
          </cell>
        </row>
        <row r="26">
          <cell r="H26">
            <v>319</v>
          </cell>
          <cell r="I26">
            <v>74.273</v>
          </cell>
        </row>
        <row r="26">
          <cell r="K26">
            <v>377.74</v>
          </cell>
          <cell r="L26">
            <v>201</v>
          </cell>
        </row>
        <row r="26">
          <cell r="N26">
            <v>319</v>
          </cell>
          <cell r="O26">
            <v>74.273</v>
          </cell>
        </row>
        <row r="27">
          <cell r="E27">
            <v>1.075</v>
          </cell>
          <cell r="F27">
            <v>1</v>
          </cell>
        </row>
        <row r="27">
          <cell r="H27">
            <v>1</v>
          </cell>
          <cell r="I27">
            <v>0.05</v>
          </cell>
        </row>
        <row r="27">
          <cell r="K27">
            <v>1.075</v>
          </cell>
          <cell r="L27">
            <v>1</v>
          </cell>
        </row>
        <row r="27">
          <cell r="N27">
            <v>1</v>
          </cell>
          <cell r="O27">
            <v>0.05</v>
          </cell>
        </row>
        <row r="28">
          <cell r="E28">
            <v>0</v>
          </cell>
          <cell r="F28">
            <v>0</v>
          </cell>
        </row>
        <row r="28">
          <cell r="H28">
            <v>0</v>
          </cell>
          <cell r="I28">
            <v>0</v>
          </cell>
        </row>
        <row r="28">
          <cell r="K28">
            <v>0</v>
          </cell>
          <cell r="L28">
            <v>0</v>
          </cell>
        </row>
        <row r="28">
          <cell r="N28">
            <v>0</v>
          </cell>
          <cell r="O28">
            <v>0</v>
          </cell>
        </row>
        <row r="29">
          <cell r="E29">
            <v>28</v>
          </cell>
        </row>
        <row r="29">
          <cell r="K29">
            <v>28</v>
          </cell>
        </row>
        <row r="30">
          <cell r="E30">
            <v>23607684</v>
          </cell>
          <cell r="F30">
            <v>16539048</v>
          </cell>
        </row>
        <row r="30">
          <cell r="H30">
            <v>6998808</v>
          </cell>
          <cell r="I30">
            <v>4201936</v>
          </cell>
        </row>
        <row r="30">
          <cell r="K30">
            <v>23607684</v>
          </cell>
          <cell r="L30">
            <v>16539048</v>
          </cell>
        </row>
        <row r="30">
          <cell r="N30">
            <v>6998808</v>
          </cell>
          <cell r="O30">
            <v>4201936</v>
          </cell>
        </row>
        <row r="33">
          <cell r="E33">
            <v>3573096.00147514</v>
          </cell>
          <cell r="F33">
            <v>2844984.384</v>
          </cell>
        </row>
        <row r="33">
          <cell r="H33">
            <v>1400555</v>
          </cell>
          <cell r="I33">
            <v>1007688.19151684</v>
          </cell>
        </row>
        <row r="33">
          <cell r="K33">
            <v>3573096.00147514</v>
          </cell>
          <cell r="L33">
            <v>2844984.384</v>
          </cell>
        </row>
        <row r="33">
          <cell r="N33">
            <v>1400555</v>
          </cell>
          <cell r="O33">
            <v>1007688.19151684</v>
          </cell>
        </row>
        <row r="34">
          <cell r="E34">
            <v>13441322.778525</v>
          </cell>
          <cell r="F34">
            <v>13120135.616</v>
          </cell>
        </row>
        <row r="34">
          <cell r="H34">
            <v>5598253</v>
          </cell>
          <cell r="I34">
            <v>3194247.80848316</v>
          </cell>
        </row>
        <row r="34">
          <cell r="K34">
            <v>13441322.778525</v>
          </cell>
          <cell r="L34">
            <v>13120135.616</v>
          </cell>
        </row>
        <row r="34">
          <cell r="N34">
            <v>5598253</v>
          </cell>
          <cell r="O34">
            <v>3194247.80848316</v>
          </cell>
        </row>
        <row r="38">
          <cell r="F38">
            <v>47986.1317445748</v>
          </cell>
        </row>
        <row r="39">
          <cell r="E39">
            <v>9838.45248038282</v>
          </cell>
          <cell r="F39">
            <v>8551.12867688324</v>
          </cell>
        </row>
        <row r="39">
          <cell r="H39">
            <v>5645</v>
          </cell>
          <cell r="I39">
            <v>3561.81895707005</v>
          </cell>
        </row>
        <row r="39">
          <cell r="K39">
            <v>9838.45248038282</v>
          </cell>
          <cell r="L39">
            <v>8551.12867688324</v>
          </cell>
        </row>
        <row r="39">
          <cell r="N39">
            <v>5645</v>
          </cell>
          <cell r="O39">
            <v>3561.81895707005</v>
          </cell>
        </row>
        <row r="40">
          <cell r="E40">
            <v>9817.2469001747</v>
          </cell>
          <cell r="F40">
            <v>8544.63729638324</v>
          </cell>
          <cell r="G40">
            <v>18361.8841965579</v>
          </cell>
          <cell r="H40">
            <v>5641</v>
          </cell>
          <cell r="I40">
            <v>3561.75043843677</v>
          </cell>
        </row>
        <row r="40">
          <cell r="K40">
            <v>9817.2469001747</v>
          </cell>
          <cell r="L40">
            <v>8544.63729638324</v>
          </cell>
          <cell r="M40">
            <v>18361.8841965579</v>
          </cell>
          <cell r="N40">
            <v>5641</v>
          </cell>
          <cell r="O40">
            <v>3561.75043843677</v>
          </cell>
        </row>
        <row r="42">
          <cell r="E42">
            <v>37010.4288760809</v>
          </cell>
          <cell r="F42">
            <v>39435.0030676916</v>
          </cell>
        </row>
        <row r="42">
          <cell r="H42">
            <v>22565</v>
          </cell>
          <cell r="I42">
            <v>11290.5286512377</v>
          </cell>
        </row>
        <row r="42">
          <cell r="K42">
            <v>37010.4288760809</v>
          </cell>
          <cell r="L42">
            <v>39435.0030676916</v>
          </cell>
        </row>
        <row r="42">
          <cell r="N42">
            <v>22565</v>
          </cell>
          <cell r="O42">
            <v>11290.5286512377</v>
          </cell>
        </row>
        <row r="43">
          <cell r="E43">
            <v>36930.6550800009</v>
          </cell>
          <cell r="F43">
            <v>39405.0669481916</v>
          </cell>
          <cell r="G43">
            <v>76335.7220281925</v>
          </cell>
          <cell r="H43">
            <v>22549</v>
          </cell>
          <cell r="I43">
            <v>11290.3114555853</v>
          </cell>
        </row>
        <row r="43">
          <cell r="K43">
            <v>36930.6550800009</v>
          </cell>
          <cell r="L43">
            <v>39405.0669481916</v>
          </cell>
          <cell r="M43">
            <v>76335.7220281925</v>
          </cell>
          <cell r="N43">
            <v>22549</v>
          </cell>
          <cell r="O43">
            <v>11290.3114555853</v>
          </cell>
        </row>
        <row r="48">
          <cell r="E48">
            <v>20068.0734596172</v>
          </cell>
          <cell r="F48">
            <v>19188</v>
          </cell>
        </row>
        <row r="48">
          <cell r="H48">
            <v>21022.1755171624</v>
          </cell>
          <cell r="I48">
            <v>21074.8632597066</v>
          </cell>
        </row>
        <row r="48">
          <cell r="K48">
            <v>20068.0734596172</v>
          </cell>
          <cell r="L48">
            <v>19188</v>
          </cell>
        </row>
        <row r="48">
          <cell r="N48">
            <v>21022.1755171624</v>
          </cell>
          <cell r="O48">
            <v>21074.8632597066</v>
          </cell>
        </row>
        <row r="49">
          <cell r="E49">
            <v>20159.4936</v>
          </cell>
          <cell r="F49">
            <v>19277</v>
          </cell>
        </row>
        <row r="49">
          <cell r="H49">
            <v>20991.6</v>
          </cell>
          <cell r="I49">
            <v>20480</v>
          </cell>
        </row>
        <row r="49">
          <cell r="K49">
            <v>20159.4936</v>
          </cell>
          <cell r="L49">
            <v>19277</v>
          </cell>
        </row>
        <row r="49">
          <cell r="N49">
            <v>20991.6</v>
          </cell>
          <cell r="O49">
            <v>20480</v>
          </cell>
        </row>
        <row r="54">
          <cell r="E54">
            <v>0.789996</v>
          </cell>
          <cell r="F54">
            <v>0.8218</v>
          </cell>
        </row>
        <row r="54">
          <cell r="K54">
            <v>0.789996</v>
          </cell>
          <cell r="L54">
            <v>0.8218</v>
          </cell>
        </row>
        <row r="57">
          <cell r="E57">
            <v>26761</v>
          </cell>
          <cell r="F57">
            <v>66608</v>
          </cell>
        </row>
        <row r="57">
          <cell r="H57">
            <v>4890.18</v>
          </cell>
          <cell r="I57">
            <v>17015.74</v>
          </cell>
        </row>
        <row r="57">
          <cell r="K57">
            <v>26761</v>
          </cell>
          <cell r="L57">
            <v>66608</v>
          </cell>
        </row>
        <row r="57">
          <cell r="N57">
            <v>4890.18</v>
          </cell>
          <cell r="O57">
            <v>17015.74</v>
          </cell>
        </row>
        <row r="59">
          <cell r="K59">
            <v>42846</v>
          </cell>
          <cell r="L59">
            <v>11815</v>
          </cell>
        </row>
        <row r="59">
          <cell r="N59">
            <v>28612.66</v>
          </cell>
          <cell r="O59">
            <v>20225.9499979253</v>
          </cell>
        </row>
        <row r="60">
          <cell r="E60">
            <v>0</v>
          </cell>
          <cell r="F60">
            <v>0</v>
          </cell>
        </row>
        <row r="60">
          <cell r="H60">
            <v>1828619</v>
          </cell>
          <cell r="I60">
            <v>1027192</v>
          </cell>
        </row>
        <row r="60">
          <cell r="K60">
            <v>0</v>
          </cell>
          <cell r="L60">
            <v>0</v>
          </cell>
        </row>
        <row r="60">
          <cell r="N60">
            <v>1828619</v>
          </cell>
          <cell r="O60">
            <v>1027192</v>
          </cell>
        </row>
        <row r="61">
          <cell r="H61">
            <v>1828619</v>
          </cell>
          <cell r="I61">
            <v>1027192</v>
          </cell>
        </row>
        <row r="61">
          <cell r="N61">
            <v>1828619</v>
          </cell>
          <cell r="O61">
            <v>1027192</v>
          </cell>
        </row>
        <row r="62">
          <cell r="H62">
            <v>40661</v>
          </cell>
          <cell r="I62">
            <v>22885</v>
          </cell>
        </row>
        <row r="62">
          <cell r="N62">
            <v>40661</v>
          </cell>
          <cell r="O62">
            <v>22885</v>
          </cell>
        </row>
        <row r="63">
          <cell r="F63">
            <v>25920</v>
          </cell>
        </row>
        <row r="63">
          <cell r="K63">
            <v>0</v>
          </cell>
          <cell r="L63">
            <v>25920</v>
          </cell>
        </row>
        <row r="64">
          <cell r="E64">
            <v>73699</v>
          </cell>
          <cell r="F64">
            <v>0</v>
          </cell>
        </row>
        <row r="64">
          <cell r="K64">
            <v>73699</v>
          </cell>
          <cell r="L64">
            <v>0</v>
          </cell>
        </row>
        <row r="65">
          <cell r="E65">
            <v>6302</v>
          </cell>
          <cell r="F65">
            <v>32849</v>
          </cell>
        </row>
        <row r="65">
          <cell r="H65">
            <v>23814</v>
          </cell>
          <cell r="I65">
            <v>7404</v>
          </cell>
        </row>
        <row r="65">
          <cell r="K65">
            <v>6302</v>
          </cell>
          <cell r="L65">
            <v>32849</v>
          </cell>
        </row>
        <row r="65">
          <cell r="N65">
            <v>23814</v>
          </cell>
          <cell r="O65">
            <v>7404</v>
          </cell>
        </row>
        <row r="66">
          <cell r="E66">
            <v>1072980</v>
          </cell>
          <cell r="F66">
            <v>1283190</v>
          </cell>
        </row>
        <row r="66">
          <cell r="H66">
            <v>754606</v>
          </cell>
          <cell r="I66">
            <v>619963</v>
          </cell>
        </row>
        <row r="66">
          <cell r="K66">
            <v>1072980</v>
          </cell>
          <cell r="L66">
            <v>1283190</v>
          </cell>
        </row>
        <row r="66">
          <cell r="N66">
            <v>754606</v>
          </cell>
          <cell r="O66">
            <v>619963</v>
          </cell>
        </row>
        <row r="69">
          <cell r="E69">
            <v>2.36663076163388</v>
          </cell>
          <cell r="F69">
            <v>2.81053666392031</v>
          </cell>
        </row>
        <row r="69">
          <cell r="K69">
            <v>2.36663076163388</v>
          </cell>
          <cell r="L69">
            <v>2.81053666392031</v>
          </cell>
        </row>
        <row r="70">
          <cell r="E70">
            <v>0.0913387059879055</v>
          </cell>
          <cell r="F70">
            <v>0.15783039567569</v>
          </cell>
        </row>
        <row r="70">
          <cell r="K70">
            <v>0.0913387059879055</v>
          </cell>
          <cell r="L70">
            <v>0.15783039567569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26.1"/>
      <sheetName val="26.2"/>
      <sheetName val="26.3"/>
      <sheetName val="26.4"/>
      <sheetName val="26.5"/>
      <sheetName val="26.6"/>
      <sheetName val="26.7"/>
      <sheetName val="26.8"/>
      <sheetName val="26.9"/>
      <sheetName val="26.10"/>
      <sheetName val="26.11"/>
      <sheetName val="26.12"/>
    </sheetNames>
    <sheetDataSet>
      <sheetData sheetId="0">
        <row r="3">
          <cell r="D3">
            <v>348</v>
          </cell>
          <cell r="E3">
            <v>162</v>
          </cell>
        </row>
        <row r="3">
          <cell r="G3">
            <v>14</v>
          </cell>
        </row>
        <row r="3">
          <cell r="I3">
            <v>348</v>
          </cell>
          <cell r="J3">
            <v>162</v>
          </cell>
        </row>
        <row r="3">
          <cell r="L3">
            <v>14</v>
          </cell>
        </row>
        <row r="4">
          <cell r="E4">
            <v>1769458.54</v>
          </cell>
        </row>
        <row r="4">
          <cell r="G4">
            <v>2309228.93</v>
          </cell>
        </row>
        <row r="4">
          <cell r="J4">
            <v>1769458.54</v>
          </cell>
        </row>
        <row r="4">
          <cell r="L4">
            <v>2309228.93</v>
          </cell>
        </row>
        <row r="5">
          <cell r="E5">
            <v>55000</v>
          </cell>
          <cell r="F5">
            <v>0</v>
          </cell>
        </row>
        <row r="5">
          <cell r="J5">
            <v>55000</v>
          </cell>
        </row>
        <row r="6">
          <cell r="E6">
            <v>1769458.54</v>
          </cell>
          <cell r="F6">
            <v>0</v>
          </cell>
          <cell r="G6">
            <v>2309228.93</v>
          </cell>
        </row>
        <row r="6">
          <cell r="J6">
            <v>1769458.54</v>
          </cell>
        </row>
        <row r="6">
          <cell r="L6">
            <v>2309228.93</v>
          </cell>
        </row>
        <row r="8">
          <cell r="D8">
            <v>740710</v>
          </cell>
          <cell r="E8">
            <v>156456.25</v>
          </cell>
        </row>
        <row r="8">
          <cell r="G8">
            <v>255718.258551189</v>
          </cell>
        </row>
        <row r="8">
          <cell r="I8">
            <v>740710</v>
          </cell>
          <cell r="J8">
            <v>156456.25</v>
          </cell>
        </row>
        <row r="8">
          <cell r="L8">
            <v>255718.258551189</v>
          </cell>
        </row>
        <row r="9">
          <cell r="E9">
            <v>4030</v>
          </cell>
        </row>
        <row r="9">
          <cell r="J9">
            <v>4030</v>
          </cell>
        </row>
        <row r="10">
          <cell r="D10">
            <v>42844</v>
          </cell>
          <cell r="E10">
            <v>12660</v>
          </cell>
        </row>
        <row r="10">
          <cell r="G10">
            <v>513</v>
          </cell>
        </row>
        <row r="10">
          <cell r="I10">
            <v>42844</v>
          </cell>
          <cell r="J10">
            <v>12660</v>
          </cell>
        </row>
        <row r="10">
          <cell r="L10">
            <v>513</v>
          </cell>
        </row>
        <row r="11">
          <cell r="D11">
            <v>9</v>
          </cell>
        </row>
        <row r="11">
          <cell r="I11">
            <v>9</v>
          </cell>
        </row>
        <row r="12">
          <cell r="D12">
            <v>27625.9182537601</v>
          </cell>
          <cell r="E12">
            <v>7626.19</v>
          </cell>
        </row>
        <row r="12">
          <cell r="G12">
            <v>341.787142941028</v>
          </cell>
        </row>
        <row r="12">
          <cell r="I12">
            <v>27625.9182537601</v>
          </cell>
          <cell r="J12">
            <v>7626.19</v>
          </cell>
        </row>
        <row r="12">
          <cell r="L12">
            <v>341.787142941028</v>
          </cell>
        </row>
        <row r="13">
          <cell r="D13">
            <v>27612.8043537601</v>
          </cell>
        </row>
        <row r="13">
          <cell r="I13">
            <v>27612.8043537601</v>
          </cell>
        </row>
        <row r="15">
          <cell r="D15">
            <v>14442</v>
          </cell>
          <cell r="E15">
            <v>22828</v>
          </cell>
        </row>
        <row r="15">
          <cell r="G15">
            <v>48986</v>
          </cell>
        </row>
        <row r="15">
          <cell r="I15">
            <v>14442</v>
          </cell>
          <cell r="J15">
            <v>22828</v>
          </cell>
        </row>
        <row r="15">
          <cell r="L15">
            <v>48986</v>
          </cell>
        </row>
        <row r="16">
          <cell r="D16">
            <v>300</v>
          </cell>
        </row>
        <row r="16">
          <cell r="I16">
            <v>300</v>
          </cell>
        </row>
        <row r="17">
          <cell r="D17">
            <v>5088913.6</v>
          </cell>
          <cell r="E17">
            <v>1787714.1</v>
          </cell>
        </row>
        <row r="17">
          <cell r="G17">
            <v>1187191.5</v>
          </cell>
        </row>
        <row r="17">
          <cell r="I17">
            <v>5088913.6</v>
          </cell>
          <cell r="J17">
            <v>1787714.1</v>
          </cell>
        </row>
        <row r="17">
          <cell r="L17">
            <v>1187191.5</v>
          </cell>
        </row>
        <row r="18">
          <cell r="D18">
            <v>5088913.6</v>
          </cell>
        </row>
        <row r="18">
          <cell r="I18">
            <v>5088913.6</v>
          </cell>
        </row>
        <row r="19">
          <cell r="D19">
            <v>0</v>
          </cell>
        </row>
        <row r="19">
          <cell r="I19">
            <v>0</v>
          </cell>
        </row>
        <row r="20">
          <cell r="D20">
            <v>13000</v>
          </cell>
        </row>
        <row r="20">
          <cell r="I20">
            <v>13000</v>
          </cell>
        </row>
        <row r="21">
          <cell r="D21">
            <v>571020.4</v>
          </cell>
        </row>
        <row r="21">
          <cell r="I21">
            <v>571020.4</v>
          </cell>
        </row>
        <row r="22">
          <cell r="D22">
            <v>734.29</v>
          </cell>
          <cell r="E22">
            <v>43.975</v>
          </cell>
        </row>
        <row r="22">
          <cell r="G22">
            <v>7.925</v>
          </cell>
        </row>
        <row r="22">
          <cell r="I22">
            <v>734.29</v>
          </cell>
          <cell r="J22">
            <v>43.975</v>
          </cell>
        </row>
        <row r="22">
          <cell r="L22">
            <v>7.925</v>
          </cell>
        </row>
        <row r="23">
          <cell r="D23">
            <v>253.8</v>
          </cell>
          <cell r="E23">
            <v>28.64</v>
          </cell>
        </row>
        <row r="23">
          <cell r="G23">
            <v>1.925</v>
          </cell>
        </row>
        <row r="23">
          <cell r="I23">
            <v>253.8</v>
          </cell>
          <cell r="J23">
            <v>28.64</v>
          </cell>
        </row>
        <row r="23">
          <cell r="L23">
            <v>1.925</v>
          </cell>
        </row>
        <row r="24">
          <cell r="D24">
            <v>6.87031847821685</v>
          </cell>
        </row>
        <row r="24">
          <cell r="G24">
            <v>4.64257619587359</v>
          </cell>
        </row>
        <row r="24">
          <cell r="I24">
            <v>6.87031847821685</v>
          </cell>
        </row>
        <row r="24">
          <cell r="L24">
            <v>4.64257619587359</v>
          </cell>
        </row>
        <row r="25">
          <cell r="D25">
            <v>37.2965374488803</v>
          </cell>
        </row>
        <row r="25">
          <cell r="G25">
            <v>1.33657700031853</v>
          </cell>
        </row>
        <row r="25">
          <cell r="I25">
            <v>37.2965374488803</v>
          </cell>
        </row>
        <row r="25">
          <cell r="L25">
            <v>1.33657700031853</v>
          </cell>
        </row>
        <row r="26">
          <cell r="E26">
            <v>9596</v>
          </cell>
        </row>
        <row r="26">
          <cell r="G26">
            <v>119</v>
          </cell>
        </row>
        <row r="26">
          <cell r="J26">
            <v>9596</v>
          </cell>
        </row>
        <row r="26">
          <cell r="L26">
            <v>119</v>
          </cell>
        </row>
        <row r="27">
          <cell r="J27">
            <v>9505.7</v>
          </cell>
        </row>
        <row r="27">
          <cell r="L27">
            <v>714.500000000023</v>
          </cell>
        </row>
        <row r="28">
          <cell r="D28">
            <v>18888.9008962749</v>
          </cell>
        </row>
        <row r="28">
          <cell r="G28">
            <v>19526.5060142605</v>
          </cell>
        </row>
        <row r="28">
          <cell r="I28">
            <v>18888.9008962749</v>
          </cell>
        </row>
        <row r="28">
          <cell r="L28">
            <v>19526.5060142605</v>
          </cell>
        </row>
        <row r="30">
          <cell r="D30">
            <v>0.914840331645398</v>
          </cell>
        </row>
        <row r="30">
          <cell r="I30">
            <v>0.914840331645398</v>
          </cell>
        </row>
        <row r="31">
          <cell r="D31">
            <v>0.794682277290268</v>
          </cell>
        </row>
        <row r="31">
          <cell r="G31">
            <v>6.81959001512602</v>
          </cell>
        </row>
        <row r="31">
          <cell r="I31">
            <v>0.794682277290268</v>
          </cell>
        </row>
        <row r="31">
          <cell r="L31">
            <v>0.1602838195295</v>
          </cell>
        </row>
        <row r="32">
          <cell r="G32">
            <v>0.110737508624227</v>
          </cell>
        </row>
        <row r="32">
          <cell r="L32">
            <v>0.110737508624227</v>
          </cell>
        </row>
        <row r="33">
          <cell r="G33">
            <v>0.148009207099717</v>
          </cell>
        </row>
        <row r="33">
          <cell r="L33">
            <v>0.148009207099717</v>
          </cell>
        </row>
        <row r="34">
          <cell r="G34">
            <v>0.514107321529182</v>
          </cell>
        </row>
        <row r="34">
          <cell r="L34">
            <v>0.514107321529182</v>
          </cell>
        </row>
        <row r="35">
          <cell r="G35">
            <v>21.2131414792209</v>
          </cell>
        </row>
        <row r="35">
          <cell r="L35">
            <v>21.2131414792209</v>
          </cell>
        </row>
        <row r="36">
          <cell r="G36">
            <v>249708</v>
          </cell>
        </row>
        <row r="36">
          <cell r="L36">
            <v>249708</v>
          </cell>
        </row>
        <row r="39">
          <cell r="D39">
            <v>0.55</v>
          </cell>
          <cell r="E39">
            <v>0.55</v>
          </cell>
        </row>
        <row r="40">
          <cell r="D40">
            <v>7625.06</v>
          </cell>
          <cell r="E40">
            <v>7625.06</v>
          </cell>
        </row>
        <row r="41">
          <cell r="D41">
            <v>7625.06</v>
          </cell>
          <cell r="E41">
            <v>7625.06</v>
          </cell>
        </row>
        <row r="42">
          <cell r="D42">
            <v>441</v>
          </cell>
          <cell r="E42">
            <v>441</v>
          </cell>
        </row>
        <row r="43">
          <cell r="D43">
            <v>3</v>
          </cell>
          <cell r="E43">
            <v>3</v>
          </cell>
        </row>
        <row r="44">
          <cell r="D44">
            <v>132840.000000001</v>
          </cell>
          <cell r="E44">
            <v>132840.000000001</v>
          </cell>
        </row>
        <row r="45">
          <cell r="D45">
            <v>132840.000000001</v>
          </cell>
          <cell r="E45">
            <v>132840.000000001</v>
          </cell>
        </row>
        <row r="46">
          <cell r="D46">
            <v>301.224489795921</v>
          </cell>
          <cell r="E46">
            <v>301.224489795921</v>
          </cell>
        </row>
        <row r="47">
          <cell r="D47">
            <v>0.299364613880743</v>
          </cell>
          <cell r="E47">
            <v>0.299364613880743</v>
          </cell>
        </row>
        <row r="48">
          <cell r="D48">
            <v>0.0578356104738848</v>
          </cell>
          <cell r="E48">
            <v>0.0578356104738848</v>
          </cell>
        </row>
        <row r="49">
          <cell r="D49">
            <v>17.4215022570315</v>
          </cell>
          <cell r="E49">
            <v>17.4215022570315</v>
          </cell>
        </row>
        <row r="50">
          <cell r="D50">
            <v>0.39343952703323</v>
          </cell>
          <cell r="E50">
            <v>0.39343952703323</v>
          </cell>
        </row>
        <row r="71">
          <cell r="D71">
            <v>217</v>
          </cell>
          <cell r="E71">
            <v>1.4</v>
          </cell>
          <cell r="F71">
            <v>217</v>
          </cell>
          <cell r="G71">
            <v>1.4</v>
          </cell>
        </row>
        <row r="72">
          <cell r="F72">
            <v>0</v>
          </cell>
          <cell r="G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F74">
            <v>0</v>
          </cell>
          <cell r="G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D78" t="e">
            <v>#DIV/0!</v>
          </cell>
        </row>
        <row r="78">
          <cell r="F78" t="e">
            <v>#DIV/0!</v>
          </cell>
        </row>
        <row r="79"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</row>
        <row r="80">
          <cell r="F80" t="e">
            <v>#DIV/0!</v>
          </cell>
          <cell r="G80" t="e">
            <v>#DIV/0!</v>
          </cell>
        </row>
        <row r="81">
          <cell r="D81" t="e">
            <v>#DIV/0!</v>
          </cell>
          <cell r="E81" t="e">
            <v>#DIV/0!</v>
          </cell>
          <cell r="F81" t="e">
            <v>#DIV/0!</v>
          </cell>
          <cell r="G81" t="e">
            <v>#DIV/0!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7">
          <cell r="F87">
            <v>13.1888</v>
          </cell>
          <cell r="G87">
            <v>13.1888</v>
          </cell>
        </row>
        <row r="88">
          <cell r="F88">
            <v>75969.43</v>
          </cell>
          <cell r="G88">
            <v>75969.43</v>
          </cell>
        </row>
        <row r="89">
          <cell r="F89">
            <v>75969.43</v>
          </cell>
          <cell r="G89">
            <v>75969.43</v>
          </cell>
        </row>
        <row r="90">
          <cell r="F90">
            <v>9785.66501600002</v>
          </cell>
          <cell r="G90">
            <v>9785.66501600002</v>
          </cell>
        </row>
        <row r="91">
          <cell r="F91">
            <v>442.01</v>
          </cell>
          <cell r="G91">
            <v>442.01</v>
          </cell>
        </row>
        <row r="92">
          <cell r="F92">
            <v>2307329.08</v>
          </cell>
          <cell r="G92">
            <v>2307329.08</v>
          </cell>
        </row>
        <row r="93">
          <cell r="F93">
            <v>1844520</v>
          </cell>
          <cell r="G93">
            <v>1844520</v>
          </cell>
        </row>
        <row r="94">
          <cell r="F94">
            <v>235.786640583691</v>
          </cell>
          <cell r="G94">
            <v>235.786640583691</v>
          </cell>
        </row>
        <row r="95">
          <cell r="F95">
            <v>0.277019043918152</v>
          </cell>
          <cell r="G95">
            <v>0.277019043918152</v>
          </cell>
        </row>
        <row r="96">
          <cell r="F96">
            <v>0.128810562564442</v>
          </cell>
          <cell r="G96">
            <v>0.128810562564442</v>
          </cell>
        </row>
        <row r="97">
          <cell r="F97">
            <v>30.3718098187653</v>
          </cell>
          <cell r="G97">
            <v>30.3718098187653</v>
          </cell>
        </row>
        <row r="98">
          <cell r="F98">
            <v>5.81826137171228</v>
          </cell>
          <cell r="G98">
            <v>5.81826137171228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26.1"/>
      <sheetName val="26.2"/>
      <sheetName val="26.3"/>
      <sheetName val="26.4"/>
      <sheetName val="26.5"/>
      <sheetName val="26.6"/>
      <sheetName val="26.7"/>
      <sheetName val="26.8"/>
      <sheetName val="26.9"/>
      <sheetName val="26.10"/>
      <sheetName val="26.11"/>
      <sheetName val="26.12"/>
    </sheetNames>
    <sheetDataSet>
      <sheetData sheetId="0">
        <row r="4">
          <cell r="E4">
            <v>22941300</v>
          </cell>
        </row>
        <row r="4">
          <cell r="I4">
            <v>22941300</v>
          </cell>
        </row>
        <row r="4">
          <cell r="M4">
            <v>22941300</v>
          </cell>
        </row>
        <row r="5">
          <cell r="E5">
            <v>22941300</v>
          </cell>
        </row>
        <row r="5">
          <cell r="I5">
            <v>22941300</v>
          </cell>
        </row>
        <row r="5">
          <cell r="M5">
            <v>22929638.8094118</v>
          </cell>
        </row>
        <row r="6">
          <cell r="E6">
            <v>463052</v>
          </cell>
        </row>
        <row r="6">
          <cell r="I6">
            <v>463052</v>
          </cell>
        </row>
        <row r="6">
          <cell r="M6">
            <v>932904</v>
          </cell>
        </row>
        <row r="7">
          <cell r="E7">
            <v>1715360.290288</v>
          </cell>
        </row>
        <row r="7">
          <cell r="I7">
            <v>1715360.290288</v>
          </cell>
        </row>
        <row r="7">
          <cell r="M7">
            <v>3593872.124218</v>
          </cell>
        </row>
        <row r="8">
          <cell r="E8">
            <v>41737.2</v>
          </cell>
        </row>
        <row r="8">
          <cell r="I8">
            <v>41737.2</v>
          </cell>
        </row>
        <row r="8">
          <cell r="M8">
            <v>89426.2</v>
          </cell>
        </row>
        <row r="9">
          <cell r="E9">
            <v>207628</v>
          </cell>
        </row>
        <row r="9">
          <cell r="I9">
            <v>207628</v>
          </cell>
        </row>
        <row r="9">
          <cell r="M9">
            <v>433803</v>
          </cell>
        </row>
        <row r="10">
          <cell r="E10">
            <v>1392369</v>
          </cell>
        </row>
        <row r="10">
          <cell r="I10">
            <v>1392369</v>
          </cell>
        </row>
        <row r="10">
          <cell r="M10">
            <v>2915084</v>
          </cell>
        </row>
        <row r="11">
          <cell r="E11">
            <v>201190</v>
          </cell>
        </row>
        <row r="11">
          <cell r="I11">
            <v>201190</v>
          </cell>
        </row>
        <row r="11">
          <cell r="M11">
            <v>663921</v>
          </cell>
        </row>
        <row r="12">
          <cell r="E12">
            <v>677.835079466667</v>
          </cell>
        </row>
        <row r="12">
          <cell r="I12">
            <v>677.835079466667</v>
          </cell>
        </row>
        <row r="12">
          <cell r="M12">
            <v>1772.5204062</v>
          </cell>
        </row>
        <row r="13">
          <cell r="E13">
            <v>0.074771712600768</v>
          </cell>
        </row>
        <row r="13">
          <cell r="I13">
            <v>0.074771712600768</v>
          </cell>
        </row>
        <row r="13">
          <cell r="M13">
            <v>0.156734790028304</v>
          </cell>
        </row>
        <row r="14">
          <cell r="E14">
            <v>0.0311596487341857</v>
          </cell>
        </row>
        <row r="14">
          <cell r="I14">
            <v>0.0311596487341857</v>
          </cell>
        </row>
        <row r="14">
          <cell r="M14">
            <v>0.0665033297367593</v>
          </cell>
        </row>
        <row r="15">
          <cell r="E15">
            <v>8.76977329096433</v>
          </cell>
        </row>
        <row r="15">
          <cell r="I15">
            <v>8.76977329096433</v>
          </cell>
        </row>
        <row r="15">
          <cell r="M15">
            <v>28.9547081625849</v>
          </cell>
        </row>
        <row r="16">
          <cell r="E16">
            <v>0.295464982135566</v>
          </cell>
        </row>
        <row r="16">
          <cell r="I16">
            <v>0.295464982135566</v>
          </cell>
        </row>
        <row r="16">
          <cell r="M16">
            <v>0.773025873164842</v>
          </cell>
        </row>
        <row r="20">
          <cell r="E20">
            <v>7</v>
          </cell>
        </row>
        <row r="21">
          <cell r="E21">
            <v>-14</v>
          </cell>
        </row>
        <row r="22">
          <cell r="E22" t="str">
            <v>-0.4  -5.6</v>
          </cell>
        </row>
        <row r="23">
          <cell r="E23">
            <v>2764.04</v>
          </cell>
        </row>
        <row r="23">
          <cell r="I23">
            <v>2764.04</v>
          </cell>
        </row>
        <row r="23">
          <cell r="M23">
            <v>2739.52291630417</v>
          </cell>
        </row>
        <row r="24">
          <cell r="E24">
            <v>948</v>
          </cell>
        </row>
        <row r="24">
          <cell r="I24">
            <v>948</v>
          </cell>
        </row>
        <row r="24">
          <cell r="M24">
            <v>1889</v>
          </cell>
        </row>
        <row r="25">
          <cell r="E25">
            <v>729</v>
          </cell>
        </row>
        <row r="25">
          <cell r="I25">
            <v>729</v>
          </cell>
        </row>
        <row r="25">
          <cell r="M25">
            <v>1670</v>
          </cell>
        </row>
        <row r="26">
          <cell r="E26">
            <v>0.768987341772152</v>
          </cell>
        </row>
        <row r="26">
          <cell r="I26">
            <v>0.768987341772152</v>
          </cell>
        </row>
        <row r="26">
          <cell r="M26">
            <v>0.884065643197459</v>
          </cell>
        </row>
        <row r="27">
          <cell r="E27">
            <v>8002</v>
          </cell>
        </row>
        <row r="27">
          <cell r="I27">
            <v>8002</v>
          </cell>
        </row>
        <row r="27">
          <cell r="M27">
            <v>27856</v>
          </cell>
        </row>
        <row r="28">
          <cell r="E28">
            <v>8002</v>
          </cell>
        </row>
        <row r="28">
          <cell r="I28">
            <v>8002</v>
          </cell>
        </row>
        <row r="28">
          <cell r="M28">
            <v>27856</v>
          </cell>
        </row>
        <row r="29">
          <cell r="E29">
            <v>1</v>
          </cell>
        </row>
        <row r="29">
          <cell r="I29">
            <v>1</v>
          </cell>
        </row>
        <row r="29">
          <cell r="M29">
            <v>1</v>
          </cell>
        </row>
        <row r="30">
          <cell r="E30">
            <v>744</v>
          </cell>
        </row>
        <row r="30">
          <cell r="I30">
            <v>744</v>
          </cell>
        </row>
        <row r="30">
          <cell r="M30">
            <v>2068.76</v>
          </cell>
        </row>
        <row r="31">
          <cell r="E31">
            <v>52</v>
          </cell>
        </row>
        <row r="31">
          <cell r="I31">
            <v>52</v>
          </cell>
        </row>
        <row r="31">
          <cell r="M31">
            <v>173</v>
          </cell>
        </row>
        <row r="32">
          <cell r="E32">
            <v>52</v>
          </cell>
        </row>
        <row r="32">
          <cell r="I32">
            <v>52</v>
          </cell>
        </row>
        <row r="32">
          <cell r="M32">
            <v>173</v>
          </cell>
        </row>
        <row r="33">
          <cell r="E33">
            <v>1</v>
          </cell>
        </row>
        <row r="33">
          <cell r="I33">
            <v>1</v>
          </cell>
        </row>
        <row r="33">
          <cell r="M33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showGridLines="0" zoomScale="85" zoomScaleNormal="85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I1" sqref="I$1:M$1048576"/>
    </sheetView>
  </sheetViews>
  <sheetFormatPr defaultColWidth="8.66666666666667" defaultRowHeight="13"/>
  <cols>
    <col min="1" max="1" width="7.45" style="441" customWidth="1"/>
    <col min="2" max="2" width="20.6666666666667" style="441" customWidth="1"/>
    <col min="3" max="3" width="9.58333333333333" style="523" customWidth="1"/>
    <col min="4" max="8" width="9.58333333333333" style="441" customWidth="1"/>
    <col min="9" max="9" width="7.14166666666667" style="441" customWidth="1"/>
    <col min="10" max="13" width="9.58333333333333" style="441" customWidth="1"/>
    <col min="14" max="14" width="9.625" style="441"/>
    <col min="15" max="15" width="10.6666666666667" style="441"/>
    <col min="16" max="16" width="9.75" style="441"/>
    <col min="17" max="32" width="9" style="441"/>
    <col min="33" max="16384" width="8.66666666666667" style="441"/>
  </cols>
  <sheetData>
    <row r="1" ht="15.95" customHeight="1" spans="1:14">
      <c r="A1" s="444" t="s">
        <v>0</v>
      </c>
      <c r="B1" s="5" t="s">
        <v>1</v>
      </c>
      <c r="C1" s="5" t="s">
        <v>2</v>
      </c>
      <c r="D1" s="137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8</v>
      </c>
      <c r="J1" s="8" t="s">
        <v>9</v>
      </c>
      <c r="K1" s="524"/>
      <c r="L1" s="8" t="s">
        <v>10</v>
      </c>
      <c r="M1" s="525"/>
      <c r="N1" s="526"/>
    </row>
    <row r="2" ht="15.95" customHeight="1" spans="1:14">
      <c r="A2" s="527"/>
      <c r="B2" s="528"/>
      <c r="C2" s="528"/>
      <c r="D2" s="529"/>
      <c r="E2" s="528"/>
      <c r="F2" s="528"/>
      <c r="G2" s="530"/>
      <c r="H2" s="528"/>
      <c r="I2" s="530"/>
      <c r="J2" s="14" t="s">
        <v>11</v>
      </c>
      <c r="K2" s="529" t="s">
        <v>12</v>
      </c>
      <c r="L2" s="14" t="s">
        <v>11</v>
      </c>
      <c r="M2" s="530" t="s">
        <v>12</v>
      </c>
      <c r="N2" s="526"/>
    </row>
    <row r="3" s="442" customFormat="1" ht="15.95" customHeight="1" spans="1:14">
      <c r="A3" s="531" t="s">
        <v>13</v>
      </c>
      <c r="B3" s="142" t="s">
        <v>14</v>
      </c>
      <c r="C3" s="247" t="s">
        <v>15</v>
      </c>
      <c r="D3" s="178">
        <f>北海!D4+香海!D4+金州!D4+北方!D4</f>
        <v>0</v>
      </c>
      <c r="E3" s="178">
        <f>北海!E4+香海!E4+金州!E4+北方!E4</f>
        <v>12130</v>
      </c>
      <c r="F3" s="178">
        <f>[3]全口径!$G$3</f>
        <v>10723.8669</v>
      </c>
      <c r="G3" s="178">
        <f>北海!G4+香海!G4+金州!G4+北方!G4</f>
        <v>10507.6944</v>
      </c>
      <c r="H3" s="178">
        <f>北海!H4+香海!H4+金州!H4+北方!H4</f>
        <v>10507.6944</v>
      </c>
      <c r="I3" s="238" t="str">
        <f t="shared" ref="I3:I42" si="0">IFERROR(H3/D3,"-")</f>
        <v>-</v>
      </c>
      <c r="J3" s="23">
        <f t="shared" ref="J3:J53" si="1">IFERROR(G3-E3,"-")</f>
        <v>-1622.3056</v>
      </c>
      <c r="K3" s="447">
        <f t="shared" ref="K3:K42" si="2">IFERROR(J3/E3,"-")</f>
        <v>-0.133743248145095</v>
      </c>
      <c r="L3" s="23">
        <f t="shared" ref="L3:L53" si="3">IFERROR(G3-F3,"-")</f>
        <v>-216.172499999999</v>
      </c>
      <c r="M3" s="447">
        <f t="shared" ref="M3:M42" si="4">IFERROR(L3/F3,"-")</f>
        <v>-0.0201580737634853</v>
      </c>
    </row>
    <row r="4" s="442" customFormat="1" ht="15.95" customHeight="1" spans="1:14">
      <c r="A4" s="512"/>
      <c r="B4" s="142" t="s">
        <v>16</v>
      </c>
      <c r="C4" s="247" t="s">
        <v>17</v>
      </c>
      <c r="D4" s="178">
        <f>主城区!D9</f>
        <v>0</v>
      </c>
      <c r="E4" s="178">
        <f>主城区!E9</f>
        <v>51000</v>
      </c>
      <c r="F4" s="178">
        <f>[3]全口径!$G$4</f>
        <v>48270</v>
      </c>
      <c r="G4" s="178">
        <f>[5]售热量!$D$27</f>
        <v>55460</v>
      </c>
      <c r="H4" s="178">
        <f>[5]售热量!$D$27</f>
        <v>55460</v>
      </c>
      <c r="I4" s="238" t="str">
        <f t="shared" si="0"/>
        <v>-</v>
      </c>
      <c r="J4" s="23">
        <f t="shared" si="1"/>
        <v>4460</v>
      </c>
      <c r="K4" s="447">
        <f t="shared" si="2"/>
        <v>0.0874509803921569</v>
      </c>
      <c r="L4" s="23">
        <f t="shared" si="3"/>
        <v>7190</v>
      </c>
      <c r="M4" s="447">
        <f t="shared" si="4"/>
        <v>0.148953801533043</v>
      </c>
    </row>
    <row r="5" s="442" customFormat="1" ht="15.95" customHeight="1" spans="1:14">
      <c r="A5" s="512"/>
      <c r="B5" s="142" t="s">
        <v>18</v>
      </c>
      <c r="C5" s="247" t="s">
        <v>19</v>
      </c>
      <c r="D5" s="178">
        <f>主城区!D10+金州!D7+北方!D6+金普!D8</f>
        <v>0</v>
      </c>
      <c r="E5" s="178">
        <f>主城区!E10+金州!E7+北方!E6+金普!E8</f>
        <v>448469.7</v>
      </c>
      <c r="F5" s="178">
        <f>[3]全口径!$G$5</f>
        <v>431877</v>
      </c>
      <c r="G5" s="178">
        <f>[5]售热量!$D$28</f>
        <v>493498.5</v>
      </c>
      <c r="H5" s="178">
        <f>[5]售热量!$D$28</f>
        <v>493498.5</v>
      </c>
      <c r="I5" s="238" t="str">
        <f t="shared" si="0"/>
        <v>-</v>
      </c>
      <c r="J5" s="23">
        <f t="shared" si="1"/>
        <v>45028.8</v>
      </c>
      <c r="K5" s="447">
        <f t="shared" si="2"/>
        <v>0.100405445451499</v>
      </c>
      <c r="L5" s="23">
        <f t="shared" si="3"/>
        <v>61621.5</v>
      </c>
      <c r="M5" s="447">
        <f t="shared" si="4"/>
        <v>0.142682986127995</v>
      </c>
    </row>
    <row r="6" s="442" customFormat="1" ht="15.95" customHeight="1" spans="1:14">
      <c r="A6" s="514"/>
      <c r="B6" s="150" t="s">
        <v>20</v>
      </c>
      <c r="C6" s="240" t="s">
        <v>21</v>
      </c>
      <c r="D6" s="227">
        <f>主城区!D11+金州!D8+北方!D7+金普!D4-金普!D5+庄河!D4+研究院!D4</f>
        <v>0</v>
      </c>
      <c r="E6" s="227">
        <f>主城区!E11+金州!E8+北方!E7+金普!E4-金普!E5+庄河!E4+研究院!E4</f>
        <v>36675854.07</v>
      </c>
      <c r="F6" s="227">
        <f>主城区!F11+金州!F8+北方!F7+金普!F4-金普!F5+庄河!F4+研究院!F4</f>
        <v>35851865.24</v>
      </c>
      <c r="G6" s="532">
        <f>H6</f>
        <v>36379777.61</v>
      </c>
      <c r="H6" s="227">
        <f>主城区!H11+金州!H8+北方!H7+金普!H4-金普!H5+庄河!H4+研究院!H4</f>
        <v>36379777.61</v>
      </c>
      <c r="I6" s="241" t="str">
        <f t="shared" si="0"/>
        <v>-</v>
      </c>
      <c r="J6" s="156">
        <f t="shared" si="1"/>
        <v>-296076.460000001</v>
      </c>
      <c r="K6" s="466">
        <f t="shared" si="2"/>
        <v>-0.00807278978247938</v>
      </c>
      <c r="L6" s="156">
        <f t="shared" si="3"/>
        <v>527912.369999997</v>
      </c>
      <c r="M6" s="466">
        <f t="shared" si="4"/>
        <v>0.014724823003379</v>
      </c>
    </row>
    <row r="7" s="442" customFormat="1" ht="15.95" customHeight="1" spans="1:14">
      <c r="A7" s="531" t="s">
        <v>22</v>
      </c>
      <c r="B7" s="475" t="s">
        <v>23</v>
      </c>
      <c r="C7" s="451" t="s">
        <v>15</v>
      </c>
      <c r="D7" s="476">
        <f>北海!D3+香海!D3+金州!D3+北方!D3</f>
        <v>0</v>
      </c>
      <c r="E7" s="476">
        <f>北海!E3+香海!E3+金州!E3+北方!E3</f>
        <v>16952</v>
      </c>
      <c r="F7" s="476">
        <f>[3]全口径!$G$7</f>
        <v>15044.43</v>
      </c>
      <c r="G7" s="476">
        <f>北海!G3+香海!G3+金州!G3+北方!G3</f>
        <v>15642.442</v>
      </c>
      <c r="H7" s="476">
        <f>北海!H3+香海!H3+金州!H3+北方!H3</f>
        <v>15642.442</v>
      </c>
      <c r="I7" s="238" t="str">
        <f t="shared" si="0"/>
        <v>-</v>
      </c>
      <c r="J7" s="453">
        <f t="shared" si="1"/>
        <v>-1309.558</v>
      </c>
      <c r="K7" s="454">
        <f t="shared" si="2"/>
        <v>-0.0772509438414347</v>
      </c>
      <c r="L7" s="453">
        <f t="shared" si="3"/>
        <v>598.011999999999</v>
      </c>
      <c r="M7" s="454">
        <f t="shared" si="4"/>
        <v>0.0397497279724123</v>
      </c>
      <c r="N7" s="361"/>
    </row>
    <row r="8" s="442" customFormat="1" ht="15.95" customHeight="1" spans="1:14">
      <c r="A8" s="512"/>
      <c r="B8" s="142" t="s">
        <v>24</v>
      </c>
      <c r="C8" s="247" t="s">
        <v>19</v>
      </c>
      <c r="D8" s="178">
        <f>主城区!D6+金州!D5+北方!D5+金普!D7+庄河!D6+研究院!D6</f>
        <v>0</v>
      </c>
      <c r="E8" s="178">
        <f>主城区!E6+金州!E5+北方!E5+金普!E7+庄河!E6+研究院!E6</f>
        <v>3506609.18480706</v>
      </c>
      <c r="F8" s="178">
        <f>[3]全口径!$G$8</f>
        <v>3363790.34449464</v>
      </c>
      <c r="G8" s="178">
        <f>北海!G6+北海水炉!G4+香海!G6+金州!G5+北方!G5+金普!G7+庄河!G6+研究院!G6+主城区电锅炉!G6+天然气炉!D5+天然气炉!E5</f>
        <v>3972697.22966919</v>
      </c>
      <c r="H8" s="178">
        <f>北海!H6+北海水炉!H4+香海!H6+金州!H5+北方!H5+金普!H7+庄河!H6+研究院!H6+主城区电锅炉!H6+天然气炉!F5+天然气炉!G5</f>
        <v>3972697.22966919</v>
      </c>
      <c r="I8" s="238" t="str">
        <f t="shared" si="0"/>
        <v>-</v>
      </c>
      <c r="J8" s="23">
        <f t="shared" si="1"/>
        <v>466088.044862129</v>
      </c>
      <c r="K8" s="447">
        <f t="shared" si="2"/>
        <v>0.132917020488491</v>
      </c>
      <c r="L8" s="23">
        <f t="shared" si="3"/>
        <v>608906.885174549</v>
      </c>
      <c r="M8" s="447">
        <f t="shared" si="4"/>
        <v>0.181018084605397</v>
      </c>
    </row>
    <row r="9" s="442" customFormat="1" ht="15.95" customHeight="1" spans="1:14">
      <c r="A9" s="512"/>
      <c r="B9" s="142" t="s">
        <v>25</v>
      </c>
      <c r="C9" s="247" t="s">
        <v>19</v>
      </c>
      <c r="D9" s="178">
        <f>香海!D7+金州!D6</f>
        <v>0</v>
      </c>
      <c r="E9" s="178">
        <f>香海!E7+金州!E6</f>
        <v>325082</v>
      </c>
      <c r="F9" s="178">
        <f>[3]全口径!$G$9</f>
        <v>320756</v>
      </c>
      <c r="G9" s="178">
        <f>香海!G7+金州!G6</f>
        <v>377963</v>
      </c>
      <c r="H9" s="178">
        <f>香海!H7+金州!H6</f>
        <v>377963</v>
      </c>
      <c r="I9" s="238" t="str">
        <f t="shared" si="0"/>
        <v>-</v>
      </c>
      <c r="J9" s="23">
        <f t="shared" si="1"/>
        <v>52881</v>
      </c>
      <c r="K9" s="447">
        <f t="shared" si="2"/>
        <v>0.162669726407491</v>
      </c>
      <c r="L9" s="23">
        <f t="shared" si="3"/>
        <v>57207</v>
      </c>
      <c r="M9" s="447">
        <f t="shared" si="4"/>
        <v>0.17835052189203</v>
      </c>
    </row>
    <row r="10" s="442" customFormat="1" ht="15.95" customHeight="1" spans="1:14">
      <c r="A10" s="512"/>
      <c r="B10" s="164" t="s">
        <v>26</v>
      </c>
      <c r="C10" s="247" t="s">
        <v>19</v>
      </c>
      <c r="D10" s="503">
        <f>北海!D7+北海水炉!D4+香海!D8+金州!D5-金州!D6+北方!D5</f>
        <v>0</v>
      </c>
      <c r="E10" s="257">
        <f>北海!E7+北海水炉!E4+香海!E8+金州!E5-金州!E6+北方!E5</f>
        <v>2555674</v>
      </c>
      <c r="F10" s="178">
        <f>[3]全口径!$G$10</f>
        <v>2375894.46</v>
      </c>
      <c r="G10" s="178">
        <f>北海!G7+北海水炉!G4+香海!G8+金州!G5-金州!G6+北方!G5</f>
        <v>2837808.72</v>
      </c>
      <c r="H10" s="178">
        <f>北海!H7+北海水炉!H4+香海!H8+金州!H5-金州!H6+北方!H5</f>
        <v>2837808.72</v>
      </c>
      <c r="I10" s="238" t="str">
        <f t="shared" si="0"/>
        <v>-</v>
      </c>
      <c r="J10" s="23">
        <f t="shared" si="1"/>
        <v>282134.72</v>
      </c>
      <c r="K10" s="447">
        <f t="shared" si="2"/>
        <v>0.11039542602069</v>
      </c>
      <c r="L10" s="23">
        <f t="shared" si="3"/>
        <v>461914.26</v>
      </c>
      <c r="M10" s="447">
        <f t="shared" si="4"/>
        <v>0.194416994431647</v>
      </c>
    </row>
    <row r="11" s="442" customFormat="1" ht="15.95" customHeight="1" spans="1:14">
      <c r="A11" s="514"/>
      <c r="B11" s="150" t="s">
        <v>27</v>
      </c>
      <c r="C11" s="240" t="s">
        <v>17</v>
      </c>
      <c r="D11" s="227">
        <f>主城区!D5</f>
        <v>0</v>
      </c>
      <c r="E11" s="227">
        <f>主城区!E5</f>
        <v>94011</v>
      </c>
      <c r="F11" s="227">
        <f>[3]全口径!$G$11</f>
        <v>93850</v>
      </c>
      <c r="G11" s="227">
        <f>北海!G5+香海!G5+天然气炉!D4+天然气炉!E4</f>
        <v>113333</v>
      </c>
      <c r="H11" s="227">
        <f>北海!H5+香海!H5+天然气炉!F4+天然气炉!G4</f>
        <v>113333</v>
      </c>
      <c r="I11" s="241" t="str">
        <f t="shared" si="0"/>
        <v>-</v>
      </c>
      <c r="J11" s="156">
        <f t="shared" si="1"/>
        <v>19322</v>
      </c>
      <c r="K11" s="466">
        <f t="shared" si="2"/>
        <v>0.205529140206997</v>
      </c>
      <c r="L11" s="156">
        <f t="shared" si="3"/>
        <v>19483</v>
      </c>
      <c r="M11" s="466">
        <f t="shared" si="4"/>
        <v>0.207597229621737</v>
      </c>
    </row>
    <row r="12" s="442" customFormat="1" ht="15.95" customHeight="1" spans="1:14">
      <c r="A12" s="531" t="s">
        <v>28</v>
      </c>
      <c r="B12" s="450" t="s">
        <v>29</v>
      </c>
      <c r="C12" s="451" t="s">
        <v>17</v>
      </c>
      <c r="D12" s="476">
        <f>北海!D12+北海水炉!D5+香海!D13+金州!D13+北方!D12+金普!D9+庄河!D8</f>
        <v>0</v>
      </c>
      <c r="E12" s="476">
        <f>北海!E12+北海水炉!E5+香海!E13+金州!E13+北方!E12+金普!E9+庄河!E8</f>
        <v>230508.172222222</v>
      </c>
      <c r="F12" s="476">
        <f>[3]全口径!$G$12</f>
        <v>232266.77</v>
      </c>
      <c r="G12" s="476">
        <f>北海!G12+北海水炉!G5+香海!G13+金州!G13+北方!G12+金普!G9+庄河!G8</f>
        <v>257483.19</v>
      </c>
      <c r="H12" s="476">
        <f>北海!H12+北海水炉!H5+香海!H13+金州!H13+北方!H12+金普!H9+庄河!H8</f>
        <v>257483.19</v>
      </c>
      <c r="I12" s="238" t="str">
        <f t="shared" si="0"/>
        <v>-</v>
      </c>
      <c r="J12" s="453">
        <f t="shared" si="1"/>
        <v>26975.017777778</v>
      </c>
      <c r="K12" s="454">
        <f t="shared" si="2"/>
        <v>0.117024127681567</v>
      </c>
      <c r="L12" s="453">
        <f t="shared" si="3"/>
        <v>25216.42</v>
      </c>
      <c r="M12" s="454">
        <f t="shared" si="4"/>
        <v>0.108566627933906</v>
      </c>
      <c r="N12" s="361"/>
    </row>
    <row r="13" s="442" customFormat="1" ht="15.95" customHeight="1" spans="1:14">
      <c r="A13" s="512"/>
      <c r="B13" s="203" t="s">
        <v>30</v>
      </c>
      <c r="C13" s="247" t="s">
        <v>17</v>
      </c>
      <c r="D13" s="178">
        <f>主城区!D13+金州!D23+北方!D23</f>
        <v>0</v>
      </c>
      <c r="E13" s="178">
        <f>北海!E24+北海水炉!E6+香海!E23+金州!E23+北方!E23</f>
        <v>89</v>
      </c>
      <c r="F13" s="178">
        <f>[3]全口径!$G$13</f>
        <v>98.3</v>
      </c>
      <c r="G13" s="178">
        <f>北海!G24+北海水炉!G6+香海!G23+金州!G23+北方!G23</f>
        <v>117.5</v>
      </c>
      <c r="H13" s="178">
        <f>北海!H24+北海水炉!H6+香海!H23+金州!H23+北方!H23</f>
        <v>117.5</v>
      </c>
      <c r="I13" s="238" t="str">
        <f t="shared" si="0"/>
        <v>-</v>
      </c>
      <c r="J13" s="23">
        <f t="shared" si="1"/>
        <v>28.5</v>
      </c>
      <c r="K13" s="447">
        <f t="shared" si="2"/>
        <v>0.320224719101124</v>
      </c>
      <c r="L13" s="23">
        <f t="shared" si="3"/>
        <v>19.2</v>
      </c>
      <c r="M13" s="447">
        <f t="shared" si="4"/>
        <v>0.195320447609359</v>
      </c>
    </row>
    <row r="14" s="442" customFormat="1" ht="15.95" customHeight="1" spans="1:14">
      <c r="A14" s="512"/>
      <c r="B14" s="203" t="s">
        <v>31</v>
      </c>
      <c r="C14" s="247" t="s">
        <v>17</v>
      </c>
      <c r="D14" s="178">
        <f>主城区!D14+金州!D21+北方!D20+金普!D11+庄河!D10+研究院!D7</f>
        <v>0</v>
      </c>
      <c r="E14" s="178">
        <f>北海!E22+北海水炉!E9+香海!E22+供热公司!E12+金州!E21+北方!E20+金普!E11+庄河!E10+研究院!E7+主城区电锅炉!E7</f>
        <v>691983.209522245</v>
      </c>
      <c r="F14" s="178">
        <f>[3]全口径!$G$14</f>
        <v>810644.3</v>
      </c>
      <c r="G14" s="178">
        <f>北海!G22+北海水炉!G9+香海!G22+供热公司!G12+金州!G21+北方!G20+金普!G11+庄河!G10+研究院!G7+主城区电锅炉!G7+天然气炉!D8</f>
        <v>690103.01</v>
      </c>
      <c r="H14" s="178">
        <f>北海!H22+北海水炉!H9+香海!H22+供热公司!H12+金州!H21+北方!H20+金普!H11+庄河!H10+研究院!H7+主城区电锅炉!H7+天然气炉!F8</f>
        <v>690103.01</v>
      </c>
      <c r="I14" s="238" t="str">
        <f t="shared" si="0"/>
        <v>-</v>
      </c>
      <c r="J14" s="23">
        <f t="shared" si="1"/>
        <v>-1880.19952224498</v>
      </c>
      <c r="K14" s="447">
        <f t="shared" si="2"/>
        <v>-0.00271711726003163</v>
      </c>
      <c r="L14" s="23">
        <f t="shared" si="3"/>
        <v>-120541.29</v>
      </c>
      <c r="M14" s="447">
        <f t="shared" si="4"/>
        <v>-0.148698128143256</v>
      </c>
    </row>
    <row r="15" s="442" customFormat="1" ht="15.95" customHeight="1" spans="1:14">
      <c r="A15" s="512"/>
      <c r="B15" s="203" t="s">
        <v>32</v>
      </c>
      <c r="C15" s="247" t="s">
        <v>17</v>
      </c>
      <c r="D15" s="471">
        <f>主城区!D23+金州!D22+北方!D22+金普!D11+庄河!D10+研究院!D7</f>
        <v>0</v>
      </c>
      <c r="E15" s="471">
        <f>主城区!E23+金州!E22+北方!E22+金普!E11+庄河!E10+研究院!E7</f>
        <v>325689.209522245</v>
      </c>
      <c r="F15" s="471">
        <f>主城区!F23+金州!F22+北方!F22+金普!F11+庄河!F10+研究院!F7</f>
        <v>419023.4</v>
      </c>
      <c r="G15" s="471">
        <f>主城区!G23+金州!G22+北方!G22+金普!G11+庄河!G10+研究院!G7</f>
        <v>336995.01</v>
      </c>
      <c r="H15" s="178">
        <f>主城区!H23+金州!H22+北方!H22+金普!H11+庄河!H10+研究院!H7</f>
        <v>336995.01</v>
      </c>
      <c r="I15" s="238" t="str">
        <f t="shared" si="0"/>
        <v>-</v>
      </c>
      <c r="J15" s="23">
        <f t="shared" si="1"/>
        <v>11305.800477755</v>
      </c>
      <c r="K15" s="447">
        <f t="shared" si="2"/>
        <v>0.0347134634713246</v>
      </c>
      <c r="L15" s="23">
        <f t="shared" si="3"/>
        <v>-82028.39</v>
      </c>
      <c r="M15" s="447">
        <f t="shared" si="4"/>
        <v>-0.195760881134562</v>
      </c>
    </row>
    <row r="16" s="442" customFormat="1" ht="15.95" customHeight="1" spans="1:14">
      <c r="A16" s="512"/>
      <c r="B16" s="203" t="s">
        <v>33</v>
      </c>
      <c r="C16" s="247" t="s">
        <v>17</v>
      </c>
      <c r="D16" s="533">
        <f>北方!D21</f>
        <v>0</v>
      </c>
      <c r="E16" s="533">
        <f>北方!E21</f>
        <v>0</v>
      </c>
      <c r="F16" s="178">
        <f>[3]全口径!$G$15</f>
        <v>21789.9</v>
      </c>
      <c r="G16" s="178">
        <f>北方!G21</f>
        <v>11538</v>
      </c>
      <c r="H16" s="178">
        <f>北方!H21</f>
        <v>11538</v>
      </c>
      <c r="I16" s="238" t="str">
        <f t="shared" si="0"/>
        <v>-</v>
      </c>
      <c r="J16" s="534">
        <f t="shared" si="1"/>
        <v>11538</v>
      </c>
      <c r="K16" s="534" t="str">
        <f t="shared" si="2"/>
        <v>-</v>
      </c>
      <c r="L16" s="23">
        <f t="shared" si="3"/>
        <v>-10251.9</v>
      </c>
      <c r="M16" s="447">
        <f t="shared" si="4"/>
        <v>-0.470488620874809</v>
      </c>
    </row>
    <row r="17" s="442" customFormat="1" ht="15.95" customHeight="1" spans="1:14">
      <c r="A17" s="512"/>
      <c r="B17" s="535" t="s">
        <v>34</v>
      </c>
      <c r="C17" s="247" t="s">
        <v>17</v>
      </c>
      <c r="D17" s="178">
        <f>北海!D23+北海水炉!D10</f>
        <v>0</v>
      </c>
      <c r="E17" s="178">
        <f>北海!E23+北海水炉!E10</f>
        <v>116709</v>
      </c>
      <c r="F17" s="178">
        <f>[3]全口径!$G$16</f>
        <v>116709</v>
      </c>
      <c r="G17" s="178">
        <f>北海!G23+北海水炉!G10</f>
        <v>121513</v>
      </c>
      <c r="H17" s="178">
        <f>北海!H23+北海水炉!H10</f>
        <v>121513</v>
      </c>
      <c r="I17" s="238" t="str">
        <f t="shared" si="0"/>
        <v>-</v>
      </c>
      <c r="J17" s="23">
        <f t="shared" si="1"/>
        <v>4804</v>
      </c>
      <c r="K17" s="447">
        <f t="shared" si="2"/>
        <v>0.0411622068563693</v>
      </c>
      <c r="L17" s="23">
        <f t="shared" si="3"/>
        <v>4804</v>
      </c>
      <c r="M17" s="447">
        <f t="shared" si="4"/>
        <v>0.0411622068563693</v>
      </c>
    </row>
    <row r="18" s="442" customFormat="1" ht="15.95" customHeight="1" spans="1:14">
      <c r="A18" s="512"/>
      <c r="B18" s="203" t="s">
        <v>35</v>
      </c>
      <c r="C18" s="247" t="s">
        <v>17</v>
      </c>
      <c r="D18" s="178">
        <f>主城区!D15+金州!D15+北方!D14</f>
        <v>0</v>
      </c>
      <c r="E18" s="178">
        <f>北海!E14+香海!E15+金州!E15+北方!E14</f>
        <v>99</v>
      </c>
      <c r="F18" s="178">
        <f>[3]全口径!$G$17</f>
        <v>83.22</v>
      </c>
      <c r="G18" s="178">
        <f>北海!G14+香海!G15+金州!G15+北方!G14</f>
        <v>63.71</v>
      </c>
      <c r="H18" s="178">
        <f>北海!H14+香海!H15+金州!H15+北方!H14</f>
        <v>63.71</v>
      </c>
      <c r="I18" s="238" t="str">
        <f t="shared" si="0"/>
        <v>-</v>
      </c>
      <c r="J18" s="23">
        <f t="shared" si="1"/>
        <v>-35.29</v>
      </c>
      <c r="K18" s="447">
        <f t="shared" si="2"/>
        <v>-0.356464646464646</v>
      </c>
      <c r="L18" s="23">
        <f t="shared" si="3"/>
        <v>-19.51</v>
      </c>
      <c r="M18" s="447">
        <f t="shared" si="4"/>
        <v>-0.234438836818073</v>
      </c>
    </row>
    <row r="19" s="442" customFormat="1" ht="15.95" customHeight="1" spans="1:14">
      <c r="A19" s="512"/>
      <c r="B19" s="203" t="s">
        <v>36</v>
      </c>
      <c r="C19" s="247" t="s">
        <v>17</v>
      </c>
      <c r="D19" s="178">
        <f>主城区!D16+金州!D14+北方!D13</f>
        <v>0</v>
      </c>
      <c r="E19" s="178">
        <f>北海!E13+香海!E14+金州!E14+北方!E13</f>
        <v>86</v>
      </c>
      <c r="F19" s="178">
        <f>[3]全口径!$G$18</f>
        <v>73.12</v>
      </c>
      <c r="G19" s="178">
        <f>北海!G13+香海!G14+金州!G14+北方!G13</f>
        <v>54</v>
      </c>
      <c r="H19" s="178">
        <f>北海!H13+香海!H14+金州!H14+北方!H13</f>
        <v>54</v>
      </c>
      <c r="I19" s="238" t="str">
        <f t="shared" si="0"/>
        <v>-</v>
      </c>
      <c r="J19" s="23">
        <f t="shared" si="1"/>
        <v>-32</v>
      </c>
      <c r="K19" s="447">
        <f t="shared" si="2"/>
        <v>-0.372093023255814</v>
      </c>
      <c r="L19" s="23">
        <f t="shared" si="3"/>
        <v>-19.12</v>
      </c>
      <c r="M19" s="447">
        <f t="shared" si="4"/>
        <v>-0.261487964989059</v>
      </c>
    </row>
    <row r="20" s="442" customFormat="1" ht="15.95" customHeight="1" spans="1:14">
      <c r="A20" s="512"/>
      <c r="B20" s="203" t="s">
        <v>37</v>
      </c>
      <c r="C20" s="247" t="s">
        <v>17</v>
      </c>
      <c r="D20" s="178">
        <f>北方!D24</f>
        <v>0</v>
      </c>
      <c r="E20" s="178">
        <f>北方!E24</f>
        <v>830</v>
      </c>
      <c r="F20" s="178">
        <f>[3]全口径!$G$19</f>
        <v>837.04</v>
      </c>
      <c r="G20" s="178">
        <f>北方!G24</f>
        <v>601.88</v>
      </c>
      <c r="H20" s="178">
        <f>北方!H24</f>
        <v>601.88</v>
      </c>
      <c r="I20" s="238" t="str">
        <f t="shared" si="0"/>
        <v>-</v>
      </c>
      <c r="J20" s="23">
        <f t="shared" si="1"/>
        <v>-228.12</v>
      </c>
      <c r="K20" s="447">
        <f t="shared" si="2"/>
        <v>-0.274843373493976</v>
      </c>
      <c r="L20" s="23">
        <f t="shared" si="3"/>
        <v>-235.16</v>
      </c>
      <c r="M20" s="447">
        <f t="shared" si="4"/>
        <v>-0.280942368345599</v>
      </c>
    </row>
    <row r="21" s="442" customFormat="1" ht="15.95" customHeight="1" spans="1:14">
      <c r="A21" s="512"/>
      <c r="B21" s="203" t="s">
        <v>38</v>
      </c>
      <c r="C21" s="247" t="s">
        <v>17</v>
      </c>
      <c r="D21" s="178">
        <f>主城区!D17+金州!D24+北方!D25</f>
        <v>0</v>
      </c>
      <c r="E21" s="178">
        <f>北海!E25+北海水炉!E16+香海!E24+金州!E24+北方!E25</f>
        <v>4858</v>
      </c>
      <c r="F21" s="178">
        <f>[3]全口径!$G$20</f>
        <v>3668.42</v>
      </c>
      <c r="G21" s="178">
        <f>北海!G25+北海水炉!G16+香海!G24+金州!G24+北方!G25</f>
        <v>4699.67</v>
      </c>
      <c r="H21" s="178">
        <f>北海!H25+北海水炉!H16+香海!H24+金州!H24+北方!H25</f>
        <v>4699.67</v>
      </c>
      <c r="I21" s="238" t="str">
        <f t="shared" si="0"/>
        <v>-</v>
      </c>
      <c r="J21" s="23">
        <f t="shared" si="1"/>
        <v>-158.33</v>
      </c>
      <c r="K21" s="447">
        <f t="shared" si="2"/>
        <v>-0.0325916014820914</v>
      </c>
      <c r="L21" s="23">
        <f t="shared" si="3"/>
        <v>1031.25</v>
      </c>
      <c r="M21" s="447">
        <f t="shared" si="4"/>
        <v>0.28111557564292</v>
      </c>
    </row>
    <row r="22" s="442" customFormat="1" ht="15.95" customHeight="1" spans="1:14">
      <c r="A22" s="512"/>
      <c r="B22" s="203" t="s">
        <v>39</v>
      </c>
      <c r="C22" s="247" t="s">
        <v>17</v>
      </c>
      <c r="D22" s="178">
        <f>主城区!D18+金州!D16+北方!D15</f>
        <v>0</v>
      </c>
      <c r="E22" s="178">
        <f>北海!E15+北海水炉!E17+香海!E16+金州!E16+北方!E15</f>
        <v>1454</v>
      </c>
      <c r="F22" s="178">
        <f>[3]全口径!$G$21</f>
        <v>1446.976</v>
      </c>
      <c r="G22" s="178">
        <f>北海!G15+北海水炉!G17+香海!G16+金州!G16+北方!G15</f>
        <v>1225.813</v>
      </c>
      <c r="H22" s="178">
        <f>北海!H15+北海水炉!H17+香海!H16+金州!H16+北方!H15</f>
        <v>1225.813</v>
      </c>
      <c r="I22" s="238" t="str">
        <f t="shared" si="0"/>
        <v>-</v>
      </c>
      <c r="J22" s="23">
        <f t="shared" si="1"/>
        <v>-228.187</v>
      </c>
      <c r="K22" s="447">
        <f t="shared" si="2"/>
        <v>-0.156937414030261</v>
      </c>
      <c r="L22" s="23">
        <f t="shared" si="3"/>
        <v>-221.163</v>
      </c>
      <c r="M22" s="447">
        <f t="shared" si="4"/>
        <v>-0.152844967711973</v>
      </c>
    </row>
    <row r="23" s="442" customFormat="1" ht="15.95" customHeight="1" spans="1:14">
      <c r="A23" s="512"/>
      <c r="B23" s="203" t="s">
        <v>40</v>
      </c>
      <c r="C23" s="247" t="s">
        <v>17</v>
      </c>
      <c r="D23" s="506">
        <f>主城区!D19+金州!D17+北方!D16</f>
        <v>0</v>
      </c>
      <c r="E23" s="506">
        <f>主城区!E19+金州!E17+北方!E16</f>
        <v>4.2</v>
      </c>
      <c r="F23" s="81">
        <f>[3]全口径!$G$22</f>
        <v>4.369</v>
      </c>
      <c r="G23" s="536">
        <f>北海!G16+香海!G17+金州!G17+北方!G16+中水!G14</f>
        <v>3.175</v>
      </c>
      <c r="H23" s="536">
        <f>北海!H16+香海!H17+金州!H17+北方!H16+中水!H14</f>
        <v>3.175</v>
      </c>
      <c r="I23" s="238" t="str">
        <f t="shared" si="0"/>
        <v>-</v>
      </c>
      <c r="J23" s="23">
        <f t="shared" si="1"/>
        <v>-1.025</v>
      </c>
      <c r="K23" s="447">
        <f t="shared" si="2"/>
        <v>-0.244047619047619</v>
      </c>
      <c r="L23" s="244">
        <f t="shared" si="3"/>
        <v>-1.194</v>
      </c>
      <c r="M23" s="447">
        <f t="shared" si="4"/>
        <v>-0.273289082169833</v>
      </c>
    </row>
    <row r="24" s="442" customFormat="1" ht="15.95" customHeight="1" spans="1:14">
      <c r="A24" s="512"/>
      <c r="B24" s="203" t="s">
        <v>41</v>
      </c>
      <c r="C24" s="247" t="s">
        <v>17</v>
      </c>
      <c r="D24" s="506">
        <f>主城区!D20+金州!D18+北方!D17</f>
        <v>0</v>
      </c>
      <c r="E24" s="506">
        <f>主城区!E20+金州!E18+北方!E17</f>
        <v>0</v>
      </c>
      <c r="F24" s="81">
        <f>[3]全口径!$G$23</f>
        <v>0</v>
      </c>
      <c r="G24" s="536">
        <f>北海!G17+香海!G18+金州!G18+北方!G17+中水!G16</f>
        <v>0</v>
      </c>
      <c r="H24" s="536">
        <f>北海!H17+香海!H18+金州!H18+北方!H17+中水!H16</f>
        <v>0</v>
      </c>
      <c r="I24" s="238" t="str">
        <f t="shared" si="0"/>
        <v>-</v>
      </c>
      <c r="J24" s="23">
        <f t="shared" si="1"/>
        <v>0</v>
      </c>
      <c r="K24" s="447" t="str">
        <f t="shared" si="2"/>
        <v>-</v>
      </c>
      <c r="L24" s="244">
        <f t="shared" si="3"/>
        <v>0</v>
      </c>
      <c r="M24" s="447" t="str">
        <f t="shared" si="4"/>
        <v>-</v>
      </c>
    </row>
    <row r="25" s="442" customFormat="1" ht="15.95" customHeight="1" spans="1:14">
      <c r="A25" s="512"/>
      <c r="B25" s="203" t="s">
        <v>42</v>
      </c>
      <c r="C25" s="247" t="s">
        <v>17</v>
      </c>
      <c r="D25" s="471">
        <f>北海!D18</f>
        <v>0</v>
      </c>
      <c r="E25" s="23">
        <f>北海!E18</f>
        <v>40</v>
      </c>
      <c r="F25" s="178">
        <f>[3]全口径!$G$24</f>
        <v>25</v>
      </c>
      <c r="G25" s="178">
        <f>北海!G18</f>
        <v>28</v>
      </c>
      <c r="H25" s="178">
        <f>北海!H18</f>
        <v>28</v>
      </c>
      <c r="I25" s="238" t="str">
        <f t="shared" si="0"/>
        <v>-</v>
      </c>
      <c r="J25" s="23">
        <f t="shared" si="1"/>
        <v>-12</v>
      </c>
      <c r="K25" s="447">
        <f t="shared" si="2"/>
        <v>-0.3</v>
      </c>
      <c r="L25" s="23">
        <f t="shared" si="3"/>
        <v>3</v>
      </c>
      <c r="M25" s="447">
        <f t="shared" si="4"/>
        <v>0.12</v>
      </c>
    </row>
    <row r="26" s="442" customFormat="1" ht="15.95" customHeight="1" spans="1:14">
      <c r="A26" s="512"/>
      <c r="B26" s="203" t="s">
        <v>43</v>
      </c>
      <c r="C26" s="537" t="s">
        <v>17</v>
      </c>
      <c r="D26" s="23">
        <f>金普!D13+庄河!D12</f>
        <v>0</v>
      </c>
      <c r="E26" s="23">
        <f>金普!E13+庄河!E12</f>
        <v>67.86375</v>
      </c>
      <c r="F26" s="178">
        <f>[3]全口径!$G$25</f>
        <v>218.3</v>
      </c>
      <c r="G26" s="23">
        <f>金普!G13+庄河!G12</f>
        <v>51.9</v>
      </c>
      <c r="H26" s="23">
        <f>金普!H13+庄河!H12</f>
        <v>51.9</v>
      </c>
      <c r="I26" s="238" t="str">
        <f t="shared" si="0"/>
        <v>-</v>
      </c>
      <c r="J26" s="23">
        <f t="shared" si="1"/>
        <v>-15.96375</v>
      </c>
      <c r="K26" s="447">
        <f t="shared" si="2"/>
        <v>-0.235232358954523</v>
      </c>
      <c r="L26" s="23">
        <f t="shared" si="3"/>
        <v>-166.4</v>
      </c>
      <c r="M26" s="447">
        <f t="shared" si="4"/>
        <v>-0.762253779202932</v>
      </c>
    </row>
    <row r="27" s="442" customFormat="1" ht="15.95" customHeight="1" spans="1:14">
      <c r="A27" s="512"/>
      <c r="B27" s="203" t="s">
        <v>44</v>
      </c>
      <c r="C27" s="247" t="s">
        <v>17</v>
      </c>
      <c r="D27" s="471">
        <f>主城区!D21+金州!D19+北方!D18</f>
        <v>0</v>
      </c>
      <c r="E27" s="471">
        <f>主城区!E21+金州!E19+北方!E18</f>
        <v>67419</v>
      </c>
      <c r="F27" s="178">
        <f>[3]全口径!$G$26</f>
        <v>96729</v>
      </c>
      <c r="G27" s="178">
        <f>北海!G19+北海水炉!G14+香海!G19+金州!G19+北方!G18</f>
        <v>83369</v>
      </c>
      <c r="H27" s="178">
        <f>北海!H19+北海水炉!H14+香海!H19+金州!H19+北方!H18</f>
        <v>83369</v>
      </c>
      <c r="I27" s="238" t="str">
        <f t="shared" si="0"/>
        <v>-</v>
      </c>
      <c r="J27" s="23">
        <f t="shared" si="1"/>
        <v>15950</v>
      </c>
      <c r="K27" s="447">
        <f t="shared" si="2"/>
        <v>0.236580192527329</v>
      </c>
      <c r="L27" s="23">
        <f t="shared" si="3"/>
        <v>-13360</v>
      </c>
      <c r="M27" s="447">
        <f t="shared" si="4"/>
        <v>-0.13811783436198</v>
      </c>
    </row>
    <row r="28" s="442" customFormat="1" ht="15.95" customHeight="1" spans="1:14">
      <c r="A28" s="512"/>
      <c r="B28" s="203" t="s">
        <v>45</v>
      </c>
      <c r="C28" s="247" t="s">
        <v>46</v>
      </c>
      <c r="D28" s="471">
        <f>主城区!D22+金州!D20+北方!D19</f>
        <v>0</v>
      </c>
      <c r="E28" s="471">
        <f>主城区!E22+金州!E20+北方!E19</f>
        <v>3040000</v>
      </c>
      <c r="F28" s="178">
        <f>[3]全口径!$G$27</f>
        <v>3449610</v>
      </c>
      <c r="G28" s="178">
        <f>北海!G20+北海水炉!G15+香海!G20+金州!G20+北方!G19</f>
        <v>4301759.4</v>
      </c>
      <c r="H28" s="178">
        <f>北海!H20+北海水炉!H15+香海!H20+金州!H20+北方!H19</f>
        <v>4301759.4</v>
      </c>
      <c r="I28" s="238" t="str">
        <f t="shared" si="0"/>
        <v>-</v>
      </c>
      <c r="J28" s="23">
        <f t="shared" si="1"/>
        <v>1261759.4</v>
      </c>
      <c r="K28" s="447">
        <f t="shared" si="2"/>
        <v>0.415052434210526</v>
      </c>
      <c r="L28" s="23">
        <f t="shared" si="3"/>
        <v>852149.4</v>
      </c>
      <c r="M28" s="447">
        <f t="shared" si="4"/>
        <v>0.247027750963152</v>
      </c>
    </row>
    <row r="29" s="442" customFormat="1" ht="15.95" customHeight="1" spans="1:14">
      <c r="A29" s="512"/>
      <c r="B29" s="203" t="s">
        <v>47</v>
      </c>
      <c r="C29" s="247" t="s">
        <v>17</v>
      </c>
      <c r="D29" s="471">
        <f>主城区!D24</f>
        <v>0</v>
      </c>
      <c r="E29" s="471">
        <f>主城区!E24</f>
        <v>82300</v>
      </c>
      <c r="F29" s="178">
        <f>[3]全口径!$G$28</f>
        <v>90983</v>
      </c>
      <c r="G29" s="178">
        <f>北海!G21+香海!G21</f>
        <v>99619</v>
      </c>
      <c r="H29" s="178">
        <f>北海!H21+香海!H21</f>
        <v>99619</v>
      </c>
      <c r="I29" s="238" t="str">
        <f t="shared" si="0"/>
        <v>-</v>
      </c>
      <c r="J29" s="23">
        <f t="shared" si="1"/>
        <v>17319</v>
      </c>
      <c r="K29" s="447">
        <f t="shared" si="2"/>
        <v>0.210437424058323</v>
      </c>
      <c r="L29" s="23">
        <f t="shared" si="3"/>
        <v>8636</v>
      </c>
      <c r="M29" s="447">
        <f t="shared" si="4"/>
        <v>0.0949188309904048</v>
      </c>
    </row>
    <row r="30" s="442" customFormat="1" ht="15.95" customHeight="1" spans="1:14">
      <c r="A30" s="512"/>
      <c r="B30" s="203" t="s">
        <v>48</v>
      </c>
      <c r="C30" s="247" t="s">
        <v>19</v>
      </c>
      <c r="D30" s="471">
        <f>主城区!D25+金州!D5-金州!D7+北方!D5-北方!D6+金普!D7-金普!D8+庄河!D6+研究院!D6</f>
        <v>0</v>
      </c>
      <c r="E30" s="471">
        <f>主城区!E25+金州!E5-金州!E7+北方!E5-北方!E6+金普!E7-金普!E8+庄河!E6+研究院!E6</f>
        <v>2563891.78017306</v>
      </c>
      <c r="F30" s="471">
        <f>主城区!F25+金州!F5-金州!F7+北方!F5-北方!F6+金普!F7-金普!F8+庄河!F6+研究院!F6</f>
        <v>2456071.62941464</v>
      </c>
      <c r="G30" s="471">
        <f>主城区!G25+金州!G5-金州!G7+北方!G5-北方!G6+金普!G7-金普!G8+庄河!G6+研究院!G6</f>
        <v>2969533.28385519</v>
      </c>
      <c r="H30" s="178">
        <f>主城区!H25+金州!H5-金州!H7+北方!H5-北方!H6+金普!H7-金普!H8+庄河!H6+研究院!H6</f>
        <v>2969533.28385519</v>
      </c>
      <c r="I30" s="238" t="str">
        <f t="shared" si="0"/>
        <v>-</v>
      </c>
      <c r="J30" s="23">
        <f t="shared" si="1"/>
        <v>405641.503682129</v>
      </c>
      <c r="K30" s="447">
        <f t="shared" si="2"/>
        <v>0.158213192467409</v>
      </c>
      <c r="L30" s="23">
        <f t="shared" si="3"/>
        <v>513461.654440549</v>
      </c>
      <c r="M30" s="447">
        <f t="shared" si="4"/>
        <v>0.209058094353267</v>
      </c>
    </row>
    <row r="31" s="442" customFormat="1" ht="15.95" customHeight="1" spans="1:14">
      <c r="A31" s="512"/>
      <c r="B31" s="203" t="s">
        <v>49</v>
      </c>
      <c r="C31" s="247" t="s">
        <v>15</v>
      </c>
      <c r="D31" s="178">
        <f>北海!D26+北海水炉!D13+香海!D25+供热公司!D13+金州!D25+北方!D26+金普!D12+庄河!D11+研究院!D8+主城区电锅炉!D8</f>
        <v>0</v>
      </c>
      <c r="E31" s="471">
        <f>北海!E26+北海水炉!E13+香海!E25+供热公司!E13+金州!E25+北方!E26+金普!E12+庄河!E11+研究院!E8+主城区电锅炉!E8</f>
        <v>1550.53981243</v>
      </c>
      <c r="F31" s="178">
        <f>[3]全口径!$G$29</f>
        <v>1650.9018018</v>
      </c>
      <c r="G31" s="178">
        <f>北海!G26+北海水炉!G13+香海!G25+供热公司!G13+金州!G25+北方!G26+金普!G12+庄河!G11+研究院!G8+主城区电锅炉!G8</f>
        <v>1504.92364746667</v>
      </c>
      <c r="H31" s="178">
        <f>北海!H26+北海水炉!H13+香海!H25+供热公司!H13+金州!H25+北方!H26+金普!H12+庄河!H11+研究院!H8+主城区电锅炉!H8</f>
        <v>1504.92364746667</v>
      </c>
      <c r="I31" s="238" t="str">
        <f t="shared" si="0"/>
        <v>-</v>
      </c>
      <c r="J31" s="23">
        <f t="shared" si="1"/>
        <v>-45.6161649633329</v>
      </c>
      <c r="K31" s="447">
        <f t="shared" si="2"/>
        <v>-0.0294195380200161</v>
      </c>
      <c r="L31" s="23">
        <f t="shared" si="3"/>
        <v>-145.978154333333</v>
      </c>
      <c r="M31" s="447">
        <f t="shared" si="4"/>
        <v>-0.0884232812479646</v>
      </c>
      <c r="N31" s="61"/>
    </row>
    <row r="32" s="442" customFormat="1" ht="15.95" customHeight="1" spans="1:14">
      <c r="A32" s="512"/>
      <c r="B32" s="203" t="s">
        <v>50</v>
      </c>
      <c r="C32" s="247" t="s">
        <v>15</v>
      </c>
      <c r="D32" s="178">
        <f>主城区!D31+金州!D26+北方!D27+金普!D12+庄河!D11+研究院!D8</f>
        <v>0</v>
      </c>
      <c r="E32" s="178">
        <f>主城区!E31+金州!E26+北方!E27+金普!E12+庄河!E11+研究院!E8</f>
        <v>1550.53981243</v>
      </c>
      <c r="F32" s="178">
        <f>主城区!F31+金州!F26+北方!F27+金普!F12+庄河!F11+研究院!F8</f>
        <v>1650.9018018</v>
      </c>
      <c r="G32" s="178">
        <f>主城区!G31+金州!G26+北方!G27+金普!G12+庄河!G11+研究院!G8</f>
        <v>1504.92364746667</v>
      </c>
      <c r="H32" s="178">
        <f>主城区!H31+金州!H26+北方!H27+金普!H12+庄河!H11+研究院!H8</f>
        <v>1504.92364746667</v>
      </c>
      <c r="I32" s="238" t="str">
        <f t="shared" si="0"/>
        <v>-</v>
      </c>
      <c r="J32" s="23">
        <f t="shared" si="1"/>
        <v>-45.6161649633332</v>
      </c>
      <c r="K32" s="447">
        <f t="shared" si="2"/>
        <v>-0.0294195380200162</v>
      </c>
      <c r="L32" s="23">
        <f t="shared" si="3"/>
        <v>-145.978154333333</v>
      </c>
      <c r="M32" s="447">
        <f t="shared" si="4"/>
        <v>-0.0884232812479647</v>
      </c>
      <c r="N32" s="61"/>
    </row>
    <row r="33" s="442" customFormat="1" ht="15.95" customHeight="1" spans="1:14">
      <c r="A33" s="512"/>
      <c r="B33" s="203" t="s">
        <v>51</v>
      </c>
      <c r="C33" s="247" t="s">
        <v>15</v>
      </c>
      <c r="D33" s="178">
        <f>D7-D3</f>
        <v>0</v>
      </c>
      <c r="E33" s="178">
        <f>E7-E3</f>
        <v>4822</v>
      </c>
      <c r="F33" s="178">
        <f>[3]全口径!$G$30</f>
        <v>4320.5631</v>
      </c>
      <c r="G33" s="178">
        <f>北海!G27+香海!G26+金州!G27+北方!G28</f>
        <v>5134.7476</v>
      </c>
      <c r="H33" s="178">
        <f>北海!H27+香海!H26+金州!H27+北方!H28</f>
        <v>5134.7476</v>
      </c>
      <c r="I33" s="238" t="str">
        <f t="shared" si="0"/>
        <v>-</v>
      </c>
      <c r="J33" s="23">
        <f t="shared" si="1"/>
        <v>312.7476</v>
      </c>
      <c r="K33" s="447">
        <f t="shared" si="2"/>
        <v>0.0648584819576938</v>
      </c>
      <c r="L33" s="23">
        <f t="shared" si="3"/>
        <v>814.184499999999</v>
      </c>
      <c r="M33" s="447">
        <f t="shared" si="4"/>
        <v>0.188444071098047</v>
      </c>
      <c r="N33" s="538"/>
    </row>
    <row r="34" s="442" customFormat="1" ht="15.95" customHeight="1" spans="1:14">
      <c r="A34" s="512"/>
      <c r="B34" s="207" t="s">
        <v>52</v>
      </c>
      <c r="C34" s="247" t="s">
        <v>15</v>
      </c>
      <c r="D34" s="178">
        <f t="shared" ref="D34:H34" si="5">D33-D35-D36</f>
        <v>0</v>
      </c>
      <c r="E34" s="178">
        <f t="shared" si="5"/>
        <v>554.165945022552</v>
      </c>
      <c r="F34" s="178">
        <f t="shared" si="5"/>
        <v>539.310375</v>
      </c>
      <c r="G34" s="178">
        <f t="shared" si="5"/>
        <v>716.719321999986</v>
      </c>
      <c r="H34" s="178">
        <f t="shared" si="5"/>
        <v>716.719321999986</v>
      </c>
      <c r="I34" s="238" t="str">
        <f t="shared" si="0"/>
        <v>-</v>
      </c>
      <c r="J34" s="23">
        <f t="shared" si="1"/>
        <v>162.553376977434</v>
      </c>
      <c r="K34" s="447">
        <f t="shared" si="2"/>
        <v>0.29332978404297</v>
      </c>
      <c r="L34" s="23">
        <f t="shared" si="3"/>
        <v>177.408946999986</v>
      </c>
      <c r="M34" s="447">
        <f t="shared" si="4"/>
        <v>0.328955190227864</v>
      </c>
      <c r="N34" s="538"/>
    </row>
    <row r="35" s="442" customFormat="1" ht="15.95" customHeight="1" spans="1:14">
      <c r="A35" s="512"/>
      <c r="B35" s="456" t="s">
        <v>53</v>
      </c>
      <c r="C35" s="247" t="s">
        <v>15</v>
      </c>
      <c r="D35" s="178">
        <f>北海!D29+香海!D28+金州!D28+北方!D29</f>
        <v>0</v>
      </c>
      <c r="E35" s="178">
        <f>北海!E29+香海!E28+金州!E28+北方!E29</f>
        <v>803.323602777998</v>
      </c>
      <c r="F35" s="178">
        <f>[3]全口径!$G$31</f>
        <v>713.110578865175</v>
      </c>
      <c r="G35" s="178">
        <f>北海!G29+香海!G28+金州!G28+北方!G29</f>
        <v>882.632357699198</v>
      </c>
      <c r="H35" s="178">
        <f>北海!H29+香海!H28+金州!H28+北方!H29</f>
        <v>882.632357699198</v>
      </c>
      <c r="I35" s="238" t="str">
        <f t="shared" si="0"/>
        <v>-</v>
      </c>
      <c r="J35" s="23">
        <f t="shared" si="1"/>
        <v>79.3087549212001</v>
      </c>
      <c r="K35" s="447">
        <f t="shared" si="2"/>
        <v>0.0987257870264737</v>
      </c>
      <c r="L35" s="23">
        <f t="shared" si="3"/>
        <v>169.521778834023</v>
      </c>
      <c r="M35" s="447">
        <f t="shared" si="4"/>
        <v>0.237721587448325</v>
      </c>
      <c r="N35" s="538"/>
    </row>
    <row r="36" s="442" customFormat="1" ht="15.95" customHeight="1" spans="1:14">
      <c r="A36" s="512"/>
      <c r="B36" s="456" t="s">
        <v>54</v>
      </c>
      <c r="C36" s="247" t="s">
        <v>15</v>
      </c>
      <c r="D36" s="178">
        <f>北海!D30+香海!D29+金州!D29+北方!D30</f>
        <v>0</v>
      </c>
      <c r="E36" s="178">
        <f>北海!E30+香海!E29+金州!E29+北方!E30</f>
        <v>3464.51045219945</v>
      </c>
      <c r="F36" s="178">
        <f>[3]全口径!$G$32</f>
        <v>3068.14214613482</v>
      </c>
      <c r="G36" s="178">
        <f>北海!G30+香海!G29+金州!G29+北方!G30</f>
        <v>3535.39592030082</v>
      </c>
      <c r="H36" s="178">
        <f>北海!H30+香海!H29+金州!H29+北方!H30</f>
        <v>3535.39592030082</v>
      </c>
      <c r="I36" s="238" t="str">
        <f t="shared" si="0"/>
        <v>-</v>
      </c>
      <c r="J36" s="23">
        <f t="shared" si="1"/>
        <v>70.8854681013659</v>
      </c>
      <c r="K36" s="447">
        <f t="shared" si="2"/>
        <v>0.0204604572794301</v>
      </c>
      <c r="L36" s="23">
        <f t="shared" si="3"/>
        <v>467.253774165996</v>
      </c>
      <c r="M36" s="447">
        <f t="shared" si="4"/>
        <v>0.152292088146774</v>
      </c>
      <c r="N36" s="538"/>
    </row>
    <row r="37" s="442" customFormat="1" ht="15.95" customHeight="1" spans="1:14">
      <c r="A37" s="512"/>
      <c r="B37" s="203" t="s">
        <v>55</v>
      </c>
      <c r="C37" s="247" t="s">
        <v>17</v>
      </c>
      <c r="D37" s="178">
        <f>D38+D39</f>
        <v>0</v>
      </c>
      <c r="E37" s="178">
        <f>E38+E39</f>
        <v>157994.538707143</v>
      </c>
      <c r="F37" s="178">
        <f>[3]全口径!$G$33</f>
        <v>157462.539241068</v>
      </c>
      <c r="G37" s="178">
        <f>G38+G39</f>
        <v>173491.256106047</v>
      </c>
      <c r="H37" s="178">
        <f>H38+H39</f>
        <v>173491.256106047</v>
      </c>
      <c r="I37" s="238" t="str">
        <f t="shared" si="0"/>
        <v>-</v>
      </c>
      <c r="J37" s="23">
        <f t="shared" si="1"/>
        <v>15496.7173989044</v>
      </c>
      <c r="K37" s="447">
        <f t="shared" si="2"/>
        <v>0.0980838801499904</v>
      </c>
      <c r="L37" s="23">
        <f t="shared" si="3"/>
        <v>16028.7168649794</v>
      </c>
      <c r="M37" s="447">
        <f t="shared" si="4"/>
        <v>0.101793842155944</v>
      </c>
    </row>
    <row r="38" s="442" customFormat="1" ht="15.95" customHeight="1" spans="1:14">
      <c r="A38" s="512"/>
      <c r="B38" s="456" t="s">
        <v>56</v>
      </c>
      <c r="C38" s="247" t="s">
        <v>17</v>
      </c>
      <c r="D38" s="178">
        <f>主城区!D33+金州!D9+北方!D8</f>
        <v>0</v>
      </c>
      <c r="E38" s="178">
        <f>北海!E8+香海!E9+金州!E9+北方!E8</f>
        <v>25605.142</v>
      </c>
      <c r="F38" s="178">
        <f>[3]全口径!$G$34</f>
        <v>23416.1296654892</v>
      </c>
      <c r="G38" s="178">
        <f>北海!G8+香海!G9+金州!G9+北方!G8</f>
        <v>27596.4001143361</v>
      </c>
      <c r="H38" s="178">
        <f>北海!H8+香海!H9+金州!H9+北方!H8</f>
        <v>27596.4001143361</v>
      </c>
      <c r="I38" s="238" t="str">
        <f t="shared" si="0"/>
        <v>-</v>
      </c>
      <c r="J38" s="23">
        <f t="shared" si="1"/>
        <v>1991.25811433611</v>
      </c>
      <c r="K38" s="447">
        <f t="shared" si="2"/>
        <v>0.0777678996795296</v>
      </c>
      <c r="L38" s="23">
        <f t="shared" si="3"/>
        <v>4180.27044884691</v>
      </c>
      <c r="M38" s="447">
        <f t="shared" si="4"/>
        <v>0.178520981415977</v>
      </c>
    </row>
    <row r="39" s="442" customFormat="1" ht="15.95" customHeight="1" spans="1:14">
      <c r="A39" s="512"/>
      <c r="B39" s="456" t="s">
        <v>57</v>
      </c>
      <c r="C39" s="247" t="s">
        <v>17</v>
      </c>
      <c r="D39" s="178">
        <f>主城区!D34+金州!D10+北方!D9+金普!D10+庄河!D9</f>
        <v>0</v>
      </c>
      <c r="E39" s="178">
        <f>北海!E9+北海水炉!E7+香海!E10+金州!E10+北方!E9+金普!E10+庄河!E9</f>
        <v>132389.396707143</v>
      </c>
      <c r="F39" s="178">
        <f>[3]全口径!$G$35</f>
        <v>134046.409575579</v>
      </c>
      <c r="G39" s="178">
        <f>北海!G9+北海水炉!G7+香海!G10+金州!G10+北方!G9+金普!G10+庄河!G9</f>
        <v>145894.855991711</v>
      </c>
      <c r="H39" s="178">
        <f>北海!H9+北海水炉!H7+香海!H10+金州!H10+北方!H9+金普!H10+庄河!H9</f>
        <v>145894.855991711</v>
      </c>
      <c r="I39" s="238" t="str">
        <f t="shared" si="0"/>
        <v>-</v>
      </c>
      <c r="J39" s="23">
        <f t="shared" si="1"/>
        <v>13505.4592845683</v>
      </c>
      <c r="K39" s="447">
        <f t="shared" si="2"/>
        <v>0.102013149243693</v>
      </c>
      <c r="L39" s="23">
        <f t="shared" si="3"/>
        <v>11848.4464161323</v>
      </c>
      <c r="M39" s="447">
        <f t="shared" si="4"/>
        <v>0.0883906286908181</v>
      </c>
    </row>
    <row r="40" s="442" customFormat="1" ht="15.95" customHeight="1" spans="1:14">
      <c r="A40" s="512"/>
      <c r="B40" s="207" t="s">
        <v>58</v>
      </c>
      <c r="C40" s="539" t="s">
        <v>17</v>
      </c>
      <c r="D40" s="471">
        <f>主城区!D35+金州!D12+北方!D11+金普!D10+庄河!D9</f>
        <v>0</v>
      </c>
      <c r="E40" s="471">
        <f>主城区!E35+金州!E12+北方!E11+金普!E10+庄河!E9</f>
        <v>157864.856807143</v>
      </c>
      <c r="F40" s="178">
        <f>主城区!F35+金州!F12+北方!F11+金普!F10+庄河!F9</f>
        <v>157319.378527018</v>
      </c>
      <c r="G40" s="178">
        <f>主城区!G35+金州!G12+北方!G11+金普!G10+庄河!G9</f>
        <v>173320.449615474</v>
      </c>
      <c r="H40" s="178">
        <f>主城区!H35+金州!H12+北方!H11+金普!H10+庄河!H9</f>
        <v>173320.449615474</v>
      </c>
      <c r="I40" s="238" t="str">
        <f t="shared" si="0"/>
        <v>-</v>
      </c>
      <c r="J40" s="23">
        <f t="shared" si="1"/>
        <v>15455.5928083307</v>
      </c>
      <c r="K40" s="447">
        <f t="shared" si="2"/>
        <v>0.0979039484843174</v>
      </c>
      <c r="L40" s="23">
        <f t="shared" si="3"/>
        <v>16001.0710884556</v>
      </c>
      <c r="M40" s="447">
        <f t="shared" si="4"/>
        <v>0.101710744335973</v>
      </c>
    </row>
    <row r="41" s="442" customFormat="1" ht="15.95" customHeight="1" spans="1:14">
      <c r="A41" s="514"/>
      <c r="B41" s="203" t="s">
        <v>59</v>
      </c>
      <c r="C41" s="143" t="s">
        <v>60</v>
      </c>
      <c r="D41" s="175">
        <v>0</v>
      </c>
      <c r="E41" s="175">
        <v>0</v>
      </c>
      <c r="F41" s="175">
        <f>[3]全口径!$G$37</f>
        <v>0</v>
      </c>
      <c r="G41" s="175">
        <f>天然气炉!D6+天然气炉!E6</f>
        <v>0</v>
      </c>
      <c r="H41" s="175">
        <f>天然气炉!F6+天然气炉!G6</f>
        <v>0</v>
      </c>
      <c r="I41" s="299" t="str">
        <f t="shared" si="0"/>
        <v>-</v>
      </c>
      <c r="J41" s="291">
        <f t="shared" si="1"/>
        <v>0</v>
      </c>
      <c r="K41" s="383" t="str">
        <f t="shared" si="2"/>
        <v>-</v>
      </c>
      <c r="L41" s="291">
        <f t="shared" si="3"/>
        <v>0</v>
      </c>
      <c r="M41" s="430" t="str">
        <f t="shared" si="4"/>
        <v>-</v>
      </c>
      <c r="N41" s="484"/>
    </row>
    <row r="42" s="442" customFormat="1" ht="15.95" customHeight="1" spans="1:14">
      <c r="A42" s="512"/>
      <c r="B42" s="273" t="s">
        <v>61</v>
      </c>
      <c r="C42" s="459" t="s">
        <v>19</v>
      </c>
      <c r="D42" s="227">
        <v>0</v>
      </c>
      <c r="E42" s="227">
        <f>庄河!E7</f>
        <v>181300</v>
      </c>
      <c r="F42" s="227">
        <f>庄河!F7</f>
        <v>0</v>
      </c>
      <c r="G42" s="227">
        <f>庄河!G7</f>
        <v>249708</v>
      </c>
      <c r="H42" s="485">
        <f>庄河!H7</f>
        <v>249708</v>
      </c>
      <c r="I42" s="241" t="str">
        <f t="shared" si="0"/>
        <v>-</v>
      </c>
      <c r="J42" s="197">
        <f t="shared" si="1"/>
        <v>68408</v>
      </c>
      <c r="K42" s="540">
        <f t="shared" si="2"/>
        <v>0.377319360176503</v>
      </c>
      <c r="L42" s="197">
        <f t="shared" si="3"/>
        <v>249708</v>
      </c>
      <c r="M42" s="541" t="str">
        <f t="shared" si="4"/>
        <v>-</v>
      </c>
    </row>
    <row r="43" s="442" customFormat="1" ht="15.95" customHeight="1" spans="1:14">
      <c r="A43" s="455" t="s">
        <v>62</v>
      </c>
      <c r="B43" s="203" t="s">
        <v>63</v>
      </c>
      <c r="C43" s="421" t="s">
        <v>64</v>
      </c>
      <c r="D43" s="145" t="str">
        <f>IFERROR((D7-D3)/D7,"-")</f>
        <v>-</v>
      </c>
      <c r="E43" s="372">
        <f>(E7-E3)/E7</f>
        <v>0.284450212364323</v>
      </c>
      <c r="F43" s="372">
        <f>[3]全口径!$G38</f>
        <v>0.287186892424638</v>
      </c>
      <c r="G43" s="372">
        <f>G33/G7</f>
        <v>0.328257416584955</v>
      </c>
      <c r="H43" s="372">
        <f>H33/H7</f>
        <v>0.328257416584955</v>
      </c>
      <c r="I43" s="383" t="s">
        <v>65</v>
      </c>
      <c r="J43" s="145">
        <f t="shared" si="1"/>
        <v>0.0438072042206322</v>
      </c>
      <c r="K43" s="534" t="s">
        <v>65</v>
      </c>
      <c r="L43" s="145">
        <f t="shared" si="3"/>
        <v>0.0410705241603172</v>
      </c>
      <c r="M43" s="534" t="s">
        <v>65</v>
      </c>
    </row>
    <row r="44" s="442" customFormat="1" ht="15.95" customHeight="1" spans="1:14">
      <c r="A44" s="455"/>
      <c r="B44" s="203" t="s">
        <v>66</v>
      </c>
      <c r="C44" s="143" t="s">
        <v>67</v>
      </c>
      <c r="D44" s="23" t="str">
        <f>IFERROR(D38*100/D7,"-")</f>
        <v>-</v>
      </c>
      <c r="E44" s="178">
        <f>E38*100/E7</f>
        <v>151.044962246343</v>
      </c>
      <c r="F44" s="178">
        <f>[3]全口径!$G39</f>
        <v>155.646506152039</v>
      </c>
      <c r="G44" s="178">
        <f>G38*100/G7</f>
        <v>176.420025174689</v>
      </c>
      <c r="H44" s="178">
        <f>H38*100/H7</f>
        <v>176.420025174689</v>
      </c>
      <c r="I44" s="238" t="str">
        <f t="shared" ref="I44:I51" si="6">IFERROR(H44/D44,"-")</f>
        <v>-</v>
      </c>
      <c r="J44" s="23">
        <f t="shared" si="1"/>
        <v>25.3750629283459</v>
      </c>
      <c r="K44" s="479">
        <f t="shared" ref="K44:K51" si="7">IFERROR(J44/E44,"-")</f>
        <v>0.167996751106211</v>
      </c>
      <c r="L44" s="23">
        <f t="shared" si="3"/>
        <v>20.7735190226499</v>
      </c>
      <c r="M44" s="480">
        <f t="shared" ref="M44:M51" si="8">IFERROR(L44/F44,"-")</f>
        <v>0.13346601562876</v>
      </c>
    </row>
    <row r="45" s="442" customFormat="1" ht="15.95" customHeight="1" spans="1:14">
      <c r="A45" s="455"/>
      <c r="B45" s="203" t="s">
        <v>68</v>
      </c>
      <c r="C45" s="143" t="s">
        <v>67</v>
      </c>
      <c r="D45" s="23" t="str">
        <f>IFERROR(D38*100/(D7-D35),"-")</f>
        <v>-</v>
      </c>
      <c r="E45" s="178">
        <f>E38*100/(E7-E35)</f>
        <v>158.558765871392</v>
      </c>
      <c r="F45" s="178">
        <f>[3]全口径!$G40</f>
        <v>163.391303880623</v>
      </c>
      <c r="G45" s="178">
        <f>G38*100/(G7-G35)</f>
        <v>186.969891774528</v>
      </c>
      <c r="H45" s="178">
        <f>H38*100/(H7-H35)</f>
        <v>186.969891774528</v>
      </c>
      <c r="I45" s="238" t="str">
        <f t="shared" si="6"/>
        <v>-</v>
      </c>
      <c r="J45" s="23">
        <f t="shared" si="1"/>
        <v>28.4111259031357</v>
      </c>
      <c r="K45" s="479">
        <f t="shared" si="7"/>
        <v>0.179183571132107</v>
      </c>
      <c r="L45" s="23">
        <f t="shared" si="3"/>
        <v>23.5785878939047</v>
      </c>
      <c r="M45" s="480">
        <f t="shared" si="8"/>
        <v>0.144307483531263</v>
      </c>
    </row>
    <row r="46" s="442" customFormat="1" ht="15.95" customHeight="1" spans="1:14">
      <c r="A46" s="455"/>
      <c r="B46" s="203" t="s">
        <v>69</v>
      </c>
      <c r="C46" s="143" t="s">
        <v>70</v>
      </c>
      <c r="D46" s="215" t="str">
        <f>IFERROR(D39*1000/(D8-研究院!D6-主城区电锅炉!D6),"-")</f>
        <v>-</v>
      </c>
      <c r="E46" s="183">
        <f>E39*1000/(E8-研究院!E6-主城区电锅炉!E6)</f>
        <v>37.8535840156817</v>
      </c>
      <c r="F46" s="183">
        <f>[3]全口径!$G41</f>
        <v>39.9546123076543</v>
      </c>
      <c r="G46" s="183">
        <f>G39*1000/(G8-研究院!G6-主城区电锅炉!G6-天然气炉!D5-天然气炉!E5)</f>
        <v>36.8191646123889</v>
      </c>
      <c r="H46" s="424">
        <f>H39*1000/(H8-研究院!H6-主城区电锅炉!H6-天然气炉!F5-天然气炉!G5)</f>
        <v>36.8191646123889</v>
      </c>
      <c r="I46" s="238" t="str">
        <f t="shared" si="6"/>
        <v>-</v>
      </c>
      <c r="J46" s="215">
        <f t="shared" si="1"/>
        <v>-1.03441940329281</v>
      </c>
      <c r="K46" s="479">
        <f t="shared" si="7"/>
        <v>-0.0273268550440106</v>
      </c>
      <c r="L46" s="215">
        <f t="shared" si="3"/>
        <v>-3.13544769526541</v>
      </c>
      <c r="M46" s="480">
        <f t="shared" si="8"/>
        <v>-0.0784752376301932</v>
      </c>
    </row>
    <row r="47" s="442" customFormat="1" ht="15.95" customHeight="1" spans="1:14">
      <c r="A47" s="455"/>
      <c r="B47" s="203" t="s">
        <v>71</v>
      </c>
      <c r="C47" s="247" t="s">
        <v>72</v>
      </c>
      <c r="D47" s="542" t="str">
        <f>IFERROR((北海!D37*北海!D3+香海!D36*香海!D3+金州!D36*金州!D3+北方!D37*北方!D3)/全口径!D7,"-")</f>
        <v>-</v>
      </c>
      <c r="E47" s="543">
        <f>(北海!E37*北海!E3+香海!E36*香海!E3+金州!E36*金州!E3+北方!E37*北方!E3)/全口径!E7</f>
        <v>2.86862838757669</v>
      </c>
      <c r="F47" s="543">
        <f>[3]全口径!$G42</f>
        <v>3.62076780920774</v>
      </c>
      <c r="G47" s="543">
        <f>(北海!G37*北海!G3+香海!G36*香海!G3+金州!G36*金州!G3+北方!G37*北方!G3)/全口径!G7</f>
        <v>2.8283804613133</v>
      </c>
      <c r="H47" s="204">
        <f>(北海!H37*北海!H3+香海!H36*香海!H3+金州!H36*金州!H3+北方!H37*北方!H3)/全口径!H7</f>
        <v>2.8283804613133</v>
      </c>
      <c r="I47" s="238" t="str">
        <f t="shared" si="6"/>
        <v>-</v>
      </c>
      <c r="J47" s="215">
        <f t="shared" si="1"/>
        <v>-0.0402479262633939</v>
      </c>
      <c r="K47" s="479">
        <f t="shared" si="7"/>
        <v>-0.0140303729955743</v>
      </c>
      <c r="L47" s="215">
        <f t="shared" si="3"/>
        <v>-0.792387347894444</v>
      </c>
      <c r="M47" s="480">
        <f t="shared" si="8"/>
        <v>-0.218845115082877</v>
      </c>
    </row>
    <row r="48" s="442" customFormat="1" ht="15.95" customHeight="1" spans="1:14">
      <c r="A48" s="457"/>
      <c r="B48" s="203" t="s">
        <v>73</v>
      </c>
      <c r="C48" s="519" t="s">
        <v>74</v>
      </c>
      <c r="D48" s="544" t="str">
        <f>IFERROR((北海!D38*北海!D6+北海水炉!D9+香海!D37*香海!D6+金州!D37*金州!D5+北方!D38*北方!D5+金普!D11+庄河!D10+研究院!D7+主城区电锅炉!D7)/D8,"-")</f>
        <v>-</v>
      </c>
      <c r="E48" s="545">
        <f>(北海!E38*北海!E6+北海水炉!E9+香海!E37*香海!E6+金州!E37*金州!E5+北方!E38*北方!E5+金普!E11+庄河!E10+研究院!E7+主城区电锅炉!E7)/E8</f>
        <v>0.128630647957029</v>
      </c>
      <c r="F48" s="545">
        <f>[3]全口径!$G43</f>
        <v>0.157634946843806</v>
      </c>
      <c r="G48" s="545">
        <f>(北海!G38*北海!G6+北海水炉!G9+香海!G37*香海!G6+金州!G37*金州!G5+北方!G38*北方!G5+金普!G11+庄河!G10+研究院!G7+主城区电锅炉!G7+天然气炉!D8)/(G8-天然气炉!E5)</f>
        <v>0.111931568647883</v>
      </c>
      <c r="H48" s="367">
        <f>(北海!H38*北海!H6+北海水炉!H9+香海!H37*香海!H6+金州!H37*金州!H5+北方!H38*北方!H5+金普!H11+庄河!H10+研究院!H7+主城区电锅炉!H7+天然气炉!F8)/(H8-天然气炉!G5)</f>
        <v>0.111931568647883</v>
      </c>
      <c r="I48" s="238" t="str">
        <f t="shared" si="6"/>
        <v>-</v>
      </c>
      <c r="J48" s="546">
        <f t="shared" si="1"/>
        <v>-0.0166990793091455</v>
      </c>
      <c r="K48" s="479">
        <f t="shared" si="7"/>
        <v>-0.129821932598241</v>
      </c>
      <c r="L48" s="546">
        <f t="shared" si="3"/>
        <v>-0.0457033781959225</v>
      </c>
      <c r="M48" s="480">
        <f t="shared" si="8"/>
        <v>-0.289931763933083</v>
      </c>
    </row>
    <row r="49" s="442" customFormat="1" ht="15.95" customHeight="1" spans="1:13">
      <c r="A49" s="455"/>
      <c r="B49" s="203" t="s">
        <v>75</v>
      </c>
      <c r="C49" s="270" t="s">
        <v>76</v>
      </c>
      <c r="D49" s="300" t="str">
        <f>IFERROR(D30/D6,"-")</f>
        <v>-</v>
      </c>
      <c r="E49" s="547">
        <f>'[2]1.集团汇总表'!$M$92</f>
        <v>0.0698959893472831</v>
      </c>
      <c r="F49" s="271">
        <f>[3]全口径!$G44</f>
        <v>0.0667516167963607</v>
      </c>
      <c r="G49" s="271">
        <f>(主城区!G41*主城区!G11+金州!G45*金州!G8+北方!G46*北方!G7+金普!G7+庄河!G6)/G6</f>
        <v>0.0814677222772388</v>
      </c>
      <c r="H49" s="271">
        <f>(主城区!H41*主城区!H11+金州!H45*金州!H8+北方!H46*北方!H7+金普!H7+庄河!H6)/H6</f>
        <v>0.0814677222772388</v>
      </c>
      <c r="I49" s="299" t="str">
        <f t="shared" si="6"/>
        <v>-</v>
      </c>
      <c r="J49" s="548">
        <f t="shared" si="1"/>
        <v>0.0115717329299557</v>
      </c>
      <c r="K49" s="549">
        <f t="shared" si="7"/>
        <v>0.16555646522808</v>
      </c>
      <c r="L49" s="548">
        <f t="shared" si="3"/>
        <v>0.0147161054808781</v>
      </c>
      <c r="M49" s="447">
        <f t="shared" si="8"/>
        <v>0.220460659788549</v>
      </c>
    </row>
    <row r="50" s="442" customFormat="1" ht="15.95" customHeight="1" spans="1:13">
      <c r="A50" s="455"/>
      <c r="B50" s="203" t="s">
        <v>77</v>
      </c>
      <c r="C50" s="519" t="s">
        <v>78</v>
      </c>
      <c r="D50" s="550" t="str">
        <f>IFERROR(D15*1000/D6,"-")</f>
        <v>-</v>
      </c>
      <c r="E50" s="520">
        <f t="shared" ref="D50:H50" si="9">E15*1000/E6</f>
        <v>8.88020791283089</v>
      </c>
      <c r="F50" s="520">
        <f t="shared" si="9"/>
        <v>11.6876317925154</v>
      </c>
      <c r="G50" s="520">
        <f t="shared" si="9"/>
        <v>9.2632509635619</v>
      </c>
      <c r="H50" s="551">
        <f t="shared" si="9"/>
        <v>9.2632509635619</v>
      </c>
      <c r="I50" s="299" t="str">
        <f t="shared" si="6"/>
        <v>-</v>
      </c>
      <c r="J50" s="300">
        <f t="shared" si="1"/>
        <v>0.383043050731006</v>
      </c>
      <c r="K50" s="549">
        <f t="shared" si="7"/>
        <v>0.043134468752421</v>
      </c>
      <c r="L50" s="300">
        <f t="shared" si="3"/>
        <v>-2.4243808289535</v>
      </c>
      <c r="M50" s="447">
        <f t="shared" si="8"/>
        <v>-0.207431314742996</v>
      </c>
    </row>
    <row r="51" s="442" customFormat="1" ht="15.95" customHeight="1" spans="1:13">
      <c r="A51" s="457"/>
      <c r="B51" s="273" t="s">
        <v>79</v>
      </c>
      <c r="C51" s="274" t="s">
        <v>80</v>
      </c>
      <c r="D51" s="552" t="str">
        <f>IFERROR(D32*10000/D6,"-")</f>
        <v>-</v>
      </c>
      <c r="E51" s="521">
        <f t="shared" ref="D51:H51" si="10">E32*10000/E6</f>
        <v>0.422768563063486</v>
      </c>
      <c r="F51" s="521">
        <f t="shared" si="10"/>
        <v>0.460478636396883</v>
      </c>
      <c r="G51" s="521">
        <f t="shared" si="10"/>
        <v>0.413670381276052</v>
      </c>
      <c r="H51" s="275">
        <f t="shared" si="10"/>
        <v>0.413670381276052</v>
      </c>
      <c r="I51" s="303" t="str">
        <f t="shared" si="6"/>
        <v>-</v>
      </c>
      <c r="J51" s="302">
        <f t="shared" si="1"/>
        <v>-0.00909818178743427</v>
      </c>
      <c r="K51" s="553">
        <f t="shared" si="7"/>
        <v>-0.0215204785367828</v>
      </c>
      <c r="L51" s="302">
        <f t="shared" si="3"/>
        <v>-0.0468082551208313</v>
      </c>
      <c r="M51" s="466">
        <f t="shared" si="8"/>
        <v>-0.101651306751368</v>
      </c>
    </row>
    <row r="52" s="442" customFormat="1" ht="15.95" customHeight="1" spans="1:13">
      <c r="A52" s="512" t="s">
        <v>81</v>
      </c>
      <c r="B52" s="142" t="s">
        <v>82</v>
      </c>
      <c r="C52" s="421" t="s">
        <v>64</v>
      </c>
      <c r="D52" s="162">
        <f>D7/26.88/8760</f>
        <v>0</v>
      </c>
      <c r="E52" s="162">
        <f>E7/26.88/(DAY(DATE(2026,2,0))*24)</f>
        <v>0.847654249871992</v>
      </c>
      <c r="F52" s="162">
        <f>[3]全口径!$G45</f>
        <v>0.752269645257296</v>
      </c>
      <c r="G52" s="162">
        <f>G7/26.88/(DAY(DATE(2026,2,0))*24)</f>
        <v>0.782172159018177</v>
      </c>
      <c r="H52" s="162">
        <f>H7/26.88/(DATEDIF(DATE(2026,1,1),DATE(2026,2,1),"D")*24)</f>
        <v>0.782172159018177</v>
      </c>
      <c r="I52" s="326" t="s">
        <v>65</v>
      </c>
      <c r="J52" s="145">
        <f t="shared" si="1"/>
        <v>-0.0654820908538148</v>
      </c>
      <c r="K52" s="534" t="s">
        <v>65</v>
      </c>
      <c r="L52" s="145">
        <f t="shared" si="3"/>
        <v>0.0299025137608812</v>
      </c>
      <c r="M52" s="534" t="s">
        <v>65</v>
      </c>
    </row>
    <row r="53" s="442" customFormat="1" ht="15.95" customHeight="1" spans="1:13">
      <c r="A53" s="554"/>
      <c r="B53" s="165" t="s">
        <v>83</v>
      </c>
      <c r="C53" s="555" t="s">
        <v>64</v>
      </c>
      <c r="D53" s="279">
        <f>D8*1000/2651.95/(8760*3600)</f>
        <v>0</v>
      </c>
      <c r="E53" s="279">
        <f>E8*1000/2651.95/((DAY(DATE(2026,2,0))*24)*3600)</f>
        <v>0.493681210281484</v>
      </c>
      <c r="F53" s="279">
        <f>[3]全口径!$G46</f>
        <v>0.473574328042678</v>
      </c>
      <c r="G53" s="279">
        <f>(G8-天然气炉!E5)*1000/2651.95/((DAY(DATE(2026,2,0))*24)*3600)</f>
        <v>0.559299845823251</v>
      </c>
      <c r="H53" s="279">
        <f>(H8-天然气炉!G5)*1000/2651.95/((DATEDIF(DATE(2026,1,1),DATE(2026,2,1),"D")*24)*3600)</f>
        <v>0.559299845823251</v>
      </c>
      <c r="I53" s="357" t="s">
        <v>65</v>
      </c>
      <c r="J53" s="168">
        <f t="shared" si="1"/>
        <v>0.0656186355417668</v>
      </c>
      <c r="K53" s="556" t="s">
        <v>65</v>
      </c>
      <c r="L53" s="168">
        <f t="shared" si="3"/>
        <v>0.0857255177805727</v>
      </c>
      <c r="M53" s="556">
        <v>0</v>
      </c>
    </row>
  </sheetData>
  <mergeCells count="16">
    <mergeCell ref="J1:K1"/>
    <mergeCell ref="L1:M1"/>
    <mergeCell ref="A1:A2"/>
    <mergeCell ref="A3:A6"/>
    <mergeCell ref="A7:A11"/>
    <mergeCell ref="A12:A42"/>
    <mergeCell ref="A43:A51"/>
    <mergeCell ref="A52:A53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236111111111111" right="0.196527777777778" top="1.33819444444444" bottom="0.786805555555556" header="0.826388888888889" footer="0.511805555555556"/>
  <pageSetup paperSize="9" scale="95" orientation="landscape" horizontalDpi="600" verticalDpi="600"/>
  <headerFooter alignWithMargins="0" scaleWithDoc="0">
    <oddHeader>&amp;C&amp;"黑体"&amp;20大连洁净能源集团2026年1月份主要经营指标统计表&amp;R表    号：     ZB001
制表单位：经济运行部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"/>
  <sheetViews>
    <sheetView showGridLines="0" zoomScale="85" zoomScaleNormal="85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M11" sqref="M11"/>
    </sheetView>
  </sheetViews>
  <sheetFormatPr defaultColWidth="9" defaultRowHeight="15"/>
  <cols>
    <col min="1" max="1" width="9.75" style="191" customWidth="1"/>
    <col min="2" max="2" width="19" style="191" customWidth="1"/>
    <col min="3" max="3" width="10.5833333333333" style="498" customWidth="1"/>
    <col min="4" max="8" width="10.625" style="191" customWidth="1"/>
    <col min="9" max="9" width="8.125" style="191" customWidth="1"/>
    <col min="10" max="10" width="9.30833333333333" style="191" customWidth="1"/>
    <col min="11" max="11" width="8.125" style="191" customWidth="1"/>
    <col min="12" max="12" width="9.21666666666667" style="191" customWidth="1"/>
    <col min="13" max="13" width="8.125" style="191" customWidth="1"/>
    <col min="14" max="14" width="10" style="191"/>
    <col min="15" max="16384" width="9" style="191"/>
  </cols>
  <sheetData>
    <row r="1" s="496" customFormat="1" ht="15.95" customHeight="1" spans="1:15">
      <c r="A1" s="444" t="s">
        <v>84</v>
      </c>
      <c r="B1" s="5" t="s">
        <v>85</v>
      </c>
      <c r="C1" s="5" t="s">
        <v>2</v>
      </c>
      <c r="D1" s="137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86</v>
      </c>
      <c r="J1" s="8" t="s">
        <v>9</v>
      </c>
      <c r="K1" s="3"/>
      <c r="L1" s="8" t="s">
        <v>10</v>
      </c>
      <c r="M1" s="139"/>
      <c r="N1" s="499"/>
    </row>
    <row r="2" s="496" customFormat="1" ht="15.95" customHeight="1" spans="1:15">
      <c r="A2" s="445"/>
      <c r="B2" s="76"/>
      <c r="C2" s="76"/>
      <c r="D2" s="140"/>
      <c r="E2" s="76"/>
      <c r="F2" s="76"/>
      <c r="G2" s="141"/>
      <c r="H2" s="76"/>
      <c r="I2" s="141"/>
      <c r="J2" s="14" t="s">
        <v>11</v>
      </c>
      <c r="K2" s="140" t="s">
        <v>12</v>
      </c>
      <c r="L2" s="14" t="s">
        <v>11</v>
      </c>
      <c r="M2" s="141" t="s">
        <v>12</v>
      </c>
      <c r="N2" s="500"/>
    </row>
    <row r="3" s="497" customFormat="1" ht="17.45" customHeight="1" spans="1:15">
      <c r="A3" s="446" t="s">
        <v>87</v>
      </c>
      <c r="B3" s="142" t="s">
        <v>23</v>
      </c>
      <c r="C3" s="247" t="s">
        <v>15</v>
      </c>
      <c r="D3" s="471">
        <f>北海!D3+香海!D3</f>
        <v>0</v>
      </c>
      <c r="E3" s="471">
        <f>北海!E3+香海!E3</f>
        <v>13431</v>
      </c>
      <c r="F3" s="471">
        <f>[3]主城区!G3</f>
        <v>11627.856</v>
      </c>
      <c r="G3" s="178">
        <f>北海!G3+香海!G3</f>
        <v>11842.992</v>
      </c>
      <c r="H3" s="471">
        <f>北海!H3+香海!H3</f>
        <v>11842.992</v>
      </c>
      <c r="I3" s="145" t="str">
        <f t="shared" ref="I3:I35" si="0">IFERROR(H3/D3,"-")</f>
        <v>-</v>
      </c>
      <c r="J3" s="178">
        <f t="shared" ref="J3:J45" si="1">IFERROR(G3-E3,"-")</f>
        <v>-1588.008</v>
      </c>
      <c r="K3" s="447">
        <f t="shared" ref="K3:K35" si="2">IFERROR(J3/E3,"-")</f>
        <v>-0.118234532052714</v>
      </c>
      <c r="L3" s="178">
        <f t="shared" ref="L3:L45" si="3">IFERROR(G3-F3,"-")</f>
        <v>215.135999999999</v>
      </c>
      <c r="M3" s="447">
        <f t="shared" ref="M3:M35" si="4">IFERROR(L3/F3,"-")</f>
        <v>0.0185017771117907</v>
      </c>
      <c r="N3" s="501"/>
      <c r="O3" s="502"/>
    </row>
    <row r="4" s="497" customFormat="1" ht="17.45" customHeight="1" spans="1:15">
      <c r="A4" s="448"/>
      <c r="B4" s="142" t="s">
        <v>14</v>
      </c>
      <c r="C4" s="247" t="s">
        <v>15</v>
      </c>
      <c r="D4" s="471">
        <f>北海!D4+香海!D4</f>
        <v>0</v>
      </c>
      <c r="E4" s="471">
        <f>北海!E4+香海!E4</f>
        <v>9618</v>
      </c>
      <c r="F4" s="471">
        <f>[3]主城区!G4</f>
        <v>8297.9709</v>
      </c>
      <c r="G4" s="178">
        <f>北海!G4+香海!G4</f>
        <v>7828.3188</v>
      </c>
      <c r="H4" s="471">
        <f>北海!H4+香海!H4</f>
        <v>7828.3188</v>
      </c>
      <c r="I4" s="145" t="str">
        <f t="shared" si="0"/>
        <v>-</v>
      </c>
      <c r="J4" s="178">
        <f t="shared" si="1"/>
        <v>-1789.6812</v>
      </c>
      <c r="K4" s="447">
        <f t="shared" si="2"/>
        <v>-0.186076232064878</v>
      </c>
      <c r="L4" s="178">
        <f t="shared" si="3"/>
        <v>-469.652099999999</v>
      </c>
      <c r="M4" s="447">
        <f t="shared" si="4"/>
        <v>-0.0565984269720685</v>
      </c>
    </row>
    <row r="5" s="497" customFormat="1" ht="17.45" customHeight="1" spans="1:15">
      <c r="A5" s="448"/>
      <c r="B5" s="142" t="s">
        <v>27</v>
      </c>
      <c r="C5" s="247" t="s">
        <v>17</v>
      </c>
      <c r="D5" s="471">
        <f>北海!D5+香海!D5</f>
        <v>0</v>
      </c>
      <c r="E5" s="471">
        <f>北海!E5+香海!E5</f>
        <v>94011</v>
      </c>
      <c r="F5" s="471">
        <f>[3]主城区!G5</f>
        <v>93850</v>
      </c>
      <c r="G5" s="178">
        <f>北海!G5+香海!G5+天然气炉!D4+天然气炉!E4</f>
        <v>113333</v>
      </c>
      <c r="H5" s="471">
        <f>北海!H5+香海!H5+天然气炉!F4+天然气炉!G4</f>
        <v>113333</v>
      </c>
      <c r="I5" s="145" t="str">
        <f t="shared" si="0"/>
        <v>-</v>
      </c>
      <c r="J5" s="178">
        <f t="shared" si="1"/>
        <v>19322</v>
      </c>
      <c r="K5" s="447">
        <f t="shared" si="2"/>
        <v>0.205529140206997</v>
      </c>
      <c r="L5" s="178">
        <f t="shared" si="3"/>
        <v>19483</v>
      </c>
      <c r="M5" s="447">
        <f t="shared" si="4"/>
        <v>0.207597229621737</v>
      </c>
    </row>
    <row r="6" s="497" customFormat="1" ht="17.45" customHeight="1" spans="1:15">
      <c r="A6" s="448"/>
      <c r="B6" s="142" t="s">
        <v>24</v>
      </c>
      <c r="C6" s="247" t="s">
        <v>19</v>
      </c>
      <c r="D6" s="471">
        <f>集团本部!D6+股份本部!D6</f>
        <v>0</v>
      </c>
      <c r="E6" s="471">
        <f>北海!E6+北海水炉!E4+香海!E6+主城区电锅炉!E6</f>
        <v>2384644.704634</v>
      </c>
      <c r="F6" s="471">
        <f>[3]主城区!G6</f>
        <v>2232740.4819</v>
      </c>
      <c r="G6" s="471">
        <f>北海!G6+北海水炉!G4+香海!G6+主城区电锅炉!G6+天然气炉!D5+天然气炉!E5</f>
        <v>2688518.736102</v>
      </c>
      <c r="H6" s="471">
        <f>北海!H6+北海水炉!H4+香海!H6+主城区电锅炉!H6+天然气炉!F5+天然气炉!G5</f>
        <v>2688518.736102</v>
      </c>
      <c r="I6" s="145" t="str">
        <f t="shared" si="0"/>
        <v>-</v>
      </c>
      <c r="J6" s="178">
        <f t="shared" si="1"/>
        <v>303874.031468</v>
      </c>
      <c r="K6" s="447">
        <f t="shared" si="2"/>
        <v>0.127429478646228</v>
      </c>
      <c r="L6" s="178">
        <f t="shared" si="3"/>
        <v>455778.254202</v>
      </c>
      <c r="M6" s="447">
        <f t="shared" si="4"/>
        <v>0.204134003883042</v>
      </c>
    </row>
    <row r="7" s="497" customFormat="1" ht="17.45" customHeight="1" spans="1:15">
      <c r="A7" s="448"/>
      <c r="B7" s="164" t="s">
        <v>88</v>
      </c>
      <c r="C7" s="247" t="s">
        <v>19</v>
      </c>
      <c r="D7" s="471">
        <f>香海!D7</f>
        <v>0</v>
      </c>
      <c r="E7" s="471">
        <f>香海!E7</f>
        <v>222082</v>
      </c>
      <c r="F7" s="471">
        <f>[3]主城区!G7</f>
        <v>217507</v>
      </c>
      <c r="G7" s="178">
        <f>香海!G7</f>
        <v>264848</v>
      </c>
      <c r="H7" s="471">
        <f>香海!H7</f>
        <v>264848</v>
      </c>
      <c r="I7" s="145" t="str">
        <f t="shared" si="0"/>
        <v>-</v>
      </c>
      <c r="J7" s="178">
        <f t="shared" si="1"/>
        <v>42766</v>
      </c>
      <c r="K7" s="447">
        <f t="shared" si="2"/>
        <v>0.192568510730271</v>
      </c>
      <c r="L7" s="178">
        <f t="shared" si="3"/>
        <v>47341</v>
      </c>
      <c r="M7" s="447">
        <f t="shared" si="4"/>
        <v>0.217652765198361</v>
      </c>
    </row>
    <row r="8" s="497" customFormat="1" ht="17.45" customHeight="1" spans="1:15">
      <c r="A8" s="448"/>
      <c r="B8" s="164" t="s">
        <v>89</v>
      </c>
      <c r="C8" s="247" t="s">
        <v>19</v>
      </c>
      <c r="D8" s="503">
        <f>北海!D7+北海水炉!D4+香海!D8</f>
        <v>0</v>
      </c>
      <c r="E8" s="257">
        <f>北海!E7+北海水炉!E4+香海!E8</f>
        <v>1884674</v>
      </c>
      <c r="F8" s="257">
        <f>[3]主城区!G8</f>
        <v>1737820</v>
      </c>
      <c r="G8" s="178">
        <f>北海!G7+北海水炉!G4+香海!G8</f>
        <v>2088705.4</v>
      </c>
      <c r="H8" s="471">
        <f>北海!H7+北海水炉!H4+香海!H8</f>
        <v>2088705.4</v>
      </c>
      <c r="I8" s="145" t="str">
        <f t="shared" si="0"/>
        <v>-</v>
      </c>
      <c r="J8" s="178">
        <f t="shared" si="1"/>
        <v>204031.4</v>
      </c>
      <c r="K8" s="447">
        <f t="shared" si="2"/>
        <v>0.108258192132963</v>
      </c>
      <c r="L8" s="178">
        <f t="shared" si="3"/>
        <v>350885.4</v>
      </c>
      <c r="M8" s="447">
        <f t="shared" si="4"/>
        <v>0.2019112451232</v>
      </c>
    </row>
    <row r="9" s="497" customFormat="1" ht="17.45" customHeight="1" spans="1:15">
      <c r="A9" s="448"/>
      <c r="B9" s="142" t="s">
        <v>16</v>
      </c>
      <c r="C9" s="247" t="s">
        <v>17</v>
      </c>
      <c r="D9" s="364">
        <f>集团本部!D9</f>
        <v>0</v>
      </c>
      <c r="E9" s="178">
        <f>集团本部!E9</f>
        <v>51000</v>
      </c>
      <c r="F9" s="178">
        <f>[3]主城区!G9</f>
        <v>48270</v>
      </c>
      <c r="G9" s="178">
        <f>[5]售热量!$D$18</f>
        <v>55460</v>
      </c>
      <c r="H9" s="471">
        <f>[5]售热量!$D$18</f>
        <v>55460</v>
      </c>
      <c r="I9" s="145" t="str">
        <f t="shared" si="0"/>
        <v>-</v>
      </c>
      <c r="J9" s="178">
        <f t="shared" si="1"/>
        <v>4460</v>
      </c>
      <c r="K9" s="447">
        <f t="shared" si="2"/>
        <v>0.0874509803921569</v>
      </c>
      <c r="L9" s="178">
        <f t="shared" si="3"/>
        <v>7190</v>
      </c>
      <c r="M9" s="447">
        <f t="shared" si="4"/>
        <v>0.148953801533043</v>
      </c>
    </row>
    <row r="10" s="497" customFormat="1" ht="17.45" customHeight="1" spans="1:15">
      <c r="A10" s="448"/>
      <c r="B10" s="142" t="s">
        <v>18</v>
      </c>
      <c r="C10" s="247" t="s">
        <v>19</v>
      </c>
      <c r="D10" s="364">
        <f>集团本部!D10+股份本部!D10</f>
        <v>0</v>
      </c>
      <c r="E10" s="178">
        <f>集团本部!E10+股份本部!E10</f>
        <v>430000</v>
      </c>
      <c r="F10" s="178">
        <f>[3]主城区!G10</f>
        <v>414571</v>
      </c>
      <c r="G10" s="178">
        <f>[5]售热量!$D$19</f>
        <v>463052</v>
      </c>
      <c r="H10" s="471">
        <f>[5]售热量!$D$19</f>
        <v>463052</v>
      </c>
      <c r="I10" s="145" t="str">
        <f t="shared" si="0"/>
        <v>-</v>
      </c>
      <c r="J10" s="178">
        <f t="shared" si="1"/>
        <v>33052</v>
      </c>
      <c r="K10" s="447">
        <f t="shared" si="2"/>
        <v>0.0768651162790698</v>
      </c>
      <c r="L10" s="178">
        <f t="shared" si="3"/>
        <v>48481</v>
      </c>
      <c r="M10" s="447">
        <f t="shared" si="4"/>
        <v>0.116942574372062</v>
      </c>
    </row>
    <row r="11" s="497" customFormat="1" ht="17.45" customHeight="1" spans="1:15">
      <c r="A11" s="448"/>
      <c r="B11" s="142" t="s">
        <v>20</v>
      </c>
      <c r="C11" s="247" t="s">
        <v>21</v>
      </c>
      <c r="D11" s="364">
        <f>集团本部!D11+股份本部!D11</f>
        <v>0</v>
      </c>
      <c r="E11" s="178">
        <f>供热公司!E3+主城区电锅炉!E4</f>
        <v>22907592.07</v>
      </c>
      <c r="F11" s="178">
        <f>[3]主城区!G11</f>
        <v>22164541.47</v>
      </c>
      <c r="G11" s="503">
        <f>H11</f>
        <v>22948925.06</v>
      </c>
      <c r="H11" s="471">
        <f>供热公司!H3+主城区电锅炉!H4</f>
        <v>22948925.06</v>
      </c>
      <c r="I11" s="153" t="str">
        <f t="shared" si="0"/>
        <v>-</v>
      </c>
      <c r="J11" s="178">
        <f t="shared" si="1"/>
        <v>41332.9899999984</v>
      </c>
      <c r="K11" s="447">
        <f t="shared" si="2"/>
        <v>0.00180433586706516</v>
      </c>
      <c r="L11" s="178">
        <f t="shared" si="3"/>
        <v>784383.59</v>
      </c>
      <c r="M11" s="447">
        <f t="shared" si="4"/>
        <v>0.035389118744535</v>
      </c>
    </row>
    <row r="12" s="497" customFormat="1" ht="17.45" customHeight="1" spans="1:15">
      <c r="A12" s="449" t="s">
        <v>90</v>
      </c>
      <c r="B12" s="450" t="s">
        <v>29</v>
      </c>
      <c r="C12" s="451" t="s">
        <v>17</v>
      </c>
      <c r="D12" s="504">
        <f>北海!D12+北海水炉!D5+香海!D13</f>
        <v>0</v>
      </c>
      <c r="E12" s="476">
        <f>北海!E12+北海水炉!E5+香海!E13</f>
        <v>165107.222222222</v>
      </c>
      <c r="F12" s="476">
        <f>[3]主城区!G12</f>
        <v>154156</v>
      </c>
      <c r="G12" s="476">
        <f>北海!G12+北海水炉!G5+香海!G13</f>
        <v>184355</v>
      </c>
      <c r="H12" s="504">
        <f>北海!H12+北海水炉!H5+香海!H13</f>
        <v>184355</v>
      </c>
      <c r="I12" s="145" t="str">
        <f t="shared" si="0"/>
        <v>-</v>
      </c>
      <c r="J12" s="476">
        <f t="shared" si="1"/>
        <v>19247.777777778</v>
      </c>
      <c r="K12" s="454">
        <f t="shared" si="2"/>
        <v>0.116577442941121</v>
      </c>
      <c r="L12" s="476">
        <f t="shared" si="3"/>
        <v>30199</v>
      </c>
      <c r="M12" s="454">
        <f t="shared" si="4"/>
        <v>0.195898959495576</v>
      </c>
      <c r="N12" s="501"/>
    </row>
    <row r="13" s="497" customFormat="1" ht="17.45" customHeight="1" spans="1:15">
      <c r="A13" s="455"/>
      <c r="B13" s="203" t="s">
        <v>30</v>
      </c>
      <c r="C13" s="247" t="s">
        <v>17</v>
      </c>
      <c r="D13" s="471">
        <f>北海!D24+北海水炉!D6+香海!D23</f>
        <v>0</v>
      </c>
      <c r="E13" s="471">
        <f>北海!E24+北海水炉!E6+香海!E23</f>
        <v>67</v>
      </c>
      <c r="F13" s="471">
        <f>[3]主城区!G13</f>
        <v>73.5</v>
      </c>
      <c r="G13" s="471">
        <f>北海!G24+北海水炉!G6+香海!G23</f>
        <v>103.3</v>
      </c>
      <c r="H13" s="471">
        <f>北海!H24+北海水炉!H6+香海!H23</f>
        <v>103.3</v>
      </c>
      <c r="I13" s="145" t="str">
        <f t="shared" si="0"/>
        <v>-</v>
      </c>
      <c r="J13" s="178">
        <f t="shared" si="1"/>
        <v>36.3</v>
      </c>
      <c r="K13" s="447">
        <f t="shared" si="2"/>
        <v>0.541791044776119</v>
      </c>
      <c r="L13" s="178">
        <f t="shared" si="3"/>
        <v>29.8</v>
      </c>
      <c r="M13" s="447">
        <f t="shared" si="4"/>
        <v>0.405442176870748</v>
      </c>
    </row>
    <row r="14" s="497" customFormat="1" ht="17.45" customHeight="1" spans="1:15">
      <c r="A14" s="455"/>
      <c r="B14" s="203" t="s">
        <v>31</v>
      </c>
      <c r="C14" s="247" t="s">
        <v>17</v>
      </c>
      <c r="D14" s="178">
        <f>北海!D22+北海水炉!D9+香海!D22+供热公司!D12+主城区电锅炉!D7</f>
        <v>0</v>
      </c>
      <c r="E14" s="178">
        <f>北海!E22+北海水炉!E9+香海!E22+供热公司!E12+主城区电锅炉!E7</f>
        <v>493632.809522245</v>
      </c>
      <c r="F14" s="178">
        <f>[3]主城区!G14</f>
        <v>548648</v>
      </c>
      <c r="G14" s="178">
        <f>北海!G22+北海水炉!G9+香海!G22+主城区电锅炉!G7+天然气炉!D8+供热公司!G12</f>
        <v>488400</v>
      </c>
      <c r="H14" s="471">
        <f>北海!H22+北海水炉!H9+香海!H22+主城区电锅炉!H7+天然气炉!F8+供热公司!H12</f>
        <v>488400</v>
      </c>
      <c r="I14" s="145" t="str">
        <f t="shared" si="0"/>
        <v>-</v>
      </c>
      <c r="J14" s="178">
        <f t="shared" si="1"/>
        <v>-5232.80952224502</v>
      </c>
      <c r="K14" s="447">
        <f t="shared" si="2"/>
        <v>-0.0106006112667217</v>
      </c>
      <c r="L14" s="178">
        <f t="shared" si="3"/>
        <v>-60248</v>
      </c>
      <c r="M14" s="447">
        <f t="shared" si="4"/>
        <v>-0.109811755442469</v>
      </c>
    </row>
    <row r="15" s="497" customFormat="1" ht="17.45" customHeight="1" spans="1:15">
      <c r="A15" s="455"/>
      <c r="B15" s="203" t="s">
        <v>35</v>
      </c>
      <c r="C15" s="247" t="s">
        <v>17</v>
      </c>
      <c r="D15" s="471">
        <f>北海!D14+香海!D15</f>
        <v>0</v>
      </c>
      <c r="E15" s="471">
        <f>北海!E14+香海!E15</f>
        <v>67</v>
      </c>
      <c r="F15" s="471">
        <f>[3]主城区!G15</f>
        <v>60</v>
      </c>
      <c r="G15" s="471">
        <f>北海!G14+香海!G15</f>
        <v>46.4</v>
      </c>
      <c r="H15" s="471">
        <f>北海!H14+香海!H15</f>
        <v>46.4</v>
      </c>
      <c r="I15" s="145" t="str">
        <f t="shared" si="0"/>
        <v>-</v>
      </c>
      <c r="J15" s="178">
        <f t="shared" si="1"/>
        <v>-20.6</v>
      </c>
      <c r="K15" s="447">
        <f t="shared" si="2"/>
        <v>-0.307462686567164</v>
      </c>
      <c r="L15" s="178">
        <f t="shared" si="3"/>
        <v>-13.6</v>
      </c>
      <c r="M15" s="447">
        <f t="shared" si="4"/>
        <v>-0.226666666666667</v>
      </c>
    </row>
    <row r="16" s="497" customFormat="1" ht="17.45" customHeight="1" spans="1:15">
      <c r="A16" s="455"/>
      <c r="B16" s="203" t="s">
        <v>36</v>
      </c>
      <c r="C16" s="247" t="s">
        <v>17</v>
      </c>
      <c r="D16" s="471">
        <f>北海!D13+香海!D14</f>
        <v>0</v>
      </c>
      <c r="E16" s="471">
        <f>北海!E13+香海!E14</f>
        <v>55</v>
      </c>
      <c r="F16" s="471">
        <f>[3]主城区!G16</f>
        <v>55</v>
      </c>
      <c r="G16" s="471">
        <f>北海!G13+香海!G14</f>
        <v>41.7</v>
      </c>
      <c r="H16" s="471">
        <f>北海!H13+香海!H14</f>
        <v>41.7</v>
      </c>
      <c r="I16" s="145" t="str">
        <f t="shared" si="0"/>
        <v>-</v>
      </c>
      <c r="J16" s="178">
        <f t="shared" si="1"/>
        <v>-13.3</v>
      </c>
      <c r="K16" s="447">
        <f t="shared" si="2"/>
        <v>-0.241818181818182</v>
      </c>
      <c r="L16" s="178">
        <f t="shared" si="3"/>
        <v>-13.3</v>
      </c>
      <c r="M16" s="447">
        <f t="shared" si="4"/>
        <v>-0.241818181818182</v>
      </c>
    </row>
    <row r="17" s="497" customFormat="1" ht="17.45" customHeight="1" spans="1:17">
      <c r="A17" s="455"/>
      <c r="B17" s="203" t="s">
        <v>38</v>
      </c>
      <c r="C17" s="247" t="s">
        <v>17</v>
      </c>
      <c r="D17" s="471">
        <f>北海!D25+北海水炉!D16+香海!D24</f>
        <v>0</v>
      </c>
      <c r="E17" s="471">
        <f>北海!E25+北海水炉!E16+香海!E24</f>
        <v>4014</v>
      </c>
      <c r="F17" s="471">
        <f>[3]主城区!G17</f>
        <v>2731</v>
      </c>
      <c r="G17" s="471">
        <f>北海!G25+北海水炉!G16+香海!G24</f>
        <v>3633.29</v>
      </c>
      <c r="H17" s="471">
        <f>北海!H25+北海水炉!H16+香海!H24</f>
        <v>3633.29</v>
      </c>
      <c r="I17" s="145" t="str">
        <f t="shared" si="0"/>
        <v>-</v>
      </c>
      <c r="J17" s="178">
        <f t="shared" si="1"/>
        <v>-380.71</v>
      </c>
      <c r="K17" s="447">
        <f t="shared" si="2"/>
        <v>-0.0948455406078725</v>
      </c>
      <c r="L17" s="178">
        <f t="shared" si="3"/>
        <v>902.29</v>
      </c>
      <c r="M17" s="447">
        <f t="shared" si="4"/>
        <v>0.330388136213841</v>
      </c>
      <c r="P17" s="505"/>
      <c r="Q17" s="505"/>
    </row>
    <row r="18" s="497" customFormat="1" ht="17.45" customHeight="1" spans="1:17">
      <c r="A18" s="455"/>
      <c r="B18" s="203" t="s">
        <v>39</v>
      </c>
      <c r="C18" s="247" t="s">
        <v>17</v>
      </c>
      <c r="D18" s="471">
        <f>北海!D15+北海水炉!D17+香海!D16</f>
        <v>0</v>
      </c>
      <c r="E18" s="471">
        <f>北海!E15+北海水炉!E17+香海!E16</f>
        <v>725</v>
      </c>
      <c r="F18" s="471">
        <f>[3]主城区!G18</f>
        <v>633.63</v>
      </c>
      <c r="G18" s="471">
        <f>北海!G15+北海水炉!G17+香海!G16</f>
        <v>832.54</v>
      </c>
      <c r="H18" s="471">
        <f>北海!H15+北海水炉!H17+香海!H16</f>
        <v>832.54</v>
      </c>
      <c r="I18" s="145" t="str">
        <f t="shared" si="0"/>
        <v>-</v>
      </c>
      <c r="J18" s="178">
        <f t="shared" si="1"/>
        <v>107.54</v>
      </c>
      <c r="K18" s="447">
        <f t="shared" si="2"/>
        <v>0.148331034482759</v>
      </c>
      <c r="L18" s="178">
        <f t="shared" si="3"/>
        <v>198.91</v>
      </c>
      <c r="M18" s="447">
        <f t="shared" si="4"/>
        <v>0.313921373672332</v>
      </c>
      <c r="P18" s="505"/>
      <c r="Q18" s="505"/>
    </row>
    <row r="19" s="497" customFormat="1" ht="17.45" customHeight="1" spans="1:17">
      <c r="A19" s="455"/>
      <c r="B19" s="203" t="s">
        <v>40</v>
      </c>
      <c r="C19" s="247" t="s">
        <v>17</v>
      </c>
      <c r="D19" s="146">
        <f>集团本部!D19+股份本部!D19</f>
        <v>0</v>
      </c>
      <c r="E19" s="506">
        <f>集团本部!E19+股份本部!E19</f>
        <v>2.1</v>
      </c>
      <c r="F19" s="506">
        <f>[3]主城区!G19</f>
        <v>2.25</v>
      </c>
      <c r="G19" s="506">
        <f>北海!G16+香海!G17+中水!G14</f>
        <v>2.125</v>
      </c>
      <c r="H19" s="506">
        <f>北海!H16+香海!H17+中水!H14</f>
        <v>2.125</v>
      </c>
      <c r="I19" s="145" t="str">
        <f t="shared" si="0"/>
        <v>-</v>
      </c>
      <c r="J19" s="178">
        <f t="shared" si="1"/>
        <v>0.0249999999999999</v>
      </c>
      <c r="K19" s="447">
        <f t="shared" si="2"/>
        <v>0.0119047619047619</v>
      </c>
      <c r="L19" s="482">
        <f t="shared" si="3"/>
        <v>-0.125</v>
      </c>
      <c r="M19" s="447">
        <f t="shared" si="4"/>
        <v>-0.0555555555555556</v>
      </c>
      <c r="O19" s="507"/>
    </row>
    <row r="20" s="497" customFormat="1" ht="17.45" customHeight="1" spans="1:17">
      <c r="A20" s="455"/>
      <c r="B20" s="203" t="s">
        <v>41</v>
      </c>
      <c r="C20" s="247" t="s">
        <v>17</v>
      </c>
      <c r="D20" s="146">
        <f>集团本部!D20+股份本部!D20</f>
        <v>0</v>
      </c>
      <c r="E20" s="506">
        <f>集团本部!E20+股份本部!E20</f>
        <v>0</v>
      </c>
      <c r="F20" s="506">
        <f>[3]主城区!G20</f>
        <v>0</v>
      </c>
      <c r="G20" s="506">
        <f>北海!G17+香海!G18+中水!G16</f>
        <v>0</v>
      </c>
      <c r="H20" s="506">
        <f>北海!H17+香海!H18+中水!H16</f>
        <v>0</v>
      </c>
      <c r="I20" s="145" t="str">
        <f t="shared" si="0"/>
        <v>-</v>
      </c>
      <c r="J20" s="178">
        <f t="shared" si="1"/>
        <v>0</v>
      </c>
      <c r="K20" s="447" t="str">
        <f t="shared" si="2"/>
        <v>-</v>
      </c>
      <c r="L20" s="482">
        <f t="shared" si="3"/>
        <v>0</v>
      </c>
      <c r="M20" s="447" t="str">
        <f t="shared" si="4"/>
        <v>-</v>
      </c>
    </row>
    <row r="21" s="497" customFormat="1" ht="17.45" customHeight="1" spans="1:17">
      <c r="A21" s="455"/>
      <c r="B21" s="203" t="s">
        <v>44</v>
      </c>
      <c r="C21" s="247" t="s">
        <v>17</v>
      </c>
      <c r="D21" s="23">
        <f>北海!D19+香海!D19</f>
        <v>0</v>
      </c>
      <c r="E21" s="23">
        <f>北海!E19+香海!E19</f>
        <v>42019</v>
      </c>
      <c r="F21" s="23">
        <f>[3]主城区!G21</f>
        <v>69222</v>
      </c>
      <c r="G21" s="471">
        <f>北海!G19+北海水炉!G14+香海!G19</f>
        <v>52151</v>
      </c>
      <c r="H21" s="471">
        <f>北海!H19+北海水炉!H14+香海!H19</f>
        <v>52151</v>
      </c>
      <c r="I21" s="145" t="str">
        <f t="shared" si="0"/>
        <v>-</v>
      </c>
      <c r="J21" s="178">
        <f t="shared" si="1"/>
        <v>10132</v>
      </c>
      <c r="K21" s="447">
        <f t="shared" si="2"/>
        <v>0.241129013065518</v>
      </c>
      <c r="L21" s="178">
        <f t="shared" si="3"/>
        <v>-17071</v>
      </c>
      <c r="M21" s="447">
        <f t="shared" si="4"/>
        <v>-0.246612348675277</v>
      </c>
    </row>
    <row r="22" s="497" customFormat="1" ht="17.45" customHeight="1" spans="1:17">
      <c r="A22" s="455"/>
      <c r="B22" s="203" t="s">
        <v>45</v>
      </c>
      <c r="C22" s="247" t="s">
        <v>46</v>
      </c>
      <c r="D22" s="23">
        <f>北海!D20+香海!D20</f>
        <v>0</v>
      </c>
      <c r="E22" s="23">
        <f>北海!E20+香海!E20</f>
        <v>1950000</v>
      </c>
      <c r="F22" s="23">
        <f>[3]主城区!G22</f>
        <v>2316899</v>
      </c>
      <c r="G22" s="471">
        <f>北海!G20+北海水炉!G15+香海!G20</f>
        <v>2927190.4</v>
      </c>
      <c r="H22" s="471">
        <f>北海!H20+北海水炉!H15+香海!H20</f>
        <v>2927190.4</v>
      </c>
      <c r="I22" s="145" t="str">
        <f t="shared" si="0"/>
        <v>-</v>
      </c>
      <c r="J22" s="178">
        <f t="shared" si="1"/>
        <v>977190.4</v>
      </c>
      <c r="K22" s="447">
        <f t="shared" si="2"/>
        <v>0.501123282051282</v>
      </c>
      <c r="L22" s="178">
        <f t="shared" si="3"/>
        <v>610291.4</v>
      </c>
      <c r="M22" s="447">
        <f t="shared" si="4"/>
        <v>0.263408720017575</v>
      </c>
      <c r="N22" s="507"/>
    </row>
    <row r="23" s="497" customFormat="1" ht="17.45" customHeight="1" spans="1:17">
      <c r="A23" s="455"/>
      <c r="B23" s="203" t="s">
        <v>91</v>
      </c>
      <c r="C23" s="247" t="s">
        <v>17</v>
      </c>
      <c r="D23" s="23">
        <f>供热公司!D12+主城区电锅炉!D7</f>
        <v>0</v>
      </c>
      <c r="E23" s="23">
        <f>供热公司!E12+主城区电锅炉!E7</f>
        <v>192338.809522245</v>
      </c>
      <c r="F23" s="23">
        <f>供热公司!F12+主城区电锅炉!F7</f>
        <v>229365</v>
      </c>
      <c r="G23" s="23">
        <f>供热公司!G12+主城区电锅炉!G7</f>
        <v>201193</v>
      </c>
      <c r="H23" s="257">
        <f>供热公司!H12+主城区电锅炉!H7</f>
        <v>201193</v>
      </c>
      <c r="I23" s="145" t="str">
        <f t="shared" si="0"/>
        <v>-</v>
      </c>
      <c r="J23" s="178">
        <f t="shared" si="1"/>
        <v>8854.19047775498</v>
      </c>
      <c r="K23" s="447">
        <f t="shared" si="2"/>
        <v>0.0460343416897927</v>
      </c>
      <c r="L23" s="178">
        <f t="shared" si="3"/>
        <v>-28172</v>
      </c>
      <c r="M23" s="447">
        <f t="shared" si="4"/>
        <v>-0.122826063261614</v>
      </c>
      <c r="N23" s="507"/>
    </row>
    <row r="24" s="497" customFormat="1" ht="17.45" customHeight="1" spans="1:17">
      <c r="A24" s="455"/>
      <c r="B24" s="203" t="s">
        <v>92</v>
      </c>
      <c r="C24" s="247" t="s">
        <v>17</v>
      </c>
      <c r="D24" s="23">
        <f>北海!D21+香海!D21</f>
        <v>0</v>
      </c>
      <c r="E24" s="471">
        <f>北海!E21+香海!E21</f>
        <v>82300</v>
      </c>
      <c r="F24" s="471">
        <f>[3]主城区!G23</f>
        <v>90983</v>
      </c>
      <c r="G24" s="471">
        <f>北海!G21+香海!G21</f>
        <v>99619</v>
      </c>
      <c r="H24" s="471">
        <f>北海!H21+香海!H21</f>
        <v>99619</v>
      </c>
      <c r="I24" s="145" t="str">
        <f t="shared" si="0"/>
        <v>-</v>
      </c>
      <c r="J24" s="178">
        <f t="shared" si="1"/>
        <v>17319</v>
      </c>
      <c r="K24" s="447">
        <f t="shared" si="2"/>
        <v>0.210437424058323</v>
      </c>
      <c r="L24" s="178">
        <f t="shared" si="3"/>
        <v>8636</v>
      </c>
      <c r="M24" s="447">
        <f t="shared" si="4"/>
        <v>0.0949188309904048</v>
      </c>
      <c r="N24" s="501"/>
      <c r="O24" s="501"/>
      <c r="P24" s="501"/>
    </row>
    <row r="25" s="497" customFormat="1" ht="17.45" customHeight="1" spans="1:17">
      <c r="A25" s="455"/>
      <c r="B25" s="203" t="s">
        <v>48</v>
      </c>
      <c r="C25" s="247" t="s">
        <v>19</v>
      </c>
      <c r="D25" s="257">
        <f>供热公司!D7+主城区电锅炉!D6</f>
        <v>0</v>
      </c>
      <c r="E25" s="257">
        <f>供热公司!E7+主城区电锅炉!E6</f>
        <v>1460397</v>
      </c>
      <c r="F25" s="257">
        <f>供热公司!F7+主城区电锅炉!F6</f>
        <v>1342327.76682</v>
      </c>
      <c r="G25" s="257">
        <f>供热公司!G7+主城区电锅炉!G6</f>
        <v>1715801.290288</v>
      </c>
      <c r="H25" s="257">
        <f>供热公司!H7+主城区电锅炉!H6</f>
        <v>1715801.290288</v>
      </c>
      <c r="I25" s="145" t="str">
        <f t="shared" si="0"/>
        <v>-</v>
      </c>
      <c r="J25" s="178">
        <f t="shared" si="1"/>
        <v>255404.290288</v>
      </c>
      <c r="K25" s="447">
        <f t="shared" si="2"/>
        <v>0.174886890542777</v>
      </c>
      <c r="L25" s="178">
        <f t="shared" si="3"/>
        <v>373473.523468</v>
      </c>
      <c r="M25" s="447">
        <f t="shared" si="4"/>
        <v>0.278228263394093</v>
      </c>
      <c r="N25" s="501"/>
      <c r="O25" s="501"/>
      <c r="P25" s="501"/>
    </row>
    <row r="26" s="497" customFormat="1" ht="17.45" customHeight="1" spans="1:17">
      <c r="A26" s="455"/>
      <c r="B26" s="203" t="s">
        <v>51</v>
      </c>
      <c r="C26" s="247" t="s">
        <v>15</v>
      </c>
      <c r="D26" s="471">
        <f>D3-D4</f>
        <v>0</v>
      </c>
      <c r="E26" s="471">
        <f>E3-E4</f>
        <v>3813</v>
      </c>
      <c r="F26" s="471">
        <f>[3]主城区!G24</f>
        <v>3329.8851</v>
      </c>
      <c r="G26" s="178">
        <f>北海!G27+香海!G26</f>
        <v>4014.6732</v>
      </c>
      <c r="H26" s="471">
        <f>北海!H27+香海!H26</f>
        <v>4014.6732</v>
      </c>
      <c r="I26" s="145" t="str">
        <f t="shared" si="0"/>
        <v>-</v>
      </c>
      <c r="J26" s="178">
        <f t="shared" si="1"/>
        <v>201.6732</v>
      </c>
      <c r="K26" s="447">
        <f t="shared" si="2"/>
        <v>0.0528909520062943</v>
      </c>
      <c r="L26" s="178">
        <f t="shared" si="3"/>
        <v>684.7881</v>
      </c>
      <c r="M26" s="447">
        <f t="shared" si="4"/>
        <v>0.205649167894712</v>
      </c>
      <c r="N26" s="508"/>
      <c r="O26" s="501"/>
      <c r="P26" s="501"/>
    </row>
    <row r="27" s="497" customFormat="1" ht="17.45" customHeight="1" spans="1:17">
      <c r="A27" s="455"/>
      <c r="B27" s="212" t="s">
        <v>93</v>
      </c>
      <c r="C27" s="247" t="s">
        <v>15</v>
      </c>
      <c r="D27" s="471">
        <f t="shared" ref="D27:G27" si="5">D26-D28-D29</f>
        <v>0</v>
      </c>
      <c r="E27" s="471">
        <f t="shared" si="5"/>
        <v>534.165945022552</v>
      </c>
      <c r="F27" s="471">
        <f t="shared" si="5"/>
        <v>539.310375</v>
      </c>
      <c r="G27" s="471">
        <f t="shared" si="5"/>
        <v>716.719321999986</v>
      </c>
      <c r="H27" s="471">
        <f>北海!H28+香海!H27</f>
        <v>716.719321999986</v>
      </c>
      <c r="I27" s="145" t="str">
        <f t="shared" si="0"/>
        <v>-</v>
      </c>
      <c r="J27" s="178">
        <f t="shared" si="1"/>
        <v>182.553376977434</v>
      </c>
      <c r="K27" s="447">
        <f t="shared" si="2"/>
        <v>0.341754053545527</v>
      </c>
      <c r="L27" s="178">
        <f t="shared" si="3"/>
        <v>177.408946999986</v>
      </c>
      <c r="M27" s="447">
        <f t="shared" si="4"/>
        <v>0.328955190227865</v>
      </c>
      <c r="N27" s="508"/>
      <c r="O27" s="501"/>
      <c r="P27" s="501"/>
    </row>
    <row r="28" s="497" customFormat="1" ht="17.45" customHeight="1" spans="1:17">
      <c r="A28" s="455"/>
      <c r="B28" s="456" t="s">
        <v>94</v>
      </c>
      <c r="C28" s="247" t="s">
        <v>15</v>
      </c>
      <c r="D28" s="471">
        <f>北海!D29+香海!D28</f>
        <v>0</v>
      </c>
      <c r="E28" s="178">
        <f>北海!E29+香海!E28</f>
        <v>606.923602777998</v>
      </c>
      <c r="F28" s="178">
        <f>[3]主城区!G25</f>
        <v>516.74749</v>
      </c>
      <c r="G28" s="178">
        <f>北海!G29+香海!G28</f>
        <v>641.808038547514</v>
      </c>
      <c r="H28" s="471">
        <f>北海!H29+香海!H28</f>
        <v>641.808038547514</v>
      </c>
      <c r="I28" s="145" t="str">
        <f t="shared" si="0"/>
        <v>-</v>
      </c>
      <c r="J28" s="178">
        <f t="shared" si="1"/>
        <v>34.884435769516</v>
      </c>
      <c r="K28" s="447">
        <f t="shared" si="2"/>
        <v>0.0574774742815137</v>
      </c>
      <c r="L28" s="178">
        <f t="shared" si="3"/>
        <v>125.060548547514</v>
      </c>
      <c r="M28" s="447">
        <f t="shared" si="4"/>
        <v>0.242014815683989</v>
      </c>
      <c r="N28" s="501"/>
      <c r="O28" s="501"/>
      <c r="P28" s="502"/>
    </row>
    <row r="29" s="497" customFormat="1" ht="17.45" customHeight="1" spans="1:17">
      <c r="A29" s="455"/>
      <c r="B29" s="456" t="s">
        <v>95</v>
      </c>
      <c r="C29" s="247" t="s">
        <v>15</v>
      </c>
      <c r="D29" s="471">
        <f>北海!D30+香海!D29</f>
        <v>0</v>
      </c>
      <c r="E29" s="178">
        <f>北海!E30+香海!E29</f>
        <v>2671.91045219945</v>
      </c>
      <c r="F29" s="178">
        <f>[3]主城区!G26</f>
        <v>2273.827235</v>
      </c>
      <c r="G29" s="178">
        <f>北海!G30+香海!G29</f>
        <v>2656.1458394525</v>
      </c>
      <c r="H29" s="471">
        <f>北海!H30+香海!H29</f>
        <v>2656.1458394525</v>
      </c>
      <c r="I29" s="145" t="str">
        <f t="shared" si="0"/>
        <v>-</v>
      </c>
      <c r="J29" s="178">
        <f t="shared" si="1"/>
        <v>-15.7646127469502</v>
      </c>
      <c r="K29" s="447">
        <f t="shared" si="2"/>
        <v>-0.00590012765359452</v>
      </c>
      <c r="L29" s="178">
        <f t="shared" si="3"/>
        <v>382.3186044525</v>
      </c>
      <c r="M29" s="447">
        <f t="shared" si="4"/>
        <v>0.168138809566374</v>
      </c>
      <c r="N29" s="509"/>
      <c r="O29" s="510"/>
      <c r="P29" s="510"/>
    </row>
    <row r="30" s="497" customFormat="1" ht="17.45" customHeight="1" spans="1:17">
      <c r="A30" s="455"/>
      <c r="B30" s="203" t="s">
        <v>49</v>
      </c>
      <c r="C30" s="247" t="s">
        <v>15</v>
      </c>
      <c r="D30" s="471">
        <f>集团本部!D28+股份本部!D21</f>
        <v>0</v>
      </c>
      <c r="E30" s="471">
        <f>集团本部!E28+股份本部!E21</f>
        <v>761.832</v>
      </c>
      <c r="F30" s="471">
        <f>集团本部!F28+股份本部!F21</f>
        <v>716.8267108</v>
      </c>
      <c r="G30" s="471">
        <f>集团本部!G28+股份本部!G21</f>
        <v>691.119079466667</v>
      </c>
      <c r="H30" s="471">
        <f>集团本部!H28+股份本部!H21</f>
        <v>691.119079466667</v>
      </c>
      <c r="I30" s="145" t="str">
        <f t="shared" si="0"/>
        <v>-</v>
      </c>
      <c r="J30" s="178">
        <f t="shared" si="1"/>
        <v>-70.7129205333329</v>
      </c>
      <c r="K30" s="447">
        <f t="shared" si="2"/>
        <v>-0.0928195724691702</v>
      </c>
      <c r="L30" s="178">
        <f t="shared" si="3"/>
        <v>-25.7076313333329</v>
      </c>
      <c r="M30" s="447">
        <f t="shared" si="4"/>
        <v>-0.0358631046332556</v>
      </c>
      <c r="N30" s="509"/>
      <c r="O30" s="510"/>
      <c r="P30" s="510"/>
    </row>
    <row r="31" s="497" customFormat="1" ht="17.45" customHeight="1" spans="1:17">
      <c r="A31" s="455"/>
      <c r="B31" s="203" t="s">
        <v>50</v>
      </c>
      <c r="C31" s="247" t="s">
        <v>15</v>
      </c>
      <c r="D31" s="471">
        <f>供热公司!D13+主城区电锅炉!D8</f>
        <v>0</v>
      </c>
      <c r="E31" s="471">
        <f>供热公司!E13+主城区电锅炉!E8</f>
        <v>761.832</v>
      </c>
      <c r="F31" s="471">
        <f>供热公司!F13+主城区电锅炉!F8</f>
        <v>716.8267108</v>
      </c>
      <c r="G31" s="471">
        <f>供热公司!G13+主城区电锅炉!G8</f>
        <v>691.119079466667</v>
      </c>
      <c r="H31" s="471">
        <f>供热公司!H13+主城区电锅炉!H8</f>
        <v>691.119079466667</v>
      </c>
      <c r="I31" s="145" t="str">
        <f t="shared" si="0"/>
        <v>-</v>
      </c>
      <c r="J31" s="178">
        <f t="shared" si="1"/>
        <v>-70.7129205333329</v>
      </c>
      <c r="K31" s="447">
        <f t="shared" si="2"/>
        <v>-0.0928195724691702</v>
      </c>
      <c r="L31" s="178">
        <f t="shared" si="3"/>
        <v>-25.7076313333329</v>
      </c>
      <c r="M31" s="447">
        <f t="shared" si="4"/>
        <v>-0.0358631046332556</v>
      </c>
      <c r="N31" s="509"/>
      <c r="O31" s="510"/>
      <c r="P31" s="510"/>
    </row>
    <row r="32" s="497" customFormat="1" ht="17.45" customHeight="1" spans="1:17">
      <c r="A32" s="455"/>
      <c r="B32" s="203" t="s">
        <v>55</v>
      </c>
      <c r="C32" s="247" t="s">
        <v>17</v>
      </c>
      <c r="D32" s="471">
        <f>D33+D34</f>
        <v>0</v>
      </c>
      <c r="E32" s="471">
        <f>E33+E34</f>
        <v>112166</v>
      </c>
      <c r="F32" s="471">
        <f>[3]主城区!G28</f>
        <v>103579.836964984</v>
      </c>
      <c r="G32" s="178">
        <f>G33+G34</f>
        <v>122460.931354799</v>
      </c>
      <c r="H32" s="471">
        <f>H33+H34</f>
        <v>122460.931354799</v>
      </c>
      <c r="I32" s="145" t="str">
        <f t="shared" si="0"/>
        <v>-</v>
      </c>
      <c r="J32" s="178">
        <f t="shared" si="1"/>
        <v>10294.9313547987</v>
      </c>
      <c r="K32" s="447">
        <f t="shared" si="2"/>
        <v>0.0917829944439371</v>
      </c>
      <c r="L32" s="178">
        <f t="shared" si="3"/>
        <v>18881.0943898147</v>
      </c>
      <c r="M32" s="447">
        <f t="shared" si="4"/>
        <v>0.182285422945757</v>
      </c>
      <c r="N32" s="501"/>
      <c r="O32" s="501"/>
      <c r="P32" s="501"/>
    </row>
    <row r="33" s="497" customFormat="1" ht="17.45" customHeight="1" spans="1:16">
      <c r="A33" s="455"/>
      <c r="B33" s="456" t="s">
        <v>56</v>
      </c>
      <c r="C33" s="247" t="s">
        <v>17</v>
      </c>
      <c r="D33" s="471">
        <f>北海!D8+香海!D9</f>
        <v>0</v>
      </c>
      <c r="E33" s="178">
        <f>北海!E8+香海!E9</f>
        <v>18296</v>
      </c>
      <c r="F33" s="178">
        <f>[3]主城区!G29</f>
        <v>16136.6</v>
      </c>
      <c r="G33" s="178">
        <f>北海!G8+香海!G9</f>
        <v>18389.5811572661</v>
      </c>
      <c r="H33" s="471">
        <f>北海!H8+香海!H9</f>
        <v>18389.5811572661</v>
      </c>
      <c r="I33" s="145" t="str">
        <f t="shared" si="0"/>
        <v>-</v>
      </c>
      <c r="J33" s="178">
        <f t="shared" si="1"/>
        <v>93.5811572660605</v>
      </c>
      <c r="K33" s="447">
        <f t="shared" si="2"/>
        <v>0.00511484243911568</v>
      </c>
      <c r="L33" s="178">
        <f t="shared" si="3"/>
        <v>2252.98115726606</v>
      </c>
      <c r="M33" s="447">
        <f t="shared" si="4"/>
        <v>0.139619322364442</v>
      </c>
      <c r="N33" s="508"/>
      <c r="O33" s="501"/>
      <c r="P33" s="501"/>
    </row>
    <row r="34" s="497" customFormat="1" ht="17.45" customHeight="1" spans="1:16">
      <c r="A34" s="455"/>
      <c r="B34" s="456" t="s">
        <v>57</v>
      </c>
      <c r="C34" s="247" t="s">
        <v>17</v>
      </c>
      <c r="D34" s="471">
        <f>北海!D9+北海水炉!D7+香海!D10</f>
        <v>0</v>
      </c>
      <c r="E34" s="178">
        <f>北海!E9+北海水炉!E7+香海!E10</f>
        <v>93870</v>
      </c>
      <c r="F34" s="178">
        <f>[3]主城区!G30</f>
        <v>87443.2369649835</v>
      </c>
      <c r="G34" s="178">
        <f>北海!G9+北海水炉!G7+香海!G10</f>
        <v>104071.350197533</v>
      </c>
      <c r="H34" s="471">
        <f>北海!H9+北海水炉!H7+香海!H10</f>
        <v>104071.350197533</v>
      </c>
      <c r="I34" s="145" t="str">
        <f t="shared" si="0"/>
        <v>-</v>
      </c>
      <c r="J34" s="178">
        <f t="shared" si="1"/>
        <v>10201.3501975326</v>
      </c>
      <c r="K34" s="447">
        <f t="shared" si="2"/>
        <v>0.108675297725925</v>
      </c>
      <c r="L34" s="178">
        <f t="shared" si="3"/>
        <v>16628.1132325491</v>
      </c>
      <c r="M34" s="447">
        <f t="shared" si="4"/>
        <v>0.190158939784077</v>
      </c>
      <c r="N34" s="501"/>
      <c r="O34" s="501"/>
      <c r="P34" s="501"/>
    </row>
    <row r="35" s="497" customFormat="1" ht="17.45" customHeight="1" spans="1:16">
      <c r="A35" s="457"/>
      <c r="B35" s="458" t="s">
        <v>58</v>
      </c>
      <c r="C35" s="459" t="s">
        <v>17</v>
      </c>
      <c r="D35" s="511">
        <f>集团本部!D32+股份本部!D25</f>
        <v>0</v>
      </c>
      <c r="E35" s="511">
        <f>集团本部!E32+股份本部!E25</f>
        <v>112068.3743</v>
      </c>
      <c r="F35" s="511">
        <f>[3]主城区!G31</f>
        <v>103472.812330934</v>
      </c>
      <c r="G35" s="227">
        <f>集团本部!G32+股份本部!G25</f>
        <v>122310.410578511</v>
      </c>
      <c r="H35" s="511">
        <f>集团本部!H32+股份本部!H25</f>
        <v>122310.410578511</v>
      </c>
      <c r="I35" s="153" t="str">
        <f t="shared" si="0"/>
        <v>-</v>
      </c>
      <c r="J35" s="485">
        <f t="shared" si="1"/>
        <v>10242.0362785105</v>
      </c>
      <c r="K35" s="460">
        <f t="shared" si="2"/>
        <v>0.0913909596929929</v>
      </c>
      <c r="L35" s="227">
        <f t="shared" si="3"/>
        <v>18837.5982475765</v>
      </c>
      <c r="M35" s="460">
        <f t="shared" si="4"/>
        <v>0.18205360251859</v>
      </c>
      <c r="N35" s="507"/>
    </row>
    <row r="36" s="497" customFormat="1" ht="17.45" customHeight="1" spans="1:16">
      <c r="A36" s="512" t="s">
        <v>96</v>
      </c>
      <c r="B36" s="203" t="s">
        <v>63</v>
      </c>
      <c r="C36" s="212" t="s">
        <v>64</v>
      </c>
      <c r="D36" s="488" t="e">
        <f>(D3-D4)/D3</f>
        <v>#DIV/0!</v>
      </c>
      <c r="E36" s="372">
        <f>(E3-E4)/E3</f>
        <v>0.283895465713648</v>
      </c>
      <c r="F36" s="372">
        <f>[3]主城区!G32</f>
        <v>0.286371374052104</v>
      </c>
      <c r="G36" s="372">
        <f>G26/G3</f>
        <v>0.338991464319152</v>
      </c>
      <c r="H36" s="488">
        <f>H26/H3</f>
        <v>0.338991464319152</v>
      </c>
      <c r="I36" s="326" t="s">
        <v>65</v>
      </c>
      <c r="J36" s="372">
        <f t="shared" si="1"/>
        <v>0.0550959986055038</v>
      </c>
      <c r="K36" s="326" t="s">
        <v>65</v>
      </c>
      <c r="L36" s="372">
        <f t="shared" si="3"/>
        <v>0.0526200902670478</v>
      </c>
      <c r="M36" s="339" t="s">
        <v>65</v>
      </c>
      <c r="N36" s="507"/>
    </row>
    <row r="37" s="497" customFormat="1" ht="17.45" customHeight="1" spans="1:16">
      <c r="A37" s="512"/>
      <c r="B37" s="203" t="s">
        <v>66</v>
      </c>
      <c r="C37" s="143" t="s">
        <v>67</v>
      </c>
      <c r="D37" s="471" t="e">
        <f>D33*100/D3</f>
        <v>#DIV/0!</v>
      </c>
      <c r="E37" s="471">
        <f>E33*100/E3</f>
        <v>136.222172585809</v>
      </c>
      <c r="F37" s="471">
        <f>[3]主城区!G33</f>
        <v>138.775368391215</v>
      </c>
      <c r="G37" s="471">
        <f>G33*100/G3</f>
        <v>155.278169209825</v>
      </c>
      <c r="H37" s="471">
        <f>H33*100/H3</f>
        <v>155.278169209825</v>
      </c>
      <c r="I37" s="145" t="str">
        <f t="shared" ref="I37:I43" si="6">IFERROR(H37/D37,"-")</f>
        <v>-</v>
      </c>
      <c r="J37" s="178">
        <f t="shared" si="1"/>
        <v>19.0559966240162</v>
      </c>
      <c r="K37" s="447">
        <f t="shared" ref="K37:K43" si="7">IFERROR(J37/E37,"-")</f>
        <v>0.139889096336446</v>
      </c>
      <c r="L37" s="178">
        <f t="shared" si="3"/>
        <v>16.5028008186102</v>
      </c>
      <c r="M37" s="447">
        <f t="shared" ref="M37:M43" si="8">IFERROR(L37/F37,"-")</f>
        <v>0.118917362713013</v>
      </c>
      <c r="N37" s="513"/>
      <c r="O37" s="501"/>
      <c r="P37" s="501"/>
    </row>
    <row r="38" s="497" customFormat="1" ht="17.45" customHeight="1" spans="1:16">
      <c r="A38" s="512"/>
      <c r="B38" s="203" t="s">
        <v>68</v>
      </c>
      <c r="C38" s="143" t="s">
        <v>67</v>
      </c>
      <c r="D38" s="471" t="e">
        <f>D33*100/(D3-D28)</f>
        <v>#DIV/0!</v>
      </c>
      <c r="E38" s="471">
        <f>E33*100/(E3-E28)</f>
        <v>142.66914382983</v>
      </c>
      <c r="F38" s="471">
        <f>[3]主城区!G34</f>
        <v>145.229433998211</v>
      </c>
      <c r="G38" s="471">
        <f>G33*100/(G3-G28)</f>
        <v>164.175333791067</v>
      </c>
      <c r="H38" s="471">
        <f>H33*100/(H3-H28)</f>
        <v>164.175333791067</v>
      </c>
      <c r="I38" s="145" t="str">
        <f t="shared" si="6"/>
        <v>-</v>
      </c>
      <c r="J38" s="178">
        <f t="shared" si="1"/>
        <v>21.5061899612368</v>
      </c>
      <c r="K38" s="447">
        <f t="shared" si="7"/>
        <v>0.150741704785784</v>
      </c>
      <c r="L38" s="178">
        <f t="shared" si="3"/>
        <v>18.9458997928558</v>
      </c>
      <c r="M38" s="447">
        <f t="shared" si="8"/>
        <v>0.130454958552611</v>
      </c>
      <c r="N38" s="513"/>
      <c r="O38" s="501"/>
      <c r="P38" s="501"/>
    </row>
    <row r="39" s="497" customFormat="1" ht="17.45" customHeight="1" spans="1:16">
      <c r="A39" s="514"/>
      <c r="B39" s="203" t="s">
        <v>69</v>
      </c>
      <c r="C39" s="143" t="s">
        <v>70</v>
      </c>
      <c r="D39" s="490" t="e">
        <f>D34*1000/(D6-主城区电锅炉!D6)</f>
        <v>#DIV/0!</v>
      </c>
      <c r="E39" s="424">
        <f>E34*1000/E6</f>
        <v>39.3643547055817</v>
      </c>
      <c r="F39" s="424">
        <f>[3]主城区!G35</f>
        <v>39.171049470648</v>
      </c>
      <c r="G39" s="424">
        <f>G34*1000/(G6-主城区电锅炉!G6-天然气炉!D5-天然气炉!E5)</f>
        <v>38.7159005112877</v>
      </c>
      <c r="H39" s="490">
        <f>H34*1000/(H6-主城区电锅炉!H6-天然气炉!F5-天然气炉!G5)</f>
        <v>38.7159005112877</v>
      </c>
      <c r="I39" s="145" t="str">
        <f t="shared" si="6"/>
        <v>-</v>
      </c>
      <c r="J39" s="424">
        <f t="shared" si="1"/>
        <v>-0.648454194293961</v>
      </c>
      <c r="K39" s="447">
        <f t="shared" si="7"/>
        <v>-0.0164731315715437</v>
      </c>
      <c r="L39" s="424">
        <f t="shared" si="3"/>
        <v>-0.455148959360265</v>
      </c>
      <c r="M39" s="447">
        <f t="shared" si="8"/>
        <v>-0.0116195242535261</v>
      </c>
      <c r="N39" s="513"/>
      <c r="O39" s="501"/>
      <c r="P39" s="501"/>
    </row>
    <row r="40" s="497" customFormat="1" ht="17.45" customHeight="1" spans="1:16">
      <c r="A40" s="512"/>
      <c r="B40" s="203" t="s">
        <v>97</v>
      </c>
      <c r="C40" s="143" t="s">
        <v>98</v>
      </c>
      <c r="D40" s="471" t="e">
        <f t="shared" ref="D40:F40" si="9">D32*29308/D12</f>
        <v>#DIV/0!</v>
      </c>
      <c r="E40" s="178">
        <f t="shared" si="9"/>
        <v>19910.4623271746</v>
      </c>
      <c r="F40" s="178">
        <f>[3]主城区!G36</f>
        <v>19676.8957364942</v>
      </c>
      <c r="G40" s="515">
        <f>('[6]26.1'!$G$40+'[6]26.1'!$G$43+北海水炉!G7)*29308/G12</f>
        <v>19446.4910385733</v>
      </c>
      <c r="H40" s="471">
        <f>('[6]26.1'!$M$40+'[6]26.1'!$M$43+北海水炉!H7)*29308/H12</f>
        <v>19446.4910385733</v>
      </c>
      <c r="I40" s="145" t="str">
        <f t="shared" si="6"/>
        <v>-</v>
      </c>
      <c r="J40" s="178">
        <f t="shared" si="1"/>
        <v>-463.971288601271</v>
      </c>
      <c r="K40" s="447">
        <f t="shared" si="7"/>
        <v>-0.0233028887515095</v>
      </c>
      <c r="L40" s="178">
        <f t="shared" si="3"/>
        <v>-230.404697920872</v>
      </c>
      <c r="M40" s="447">
        <f t="shared" si="8"/>
        <v>-0.0117094027943415</v>
      </c>
      <c r="N40" s="516"/>
    </row>
    <row r="41" s="497" customFormat="1" ht="17.45" customHeight="1" spans="1:16">
      <c r="A41" s="514"/>
      <c r="B41" s="203" t="s">
        <v>75</v>
      </c>
      <c r="C41" s="318" t="s">
        <v>76</v>
      </c>
      <c r="D41" s="517" t="e">
        <f t="shared" ref="D41:H41" si="10">D25/D11</f>
        <v>#DIV/0!</v>
      </c>
      <c r="E41" s="211">
        <f>'[2]2.主城区汇总表'!$M$92</f>
        <v>0.063734328581485</v>
      </c>
      <c r="F41" s="211">
        <f>[3]主城区!G37</f>
        <v>0.0605619461443341</v>
      </c>
      <c r="G41" s="517">
        <f t="shared" si="10"/>
        <v>0.0747660853744581</v>
      </c>
      <c r="H41" s="518">
        <f t="shared" si="10"/>
        <v>0.0747660853744581</v>
      </c>
      <c r="I41" s="145" t="str">
        <f t="shared" si="6"/>
        <v>-</v>
      </c>
      <c r="J41" s="211">
        <f t="shared" si="1"/>
        <v>0.0110317567929731</v>
      </c>
      <c r="K41" s="447">
        <f t="shared" si="7"/>
        <v>0.173089715362245</v>
      </c>
      <c r="L41" s="211">
        <f t="shared" si="3"/>
        <v>0.0142041392301239</v>
      </c>
      <c r="M41" s="447">
        <f t="shared" si="8"/>
        <v>0.234539015577075</v>
      </c>
      <c r="N41" s="516"/>
    </row>
    <row r="42" s="497" customFormat="1" ht="17.45" customHeight="1" spans="1:16">
      <c r="A42" s="512"/>
      <c r="B42" s="203" t="s">
        <v>77</v>
      </c>
      <c r="C42" s="519" t="s">
        <v>78</v>
      </c>
      <c r="D42" s="520" t="e">
        <f t="shared" ref="D42:M42" si="11">D23*1000/D11</f>
        <v>#DIV/0!</v>
      </c>
      <c r="E42" s="520">
        <f t="shared" si="11"/>
        <v>8.39629101716604</v>
      </c>
      <c r="F42" s="520">
        <f t="shared" si="11"/>
        <v>10.3482853597693</v>
      </c>
      <c r="G42" s="520">
        <f t="shared" si="11"/>
        <v>8.76699015199974</v>
      </c>
      <c r="H42" s="520">
        <f t="shared" si="11"/>
        <v>8.76699015199974</v>
      </c>
      <c r="I42" s="145" t="str">
        <f t="shared" si="6"/>
        <v>-</v>
      </c>
      <c r="J42" s="211">
        <f t="shared" si="1"/>
        <v>0.370699134833698</v>
      </c>
      <c r="K42" s="447">
        <f t="shared" si="7"/>
        <v>0.044150343773913</v>
      </c>
      <c r="L42" s="211">
        <f t="shared" si="3"/>
        <v>-1.58129520776954</v>
      </c>
      <c r="M42" s="447">
        <f t="shared" si="8"/>
        <v>-0.152807460636628</v>
      </c>
      <c r="N42" s="516"/>
    </row>
    <row r="43" s="497" customFormat="1" ht="17.45" customHeight="1" spans="1:16">
      <c r="A43" s="514"/>
      <c r="B43" s="273" t="s">
        <v>79</v>
      </c>
      <c r="C43" s="274" t="s">
        <v>80</v>
      </c>
      <c r="D43" s="521" t="e">
        <f t="shared" ref="D43:H43" si="12">D31*10000/D11</f>
        <v>#DIV/0!</v>
      </c>
      <c r="E43" s="521">
        <f t="shared" si="12"/>
        <v>0.332567472684177</v>
      </c>
      <c r="F43" s="521">
        <f t="shared" si="12"/>
        <v>0.323411477638838</v>
      </c>
      <c r="G43" s="521">
        <f t="shared" si="12"/>
        <v>0.301155316712977</v>
      </c>
      <c r="H43" s="521">
        <f t="shared" si="12"/>
        <v>0.301155316712977</v>
      </c>
      <c r="I43" s="153" t="str">
        <f t="shared" si="6"/>
        <v>-</v>
      </c>
      <c r="J43" s="522">
        <f t="shared" si="1"/>
        <v>-0.0314121559712004</v>
      </c>
      <c r="K43" s="466">
        <f t="shared" si="7"/>
        <v>-0.0944534825299375</v>
      </c>
      <c r="L43" s="522">
        <f t="shared" si="3"/>
        <v>-0.0222561609258611</v>
      </c>
      <c r="M43" s="466">
        <f t="shared" si="8"/>
        <v>-0.0688168555066407</v>
      </c>
    </row>
    <row r="44" s="497" customFormat="1" ht="17.45" customHeight="1" spans="1:16">
      <c r="A44" s="467" t="s">
        <v>99</v>
      </c>
      <c r="B44" s="142" t="s">
        <v>82</v>
      </c>
      <c r="C44" s="247" t="s">
        <v>64</v>
      </c>
      <c r="D44" s="492">
        <f>D3/(10+10)/8760</f>
        <v>0</v>
      </c>
      <c r="E44" s="162">
        <f>E3/(10+10)/(DAY(DATE(2026,2,0))*24)</f>
        <v>0.902620967741935</v>
      </c>
      <c r="F44" s="162">
        <f>[3]主城区!G38</f>
        <v>0.781441935483871</v>
      </c>
      <c r="G44" s="162">
        <f>G3/(10+10)/(DAY(DATE(2026,2,0))*24)</f>
        <v>0.7959</v>
      </c>
      <c r="H44" s="493">
        <f>H3/(10+10)/(DATEDIF(DATE(2026,1,1),DATE(2026,2,1),"D")*24)</f>
        <v>0.7959</v>
      </c>
      <c r="I44" s="326" t="s">
        <v>65</v>
      </c>
      <c r="J44" s="162">
        <f t="shared" si="1"/>
        <v>-0.106720967741935</v>
      </c>
      <c r="K44" s="347" t="s">
        <v>65</v>
      </c>
      <c r="L44" s="162">
        <f t="shared" si="3"/>
        <v>0.014458064516129</v>
      </c>
      <c r="M44" s="373" t="s">
        <v>65</v>
      </c>
      <c r="N44" s="516"/>
    </row>
    <row r="45" s="497" customFormat="1" ht="17.45" customHeight="1" spans="1:16">
      <c r="A45" s="468"/>
      <c r="B45" s="165" t="s">
        <v>83</v>
      </c>
      <c r="C45" s="469" t="s">
        <v>64</v>
      </c>
      <c r="D45" s="279">
        <f>D6*1000/1670.55/(8760*3600)</f>
        <v>0</v>
      </c>
      <c r="E45" s="279">
        <f>E6*1000/1670.55/((DAY(DATE(2026,2,0))*24)*3600)</f>
        <v>0.532952822216798</v>
      </c>
      <c r="F45" s="279">
        <f>[3]主城区!G39</f>
        <v>0.499003201103257</v>
      </c>
      <c r="G45" s="279">
        <f>(G6-天然气炉!E5)*1000/1670.55/((DAY(DATE(2026,2,0))*24)*3600)</f>
        <v>0.60086672249492</v>
      </c>
      <c r="H45" s="495">
        <f>(H6-天然气炉!G5)*1000/1670.55/((DATEDIF(DATE(2026,1,1),DATE(2026,2,1),"D")*24)*3600)</f>
        <v>0.60086672249492</v>
      </c>
      <c r="I45" s="357" t="s">
        <v>65</v>
      </c>
      <c r="J45" s="279">
        <f t="shared" si="1"/>
        <v>0.0679139002781222</v>
      </c>
      <c r="K45" s="358" t="s">
        <v>65</v>
      </c>
      <c r="L45" s="279">
        <f t="shared" si="3"/>
        <v>0.101863521391663</v>
      </c>
      <c r="M45" s="360" t="s">
        <v>65</v>
      </c>
      <c r="N45" s="516"/>
    </row>
    <row r="46" spans="1:16">
      <c r="N46" s="385"/>
      <c r="O46" s="385"/>
      <c r="P46" s="385"/>
    </row>
    <row r="47" spans="1:16">
      <c r="N47" s="385"/>
      <c r="O47" s="385"/>
      <c r="P47" s="385"/>
    </row>
    <row r="48" spans="1:16">
      <c r="N48" s="385"/>
      <c r="O48" s="385"/>
      <c r="P48" s="385"/>
    </row>
    <row r="49" spans="14:16">
      <c r="N49" s="385"/>
      <c r="O49" s="385"/>
      <c r="P49" s="385"/>
    </row>
    <row r="50" spans="14:16">
      <c r="N50" s="385"/>
      <c r="O50" s="385"/>
      <c r="P50" s="385"/>
    </row>
  </sheetData>
  <mergeCells count="15">
    <mergeCell ref="J1:K1"/>
    <mergeCell ref="L1:M1"/>
    <mergeCell ref="A1:A2"/>
    <mergeCell ref="A3:A11"/>
    <mergeCell ref="A12:A35"/>
    <mergeCell ref="A36:A43"/>
    <mergeCell ref="A44:A45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472222222222222" right="0.472222222222222" top="1.18055555555556" bottom="0.590277777777778" header="0.786805555555556" footer="0.511805555555556"/>
  <pageSetup paperSize="9" scale="95" orientation="landscape" horizontalDpi="300" verticalDpi="300"/>
  <headerFooter alignWithMargins="0" scaleWithDoc="0">
    <oddHeader>&amp;C&amp;"黑体"&amp;17大连洁净能源集团(主城区)2026年1月份主要经营指标统计表&amp;R表    号：     ZB002
制表单位：经济运行部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showGridLines="0" zoomScale="85" zoomScaleNormal="85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I1" sqref="I$1:M$1048576"/>
    </sheetView>
  </sheetViews>
  <sheetFormatPr defaultColWidth="9" defaultRowHeight="15"/>
  <cols>
    <col min="1" max="1" width="9.75" style="2" customWidth="1"/>
    <col min="2" max="2" width="25.625" style="2" customWidth="1"/>
    <col min="3" max="3" width="8.925" style="443" customWidth="1"/>
    <col min="4" max="4" width="9.625" style="2" customWidth="1"/>
    <col min="5" max="5" width="10" style="2" customWidth="1"/>
    <col min="6" max="8" width="9.625" style="2" customWidth="1"/>
    <col min="9" max="9" width="8.125" style="2" customWidth="1"/>
    <col min="10" max="10" width="8.91666666666667" style="2" customWidth="1"/>
    <col min="11" max="11" width="8.125" style="2" customWidth="1"/>
    <col min="12" max="12" width="9.21666666666667" style="2" customWidth="1"/>
    <col min="13" max="13" width="8.125" style="2" customWidth="1"/>
    <col min="14" max="16384" width="9" style="2"/>
  </cols>
  <sheetData>
    <row r="1" s="441" customFormat="1" ht="15.95" customHeight="1" spans="1:13">
      <c r="A1" s="444" t="s">
        <v>84</v>
      </c>
      <c r="B1" s="5" t="s">
        <v>100</v>
      </c>
      <c r="C1" s="5" t="s">
        <v>2</v>
      </c>
      <c r="D1" s="138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86</v>
      </c>
      <c r="J1" s="8" t="s">
        <v>9</v>
      </c>
      <c r="K1" s="3"/>
      <c r="L1" s="8" t="s">
        <v>10</v>
      </c>
      <c r="M1" s="139"/>
    </row>
    <row r="2" s="441" customFormat="1" ht="15.95" customHeight="1" spans="1:13">
      <c r="A2" s="445"/>
      <c r="B2" s="76"/>
      <c r="C2" s="76"/>
      <c r="D2" s="141"/>
      <c r="E2" s="76"/>
      <c r="F2" s="76"/>
      <c r="G2" s="141"/>
      <c r="H2" s="76"/>
      <c r="I2" s="141"/>
      <c r="J2" s="15" t="s">
        <v>11</v>
      </c>
      <c r="K2" s="14" t="s">
        <v>12</v>
      </c>
      <c r="L2" s="14" t="s">
        <v>11</v>
      </c>
      <c r="M2" s="141" t="s">
        <v>12</v>
      </c>
    </row>
    <row r="3" s="442" customFormat="1" ht="17.1" customHeight="1" spans="1:13">
      <c r="A3" s="446" t="s">
        <v>87</v>
      </c>
      <c r="B3" s="142" t="s">
        <v>23</v>
      </c>
      <c r="C3" s="247" t="s">
        <v>15</v>
      </c>
      <c r="D3" s="471">
        <f>香海!D3</f>
        <v>0</v>
      </c>
      <c r="E3" s="471">
        <f>香海!E3</f>
        <v>5849</v>
      </c>
      <c r="F3" s="471">
        <f>[3]集团本部!G3</f>
        <v>5823.936</v>
      </c>
      <c r="G3" s="471">
        <f>香海!G3</f>
        <v>5767.632</v>
      </c>
      <c r="H3" s="471">
        <f>香海!H3</f>
        <v>5767.632</v>
      </c>
      <c r="I3" s="145" t="str">
        <f t="shared" ref="I3:I32" si="0">IFERROR(H3/D3,"-")</f>
        <v>-</v>
      </c>
      <c r="J3" s="178">
        <f t="shared" ref="J3:J39" si="1">IFERROR(G3-E3,"-")</f>
        <v>-81.3680000000004</v>
      </c>
      <c r="K3" s="447">
        <f t="shared" ref="K3:K32" si="2">IFERROR(J3/E3,"-")</f>
        <v>-0.0139114378526244</v>
      </c>
      <c r="L3" s="178">
        <f t="shared" ref="L3:L39" si="3">IFERROR(G3-F3,"-")</f>
        <v>-56.3040000000001</v>
      </c>
      <c r="M3" s="447">
        <f t="shared" ref="M3:M32" si="4">IFERROR(L3/F3,"-")</f>
        <v>-0.00966768865591931</v>
      </c>
    </row>
    <row r="4" s="442" customFormat="1" ht="17.1" customHeight="1" spans="1:13">
      <c r="A4" s="448"/>
      <c r="B4" s="142" t="s">
        <v>14</v>
      </c>
      <c r="C4" s="247" t="s">
        <v>15</v>
      </c>
      <c r="D4" s="471">
        <f>香海!D4</f>
        <v>0</v>
      </c>
      <c r="E4" s="471">
        <f>香海!E4</f>
        <v>4387</v>
      </c>
      <c r="F4" s="471">
        <f>[3]集团本部!G4</f>
        <v>4365.4248</v>
      </c>
      <c r="G4" s="471">
        <f>香海!G4</f>
        <v>4113.7272</v>
      </c>
      <c r="H4" s="471">
        <f>香海!H4</f>
        <v>4113.7272</v>
      </c>
      <c r="I4" s="145" t="str">
        <f t="shared" si="0"/>
        <v>-</v>
      </c>
      <c r="J4" s="178">
        <f t="shared" si="1"/>
        <v>-273.2728</v>
      </c>
      <c r="K4" s="447">
        <f t="shared" si="2"/>
        <v>-0.0622914976065648</v>
      </c>
      <c r="L4" s="178">
        <f t="shared" si="3"/>
        <v>-251.6976</v>
      </c>
      <c r="M4" s="447">
        <f t="shared" si="4"/>
        <v>-0.0576570692501677</v>
      </c>
    </row>
    <row r="5" s="442" customFormat="1" ht="17.1" customHeight="1" spans="1:13">
      <c r="A5" s="448"/>
      <c r="B5" s="142" t="s">
        <v>24</v>
      </c>
      <c r="C5" s="247" t="s">
        <v>19</v>
      </c>
      <c r="D5" s="471">
        <f>SUM(D6:D8)</f>
        <v>0</v>
      </c>
      <c r="E5" s="471">
        <f>SUM(E6:E8)</f>
        <v>967175.894</v>
      </c>
      <c r="F5" s="471">
        <f>[3]集团本部!G5</f>
        <v>996043.055266</v>
      </c>
      <c r="G5" s="471">
        <f>SUM(G6:G8)</f>
        <v>1168934.942272</v>
      </c>
      <c r="H5" s="471">
        <f>SUM(H6:H8)</f>
        <v>1168934.942272</v>
      </c>
      <c r="I5" s="145" t="str">
        <f t="shared" si="0"/>
        <v>-</v>
      </c>
      <c r="J5" s="178">
        <f t="shared" si="1"/>
        <v>201759.048272</v>
      </c>
      <c r="K5" s="447">
        <f t="shared" si="2"/>
        <v>0.208606365733098</v>
      </c>
      <c r="L5" s="178">
        <f t="shared" si="3"/>
        <v>172891.887006</v>
      </c>
      <c r="M5" s="447">
        <f t="shared" si="4"/>
        <v>0.173578728441441</v>
      </c>
    </row>
    <row r="6" s="442" customFormat="1" ht="17.1" customHeight="1" spans="1:13">
      <c r="A6" s="448"/>
      <c r="B6" s="142" t="s">
        <v>101</v>
      </c>
      <c r="C6" s="247" t="s">
        <v>19</v>
      </c>
      <c r="D6" s="471">
        <f>香海!D6</f>
        <v>0</v>
      </c>
      <c r="E6" s="178">
        <f>香海!E6</f>
        <v>835500.11</v>
      </c>
      <c r="F6" s="364">
        <f>[3]集团本部!G6</f>
        <v>840392.887266</v>
      </c>
      <c r="G6" s="471">
        <f>香海!G6</f>
        <v>967138.542272</v>
      </c>
      <c r="H6" s="471">
        <f>香海!H6</f>
        <v>967138.542272</v>
      </c>
      <c r="I6" s="145" t="str">
        <f t="shared" si="0"/>
        <v>-</v>
      </c>
      <c r="J6" s="178">
        <f t="shared" si="1"/>
        <v>131638.432272</v>
      </c>
      <c r="K6" s="447">
        <f t="shared" si="2"/>
        <v>0.157556451155943</v>
      </c>
      <c r="L6" s="178">
        <f t="shared" si="3"/>
        <v>126745.655006</v>
      </c>
      <c r="M6" s="447">
        <f t="shared" si="4"/>
        <v>0.150817143893654</v>
      </c>
    </row>
    <row r="7" s="442" customFormat="1" ht="17.1" customHeight="1" spans="1:13">
      <c r="A7" s="448"/>
      <c r="B7" s="164" t="s">
        <v>102</v>
      </c>
      <c r="C7" s="247" t="s">
        <v>19</v>
      </c>
      <c r="D7" s="472"/>
      <c r="E7" s="473">
        <f>股份本部!E8*2.952</f>
        <v>-18252.216</v>
      </c>
      <c r="F7" s="473">
        <f>[3]集团本部!G7</f>
        <v>4971.168</v>
      </c>
      <c r="G7" s="473">
        <f>股份本部!G8*2.952</f>
        <v>3542.4</v>
      </c>
      <c r="H7" s="472">
        <f>股份本部!H8*2.952</f>
        <v>3542.4</v>
      </c>
      <c r="I7" s="145" t="str">
        <f t="shared" si="0"/>
        <v>-</v>
      </c>
      <c r="J7" s="178">
        <f t="shared" si="1"/>
        <v>21794.616</v>
      </c>
      <c r="K7" s="447">
        <f t="shared" si="2"/>
        <v>-1.19408054342552</v>
      </c>
      <c r="L7" s="178">
        <f t="shared" si="3"/>
        <v>-1428.768</v>
      </c>
      <c r="M7" s="447">
        <f t="shared" si="4"/>
        <v>-0.287410926365796</v>
      </c>
    </row>
    <row r="8" s="442" customFormat="1" ht="17.1" customHeight="1" spans="1:13">
      <c r="A8" s="448"/>
      <c r="B8" s="164" t="s">
        <v>103</v>
      </c>
      <c r="C8" s="247" t="s">
        <v>19</v>
      </c>
      <c r="D8" s="472"/>
      <c r="E8" s="473">
        <f>股份本部!E9</f>
        <v>149928</v>
      </c>
      <c r="F8" s="473">
        <f>[3]集团本部!G8</f>
        <v>150679</v>
      </c>
      <c r="G8" s="473">
        <f>股份本部!G9</f>
        <v>198254</v>
      </c>
      <c r="H8" s="472">
        <f>股份本部!H9</f>
        <v>198254</v>
      </c>
      <c r="I8" s="145" t="str">
        <f t="shared" si="0"/>
        <v>-</v>
      </c>
      <c r="J8" s="178">
        <f t="shared" si="1"/>
        <v>48326</v>
      </c>
      <c r="K8" s="447">
        <f t="shared" si="2"/>
        <v>0.322328050797716</v>
      </c>
      <c r="L8" s="178">
        <f t="shared" si="3"/>
        <v>47575</v>
      </c>
      <c r="M8" s="447">
        <f t="shared" si="4"/>
        <v>0.315737428573325</v>
      </c>
    </row>
    <row r="9" s="442" customFormat="1" ht="17.1" customHeight="1" spans="1:13">
      <c r="A9" s="448"/>
      <c r="B9" s="142" t="s">
        <v>16</v>
      </c>
      <c r="C9" s="247" t="s">
        <v>17</v>
      </c>
      <c r="D9" s="175"/>
      <c r="E9" s="175">
        <f>'[2]2.主城区汇总表'!$M$15</f>
        <v>51000</v>
      </c>
      <c r="F9" s="175">
        <f>[3]集团本部!G9</f>
        <v>48270</v>
      </c>
      <c r="G9" s="474">
        <f>[5]售热量!$D$11</f>
        <v>55460</v>
      </c>
      <c r="H9" s="364">
        <f>[5]售热量!$D$11</f>
        <v>55460</v>
      </c>
      <c r="I9" s="145" t="str">
        <f t="shared" si="0"/>
        <v>-</v>
      </c>
      <c r="J9" s="178">
        <f t="shared" si="1"/>
        <v>4460</v>
      </c>
      <c r="K9" s="447">
        <f t="shared" si="2"/>
        <v>0.0874509803921569</v>
      </c>
      <c r="L9" s="178">
        <f t="shared" si="3"/>
        <v>7190</v>
      </c>
      <c r="M9" s="447">
        <f t="shared" si="4"/>
        <v>0.148953801533043</v>
      </c>
    </row>
    <row r="10" s="442" customFormat="1" ht="17.1" customHeight="1" spans="1:13">
      <c r="A10" s="448"/>
      <c r="B10" s="142" t="s">
        <v>18</v>
      </c>
      <c r="C10" s="247" t="s">
        <v>19</v>
      </c>
      <c r="D10" s="178"/>
      <c r="E10" s="175">
        <f>'[2]2.主城区汇总表'!$M$25-股份本部!E10</f>
        <v>329500</v>
      </c>
      <c r="F10" s="175">
        <f>[3]集团本部!G10</f>
        <v>317566</v>
      </c>
      <c r="G10" s="175">
        <f>[5]售热量!$D$13</f>
        <v>358546</v>
      </c>
      <c r="H10" s="178">
        <f>[5]售热量!$D$13</f>
        <v>358546</v>
      </c>
      <c r="I10" s="145" t="str">
        <f t="shared" si="0"/>
        <v>-</v>
      </c>
      <c r="J10" s="178">
        <f t="shared" si="1"/>
        <v>29046</v>
      </c>
      <c r="K10" s="447">
        <f t="shared" si="2"/>
        <v>0.0881517450682853</v>
      </c>
      <c r="L10" s="178">
        <f t="shared" si="3"/>
        <v>40980</v>
      </c>
      <c r="M10" s="447">
        <f t="shared" si="4"/>
        <v>0.129044041238672</v>
      </c>
    </row>
    <row r="11" s="442" customFormat="1" ht="17.1" customHeight="1" spans="1:13">
      <c r="A11" s="448"/>
      <c r="B11" s="142" t="s">
        <v>20</v>
      </c>
      <c r="C11" s="247" t="s">
        <v>21</v>
      </c>
      <c r="D11" s="178">
        <f>供热公司!D3-股份本部!D11+主城区电锅炉!D4</f>
        <v>0</v>
      </c>
      <c r="E11" s="175">
        <f>供热公司!E3-股份本部!E11+主城区电锅炉!E4</f>
        <v>5964581.56</v>
      </c>
      <c r="F11" s="364">
        <f>[3]集团本部!G11</f>
        <v>6061989.44</v>
      </c>
      <c r="G11" s="471">
        <f>H11</f>
        <v>6633927.49</v>
      </c>
      <c r="H11" s="471">
        <f>供热公司!H3+主城区电锅炉!H4-股份本部!H11</f>
        <v>6633927.49</v>
      </c>
      <c r="I11" s="153" t="str">
        <f t="shared" si="0"/>
        <v>-</v>
      </c>
      <c r="J11" s="178">
        <f t="shared" si="1"/>
        <v>669345.930000001</v>
      </c>
      <c r="K11" s="447">
        <f t="shared" si="2"/>
        <v>0.112220098470747</v>
      </c>
      <c r="L11" s="178">
        <f t="shared" si="3"/>
        <v>571938.049999999</v>
      </c>
      <c r="M11" s="447">
        <f t="shared" si="4"/>
        <v>0.0943482425465919</v>
      </c>
    </row>
    <row r="12" s="442" customFormat="1" ht="17.1" customHeight="1" spans="1:13">
      <c r="A12" s="449" t="s">
        <v>90</v>
      </c>
      <c r="B12" s="475" t="s">
        <v>29</v>
      </c>
      <c r="C12" s="451" t="s">
        <v>17</v>
      </c>
      <c r="D12" s="476">
        <f>香海!D13</f>
        <v>0</v>
      </c>
      <c r="E12" s="476">
        <f>香海!E13</f>
        <v>59828</v>
      </c>
      <c r="F12" s="452">
        <f>[3]集团本部!G12</f>
        <v>61990</v>
      </c>
      <c r="G12" s="476">
        <f>香海!G13</f>
        <v>73239</v>
      </c>
      <c r="H12" s="476">
        <f>香海!H13</f>
        <v>73239</v>
      </c>
      <c r="I12" s="145" t="str">
        <f t="shared" si="0"/>
        <v>-</v>
      </c>
      <c r="J12" s="476">
        <f t="shared" si="1"/>
        <v>13411</v>
      </c>
      <c r="K12" s="477">
        <f t="shared" si="2"/>
        <v>0.224159256535401</v>
      </c>
      <c r="L12" s="476">
        <f t="shared" si="3"/>
        <v>11249</v>
      </c>
      <c r="M12" s="478">
        <f t="shared" si="4"/>
        <v>0.181464752379416</v>
      </c>
    </row>
    <row r="13" s="442" customFormat="1" ht="17.1" customHeight="1" spans="1:13">
      <c r="A13" s="455"/>
      <c r="B13" s="142" t="s">
        <v>30</v>
      </c>
      <c r="C13" s="247" t="s">
        <v>17</v>
      </c>
      <c r="D13" s="178">
        <f>香海!D23</f>
        <v>0</v>
      </c>
      <c r="E13" s="178">
        <f>香海!E23</f>
        <v>8</v>
      </c>
      <c r="F13" s="178">
        <f>[3]集团本部!G13</f>
        <v>15</v>
      </c>
      <c r="G13" s="178">
        <f>香海!G23</f>
        <v>25</v>
      </c>
      <c r="H13" s="178">
        <f>香海!H23</f>
        <v>25</v>
      </c>
      <c r="I13" s="145" t="str">
        <f t="shared" si="0"/>
        <v>-</v>
      </c>
      <c r="J13" s="178">
        <f t="shared" si="1"/>
        <v>17</v>
      </c>
      <c r="K13" s="479">
        <f t="shared" si="2"/>
        <v>2.125</v>
      </c>
      <c r="L13" s="178">
        <f t="shared" si="3"/>
        <v>10</v>
      </c>
      <c r="M13" s="480">
        <f t="shared" si="4"/>
        <v>0.666666666666667</v>
      </c>
    </row>
    <row r="14" s="442" customFormat="1" ht="17.1" customHeight="1" spans="1:13">
      <c r="A14" s="455"/>
      <c r="B14" s="142" t="s">
        <v>31</v>
      </c>
      <c r="C14" s="247" t="s">
        <v>17</v>
      </c>
      <c r="D14" s="178">
        <f>香海!D22+供热公司!D12-北海!D21+主城区电锅炉!D7</f>
        <v>0</v>
      </c>
      <c r="E14" s="178">
        <f>香海!E22+供热公司!E12-北海!E21+主城区电锅炉!E7</f>
        <v>300038.809522245</v>
      </c>
      <c r="F14" s="178">
        <f>[3]集团本部!G14</f>
        <v>327634</v>
      </c>
      <c r="G14" s="178">
        <f>香海!G22+供热公司!G12-北海!G21+主城区电锅炉!G7</f>
        <v>296348</v>
      </c>
      <c r="H14" s="178">
        <f>香海!H22+供热公司!H12-北海!H21+主城区电锅炉!H7</f>
        <v>296348</v>
      </c>
      <c r="I14" s="145" t="str">
        <f t="shared" si="0"/>
        <v>-</v>
      </c>
      <c r="J14" s="178">
        <f t="shared" si="1"/>
        <v>-3690.80952224502</v>
      </c>
      <c r="K14" s="479">
        <f t="shared" si="2"/>
        <v>-0.0123011070738547</v>
      </c>
      <c r="L14" s="178">
        <f t="shared" si="3"/>
        <v>-31286</v>
      </c>
      <c r="M14" s="480">
        <f t="shared" si="4"/>
        <v>-0.0954906999884017</v>
      </c>
    </row>
    <row r="15" s="442" customFormat="1" ht="17.1" customHeight="1" spans="1:13">
      <c r="A15" s="455"/>
      <c r="B15" s="142" t="s">
        <v>35</v>
      </c>
      <c r="C15" s="247" t="s">
        <v>17</v>
      </c>
      <c r="D15" s="178">
        <f>香海!D15</f>
        <v>0</v>
      </c>
      <c r="E15" s="178">
        <f>香海!E15</f>
        <v>46</v>
      </c>
      <c r="F15" s="178">
        <f>[3]集团本部!G15</f>
        <v>46</v>
      </c>
      <c r="G15" s="178">
        <f>香海!G15</f>
        <v>40</v>
      </c>
      <c r="H15" s="178">
        <f>香海!H15</f>
        <v>40</v>
      </c>
      <c r="I15" s="145" t="str">
        <f t="shared" si="0"/>
        <v>-</v>
      </c>
      <c r="J15" s="178">
        <f t="shared" si="1"/>
        <v>-6</v>
      </c>
      <c r="K15" s="479">
        <f t="shared" si="2"/>
        <v>-0.130434782608696</v>
      </c>
      <c r="L15" s="178">
        <f t="shared" si="3"/>
        <v>-6</v>
      </c>
      <c r="M15" s="480">
        <f t="shared" si="4"/>
        <v>-0.130434782608696</v>
      </c>
    </row>
    <row r="16" s="442" customFormat="1" ht="17.1" customHeight="1" spans="1:13">
      <c r="A16" s="455"/>
      <c r="B16" s="142" t="s">
        <v>36</v>
      </c>
      <c r="C16" s="247" t="s">
        <v>17</v>
      </c>
      <c r="D16" s="178">
        <f>香海!D14</f>
        <v>0</v>
      </c>
      <c r="E16" s="178">
        <f>香海!E14</f>
        <v>37</v>
      </c>
      <c r="F16" s="178">
        <f>[3]集团本部!G16</f>
        <v>37</v>
      </c>
      <c r="G16" s="178">
        <f>香海!G14</f>
        <v>32</v>
      </c>
      <c r="H16" s="178">
        <f>香海!H14</f>
        <v>32</v>
      </c>
      <c r="I16" s="145" t="str">
        <f t="shared" si="0"/>
        <v>-</v>
      </c>
      <c r="J16" s="178">
        <f t="shared" si="1"/>
        <v>-5</v>
      </c>
      <c r="K16" s="479">
        <f t="shared" si="2"/>
        <v>-0.135135135135135</v>
      </c>
      <c r="L16" s="178">
        <f t="shared" si="3"/>
        <v>-5</v>
      </c>
      <c r="M16" s="480">
        <f t="shared" si="4"/>
        <v>-0.135135135135135</v>
      </c>
    </row>
    <row r="17" s="442" customFormat="1" ht="17.1" customHeight="1" spans="1:15">
      <c r="A17" s="455"/>
      <c r="B17" s="142" t="s">
        <v>38</v>
      </c>
      <c r="C17" s="247" t="s">
        <v>17</v>
      </c>
      <c r="D17" s="178">
        <f>香海!D24</f>
        <v>0</v>
      </c>
      <c r="E17" s="178">
        <f>香海!E24</f>
        <v>925</v>
      </c>
      <c r="F17" s="178">
        <f>[3]集团本部!G17</f>
        <v>840</v>
      </c>
      <c r="G17" s="178">
        <f>香海!G24</f>
        <v>854</v>
      </c>
      <c r="H17" s="178">
        <f>香海!H24</f>
        <v>854</v>
      </c>
      <c r="I17" s="145" t="str">
        <f t="shared" si="0"/>
        <v>-</v>
      </c>
      <c r="J17" s="178">
        <f t="shared" si="1"/>
        <v>-71</v>
      </c>
      <c r="K17" s="479">
        <f t="shared" si="2"/>
        <v>-0.0767567567567567</v>
      </c>
      <c r="L17" s="178">
        <f t="shared" si="3"/>
        <v>14</v>
      </c>
      <c r="M17" s="480">
        <f t="shared" si="4"/>
        <v>0.0166666666666667</v>
      </c>
    </row>
    <row r="18" s="442" customFormat="1" ht="17.1" customHeight="1" spans="1:15">
      <c r="A18" s="455"/>
      <c r="B18" s="142" t="s">
        <v>39</v>
      </c>
      <c r="C18" s="247" t="s">
        <v>17</v>
      </c>
      <c r="D18" s="178">
        <f>香海!D16</f>
        <v>0</v>
      </c>
      <c r="E18" s="178">
        <f>香海!E16</f>
        <v>130</v>
      </c>
      <c r="F18" s="178">
        <f>[3]集团本部!G18</f>
        <v>113</v>
      </c>
      <c r="G18" s="178">
        <f>香海!G16</f>
        <v>201</v>
      </c>
      <c r="H18" s="178">
        <f>香海!H16</f>
        <v>201</v>
      </c>
      <c r="I18" s="145" t="str">
        <f t="shared" si="0"/>
        <v>-</v>
      </c>
      <c r="J18" s="178">
        <f t="shared" si="1"/>
        <v>71</v>
      </c>
      <c r="K18" s="479">
        <f t="shared" si="2"/>
        <v>0.546153846153846</v>
      </c>
      <c r="L18" s="178">
        <f t="shared" si="3"/>
        <v>88</v>
      </c>
      <c r="M18" s="480">
        <f t="shared" si="4"/>
        <v>0.778761061946903</v>
      </c>
    </row>
    <row r="19" s="442" customFormat="1" ht="17.1" customHeight="1" spans="1:15">
      <c r="A19" s="455"/>
      <c r="B19" s="142" t="s">
        <v>40</v>
      </c>
      <c r="C19" s="247" t="s">
        <v>17</v>
      </c>
      <c r="D19" s="481">
        <f>香海!D17</f>
        <v>0</v>
      </c>
      <c r="E19" s="481">
        <f>香海!E17</f>
        <v>0.9</v>
      </c>
      <c r="F19" s="481">
        <f>[3]集团本部!G19</f>
        <v>1</v>
      </c>
      <c r="G19" s="481">
        <f>香海!G17</f>
        <v>1</v>
      </c>
      <c r="H19" s="481">
        <f>香海!H17</f>
        <v>1</v>
      </c>
      <c r="I19" s="145" t="str">
        <f t="shared" si="0"/>
        <v>-</v>
      </c>
      <c r="J19" s="178">
        <f t="shared" si="1"/>
        <v>0.1</v>
      </c>
      <c r="K19" s="479">
        <f t="shared" si="2"/>
        <v>0.111111111111111</v>
      </c>
      <c r="L19" s="482">
        <f t="shared" si="3"/>
        <v>0</v>
      </c>
      <c r="M19" s="480">
        <f t="shared" si="4"/>
        <v>0</v>
      </c>
    </row>
    <row r="20" s="442" customFormat="1" ht="17.1" customHeight="1" spans="1:15">
      <c r="A20" s="455"/>
      <c r="B20" s="142" t="s">
        <v>41</v>
      </c>
      <c r="C20" s="247" t="s">
        <v>17</v>
      </c>
      <c r="D20" s="481">
        <f>香海!D18</f>
        <v>0</v>
      </c>
      <c r="E20" s="481">
        <f>香海!E18</f>
        <v>0</v>
      </c>
      <c r="F20" s="481">
        <f>[3]集团本部!G20</f>
        <v>0</v>
      </c>
      <c r="G20" s="481">
        <f>香海!G18</f>
        <v>0</v>
      </c>
      <c r="H20" s="481">
        <f>香海!H18</f>
        <v>0</v>
      </c>
      <c r="I20" s="145" t="str">
        <f t="shared" si="0"/>
        <v>-</v>
      </c>
      <c r="J20" s="178">
        <f t="shared" si="1"/>
        <v>0</v>
      </c>
      <c r="K20" s="479" t="str">
        <f t="shared" si="2"/>
        <v>-</v>
      </c>
      <c r="L20" s="482">
        <f t="shared" si="3"/>
        <v>0</v>
      </c>
      <c r="M20" s="480" t="str">
        <f t="shared" si="4"/>
        <v>-</v>
      </c>
    </row>
    <row r="21" s="442" customFormat="1" ht="17.1" customHeight="1" spans="1:15">
      <c r="A21" s="455"/>
      <c r="B21" s="142" t="s">
        <v>44</v>
      </c>
      <c r="C21" s="247" t="s">
        <v>17</v>
      </c>
      <c r="D21" s="483">
        <f>香海!D19</f>
        <v>0</v>
      </c>
      <c r="E21" s="483">
        <f>香海!E19</f>
        <v>25000</v>
      </c>
      <c r="F21" s="483">
        <f>[3]集团本部!G21</f>
        <v>25240</v>
      </c>
      <c r="G21" s="483">
        <f>香海!G19</f>
        <v>32849</v>
      </c>
      <c r="H21" s="483">
        <f>香海!H19</f>
        <v>32849</v>
      </c>
      <c r="I21" s="145" t="str">
        <f t="shared" si="0"/>
        <v>-</v>
      </c>
      <c r="J21" s="178">
        <f t="shared" si="1"/>
        <v>7849</v>
      </c>
      <c r="K21" s="479">
        <f t="shared" si="2"/>
        <v>0.31396</v>
      </c>
      <c r="L21" s="178">
        <f t="shared" si="3"/>
        <v>7609</v>
      </c>
      <c r="M21" s="480">
        <f t="shared" si="4"/>
        <v>0.301465927099842</v>
      </c>
    </row>
    <row r="22" s="442" customFormat="1" ht="17.1" customHeight="1" spans="1:15">
      <c r="A22" s="455"/>
      <c r="B22" s="142" t="s">
        <v>45</v>
      </c>
      <c r="C22" s="247" t="s">
        <v>46</v>
      </c>
      <c r="D22" s="483">
        <f>香海!D20</f>
        <v>0</v>
      </c>
      <c r="E22" s="483">
        <f>香海!E20</f>
        <v>1080000</v>
      </c>
      <c r="F22" s="483">
        <f>[3]集团本部!G22</f>
        <v>1075554</v>
      </c>
      <c r="G22" s="483">
        <f>香海!G20</f>
        <v>1283190</v>
      </c>
      <c r="H22" s="483">
        <f>香海!H20</f>
        <v>1283190</v>
      </c>
      <c r="I22" s="145" t="str">
        <f t="shared" si="0"/>
        <v>-</v>
      </c>
      <c r="J22" s="178">
        <f t="shared" si="1"/>
        <v>203190</v>
      </c>
      <c r="K22" s="479">
        <f t="shared" si="2"/>
        <v>0.188138888888889</v>
      </c>
      <c r="L22" s="178">
        <f t="shared" si="3"/>
        <v>207636</v>
      </c>
      <c r="M22" s="480">
        <f t="shared" si="4"/>
        <v>0.193050279204949</v>
      </c>
    </row>
    <row r="23" s="442" customFormat="1" ht="17.1" customHeight="1" spans="1:15">
      <c r="A23" s="455"/>
      <c r="B23" s="142" t="s">
        <v>104</v>
      </c>
      <c r="C23" s="247" t="s">
        <v>17</v>
      </c>
      <c r="D23" s="483">
        <f>香海!D21</f>
        <v>0</v>
      </c>
      <c r="E23" s="483">
        <f>香海!E21</f>
        <v>25000</v>
      </c>
      <c r="F23" s="483">
        <f>[3]集团本部!G23</f>
        <v>26263</v>
      </c>
      <c r="G23" s="483">
        <f>香海!G21</f>
        <v>25920</v>
      </c>
      <c r="H23" s="483">
        <f>香海!H21</f>
        <v>25920</v>
      </c>
      <c r="I23" s="145" t="str">
        <f t="shared" si="0"/>
        <v>-</v>
      </c>
      <c r="J23" s="178">
        <f t="shared" si="1"/>
        <v>920</v>
      </c>
      <c r="K23" s="479">
        <f t="shared" si="2"/>
        <v>0.0368</v>
      </c>
      <c r="L23" s="178">
        <f t="shared" si="3"/>
        <v>-343</v>
      </c>
      <c r="M23" s="480">
        <f t="shared" si="4"/>
        <v>-0.01306019875871</v>
      </c>
      <c r="O23" s="61"/>
    </row>
    <row r="24" s="442" customFormat="1" ht="17.1" customHeight="1" spans="1:15">
      <c r="A24" s="455"/>
      <c r="B24" s="142" t="s">
        <v>51</v>
      </c>
      <c r="C24" s="247" t="s">
        <v>15</v>
      </c>
      <c r="D24" s="178">
        <f>D3-D4</f>
        <v>0</v>
      </c>
      <c r="E24" s="178">
        <f>香海!E26</f>
        <v>1462</v>
      </c>
      <c r="F24" s="178">
        <f>[3]集团本部!G24</f>
        <v>1458.5112</v>
      </c>
      <c r="G24" s="178">
        <f>香海!G26</f>
        <v>1653.9048</v>
      </c>
      <c r="H24" s="178">
        <f>香海!H26</f>
        <v>1653.9048</v>
      </c>
      <c r="I24" s="145" t="str">
        <f t="shared" si="0"/>
        <v>-</v>
      </c>
      <c r="J24" s="178">
        <f t="shared" si="1"/>
        <v>191.9048</v>
      </c>
      <c r="K24" s="479">
        <f t="shared" si="2"/>
        <v>0.131261833105335</v>
      </c>
      <c r="L24" s="178">
        <f t="shared" si="3"/>
        <v>195.3936</v>
      </c>
      <c r="M24" s="480">
        <f t="shared" si="4"/>
        <v>0.133967843373435</v>
      </c>
      <c r="O24" s="307"/>
    </row>
    <row r="25" s="442" customFormat="1" ht="17.1" customHeight="1" spans="1:15">
      <c r="A25" s="455"/>
      <c r="B25" s="212" t="s">
        <v>93</v>
      </c>
      <c r="C25" s="247" t="s">
        <v>15</v>
      </c>
      <c r="D25" s="471">
        <f t="shared" ref="D25:G25" si="5">D24-D26-D27</f>
        <v>0</v>
      </c>
      <c r="E25" s="471">
        <f t="shared" si="5"/>
        <v>85</v>
      </c>
      <c r="F25" s="471">
        <f t="shared" si="5"/>
        <v>85.107</v>
      </c>
      <c r="G25" s="471">
        <f t="shared" si="5"/>
        <v>57.3928000000001</v>
      </c>
      <c r="H25" s="178">
        <f>香海!H27</f>
        <v>57.3928000000001</v>
      </c>
      <c r="I25" s="145" t="str">
        <f t="shared" si="0"/>
        <v>-</v>
      </c>
      <c r="J25" s="178">
        <f t="shared" si="1"/>
        <v>-27.6071999999999</v>
      </c>
      <c r="K25" s="447">
        <f t="shared" si="2"/>
        <v>-0.324790588235293</v>
      </c>
      <c r="L25" s="178">
        <f t="shared" si="3"/>
        <v>-27.7141999999999</v>
      </c>
      <c r="M25" s="447">
        <f t="shared" si="4"/>
        <v>-0.325639489113703</v>
      </c>
      <c r="O25" s="307"/>
    </row>
    <row r="26" s="442" customFormat="1" ht="17.1" customHeight="1" spans="1:15">
      <c r="A26" s="455"/>
      <c r="B26" s="164" t="s">
        <v>105</v>
      </c>
      <c r="C26" s="247" t="s">
        <v>15</v>
      </c>
      <c r="D26" s="178">
        <f>香海!D28</f>
        <v>0</v>
      </c>
      <c r="E26" s="178">
        <f>香海!E28</f>
        <v>246</v>
      </c>
      <c r="F26" s="178">
        <f>[3]集团本部!G25</f>
        <v>255.8652</v>
      </c>
      <c r="G26" s="178">
        <f>香海!G28</f>
        <v>284.4984384</v>
      </c>
      <c r="H26" s="178">
        <f>香海!H28</f>
        <v>284.4984384</v>
      </c>
      <c r="I26" s="145" t="str">
        <f t="shared" si="0"/>
        <v>-</v>
      </c>
      <c r="J26" s="178">
        <f t="shared" si="1"/>
        <v>38.4984384</v>
      </c>
      <c r="K26" s="479">
        <f t="shared" si="2"/>
        <v>0.156497717073171</v>
      </c>
      <c r="L26" s="178">
        <f t="shared" si="3"/>
        <v>28.6332384</v>
      </c>
      <c r="M26" s="480">
        <f t="shared" si="4"/>
        <v>0.111907513800235</v>
      </c>
      <c r="O26" s="307"/>
    </row>
    <row r="27" s="442" customFormat="1" ht="17.1" customHeight="1" spans="1:15">
      <c r="A27" s="455"/>
      <c r="B27" s="164" t="s">
        <v>106</v>
      </c>
      <c r="C27" s="247" t="s">
        <v>15</v>
      </c>
      <c r="D27" s="178">
        <f>香海!D29</f>
        <v>0</v>
      </c>
      <c r="E27" s="178">
        <f>香海!E29</f>
        <v>1131</v>
      </c>
      <c r="F27" s="178">
        <f>[3]集团本部!G26</f>
        <v>1117.539</v>
      </c>
      <c r="G27" s="178">
        <f>香海!G29</f>
        <v>1312.0135616</v>
      </c>
      <c r="H27" s="178">
        <f>香海!H29</f>
        <v>1312.0135616</v>
      </c>
      <c r="I27" s="145" t="str">
        <f t="shared" si="0"/>
        <v>-</v>
      </c>
      <c r="J27" s="178">
        <f t="shared" si="1"/>
        <v>181.0135616</v>
      </c>
      <c r="K27" s="479">
        <f t="shared" si="2"/>
        <v>0.160047357736516</v>
      </c>
      <c r="L27" s="178">
        <f t="shared" si="3"/>
        <v>194.4745616</v>
      </c>
      <c r="M27" s="480">
        <f t="shared" si="4"/>
        <v>0.174020380138859</v>
      </c>
    </row>
    <row r="28" s="442" customFormat="1" ht="17.1" customHeight="1" spans="1:15">
      <c r="A28" s="455"/>
      <c r="B28" s="142" t="s">
        <v>49</v>
      </c>
      <c r="C28" s="247" t="s">
        <v>15</v>
      </c>
      <c r="D28" s="178">
        <f>香海!D25+供热公司!D13+主城区电锅炉!D8</f>
        <v>0</v>
      </c>
      <c r="E28" s="178">
        <f>香海!E25+供热公司!E13+主城区电锅炉!E8</f>
        <v>761.832</v>
      </c>
      <c r="F28" s="178">
        <f>香海!F25+供热公司!F13+主城区电锅炉!F8</f>
        <v>716.8267108</v>
      </c>
      <c r="G28" s="178">
        <f>香海!G25+供热公司!G13+主城区电锅炉!G8</f>
        <v>691.119079466667</v>
      </c>
      <c r="H28" s="178">
        <f>香海!H25+供热公司!H13+主城区电锅炉!H8</f>
        <v>691.119079466667</v>
      </c>
      <c r="I28" s="145" t="str">
        <f t="shared" si="0"/>
        <v>-</v>
      </c>
      <c r="J28" s="178">
        <f t="shared" si="1"/>
        <v>-70.7129205333329</v>
      </c>
      <c r="K28" s="479">
        <f t="shared" si="2"/>
        <v>-0.0928195724691702</v>
      </c>
      <c r="L28" s="178">
        <f t="shared" si="3"/>
        <v>-25.7076313333329</v>
      </c>
      <c r="M28" s="480">
        <f t="shared" si="4"/>
        <v>-0.0358631046332556</v>
      </c>
    </row>
    <row r="29" s="442" customFormat="1" ht="17.1" customHeight="1" spans="1:15">
      <c r="A29" s="457"/>
      <c r="B29" s="142" t="s">
        <v>55</v>
      </c>
      <c r="C29" s="247" t="s">
        <v>17</v>
      </c>
      <c r="D29" s="178">
        <f>D30+D31</f>
        <v>0</v>
      </c>
      <c r="E29" s="178">
        <f>E30+E31</f>
        <v>41037</v>
      </c>
      <c r="F29" s="178">
        <f>[3]集团本部!G28</f>
        <v>40896.5569649835</v>
      </c>
      <c r="G29" s="178">
        <f>G30+G31</f>
        <v>47986.1317445748</v>
      </c>
      <c r="H29" s="178">
        <f>H30+H31</f>
        <v>47986.1317445748</v>
      </c>
      <c r="I29" s="145" t="str">
        <f t="shared" si="0"/>
        <v>-</v>
      </c>
      <c r="J29" s="178">
        <f t="shared" si="1"/>
        <v>6949.13174457484</v>
      </c>
      <c r="K29" s="479">
        <f t="shared" si="2"/>
        <v>0.169338200759676</v>
      </c>
      <c r="L29" s="178">
        <f t="shared" si="3"/>
        <v>7089.57477959134</v>
      </c>
      <c r="M29" s="480">
        <f t="shared" si="4"/>
        <v>0.173353829899705</v>
      </c>
      <c r="N29" s="484"/>
      <c r="O29" s="484"/>
    </row>
    <row r="30" s="442" customFormat="1" ht="17.1" customHeight="1" spans="1:15">
      <c r="A30" s="455"/>
      <c r="B30" s="164" t="s">
        <v>107</v>
      </c>
      <c r="C30" s="247" t="s">
        <v>17</v>
      </c>
      <c r="D30" s="178">
        <f>香海!D9</f>
        <v>0</v>
      </c>
      <c r="E30" s="178">
        <f>香海!E9</f>
        <v>7329</v>
      </c>
      <c r="F30" s="178">
        <f>[3]集团本部!G29</f>
        <v>7619</v>
      </c>
      <c r="G30" s="178">
        <f>香海!G9</f>
        <v>8551.12867688324</v>
      </c>
      <c r="H30" s="178">
        <f>香海!H9</f>
        <v>8551.12867688324</v>
      </c>
      <c r="I30" s="145" t="str">
        <f t="shared" si="0"/>
        <v>-</v>
      </c>
      <c r="J30" s="178">
        <f t="shared" si="1"/>
        <v>1222.12867688324</v>
      </c>
      <c r="K30" s="479">
        <f t="shared" si="2"/>
        <v>0.166752446020363</v>
      </c>
      <c r="L30" s="178">
        <f t="shared" si="3"/>
        <v>932.12867688324</v>
      </c>
      <c r="M30" s="480">
        <f t="shared" si="4"/>
        <v>0.122342653482509</v>
      </c>
      <c r="N30" s="484"/>
      <c r="O30" s="484"/>
    </row>
    <row r="31" s="442" customFormat="1" ht="17.1" customHeight="1" spans="1:15">
      <c r="A31" s="455"/>
      <c r="B31" s="164" t="s">
        <v>108</v>
      </c>
      <c r="C31" s="247" t="s">
        <v>17</v>
      </c>
      <c r="D31" s="178">
        <f>香海!D10</f>
        <v>0</v>
      </c>
      <c r="E31" s="178">
        <f>香海!E10</f>
        <v>33708</v>
      </c>
      <c r="F31" s="178">
        <f>[3]集团本部!G30</f>
        <v>33277.5569649835</v>
      </c>
      <c r="G31" s="178">
        <f>香海!G10</f>
        <v>39435.0030676916</v>
      </c>
      <c r="H31" s="178">
        <f>香海!H10</f>
        <v>39435.0030676916</v>
      </c>
      <c r="I31" s="145" t="str">
        <f t="shared" si="0"/>
        <v>-</v>
      </c>
      <c r="J31" s="178">
        <f t="shared" si="1"/>
        <v>5727.0030676916</v>
      </c>
      <c r="K31" s="479">
        <f t="shared" si="2"/>
        <v>0.169900411406538</v>
      </c>
      <c r="L31" s="178">
        <f t="shared" si="3"/>
        <v>6157.4461027081</v>
      </c>
      <c r="M31" s="480">
        <f t="shared" si="4"/>
        <v>0.185032997139403</v>
      </c>
      <c r="N31" s="484"/>
      <c r="O31" s="484"/>
    </row>
    <row r="32" s="442" customFormat="1" ht="17.1" customHeight="1" spans="1:15">
      <c r="A32" s="457"/>
      <c r="B32" s="398" t="s">
        <v>58</v>
      </c>
      <c r="C32" s="459" t="s">
        <v>17</v>
      </c>
      <c r="D32" s="227">
        <f>香海!D12</f>
        <v>0</v>
      </c>
      <c r="E32" s="227">
        <f>香海!E12</f>
        <v>41025.3432</v>
      </c>
      <c r="F32" s="227">
        <f>[3]集团本部!G31</f>
        <v>40874.7723309335</v>
      </c>
      <c r="G32" s="227">
        <f>香海!G12</f>
        <v>47949.7042445748</v>
      </c>
      <c r="H32" s="227">
        <f>香海!H12</f>
        <v>47949.7042445748</v>
      </c>
      <c r="I32" s="153" t="str">
        <f t="shared" si="0"/>
        <v>-</v>
      </c>
      <c r="J32" s="485">
        <f t="shared" si="1"/>
        <v>6924.36104457483</v>
      </c>
      <c r="K32" s="486">
        <f t="shared" si="2"/>
        <v>0.168782525738257</v>
      </c>
      <c r="L32" s="485">
        <f t="shared" si="3"/>
        <v>7074.93191364134</v>
      </c>
      <c r="M32" s="487">
        <f t="shared" si="4"/>
        <v>0.173087983374213</v>
      </c>
      <c r="N32" s="484"/>
      <c r="O32" s="484"/>
    </row>
    <row r="33" s="442" customFormat="1" ht="17.1" customHeight="1" spans="1:15">
      <c r="A33" s="461" t="s">
        <v>96</v>
      </c>
      <c r="B33" s="142" t="s">
        <v>63</v>
      </c>
      <c r="C33" s="247" t="s">
        <v>64</v>
      </c>
      <c r="D33" s="488" t="e">
        <f>(D3-D4)/D3</f>
        <v>#DIV/0!</v>
      </c>
      <c r="E33" s="488">
        <f>(E3-E4)/E3</f>
        <v>0.249957257650881</v>
      </c>
      <c r="F33" s="488">
        <f>[3]集团本部!G32</f>
        <v>0.250433933339927</v>
      </c>
      <c r="G33" s="488">
        <f>(G3-G4)/G3</f>
        <v>0.286756297905275</v>
      </c>
      <c r="H33" s="488">
        <f>(H3-H4)/H3</f>
        <v>0.286756297905275</v>
      </c>
      <c r="I33" s="326" t="s">
        <v>65</v>
      </c>
      <c r="J33" s="372">
        <f t="shared" si="1"/>
        <v>0.0367990402543944</v>
      </c>
      <c r="K33" s="347" t="s">
        <v>65</v>
      </c>
      <c r="L33" s="372">
        <f t="shared" si="3"/>
        <v>0.0363223645653484</v>
      </c>
      <c r="M33" s="373" t="s">
        <v>65</v>
      </c>
      <c r="N33" s="484"/>
      <c r="O33" s="484"/>
    </row>
    <row r="34" s="442" customFormat="1" ht="17.1" customHeight="1" spans="1:15">
      <c r="A34" s="462"/>
      <c r="B34" s="142" t="s">
        <v>66</v>
      </c>
      <c r="C34" s="143" t="s">
        <v>67</v>
      </c>
      <c r="D34" s="471" t="e">
        <f>D30*100/D3</f>
        <v>#DIV/0!</v>
      </c>
      <c r="E34" s="471">
        <f>E30*100/E3</f>
        <v>125.303470678749</v>
      </c>
      <c r="F34" s="471">
        <f>[3]集团本部!G33</f>
        <v>130.822179364608</v>
      </c>
      <c r="G34" s="471">
        <f>G30*100/G3</f>
        <v>148.260649723894</v>
      </c>
      <c r="H34" s="471">
        <f>H30*100/H3</f>
        <v>148.260649723894</v>
      </c>
      <c r="I34" s="145" t="str">
        <f t="shared" ref="I34:I37" si="6">IFERROR(H34/D34,"-")</f>
        <v>-</v>
      </c>
      <c r="J34" s="178">
        <f t="shared" si="1"/>
        <v>22.9571790451453</v>
      </c>
      <c r="K34" s="447">
        <f t="shared" ref="K34:K37" si="7">IFERROR(J34/E34,"-")</f>
        <v>0.183212635059428</v>
      </c>
      <c r="L34" s="178">
        <f t="shared" si="3"/>
        <v>17.4384703592863</v>
      </c>
      <c r="M34" s="447">
        <f t="shared" ref="M34:M37" si="8">IFERROR(L34/F34,"-")</f>
        <v>0.133299035713848</v>
      </c>
      <c r="N34" s="484"/>
      <c r="O34" s="484"/>
    </row>
    <row r="35" s="442" customFormat="1" ht="17.1" customHeight="1" spans="1:15">
      <c r="A35" s="462"/>
      <c r="B35" s="142" t="s">
        <v>68</v>
      </c>
      <c r="C35" s="143" t="s">
        <v>67</v>
      </c>
      <c r="D35" s="471" t="e">
        <f>D30*100/(D3-D26)</f>
        <v>#DIV/0!</v>
      </c>
      <c r="E35" s="471">
        <f>E30*100/(E3-E26)</f>
        <v>130.804925932536</v>
      </c>
      <c r="F35" s="471">
        <f>[3]集团本部!G34</f>
        <v>136.833748593858</v>
      </c>
      <c r="G35" s="471">
        <f>G30*100/(G3-G26)</f>
        <v>155.95331721936</v>
      </c>
      <c r="H35" s="471">
        <f>H30*100/(H3-H26)</f>
        <v>155.95331721936</v>
      </c>
      <c r="I35" s="145" t="str">
        <f t="shared" si="6"/>
        <v>-</v>
      </c>
      <c r="J35" s="178">
        <f t="shared" si="1"/>
        <v>25.148391286824</v>
      </c>
      <c r="K35" s="447">
        <f t="shared" si="7"/>
        <v>0.192258747960261</v>
      </c>
      <c r="L35" s="178">
        <f t="shared" si="3"/>
        <v>19.119568625502</v>
      </c>
      <c r="M35" s="447">
        <f t="shared" si="8"/>
        <v>0.139728457503942</v>
      </c>
      <c r="N35" s="484"/>
      <c r="O35" s="484"/>
    </row>
    <row r="36" s="442" customFormat="1" ht="17.1" customHeight="1" spans="1:15">
      <c r="A36" s="462"/>
      <c r="B36" s="142" t="s">
        <v>69</v>
      </c>
      <c r="C36" s="143" t="s">
        <v>70</v>
      </c>
      <c r="D36" s="424" t="e">
        <f>D31*1000/香海!D6</f>
        <v>#DIV/0!</v>
      </c>
      <c r="E36" s="489">
        <f>E31*1000/香海!E6</f>
        <v>40.3446984585077</v>
      </c>
      <c r="F36" s="490">
        <f>[3]集团本部!G35</f>
        <v>39.597618529642</v>
      </c>
      <c r="G36" s="490">
        <f>G31*1000/香海!G6</f>
        <v>40.7749265943336</v>
      </c>
      <c r="H36" s="490">
        <f>H31*1000/香海!H6</f>
        <v>40.7749265943336</v>
      </c>
      <c r="I36" s="145" t="str">
        <f t="shared" si="6"/>
        <v>-</v>
      </c>
      <c r="J36" s="424">
        <f t="shared" si="1"/>
        <v>0.430228135825899</v>
      </c>
      <c r="K36" s="447">
        <f t="shared" si="7"/>
        <v>0.0106638084373927</v>
      </c>
      <c r="L36" s="424">
        <f t="shared" si="3"/>
        <v>1.1773080646916</v>
      </c>
      <c r="M36" s="447">
        <f t="shared" si="8"/>
        <v>0.0297317896481651</v>
      </c>
      <c r="N36" s="484"/>
      <c r="O36" s="484"/>
    </row>
    <row r="37" s="442" customFormat="1" ht="17.1" customHeight="1" spans="1:15">
      <c r="A37" s="464"/>
      <c r="B37" s="150" t="s">
        <v>97</v>
      </c>
      <c r="C37" s="151" t="s">
        <v>98</v>
      </c>
      <c r="D37" s="465" t="e">
        <f>D29*29308/D12</f>
        <v>#DIV/0!</v>
      </c>
      <c r="E37" s="491">
        <f>E29*29308/E12</f>
        <v>20102.8347262152</v>
      </c>
      <c r="F37" s="491">
        <f>[3]集团本部!G36</f>
        <v>19325.0173814325</v>
      </c>
      <c r="G37" s="491">
        <f>香海!G40</f>
        <v>19188</v>
      </c>
      <c r="H37" s="465">
        <f>香海!H40</f>
        <v>19188</v>
      </c>
      <c r="I37" s="153" t="str">
        <f t="shared" si="6"/>
        <v>-</v>
      </c>
      <c r="J37" s="227">
        <f t="shared" si="1"/>
        <v>-914.834726215198</v>
      </c>
      <c r="K37" s="466">
        <f t="shared" si="7"/>
        <v>-0.0455077474731563</v>
      </c>
      <c r="L37" s="227">
        <f t="shared" si="3"/>
        <v>-137.017381432499</v>
      </c>
      <c r="M37" s="466">
        <f t="shared" si="8"/>
        <v>-0.007090155663412</v>
      </c>
      <c r="N37" s="484"/>
      <c r="O37" s="484"/>
    </row>
    <row r="38" s="442" customFormat="1" ht="17.1" customHeight="1" spans="1:15">
      <c r="A38" s="467" t="s">
        <v>99</v>
      </c>
      <c r="B38" s="142" t="s">
        <v>82</v>
      </c>
      <c r="C38" s="247" t="s">
        <v>64</v>
      </c>
      <c r="D38" s="162">
        <f>D3/10/8760</f>
        <v>0</v>
      </c>
      <c r="E38" s="431">
        <f>E3/10/(DAY(DATE(2026,2,0))*24)</f>
        <v>0.786155913978495</v>
      </c>
      <c r="F38" s="492">
        <f>[3]集团本部!G37</f>
        <v>0.782787096774194</v>
      </c>
      <c r="G38" s="492">
        <f>G3/10/(DAY(DATE(2026,2,0))*24)</f>
        <v>0.77521935483871</v>
      </c>
      <c r="H38" s="493">
        <f>H3/10/(DATEDIF(DATE(2026,1,1),DATE(2026,2,1),"D")*24)</f>
        <v>0.77521935483871</v>
      </c>
      <c r="I38" s="326" t="s">
        <v>65</v>
      </c>
      <c r="J38" s="162">
        <f t="shared" si="1"/>
        <v>-0.0109365591397854</v>
      </c>
      <c r="K38" s="347" t="s">
        <v>65</v>
      </c>
      <c r="L38" s="162">
        <f t="shared" si="3"/>
        <v>-0.00756774193548437</v>
      </c>
      <c r="M38" s="373" t="s">
        <v>65</v>
      </c>
      <c r="N38" s="484"/>
      <c r="O38" s="484"/>
    </row>
    <row r="39" s="442" customFormat="1" ht="17.1" customHeight="1" spans="1:15">
      <c r="A39" s="468"/>
      <c r="B39" s="165" t="s">
        <v>83</v>
      </c>
      <c r="C39" s="405" t="s">
        <v>64</v>
      </c>
      <c r="D39" s="494">
        <f>香海!D6*1000/528/(8760*3600)</f>
        <v>0</v>
      </c>
      <c r="E39" s="494">
        <f>香海!E6*1000/528/((DAY(DATE(2026,2,0))*24)*3600)</f>
        <v>0.590795464445078</v>
      </c>
      <c r="F39" s="494">
        <f>[3]集团本部!G38</f>
        <v>0.594255225350786</v>
      </c>
      <c r="G39" s="494">
        <f>香海!G6*1000/528/((DAY(DATE(2026,2,0))*24)*3600)</f>
        <v>0.683879101182072</v>
      </c>
      <c r="H39" s="495">
        <f>香海!H6*1000/528/((DATEDIF(DATE(2026,1,1),DATE(2026,2,1),"D")*24)*3600)</f>
        <v>0.683879101182072</v>
      </c>
      <c r="I39" s="357" t="s">
        <v>65</v>
      </c>
      <c r="J39" s="279">
        <f t="shared" si="1"/>
        <v>0.0930836367369935</v>
      </c>
      <c r="K39" s="358" t="s">
        <v>65</v>
      </c>
      <c r="L39" s="279">
        <f t="shared" si="3"/>
        <v>0.0896238758312855</v>
      </c>
      <c r="M39" s="360" t="s">
        <v>65</v>
      </c>
      <c r="N39" s="484"/>
      <c r="O39" s="484"/>
    </row>
    <row r="40" spans="1:15">
      <c r="N40" s="32"/>
      <c r="O40" s="32"/>
    </row>
    <row r="41" spans="1:15">
      <c r="G41" s="32"/>
      <c r="H41" s="431"/>
      <c r="N41" s="32"/>
      <c r="O41" s="32"/>
    </row>
    <row r="42" spans="1:15">
      <c r="G42" s="32"/>
      <c r="H42" s="431"/>
    </row>
    <row r="43" spans="1:15">
      <c r="H43" s="470"/>
    </row>
  </sheetData>
  <mergeCells count="15">
    <mergeCell ref="J1:K1"/>
    <mergeCell ref="L1:M1"/>
    <mergeCell ref="A1:A2"/>
    <mergeCell ref="A3:A11"/>
    <mergeCell ref="A12:A32"/>
    <mergeCell ref="A33:A37"/>
    <mergeCell ref="A38:A39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472222222222222" right="0.472222222222222" top="1.10208333333333" bottom="0.708333333333333" header="0.747916666666667" footer="0.511805555555556"/>
  <pageSetup paperSize="9" scale="95" orientation="landscape" horizontalDpi="600" verticalDpi="600"/>
  <headerFooter alignWithMargins="0" scaleWithDoc="0">
    <oddHeader>&amp;C&amp;"黑体"&amp;16大连洁净能源集团有限公司（本部）2026年1月份主要经营指标统计表&amp;R表    号：     ZB003
制表单位：经济运行部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showGridLines="0" zoomScale="85" zoomScaleNormal="85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I1" sqref="I$1:M$1048576"/>
    </sheetView>
  </sheetViews>
  <sheetFormatPr defaultColWidth="9" defaultRowHeight="15"/>
  <cols>
    <col min="1" max="1" width="9.75" style="2" customWidth="1"/>
    <col min="2" max="2" width="20.75" style="2" customWidth="1"/>
    <col min="3" max="3" width="8.90833333333333" style="443" customWidth="1"/>
    <col min="4" max="8" width="10.125" style="2" customWidth="1"/>
    <col min="9" max="13" width="8.375" style="2" customWidth="1"/>
    <col min="14" max="15" width="9" style="2"/>
    <col min="16" max="16" width="11.5833333333333" style="2"/>
    <col min="17" max="16384" width="9" style="2"/>
  </cols>
  <sheetData>
    <row r="1" s="441" customFormat="1" ht="15.95" customHeight="1" spans="1:13">
      <c r="A1" s="444" t="s">
        <v>84</v>
      </c>
      <c r="B1" s="5" t="s">
        <v>85</v>
      </c>
      <c r="C1" s="5" t="s">
        <v>2</v>
      </c>
      <c r="D1" s="138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86</v>
      </c>
      <c r="J1" s="8" t="s">
        <v>9</v>
      </c>
      <c r="K1" s="3"/>
      <c r="L1" s="8" t="s">
        <v>10</v>
      </c>
      <c r="M1" s="139"/>
    </row>
    <row r="2" s="441" customFormat="1" ht="15.95" customHeight="1" spans="1:13">
      <c r="A2" s="445"/>
      <c r="B2" s="76"/>
      <c r="C2" s="76"/>
      <c r="D2" s="141"/>
      <c r="E2" s="76"/>
      <c r="F2" s="76"/>
      <c r="G2" s="141"/>
      <c r="H2" s="76"/>
      <c r="I2" s="141"/>
      <c r="J2" s="15" t="s">
        <v>11</v>
      </c>
      <c r="K2" s="14" t="s">
        <v>12</v>
      </c>
      <c r="L2" s="14" t="s">
        <v>11</v>
      </c>
      <c r="M2" s="141" t="s">
        <v>12</v>
      </c>
    </row>
    <row r="3" s="442" customFormat="1" ht="20.45" customHeight="1" spans="1:13">
      <c r="A3" s="446" t="s">
        <v>87</v>
      </c>
      <c r="B3" s="142" t="s">
        <v>23</v>
      </c>
      <c r="C3" s="247" t="s">
        <v>15</v>
      </c>
      <c r="D3" s="175">
        <f>北海!D3</f>
        <v>0</v>
      </c>
      <c r="E3" s="175">
        <f>北海!E3</f>
        <v>7582</v>
      </c>
      <c r="F3" s="175">
        <f>[3]股份本部!G3</f>
        <v>5803.92</v>
      </c>
      <c r="G3" s="175">
        <f>北海!G3</f>
        <v>6075.36</v>
      </c>
      <c r="H3" s="175">
        <f>北海!H3</f>
        <v>6075.36</v>
      </c>
      <c r="I3" s="145" t="str">
        <f t="shared" ref="I3:I25" si="0">IFERROR(H3/D3,"-")</f>
        <v>-</v>
      </c>
      <c r="J3" s="23">
        <f t="shared" ref="J3:J32" si="1">IFERROR(G3-E3,"-")</f>
        <v>-1506.64</v>
      </c>
      <c r="K3" s="447">
        <f t="shared" ref="K3:K25" si="2">IFERROR(J3/E3,"-")</f>
        <v>-0.198712740701662</v>
      </c>
      <c r="L3" s="23">
        <f t="shared" ref="L3:L32" si="3">IFERROR(G3-F3,"-")</f>
        <v>271.44</v>
      </c>
      <c r="M3" s="447">
        <f t="shared" ref="M3:M25" si="4">IFERROR(L3/F3,"-")</f>
        <v>0.046768391018484</v>
      </c>
    </row>
    <row r="4" s="442" customFormat="1" ht="20.45" customHeight="1" spans="1:13">
      <c r="A4" s="448"/>
      <c r="B4" s="142" t="s">
        <v>14</v>
      </c>
      <c r="C4" s="247" t="s">
        <v>15</v>
      </c>
      <c r="D4" s="175">
        <f>北海!D4</f>
        <v>0</v>
      </c>
      <c r="E4" s="175">
        <f>北海!E4</f>
        <v>5231</v>
      </c>
      <c r="F4" s="175">
        <f>[3]股份本部!G4</f>
        <v>3932.5461</v>
      </c>
      <c r="G4" s="175">
        <f>北海!G4</f>
        <v>3714.5916</v>
      </c>
      <c r="H4" s="175">
        <f>北海!H4</f>
        <v>3714.5916</v>
      </c>
      <c r="I4" s="145" t="str">
        <f t="shared" si="0"/>
        <v>-</v>
      </c>
      <c r="J4" s="23">
        <f t="shared" si="1"/>
        <v>-1516.4084</v>
      </c>
      <c r="K4" s="447">
        <f t="shared" si="2"/>
        <v>-0.289888816669853</v>
      </c>
      <c r="L4" s="23">
        <f t="shared" si="3"/>
        <v>-217.9545</v>
      </c>
      <c r="M4" s="447">
        <f t="shared" si="4"/>
        <v>-0.0554232536523856</v>
      </c>
    </row>
    <row r="5" s="442" customFormat="1" ht="20.45" customHeight="1" spans="1:13">
      <c r="A5" s="448"/>
      <c r="B5" s="142" t="s">
        <v>27</v>
      </c>
      <c r="C5" s="247" t="s">
        <v>17</v>
      </c>
      <c r="D5" s="175">
        <f>北海!D5</f>
        <v>0</v>
      </c>
      <c r="E5" s="175">
        <f>北海!E5</f>
        <v>29011</v>
      </c>
      <c r="F5" s="175">
        <f>[3]股份本部!G5</f>
        <v>29011</v>
      </c>
      <c r="G5" s="175">
        <f>北海!G5+天然气炉!D4</f>
        <v>35445</v>
      </c>
      <c r="H5" s="175">
        <f>北海!H5+天然气炉!F4</f>
        <v>35445</v>
      </c>
      <c r="I5" s="145" t="str">
        <f t="shared" si="0"/>
        <v>-</v>
      </c>
      <c r="J5" s="23">
        <f t="shared" si="1"/>
        <v>6434</v>
      </c>
      <c r="K5" s="447">
        <f t="shared" si="2"/>
        <v>0.221777946296232</v>
      </c>
      <c r="L5" s="23">
        <f t="shared" si="3"/>
        <v>6434</v>
      </c>
      <c r="M5" s="447">
        <f t="shared" si="4"/>
        <v>0.221777946296232</v>
      </c>
    </row>
    <row r="6" s="442" customFormat="1" ht="20.45" customHeight="1" spans="1:13">
      <c r="A6" s="448"/>
      <c r="B6" s="142" t="s">
        <v>24</v>
      </c>
      <c r="C6" s="247" t="s">
        <v>19</v>
      </c>
      <c r="D6" s="175"/>
      <c r="E6" s="175">
        <f>北海!E6+北海水炉!E4</f>
        <v>1548747.594634</v>
      </c>
      <c r="F6" s="175">
        <f>[3]股份本部!G6</f>
        <v>1392347.594634</v>
      </c>
      <c r="G6" s="175">
        <f>北海!G6+北海水炉!G4+主城区电锅炉!G6+天然气炉!D5</f>
        <v>1721380.19383</v>
      </c>
      <c r="H6" s="175">
        <f>北海!H6+北海水炉!H4+主城区电锅炉!H6+天然气炉!F5</f>
        <v>1721380.19383</v>
      </c>
      <c r="I6" s="145" t="str">
        <f t="shared" si="0"/>
        <v>-</v>
      </c>
      <c r="J6" s="23">
        <f t="shared" si="1"/>
        <v>172632.599196</v>
      </c>
      <c r="K6" s="447">
        <f t="shared" si="2"/>
        <v>0.111465935310651</v>
      </c>
      <c r="L6" s="23">
        <f t="shared" si="3"/>
        <v>329032.599196</v>
      </c>
      <c r="M6" s="447">
        <f t="shared" si="4"/>
        <v>0.236314983746922</v>
      </c>
    </row>
    <row r="7" s="442" customFormat="1" ht="20.45" customHeight="1" spans="1:13">
      <c r="A7" s="448"/>
      <c r="B7" s="142" t="s">
        <v>109</v>
      </c>
      <c r="C7" s="247" t="s">
        <v>19</v>
      </c>
      <c r="D7" s="175">
        <f>北海!D7+北海水炉!D4</f>
        <v>0</v>
      </c>
      <c r="E7" s="175">
        <f>北海!E7+北海水炉!E4</f>
        <v>1463116</v>
      </c>
      <c r="F7" s="175">
        <f>[3]股份本部!G7</f>
        <v>1306319</v>
      </c>
      <c r="G7" s="175">
        <f>北海!G7+北海水炉!G4</f>
        <v>1616316.4</v>
      </c>
      <c r="H7" s="175">
        <f>北海!H7+北海水炉!H4</f>
        <v>1616316.4</v>
      </c>
      <c r="I7" s="145" t="str">
        <f t="shared" si="0"/>
        <v>-</v>
      </c>
      <c r="J7" s="23">
        <f t="shared" si="1"/>
        <v>153200.4</v>
      </c>
      <c r="K7" s="447">
        <f t="shared" si="2"/>
        <v>0.104708307475279</v>
      </c>
      <c r="L7" s="23">
        <f t="shared" si="3"/>
        <v>309997.4</v>
      </c>
      <c r="M7" s="447">
        <f t="shared" si="4"/>
        <v>0.237306048522604</v>
      </c>
    </row>
    <row r="8" s="442" customFormat="1" ht="20.45" customHeight="1" spans="1:13">
      <c r="A8" s="448"/>
      <c r="B8" s="142" t="s">
        <v>110</v>
      </c>
      <c r="C8" s="247" t="s">
        <v>17</v>
      </c>
      <c r="D8" s="175"/>
      <c r="E8" s="175">
        <f>'[2]3.股份本部汇总表'!$M$16</f>
        <v>-6183</v>
      </c>
      <c r="F8" s="175">
        <f>[3]股份本部!G8</f>
        <v>1684</v>
      </c>
      <c r="G8" s="175">
        <f>[5]售热量!$D$5</f>
        <v>1200</v>
      </c>
      <c r="H8" s="175">
        <f>[5]售热量!$D$5</f>
        <v>1200</v>
      </c>
      <c r="I8" s="145" t="str">
        <f t="shared" si="0"/>
        <v>-</v>
      </c>
      <c r="J8" s="23">
        <f t="shared" si="1"/>
        <v>7383</v>
      </c>
      <c r="K8" s="447">
        <f t="shared" si="2"/>
        <v>-1.19408054342552</v>
      </c>
      <c r="L8" s="23">
        <f t="shared" si="3"/>
        <v>-484</v>
      </c>
      <c r="M8" s="447">
        <f t="shared" si="4"/>
        <v>-0.287410926365796</v>
      </c>
    </row>
    <row r="9" s="442" customFormat="1" ht="20.45" customHeight="1" spans="1:13">
      <c r="A9" s="448"/>
      <c r="B9" s="142" t="s">
        <v>111</v>
      </c>
      <c r="C9" s="247" t="s">
        <v>19</v>
      </c>
      <c r="D9" s="175"/>
      <c r="E9" s="175">
        <f>'[2]3.股份本部汇总表'!$M$17</f>
        <v>149928</v>
      </c>
      <c r="F9" s="175">
        <f>[3]股份本部!G9</f>
        <v>150679</v>
      </c>
      <c r="G9" s="175">
        <f>[5]售热量!$D$6</f>
        <v>198254</v>
      </c>
      <c r="H9" s="175">
        <f>[5]售热量!$D$6</f>
        <v>198254</v>
      </c>
      <c r="I9" s="145" t="str">
        <f t="shared" si="0"/>
        <v>-</v>
      </c>
      <c r="J9" s="23">
        <f t="shared" si="1"/>
        <v>48326</v>
      </c>
      <c r="K9" s="447">
        <f t="shared" si="2"/>
        <v>0.322328050797716</v>
      </c>
      <c r="L9" s="23">
        <f t="shared" si="3"/>
        <v>47575</v>
      </c>
      <c r="M9" s="447">
        <f t="shared" si="4"/>
        <v>0.315737428573325</v>
      </c>
    </row>
    <row r="10" s="442" customFormat="1" ht="20.45" customHeight="1" spans="1:13">
      <c r="A10" s="448"/>
      <c r="B10" s="142" t="s">
        <v>18</v>
      </c>
      <c r="C10" s="247" t="s">
        <v>19</v>
      </c>
      <c r="D10" s="175"/>
      <c r="E10" s="175">
        <f>'[2]3.股份本部汇总表'!$M$25</f>
        <v>100500</v>
      </c>
      <c r="F10" s="175">
        <f>[3]股份本部!G10</f>
        <v>97005</v>
      </c>
      <c r="G10" s="175">
        <f>[5]售热量!$D$7</f>
        <v>104506</v>
      </c>
      <c r="H10" s="175">
        <f>[5]售热量!$D$7</f>
        <v>104506</v>
      </c>
      <c r="I10" s="145" t="str">
        <f t="shared" si="0"/>
        <v>-</v>
      </c>
      <c r="J10" s="23">
        <f t="shared" si="1"/>
        <v>4006</v>
      </c>
      <c r="K10" s="447">
        <f t="shared" si="2"/>
        <v>0.0398606965174129</v>
      </c>
      <c r="L10" s="23">
        <f t="shared" si="3"/>
        <v>7501</v>
      </c>
      <c r="M10" s="447">
        <f t="shared" si="4"/>
        <v>0.0773259110355136</v>
      </c>
    </row>
    <row r="11" s="442" customFormat="1" ht="20.45" customHeight="1" spans="1:13">
      <c r="A11" s="448"/>
      <c r="B11" s="142" t="s">
        <v>20</v>
      </c>
      <c r="C11" s="247" t="s">
        <v>21</v>
      </c>
      <c r="D11" s="178"/>
      <c r="E11" s="175">
        <f>'[2]3.股份本部汇总表'!$M$19</f>
        <v>16943010.51</v>
      </c>
      <c r="F11" s="175">
        <f>[3]股份本部!G11</f>
        <v>16102552.03</v>
      </c>
      <c r="G11" s="175">
        <f>H11</f>
        <v>16314997.57</v>
      </c>
      <c r="H11" s="175">
        <v>16314997.57</v>
      </c>
      <c r="I11" s="153" t="str">
        <f t="shared" si="0"/>
        <v>-</v>
      </c>
      <c r="J11" s="23">
        <f t="shared" si="1"/>
        <v>-628012.940000001</v>
      </c>
      <c r="K11" s="447">
        <f t="shared" si="2"/>
        <v>-0.0370661955045911</v>
      </c>
      <c r="L11" s="23">
        <f t="shared" si="3"/>
        <v>212445.540000001</v>
      </c>
      <c r="M11" s="447">
        <f t="shared" si="4"/>
        <v>0.0131932838722833</v>
      </c>
    </row>
    <row r="12" s="442" customFormat="1" ht="20.45" customHeight="1" spans="1:13">
      <c r="A12" s="449" t="s">
        <v>90</v>
      </c>
      <c r="B12" s="450" t="s">
        <v>29</v>
      </c>
      <c r="C12" s="451" t="s">
        <v>17</v>
      </c>
      <c r="D12" s="452">
        <f>北海!D12+北海水炉!D5</f>
        <v>0</v>
      </c>
      <c r="E12" s="452">
        <f>北海!E12+北海水炉!E5</f>
        <v>105279.222222222</v>
      </c>
      <c r="F12" s="452">
        <f>[3]股份本部!G12</f>
        <v>92166</v>
      </c>
      <c r="G12" s="452">
        <f>北海!G12+北海水炉!G5</f>
        <v>111116</v>
      </c>
      <c r="H12" s="452">
        <f>北海!H12+北海水炉!H5</f>
        <v>111116</v>
      </c>
      <c r="I12" s="145" t="str">
        <f t="shared" si="0"/>
        <v>-</v>
      </c>
      <c r="J12" s="453">
        <f t="shared" si="1"/>
        <v>5836.777777778</v>
      </c>
      <c r="K12" s="454">
        <f t="shared" si="2"/>
        <v>0.0554409279872699</v>
      </c>
      <c r="L12" s="453">
        <f t="shared" si="3"/>
        <v>18950</v>
      </c>
      <c r="M12" s="454">
        <f t="shared" si="4"/>
        <v>0.205607273831999</v>
      </c>
    </row>
    <row r="13" s="442" customFormat="1" ht="20.45" customHeight="1" spans="1:13">
      <c r="A13" s="455"/>
      <c r="B13" s="203" t="s">
        <v>30</v>
      </c>
      <c r="C13" s="247" t="s">
        <v>17</v>
      </c>
      <c r="D13" s="175">
        <f>北海!D24+北海水炉!D6</f>
        <v>0</v>
      </c>
      <c r="E13" s="175">
        <f>北海!E24+北海水炉!E6</f>
        <v>59</v>
      </c>
      <c r="F13" s="175">
        <f>[3]股份本部!G13</f>
        <v>58.5</v>
      </c>
      <c r="G13" s="175">
        <f>北海!G24+北海水炉!G6</f>
        <v>78.3</v>
      </c>
      <c r="H13" s="175">
        <f>北海!H24+北海水炉!H6</f>
        <v>78.3</v>
      </c>
      <c r="I13" s="145" t="str">
        <f t="shared" si="0"/>
        <v>-</v>
      </c>
      <c r="J13" s="23">
        <f t="shared" si="1"/>
        <v>19.3</v>
      </c>
      <c r="K13" s="447">
        <f t="shared" si="2"/>
        <v>0.327118644067797</v>
      </c>
      <c r="L13" s="23">
        <f t="shared" si="3"/>
        <v>19.8</v>
      </c>
      <c r="M13" s="447">
        <f t="shared" si="4"/>
        <v>0.338461538461538</v>
      </c>
    </row>
    <row r="14" s="442" customFormat="1" ht="20.45" customHeight="1" spans="1:13">
      <c r="A14" s="455"/>
      <c r="B14" s="203" t="s">
        <v>31</v>
      </c>
      <c r="C14" s="247" t="s">
        <v>17</v>
      </c>
      <c r="D14" s="178">
        <f>北海!D22+北海!D21+北海水炉!D9</f>
        <v>0</v>
      </c>
      <c r="E14" s="175">
        <f>北海!E22+北海!E21+北海水炉!E9</f>
        <v>193594</v>
      </c>
      <c r="F14" s="175">
        <f>[3]股份本部!G14</f>
        <v>221014</v>
      </c>
      <c r="G14" s="175">
        <f>北海!G22+北海!G21+北海水炉!G9+天然气炉!D8</f>
        <v>192052</v>
      </c>
      <c r="H14" s="175">
        <f>北海!H22+北海!H21+北海水炉!H9+天然气炉!F8</f>
        <v>192052</v>
      </c>
      <c r="I14" s="145" t="str">
        <f t="shared" si="0"/>
        <v>-</v>
      </c>
      <c r="J14" s="23">
        <f t="shared" si="1"/>
        <v>-1542</v>
      </c>
      <c r="K14" s="447">
        <f t="shared" si="2"/>
        <v>-0.00796512288603986</v>
      </c>
      <c r="L14" s="23">
        <f t="shared" si="3"/>
        <v>-28962</v>
      </c>
      <c r="M14" s="447">
        <f t="shared" si="4"/>
        <v>-0.131041472485906</v>
      </c>
    </row>
    <row r="15" s="442" customFormat="1" ht="20.45" customHeight="1" spans="1:13">
      <c r="A15" s="455"/>
      <c r="B15" s="203" t="s">
        <v>35</v>
      </c>
      <c r="C15" s="247" t="s">
        <v>17</v>
      </c>
      <c r="D15" s="175">
        <f>北海!D14</f>
        <v>0</v>
      </c>
      <c r="E15" s="175">
        <f>北海!E14</f>
        <v>21</v>
      </c>
      <c r="F15" s="175">
        <f>[3]股份本部!G15</f>
        <v>14</v>
      </c>
      <c r="G15" s="175">
        <f>北海!G14</f>
        <v>6.4</v>
      </c>
      <c r="H15" s="175">
        <f>北海!H14</f>
        <v>6.4</v>
      </c>
      <c r="I15" s="145" t="str">
        <f t="shared" si="0"/>
        <v>-</v>
      </c>
      <c r="J15" s="23">
        <f t="shared" si="1"/>
        <v>-14.6</v>
      </c>
      <c r="K15" s="447">
        <f t="shared" si="2"/>
        <v>-0.695238095238095</v>
      </c>
      <c r="L15" s="23">
        <f t="shared" si="3"/>
        <v>-7.6</v>
      </c>
      <c r="M15" s="447">
        <f t="shared" si="4"/>
        <v>-0.542857142857143</v>
      </c>
    </row>
    <row r="16" s="442" customFormat="1" ht="20.45" customHeight="1" spans="1:13">
      <c r="A16" s="455"/>
      <c r="B16" s="203" t="s">
        <v>36</v>
      </c>
      <c r="C16" s="247" t="s">
        <v>17</v>
      </c>
      <c r="D16" s="175">
        <f>北海!D13</f>
        <v>0</v>
      </c>
      <c r="E16" s="175">
        <f>北海!E13</f>
        <v>18</v>
      </c>
      <c r="F16" s="175">
        <f>[3]股份本部!G16</f>
        <v>18</v>
      </c>
      <c r="G16" s="175">
        <f>北海!G13</f>
        <v>9.7</v>
      </c>
      <c r="H16" s="175">
        <f>北海!H13</f>
        <v>9.7</v>
      </c>
      <c r="I16" s="145" t="str">
        <f t="shared" si="0"/>
        <v>-</v>
      </c>
      <c r="J16" s="23">
        <f t="shared" si="1"/>
        <v>-8.3</v>
      </c>
      <c r="K16" s="447">
        <f t="shared" si="2"/>
        <v>-0.461111111111111</v>
      </c>
      <c r="L16" s="23">
        <f t="shared" si="3"/>
        <v>-8.3</v>
      </c>
      <c r="M16" s="447">
        <f t="shared" si="4"/>
        <v>-0.461111111111111</v>
      </c>
    </row>
    <row r="17" s="442" customFormat="1" ht="20.45" customHeight="1" spans="1:13">
      <c r="A17" s="455"/>
      <c r="B17" s="203" t="s">
        <v>38</v>
      </c>
      <c r="C17" s="247" t="s">
        <v>17</v>
      </c>
      <c r="D17" s="175">
        <f>北海!D25+北海水炉!D16</f>
        <v>0</v>
      </c>
      <c r="E17" s="175">
        <f>北海!E25+北海水炉!E16</f>
        <v>3089</v>
      </c>
      <c r="F17" s="175">
        <f>[3]股份本部!G17</f>
        <v>1891</v>
      </c>
      <c r="G17" s="175">
        <f>北海!G25+北海水炉!G16</f>
        <v>2779.29</v>
      </c>
      <c r="H17" s="175">
        <f>北海!H25+北海水炉!H16</f>
        <v>2779.29</v>
      </c>
      <c r="I17" s="145" t="str">
        <f t="shared" si="0"/>
        <v>-</v>
      </c>
      <c r="J17" s="23">
        <f t="shared" si="1"/>
        <v>-309.71</v>
      </c>
      <c r="K17" s="447">
        <f t="shared" si="2"/>
        <v>-0.100262220783425</v>
      </c>
      <c r="L17" s="23">
        <f t="shared" si="3"/>
        <v>888.29</v>
      </c>
      <c r="M17" s="447">
        <f t="shared" si="4"/>
        <v>0.469746166049709</v>
      </c>
    </row>
    <row r="18" s="442" customFormat="1" ht="20.45" customHeight="1" spans="1:13">
      <c r="A18" s="455"/>
      <c r="B18" s="203" t="s">
        <v>39</v>
      </c>
      <c r="C18" s="247" t="s">
        <v>17</v>
      </c>
      <c r="D18" s="175">
        <f>北海!D15+北海水炉!D17</f>
        <v>0</v>
      </c>
      <c r="E18" s="175">
        <f>北海!E15+北海水炉!E17</f>
        <v>595</v>
      </c>
      <c r="F18" s="175">
        <f>[3]股份本部!G18</f>
        <v>520.63</v>
      </c>
      <c r="G18" s="175">
        <f>北海!G15+北海水炉!G17</f>
        <v>631.54</v>
      </c>
      <c r="H18" s="175">
        <f>北海!H15+北海水炉!H17</f>
        <v>631.54</v>
      </c>
      <c r="I18" s="145" t="str">
        <f t="shared" si="0"/>
        <v>-</v>
      </c>
      <c r="J18" s="23">
        <f t="shared" si="1"/>
        <v>36.54</v>
      </c>
      <c r="K18" s="447">
        <f t="shared" si="2"/>
        <v>0.0614117647058823</v>
      </c>
      <c r="L18" s="23">
        <f t="shared" si="3"/>
        <v>110.91</v>
      </c>
      <c r="M18" s="447">
        <f t="shared" si="4"/>
        <v>0.213030367055298</v>
      </c>
    </row>
    <row r="19" s="442" customFormat="1" ht="20.45" customHeight="1" spans="1:13">
      <c r="A19" s="455"/>
      <c r="B19" s="203" t="s">
        <v>40</v>
      </c>
      <c r="C19" s="247" t="s">
        <v>17</v>
      </c>
      <c r="D19" s="286">
        <f>北海!D16+中水!E14</f>
        <v>0</v>
      </c>
      <c r="E19" s="286">
        <f>北海!E16</f>
        <v>1.2</v>
      </c>
      <c r="F19" s="286">
        <f>[3]股份本部!G19</f>
        <v>1.25</v>
      </c>
      <c r="G19" s="286">
        <f>北海!G16+中水!G14</f>
        <v>1.125</v>
      </c>
      <c r="H19" s="286">
        <f>北海!H16</f>
        <v>1.075</v>
      </c>
      <c r="I19" s="145" t="str">
        <f t="shared" si="0"/>
        <v>-</v>
      </c>
      <c r="J19" s="23">
        <f t="shared" si="1"/>
        <v>-0.075</v>
      </c>
      <c r="K19" s="447">
        <f t="shared" si="2"/>
        <v>-0.0625</v>
      </c>
      <c r="L19" s="244">
        <f t="shared" si="3"/>
        <v>-0.125</v>
      </c>
      <c r="M19" s="447">
        <f t="shared" si="4"/>
        <v>-0.1</v>
      </c>
    </row>
    <row r="20" s="442" customFormat="1" ht="20.45" customHeight="1" spans="1:13">
      <c r="A20" s="455"/>
      <c r="B20" s="203" t="s">
        <v>41</v>
      </c>
      <c r="C20" s="247" t="s">
        <v>17</v>
      </c>
      <c r="D20" s="286">
        <f>北海!D17+中水!E16</f>
        <v>0</v>
      </c>
      <c r="E20" s="286">
        <f>北海!E17</f>
        <v>0</v>
      </c>
      <c r="F20" s="286">
        <f>[3]股份本部!G20</f>
        <v>0</v>
      </c>
      <c r="G20" s="286">
        <f>北海!G17+中水!G16</f>
        <v>0</v>
      </c>
      <c r="H20" s="286">
        <f>北海!H17+中水!H16</f>
        <v>0</v>
      </c>
      <c r="I20" s="145" t="str">
        <f t="shared" si="0"/>
        <v>-</v>
      </c>
      <c r="J20" s="23">
        <f t="shared" si="1"/>
        <v>0</v>
      </c>
      <c r="K20" s="447" t="str">
        <f t="shared" si="2"/>
        <v>-</v>
      </c>
      <c r="L20" s="244">
        <f t="shared" si="3"/>
        <v>0</v>
      </c>
      <c r="M20" s="447" t="str">
        <f t="shared" si="4"/>
        <v>-</v>
      </c>
    </row>
    <row r="21" s="442" customFormat="1" ht="20.45" customHeight="1" spans="1:13">
      <c r="A21" s="455"/>
      <c r="B21" s="203" t="s">
        <v>49</v>
      </c>
      <c r="C21" s="247" t="s">
        <v>15</v>
      </c>
      <c r="D21" s="178">
        <f>北海!D26+北海水炉!D13</f>
        <v>0</v>
      </c>
      <c r="E21" s="175">
        <f>北海!E26+北海水炉!E13</f>
        <v>0</v>
      </c>
      <c r="F21" s="175">
        <f>北海!F26+北海水炉!F13</f>
        <v>0</v>
      </c>
      <c r="G21" s="175">
        <f>北海!G26+北海水炉!G13</f>
        <v>0</v>
      </c>
      <c r="H21" s="175">
        <f>北海!H26+北海水炉!H13</f>
        <v>0</v>
      </c>
      <c r="I21" s="145" t="str">
        <f t="shared" si="0"/>
        <v>-</v>
      </c>
      <c r="J21" s="23">
        <f t="shared" si="1"/>
        <v>0</v>
      </c>
      <c r="K21" s="447" t="str">
        <f t="shared" si="2"/>
        <v>-</v>
      </c>
      <c r="L21" s="244">
        <f t="shared" si="3"/>
        <v>0</v>
      </c>
      <c r="M21" s="447" t="str">
        <f t="shared" si="4"/>
        <v>-</v>
      </c>
    </row>
    <row r="22" s="442" customFormat="1" ht="20.45" customHeight="1" spans="1:13">
      <c r="A22" s="455"/>
      <c r="B22" s="203" t="s">
        <v>55</v>
      </c>
      <c r="C22" s="247" t="s">
        <v>17</v>
      </c>
      <c r="D22" s="178">
        <f>D23+D24</f>
        <v>0</v>
      </c>
      <c r="E22" s="175">
        <f>E23+E24</f>
        <v>71129</v>
      </c>
      <c r="F22" s="175">
        <f>[3]股份本部!G22</f>
        <v>62683.28</v>
      </c>
      <c r="G22" s="175">
        <f>G23+G24</f>
        <v>74474.7996102238</v>
      </c>
      <c r="H22" s="175">
        <f>H23+H24</f>
        <v>74474.7996102238</v>
      </c>
      <c r="I22" s="145" t="str">
        <f t="shared" si="0"/>
        <v>-</v>
      </c>
      <c r="J22" s="23">
        <f t="shared" si="1"/>
        <v>3345.79961022382</v>
      </c>
      <c r="K22" s="447">
        <f t="shared" si="2"/>
        <v>0.0470384739026814</v>
      </c>
      <c r="L22" s="23">
        <f t="shared" si="3"/>
        <v>11791.5196102238</v>
      </c>
      <c r="M22" s="447">
        <f t="shared" si="4"/>
        <v>0.188112677100238</v>
      </c>
    </row>
    <row r="23" s="442" customFormat="1" ht="20.45" customHeight="1" spans="1:13">
      <c r="A23" s="455"/>
      <c r="B23" s="456" t="s">
        <v>107</v>
      </c>
      <c r="C23" s="247" t="s">
        <v>17</v>
      </c>
      <c r="D23" s="178">
        <f>北海!D8</f>
        <v>0</v>
      </c>
      <c r="E23" s="175">
        <f>北海!E8</f>
        <v>10967</v>
      </c>
      <c r="F23" s="175">
        <f>[3]股份本部!G23</f>
        <v>8517.6</v>
      </c>
      <c r="G23" s="175">
        <f>北海!G8</f>
        <v>9838.45248038282</v>
      </c>
      <c r="H23" s="175">
        <f>北海!H8</f>
        <v>9838.45248038282</v>
      </c>
      <c r="I23" s="145" t="str">
        <f t="shared" si="0"/>
        <v>-</v>
      </c>
      <c r="J23" s="23">
        <f t="shared" si="1"/>
        <v>-1128.54751961718</v>
      </c>
      <c r="K23" s="447">
        <f t="shared" si="2"/>
        <v>-0.102903940878743</v>
      </c>
      <c r="L23" s="23">
        <f t="shared" si="3"/>
        <v>1320.85248038282</v>
      </c>
      <c r="M23" s="447">
        <f t="shared" si="4"/>
        <v>0.155073316472107</v>
      </c>
    </row>
    <row r="24" s="442" customFormat="1" ht="20.45" customHeight="1" spans="1:13">
      <c r="A24" s="455"/>
      <c r="B24" s="456" t="s">
        <v>108</v>
      </c>
      <c r="C24" s="247" t="s">
        <v>17</v>
      </c>
      <c r="D24" s="178">
        <f>北海!D9+北海水炉!D7</f>
        <v>0</v>
      </c>
      <c r="E24" s="175">
        <f>北海!E9+北海水炉!E7</f>
        <v>60162</v>
      </c>
      <c r="F24" s="175">
        <f>[3]股份本部!G24</f>
        <v>54165.68</v>
      </c>
      <c r="G24" s="175">
        <f>北海!G9+北海水炉!G7</f>
        <v>64636.347129841</v>
      </c>
      <c r="H24" s="175">
        <f>北海!H9+北海水炉!H7</f>
        <v>64636.347129841</v>
      </c>
      <c r="I24" s="145" t="str">
        <f t="shared" si="0"/>
        <v>-</v>
      </c>
      <c r="J24" s="23">
        <f t="shared" si="1"/>
        <v>4474.347129841</v>
      </c>
      <c r="K24" s="447">
        <f t="shared" si="2"/>
        <v>0.0743716487124929</v>
      </c>
      <c r="L24" s="23">
        <f t="shared" si="3"/>
        <v>10470.667129841</v>
      </c>
      <c r="M24" s="447">
        <f t="shared" si="4"/>
        <v>0.193308145117739</v>
      </c>
    </row>
    <row r="25" s="442" customFormat="1" ht="20.45" customHeight="1" spans="1:13">
      <c r="A25" s="457"/>
      <c r="B25" s="458" t="s">
        <v>58</v>
      </c>
      <c r="C25" s="459" t="s">
        <v>17</v>
      </c>
      <c r="D25" s="227">
        <f>北海!D11+北海水炉!D8</f>
        <v>0</v>
      </c>
      <c r="E25" s="177">
        <f>北海!E11+北海水炉!E8</f>
        <v>71043.0311</v>
      </c>
      <c r="F25" s="177">
        <f>[3]股份本部!G25</f>
        <v>62598.04</v>
      </c>
      <c r="G25" s="177">
        <f>北海!G11+北海水炉!G8</f>
        <v>74360.7063339357</v>
      </c>
      <c r="H25" s="177">
        <f>北海!H11+北海水炉!H8</f>
        <v>74360.7063339357</v>
      </c>
      <c r="I25" s="153" t="str">
        <f t="shared" si="0"/>
        <v>-</v>
      </c>
      <c r="J25" s="197">
        <f t="shared" si="1"/>
        <v>3317.6752339357</v>
      </c>
      <c r="K25" s="460">
        <f t="shared" si="2"/>
        <v>0.0466995169345429</v>
      </c>
      <c r="L25" s="197">
        <f t="shared" si="3"/>
        <v>11762.6663339357</v>
      </c>
      <c r="M25" s="460">
        <f t="shared" si="4"/>
        <v>0.187907901492374</v>
      </c>
    </row>
    <row r="26" s="442" customFormat="1" ht="20.45" customHeight="1" spans="1:13">
      <c r="A26" s="461" t="s">
        <v>96</v>
      </c>
      <c r="B26" s="142" t="s">
        <v>63</v>
      </c>
      <c r="C26" s="247" t="s">
        <v>64</v>
      </c>
      <c r="D26" s="181" t="e">
        <f>(D3-D4)/D3</f>
        <v>#DIV/0!</v>
      </c>
      <c r="E26" s="181">
        <f>(E3-E4)/E3</f>
        <v>0.3100764969665</v>
      </c>
      <c r="F26" s="181">
        <f>[3]股份本部!G26</f>
        <v>0.32243275234669</v>
      </c>
      <c r="G26" s="181">
        <f>北海!G27/G3</f>
        <v>0.388580824840009</v>
      </c>
      <c r="H26" s="181">
        <f>北海!H27/H3</f>
        <v>0.388580824840009</v>
      </c>
      <c r="I26" s="383" t="s">
        <v>65</v>
      </c>
      <c r="J26" s="145">
        <f t="shared" si="1"/>
        <v>0.0785043278735095</v>
      </c>
      <c r="K26" s="326" t="s">
        <v>65</v>
      </c>
      <c r="L26" s="145">
        <f t="shared" si="3"/>
        <v>0.0661480724933195</v>
      </c>
      <c r="M26" s="373" t="s">
        <v>65</v>
      </c>
    </row>
    <row r="27" s="442" customFormat="1" ht="20.45" customHeight="1" spans="1:13">
      <c r="A27" s="462"/>
      <c r="B27" s="142" t="s">
        <v>66</v>
      </c>
      <c r="C27" s="143" t="s">
        <v>67</v>
      </c>
      <c r="D27" s="178" t="e">
        <f>D23*100/D3</f>
        <v>#DIV/0!</v>
      </c>
      <c r="E27" s="175">
        <f>E23*100/E3</f>
        <v>144.645212345028</v>
      </c>
      <c r="F27" s="175">
        <f>[3]股份本部!G27</f>
        <v>146.755985609726</v>
      </c>
      <c r="G27" s="175">
        <f>G23*100/G3</f>
        <v>161.940238609446</v>
      </c>
      <c r="H27" s="175">
        <f>H23*100/H3</f>
        <v>161.940238609446</v>
      </c>
      <c r="I27" s="145" t="str">
        <f t="shared" ref="I27:I30" si="5">IFERROR(H27/D27,"-")</f>
        <v>-</v>
      </c>
      <c r="J27" s="23">
        <f t="shared" si="1"/>
        <v>17.2950262644177</v>
      </c>
      <c r="K27" s="447">
        <f t="shared" ref="K27:K30" si="6">IFERROR(J27/E27,"-")</f>
        <v>0.119568605030377</v>
      </c>
      <c r="L27" s="23">
        <f t="shared" si="3"/>
        <v>15.1842529997197</v>
      </c>
      <c r="M27" s="447">
        <f t="shared" ref="M27:M30" si="7">IFERROR(L27/F27,"-")</f>
        <v>0.103465987684481</v>
      </c>
    </row>
    <row r="28" s="442" customFormat="1" ht="20.45" customHeight="1" spans="1:13">
      <c r="A28" s="462"/>
      <c r="B28" s="142" t="s">
        <v>68</v>
      </c>
      <c r="C28" s="143" t="s">
        <v>67</v>
      </c>
      <c r="D28" s="178" t="e">
        <f>D23*100/(D3-北海!D29)</f>
        <v>#DIV/0!</v>
      </c>
      <c r="E28" s="175">
        <f>E23*100/(E3-北海!E29)</f>
        <v>151.874864586934</v>
      </c>
      <c r="F28" s="175">
        <f>[3]股份本部!G28</f>
        <v>153.663035426111</v>
      </c>
      <c r="G28" s="175">
        <f>G23*100/(G3-北海!G29)</f>
        <v>172.059562130418</v>
      </c>
      <c r="H28" s="175">
        <f>H23*100/(H3-北海!H29)</f>
        <v>172.059562130418</v>
      </c>
      <c r="I28" s="145" t="str">
        <f t="shared" si="5"/>
        <v>-</v>
      </c>
      <c r="J28" s="23">
        <f t="shared" si="1"/>
        <v>20.1846975434843</v>
      </c>
      <c r="K28" s="447">
        <f t="shared" si="6"/>
        <v>0.132903476808899</v>
      </c>
      <c r="L28" s="23">
        <f t="shared" si="3"/>
        <v>18.3965267043073</v>
      </c>
      <c r="M28" s="447">
        <f t="shared" si="7"/>
        <v>0.119719922577953</v>
      </c>
    </row>
    <row r="29" s="442" customFormat="1" ht="20.45" customHeight="1" spans="1:13">
      <c r="A29" s="463"/>
      <c r="B29" s="142" t="s">
        <v>69</v>
      </c>
      <c r="C29" s="143" t="s">
        <v>70</v>
      </c>
      <c r="D29" s="424" t="e">
        <f>D24*1000/(D6-主城区电锅炉!D6)</f>
        <v>#DIV/0!</v>
      </c>
      <c r="E29" s="254">
        <f>E24*1000/E6</f>
        <v>38.8455809122451</v>
      </c>
      <c r="F29" s="254">
        <f>[3]股份本部!G29</f>
        <v>38.9135075690257</v>
      </c>
      <c r="G29" s="254">
        <f>G24*1000/(G6-主城区电锅炉!G6-天然气炉!D5)</f>
        <v>37.5587628903906</v>
      </c>
      <c r="H29" s="254">
        <f>H24*1000/(H6-主城区电锅炉!H6-天然气炉!F5)</f>
        <v>37.5587628903906</v>
      </c>
      <c r="I29" s="145" t="str">
        <f t="shared" si="5"/>
        <v>-</v>
      </c>
      <c r="J29" s="215">
        <f t="shared" si="1"/>
        <v>-1.28681802185445</v>
      </c>
      <c r="K29" s="447">
        <f t="shared" si="6"/>
        <v>-0.0331264970592527</v>
      </c>
      <c r="L29" s="215">
        <f t="shared" si="3"/>
        <v>-1.35474467863505</v>
      </c>
      <c r="M29" s="447">
        <f t="shared" si="7"/>
        <v>-0.0348142525119837</v>
      </c>
    </row>
    <row r="30" s="442" customFormat="1" ht="20.45" customHeight="1" spans="1:13">
      <c r="A30" s="464"/>
      <c r="B30" s="150" t="s">
        <v>97</v>
      </c>
      <c r="C30" s="151" t="s">
        <v>98</v>
      </c>
      <c r="D30" s="465" t="e">
        <f>D22*29308/D12</f>
        <v>#DIV/0!</v>
      </c>
      <c r="E30" s="465">
        <f>E22*29308/E12</f>
        <v>19801.1410798585</v>
      </c>
      <c r="F30" s="465">
        <f>[3]股份本部!G30</f>
        <v>19905.6415198663</v>
      </c>
      <c r="G30" s="465">
        <f>('[6]26.1'!$E$40+'[6]26.1'!$E$43+北海水炉!G8)*29308/G12</f>
        <v>19613.4092411083</v>
      </c>
      <c r="H30" s="465">
        <f>('[6]26.1'!$K$40+'[6]26.1'!$K$43+北海水炉!H8)*29308/H12</f>
        <v>19613.4092411083</v>
      </c>
      <c r="I30" s="153" t="str">
        <f t="shared" si="5"/>
        <v>-</v>
      </c>
      <c r="J30" s="156">
        <f t="shared" si="1"/>
        <v>-187.73183875022</v>
      </c>
      <c r="K30" s="466">
        <f t="shared" si="6"/>
        <v>-0.00948085961274115</v>
      </c>
      <c r="L30" s="156">
        <f t="shared" si="3"/>
        <v>-292.232278758023</v>
      </c>
      <c r="M30" s="466">
        <f t="shared" si="7"/>
        <v>-0.0146808772008864</v>
      </c>
    </row>
    <row r="31" s="442" customFormat="1" ht="20.45" customHeight="1" spans="1:13">
      <c r="A31" s="467" t="s">
        <v>99</v>
      </c>
      <c r="B31" s="142" t="s">
        <v>82</v>
      </c>
      <c r="C31" s="247" t="s">
        <v>64</v>
      </c>
      <c r="D31" s="162">
        <f>D3/10/8760</f>
        <v>0</v>
      </c>
      <c r="E31" s="269">
        <f>E3/10/(DAY(DATE(2026,2,0))*24)</f>
        <v>1.01908602150538</v>
      </c>
      <c r="F31" s="269">
        <f>[3]股份本部!G31</f>
        <v>0.780096774193549</v>
      </c>
      <c r="G31" s="269">
        <f>G3/10/(DAY(DATE(2026,2,0))*24)</f>
        <v>0.81658064516129</v>
      </c>
      <c r="H31" s="390">
        <f>H3/10/(DATEDIF(DATE(2026,1,1),DATE(2026,2,1),"D")*24)</f>
        <v>0.81658064516129</v>
      </c>
      <c r="I31" s="383" t="s">
        <v>65</v>
      </c>
      <c r="J31" s="145">
        <f t="shared" si="1"/>
        <v>-0.20250537634409</v>
      </c>
      <c r="K31" s="347" t="s">
        <v>65</v>
      </c>
      <c r="L31" s="145">
        <f t="shared" si="3"/>
        <v>0.0364838709677413</v>
      </c>
      <c r="M31" s="373" t="s">
        <v>65</v>
      </c>
    </row>
    <row r="32" s="442" customFormat="1" ht="20.45" customHeight="1" spans="1:13">
      <c r="A32" s="468"/>
      <c r="B32" s="165" t="s">
        <v>83</v>
      </c>
      <c r="C32" s="469" t="s">
        <v>64</v>
      </c>
      <c r="D32" s="279">
        <f>D6*1000/1142.55/(8760*3600)</f>
        <v>0</v>
      </c>
      <c r="E32" s="391">
        <f>E6*1000/1142.55/((DAY(DATE(2026,2,0))*24)*3600)</f>
        <v>0.506092607857578</v>
      </c>
      <c r="F32" s="391">
        <f>[3]股份本部!G32</f>
        <v>0.454984935992151</v>
      </c>
      <c r="G32" s="391">
        <f>G6*1000/1142.55/((DAY(DATE(2026,2,0))*24)*3600)</f>
        <v>0.56250469374623</v>
      </c>
      <c r="H32" s="392">
        <f>H6*1000/1142.55/((DATEDIF(DATE(2026,1,1),DATE(2026,2,1),"D")*24)*3600)</f>
        <v>0.56250469374623</v>
      </c>
      <c r="I32" s="437" t="s">
        <v>65</v>
      </c>
      <c r="J32" s="168">
        <f t="shared" si="1"/>
        <v>0.056412085888652</v>
      </c>
      <c r="K32" s="358" t="s">
        <v>65</v>
      </c>
      <c r="L32" s="168">
        <f t="shared" si="3"/>
        <v>0.107519757754079</v>
      </c>
      <c r="M32" s="360" t="s">
        <v>65</v>
      </c>
    </row>
    <row r="34" spans="7:8">
      <c r="G34" s="32"/>
    </row>
    <row r="35" spans="7:8">
      <c r="G35" s="32"/>
      <c r="H35" s="431"/>
    </row>
    <row r="36" spans="7:8">
      <c r="H36" s="470"/>
    </row>
  </sheetData>
  <mergeCells count="15">
    <mergeCell ref="J1:K1"/>
    <mergeCell ref="L1:M1"/>
    <mergeCell ref="A1:A2"/>
    <mergeCell ref="A3:A11"/>
    <mergeCell ref="A12:A25"/>
    <mergeCell ref="A26:A30"/>
    <mergeCell ref="A31:A32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472222222222222" right="0.472222222222222" top="1.10208333333333" bottom="0.708333333333333" header="0.747916666666667" footer="0.511805555555556"/>
  <pageSetup paperSize="9" scale="95" orientation="landscape" horizontalDpi="300" verticalDpi="300"/>
  <headerFooter alignWithMargins="0" scaleWithDoc="0">
    <oddHeader>&amp;C&amp;"黑体"&amp;18大连热电股份有限公司（本部）2026年1月份主要经营指标统计表&amp;R表    号：     ZB004
制表单位：经济运行部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showGridLines="0" tabSelected="1" zoomScale="85" zoomScaleNormal="85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B22" sqref="B22"/>
    </sheetView>
  </sheetViews>
  <sheetFormatPr defaultColWidth="8.66666666666667" defaultRowHeight="15"/>
  <cols>
    <col min="1" max="1" width="9.63333333333333" style="189" customWidth="1"/>
    <col min="2" max="2" width="18.375" style="190" customWidth="1"/>
    <col min="3" max="3" width="9.625" style="189" customWidth="1"/>
    <col min="4" max="4" width="11.9" style="191" customWidth="1"/>
    <col min="5" max="5" width="10.125" style="191" customWidth="1"/>
    <col min="6" max="6" width="9.16666666666667" style="191" customWidth="1"/>
    <col min="7" max="7" width="10.2333333333333" style="191" customWidth="1"/>
    <col min="8" max="8" width="9.625" style="191" customWidth="1"/>
    <col min="9" max="13" width="8.375" style="191" customWidth="1"/>
    <col min="14" max="32" width="9" style="190"/>
    <col min="33" max="16384" width="8.66666666666667" style="190"/>
  </cols>
  <sheetData>
    <row r="1" s="190" customFormat="1" ht="17.1" customHeight="1" spans="1:14">
      <c r="A1" s="69" t="s">
        <v>84</v>
      </c>
      <c r="B1" s="70" t="s">
        <v>112</v>
      </c>
      <c r="C1" s="70" t="s">
        <v>2</v>
      </c>
      <c r="D1" s="5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113</v>
      </c>
      <c r="J1" s="8" t="s">
        <v>9</v>
      </c>
      <c r="K1" s="3"/>
      <c r="L1" s="8" t="s">
        <v>10</v>
      </c>
      <c r="M1" s="139"/>
    </row>
    <row r="2" s="190" customFormat="1" ht="17.1" customHeight="1" spans="1:14">
      <c r="A2" s="74"/>
      <c r="B2" s="75"/>
      <c r="C2" s="75"/>
      <c r="D2" s="76"/>
      <c r="E2" s="76"/>
      <c r="F2" s="76"/>
      <c r="G2" s="141"/>
      <c r="H2" s="76"/>
      <c r="I2" s="141"/>
      <c r="J2" s="14" t="s">
        <v>11</v>
      </c>
      <c r="K2" s="235" t="s">
        <v>12</v>
      </c>
      <c r="L2" s="14" t="s">
        <v>11</v>
      </c>
      <c r="M2" s="141" t="s">
        <v>12</v>
      </c>
    </row>
    <row r="3" s="187" customFormat="1" ht="18.6" customHeight="1" spans="1:14">
      <c r="A3" s="198" t="s">
        <v>87</v>
      </c>
      <c r="B3" s="203" t="s">
        <v>23</v>
      </c>
      <c r="C3" s="143" t="s">
        <v>15</v>
      </c>
      <c r="D3" s="175"/>
      <c r="E3" s="175">
        <f>'[2]5.北海热电厂（热电联产）表'!$M$7</f>
        <v>7582</v>
      </c>
      <c r="F3" s="175">
        <f>[3]北海!G3</f>
        <v>5803.92</v>
      </c>
      <c r="G3" s="361">
        <f>'[6]26.1'!$E$7/10000</f>
        <v>6075.36</v>
      </c>
      <c r="H3" s="178">
        <f>'[6]26.1'!$K$7/10000</f>
        <v>6075.36</v>
      </c>
      <c r="I3" s="145" t="str">
        <f t="shared" ref="I3:I30" si="0">IFERROR(H3/D3,"-")</f>
        <v>-</v>
      </c>
      <c r="J3" s="23">
        <f t="shared" ref="J3:J47" si="1">IFERROR(G3-E3,"-")</f>
        <v>-1506.64</v>
      </c>
      <c r="K3" s="236">
        <f t="shared" ref="K3:K30" si="2">IFERROR(J3/E3,"-")</f>
        <v>-0.198712740701662</v>
      </c>
      <c r="L3" s="23">
        <f t="shared" ref="L3:L47" si="3">IFERROR(G3-F3,"-")</f>
        <v>271.44</v>
      </c>
      <c r="M3" s="236">
        <f t="shared" ref="M3:M30" si="4">IFERROR(L3/F3,"-")</f>
        <v>0.046768391018484</v>
      </c>
      <c r="N3" s="363"/>
    </row>
    <row r="4" s="187" customFormat="1" ht="18.6" customHeight="1" spans="1:14">
      <c r="A4" s="199"/>
      <c r="B4" s="203" t="s">
        <v>14</v>
      </c>
      <c r="C4" s="143" t="s">
        <v>15</v>
      </c>
      <c r="D4" s="175"/>
      <c r="E4" s="175">
        <f>'[2]5.北海热电厂（热电联产）表'!$M$14</f>
        <v>5231</v>
      </c>
      <c r="F4" s="175">
        <f>[3]北海!G4</f>
        <v>3932.5461</v>
      </c>
      <c r="G4" s="361">
        <f>'[6]26.1'!$E$8/10000</f>
        <v>3714.5916</v>
      </c>
      <c r="H4" s="178">
        <f>'[6]26.1'!$K$8/10000</f>
        <v>3714.5916</v>
      </c>
      <c r="I4" s="145" t="str">
        <f t="shared" si="0"/>
        <v>-</v>
      </c>
      <c r="J4" s="23">
        <f t="shared" si="1"/>
        <v>-1516.4084</v>
      </c>
      <c r="K4" s="236">
        <f t="shared" si="2"/>
        <v>-0.289888816669853</v>
      </c>
      <c r="L4" s="23">
        <f t="shared" si="3"/>
        <v>-217.9545</v>
      </c>
      <c r="M4" s="236">
        <f t="shared" si="4"/>
        <v>-0.0554232536523856</v>
      </c>
      <c r="N4" s="363"/>
    </row>
    <row r="5" s="187" customFormat="1" ht="18.6" customHeight="1" spans="1:14">
      <c r="A5" s="199"/>
      <c r="B5" s="203" t="s">
        <v>27</v>
      </c>
      <c r="C5" s="143" t="s">
        <v>17</v>
      </c>
      <c r="D5" s="175"/>
      <c r="E5" s="175">
        <f>'[2]5.北海热电厂（热电联产）表'!$M$9</f>
        <v>29011</v>
      </c>
      <c r="F5" s="175">
        <f>[3]北海!G5</f>
        <v>29011</v>
      </c>
      <c r="G5" s="361">
        <f>'[6]26.1'!$E$12</f>
        <v>35445</v>
      </c>
      <c r="H5" s="178">
        <f>'[6]26.1'!$K$12</f>
        <v>35445</v>
      </c>
      <c r="I5" s="145" t="str">
        <f t="shared" si="0"/>
        <v>-</v>
      </c>
      <c r="J5" s="23">
        <f t="shared" si="1"/>
        <v>6434</v>
      </c>
      <c r="K5" s="236">
        <f t="shared" si="2"/>
        <v>0.221777946296232</v>
      </c>
      <c r="L5" s="23">
        <f t="shared" si="3"/>
        <v>6434</v>
      </c>
      <c r="M5" s="236">
        <f t="shared" si="4"/>
        <v>0.221777946296232</v>
      </c>
      <c r="N5" s="363"/>
    </row>
    <row r="6" s="187" customFormat="1" ht="18.6" customHeight="1" spans="1:14">
      <c r="A6" s="199"/>
      <c r="B6" s="203" t="s">
        <v>24</v>
      </c>
      <c r="C6" s="143" t="s">
        <v>19</v>
      </c>
      <c r="D6" s="175"/>
      <c r="E6" s="175">
        <f>'[2]5.北海热电厂（热电联产）表'!$M$8</f>
        <v>1196417.594634</v>
      </c>
      <c r="F6" s="175">
        <f>[3]北海!G6</f>
        <v>962532.594634</v>
      </c>
      <c r="G6" s="364">
        <f>'[6]26.1'!$E$9</f>
        <v>980229.19383</v>
      </c>
      <c r="H6" s="178">
        <f>'[6]26.1'!$K$9</f>
        <v>980229.19383</v>
      </c>
      <c r="I6" s="145" t="str">
        <f t="shared" si="0"/>
        <v>-</v>
      </c>
      <c r="J6" s="23">
        <f t="shared" si="1"/>
        <v>-216188.400804</v>
      </c>
      <c r="K6" s="238">
        <f t="shared" si="2"/>
        <v>-0.180696440585308</v>
      </c>
      <c r="L6" s="23">
        <f t="shared" si="3"/>
        <v>17696.599196</v>
      </c>
      <c r="M6" s="238">
        <f t="shared" si="4"/>
        <v>0.0183854544715227</v>
      </c>
      <c r="N6" s="363"/>
    </row>
    <row r="7" s="187" customFormat="1" ht="18.6" customHeight="1" spans="1:14">
      <c r="A7" s="201"/>
      <c r="B7" s="248" t="s">
        <v>114</v>
      </c>
      <c r="C7" s="249" t="s">
        <v>19</v>
      </c>
      <c r="D7" s="250"/>
      <c r="E7" s="250">
        <f>'[2]5.北海热电厂（热电联产）表'!$M$10</f>
        <v>1110786</v>
      </c>
      <c r="F7" s="250">
        <f>[3]北海!G7</f>
        <v>876901</v>
      </c>
      <c r="G7" s="370">
        <f>'[6]26.1'!$E$11</f>
        <v>875606.4</v>
      </c>
      <c r="H7" s="409">
        <f>'[6]26.1'!$K$11</f>
        <v>875606.4</v>
      </c>
      <c r="I7" s="153" t="str">
        <f t="shared" si="0"/>
        <v>-</v>
      </c>
      <c r="J7" s="251">
        <f t="shared" si="1"/>
        <v>-235179.6</v>
      </c>
      <c r="K7" s="252">
        <f t="shared" si="2"/>
        <v>-0.211723590322528</v>
      </c>
      <c r="L7" s="251">
        <f t="shared" si="3"/>
        <v>-1294.59999999998</v>
      </c>
      <c r="M7" s="252">
        <f t="shared" si="4"/>
        <v>-0.00147633541300555</v>
      </c>
      <c r="N7" s="363"/>
    </row>
    <row r="8" s="187" customFormat="1" ht="18.6" customHeight="1" spans="1:14">
      <c r="A8" s="198" t="s">
        <v>90</v>
      </c>
      <c r="B8" s="203" t="s">
        <v>115</v>
      </c>
      <c r="C8" s="143" t="s">
        <v>17</v>
      </c>
      <c r="D8" s="175"/>
      <c r="E8" s="175">
        <f>'[2]5.北海热电厂（热电联产）表'!$M$30</f>
        <v>10967</v>
      </c>
      <c r="F8" s="175">
        <f>[3]北海!G8</f>
        <v>8517.6</v>
      </c>
      <c r="G8" s="361">
        <f>'[6]26.1'!$E$39</f>
        <v>9838.45248038282</v>
      </c>
      <c r="H8" s="178">
        <f>'[6]26.1'!$K$39</f>
        <v>9838.45248038282</v>
      </c>
      <c r="I8" s="145" t="str">
        <f t="shared" si="0"/>
        <v>-</v>
      </c>
      <c r="J8" s="23">
        <f t="shared" si="1"/>
        <v>-1128.54751961718</v>
      </c>
      <c r="K8" s="236">
        <f t="shared" si="2"/>
        <v>-0.102903940878743</v>
      </c>
      <c r="L8" s="23">
        <f t="shared" si="3"/>
        <v>1320.85248038282</v>
      </c>
      <c r="M8" s="236">
        <f t="shared" si="4"/>
        <v>0.155073316472107</v>
      </c>
      <c r="N8" s="363"/>
    </row>
    <row r="9" s="187" customFormat="1" ht="18.6" customHeight="1" spans="1:14">
      <c r="A9" s="199"/>
      <c r="B9" s="203" t="s">
        <v>116</v>
      </c>
      <c r="C9" s="143" t="s">
        <v>17</v>
      </c>
      <c r="D9" s="175"/>
      <c r="E9" s="175">
        <f>'[2]5.北海热电厂（热电联产）表'!$M$33</f>
        <v>46822</v>
      </c>
      <c r="F9" s="175">
        <f>[3]北海!G9</f>
        <v>37752.04</v>
      </c>
      <c r="G9" s="361">
        <f>'[6]26.1'!$E$42</f>
        <v>37010.4288760809</v>
      </c>
      <c r="H9" s="178">
        <f>'[6]26.1'!$K$42</f>
        <v>37010.4288760809</v>
      </c>
      <c r="I9" s="145" t="str">
        <f t="shared" si="0"/>
        <v>-</v>
      </c>
      <c r="J9" s="23">
        <f t="shared" si="1"/>
        <v>-9811.5711239191</v>
      </c>
      <c r="K9" s="236">
        <f t="shared" si="2"/>
        <v>-0.209550449017964</v>
      </c>
      <c r="L9" s="23">
        <f t="shared" si="3"/>
        <v>-741.611123919101</v>
      </c>
      <c r="M9" s="236">
        <f t="shared" si="4"/>
        <v>-0.019644266214994</v>
      </c>
      <c r="N9" s="363"/>
    </row>
    <row r="10" s="187" customFormat="1" ht="18.6" customHeight="1" spans="1:14">
      <c r="A10" s="199"/>
      <c r="B10" s="203" t="s">
        <v>55</v>
      </c>
      <c r="C10" s="143" t="s">
        <v>17</v>
      </c>
      <c r="D10" s="36">
        <f>SUM(D8:D9)</f>
        <v>0</v>
      </c>
      <c r="E10" s="175">
        <f>SUM(E8:E9)</f>
        <v>57789</v>
      </c>
      <c r="F10" s="175">
        <f>[3]北海!G10</f>
        <v>46269.64</v>
      </c>
      <c r="G10" s="364">
        <f>SUM(G8:G9)</f>
        <v>46848.8813564637</v>
      </c>
      <c r="H10" s="178">
        <f>SUM(H8:H9)</f>
        <v>46848.8813564637</v>
      </c>
      <c r="I10" s="145" t="str">
        <f t="shared" si="0"/>
        <v>-</v>
      </c>
      <c r="J10" s="23">
        <f t="shared" si="1"/>
        <v>-10940.1186435363</v>
      </c>
      <c r="K10" s="236">
        <f t="shared" si="2"/>
        <v>-0.189311437185905</v>
      </c>
      <c r="L10" s="23">
        <f t="shared" si="3"/>
        <v>579.241356463725</v>
      </c>
      <c r="M10" s="236">
        <f t="shared" si="4"/>
        <v>0.0125188213364903</v>
      </c>
      <c r="N10" s="363"/>
    </row>
    <row r="11" s="187" customFormat="1" ht="18.6" customHeight="1" spans="1:14">
      <c r="A11" s="199"/>
      <c r="B11" s="242" t="s">
        <v>58</v>
      </c>
      <c r="C11" s="143" t="s">
        <v>17</v>
      </c>
      <c r="D11" s="36">
        <f t="shared" ref="D11:F11" si="5">D10-1.4571*D24</f>
        <v>0</v>
      </c>
      <c r="E11" s="292">
        <f t="shared" si="5"/>
        <v>57727.8018</v>
      </c>
      <c r="F11" s="292">
        <f t="shared" si="5"/>
        <v>46209.31606</v>
      </c>
      <c r="G11" s="410">
        <f>'[6]26.1'!$E$40+'[6]26.1'!$E$43</f>
        <v>46747.9019801756</v>
      </c>
      <c r="H11" s="36">
        <f>'[6]26.1'!$K$40+'[6]26.1'!$K$43</f>
        <v>46747.9019801756</v>
      </c>
      <c r="I11" s="145" t="str">
        <f t="shared" si="0"/>
        <v>-</v>
      </c>
      <c r="J11" s="23">
        <f t="shared" si="1"/>
        <v>-10979.8998198244</v>
      </c>
      <c r="K11" s="236">
        <f t="shared" si="2"/>
        <v>-0.190201245802926</v>
      </c>
      <c r="L11" s="23">
        <f t="shared" si="3"/>
        <v>538.585920175603</v>
      </c>
      <c r="M11" s="236">
        <f t="shared" si="4"/>
        <v>0.0116553536407308</v>
      </c>
      <c r="N11" s="363"/>
    </row>
    <row r="12" s="187" customFormat="1" ht="18.6" customHeight="1" spans="1:14">
      <c r="A12" s="199"/>
      <c r="B12" s="203" t="s">
        <v>29</v>
      </c>
      <c r="C12" s="143" t="s">
        <v>17</v>
      </c>
      <c r="D12" s="175"/>
      <c r="E12" s="175">
        <f>'[2]5.北海热电厂（热电联产）表'!$M$26</f>
        <v>84567</v>
      </c>
      <c r="F12" s="175">
        <f>[3]北海!G12</f>
        <v>65510</v>
      </c>
      <c r="G12" s="361">
        <f>'[6]26.1'!$E$14</f>
        <v>68272</v>
      </c>
      <c r="H12" s="178">
        <f>'[6]26.1'!$K$14</f>
        <v>68272</v>
      </c>
      <c r="I12" s="145" t="str">
        <f t="shared" si="0"/>
        <v>-</v>
      </c>
      <c r="J12" s="23">
        <f t="shared" si="1"/>
        <v>-16295</v>
      </c>
      <c r="K12" s="236">
        <f t="shared" si="2"/>
        <v>-0.192687454917403</v>
      </c>
      <c r="L12" s="23">
        <f t="shared" si="3"/>
        <v>2762</v>
      </c>
      <c r="M12" s="236">
        <f t="shared" si="4"/>
        <v>0.0421615020607541</v>
      </c>
      <c r="N12" s="363"/>
    </row>
    <row r="13" s="187" customFormat="1" ht="18.6" customHeight="1" spans="1:14">
      <c r="A13" s="199"/>
      <c r="B13" s="203" t="s">
        <v>36</v>
      </c>
      <c r="C13" s="143" t="s">
        <v>17</v>
      </c>
      <c r="D13" s="175"/>
      <c r="E13" s="175">
        <f>'[2]5.北海热电厂（热电联产）表'!$M$53</f>
        <v>18</v>
      </c>
      <c r="F13" s="175">
        <f>[3]北海!G13</f>
        <v>18</v>
      </c>
      <c r="G13" s="361">
        <f>'[6]26.1'!$E$23</f>
        <v>9.7</v>
      </c>
      <c r="H13" s="178">
        <f>'[6]26.1'!$K$23</f>
        <v>9.7</v>
      </c>
      <c r="I13" s="145" t="str">
        <f t="shared" si="0"/>
        <v>-</v>
      </c>
      <c r="J13" s="23">
        <f t="shared" si="1"/>
        <v>-8.3</v>
      </c>
      <c r="K13" s="236">
        <f t="shared" si="2"/>
        <v>-0.461111111111111</v>
      </c>
      <c r="L13" s="23">
        <f t="shared" si="3"/>
        <v>-8.3</v>
      </c>
      <c r="M13" s="236">
        <f t="shared" si="4"/>
        <v>-0.461111111111111</v>
      </c>
      <c r="N13" s="363"/>
    </row>
    <row r="14" s="187" customFormat="1" ht="18.6" customHeight="1" spans="1:14">
      <c r="A14" s="199"/>
      <c r="B14" s="203" t="s">
        <v>35</v>
      </c>
      <c r="C14" s="143" t="s">
        <v>17</v>
      </c>
      <c r="D14" s="175"/>
      <c r="E14" s="175">
        <f>'[2]5.北海热电厂（热电联产）表'!$M$52</f>
        <v>21</v>
      </c>
      <c r="F14" s="175">
        <f>[3]北海!G14</f>
        <v>14</v>
      </c>
      <c r="G14" s="361">
        <f>'[6]26.1'!$E$22</f>
        <v>6.4</v>
      </c>
      <c r="H14" s="178">
        <f>'[6]26.1'!$K$22</f>
        <v>6.4</v>
      </c>
      <c r="I14" s="145" t="str">
        <f t="shared" si="0"/>
        <v>-</v>
      </c>
      <c r="J14" s="23">
        <f t="shared" si="1"/>
        <v>-14.6</v>
      </c>
      <c r="K14" s="236">
        <f t="shared" si="2"/>
        <v>-0.695238095238095</v>
      </c>
      <c r="L14" s="23">
        <f t="shared" si="3"/>
        <v>-7.6</v>
      </c>
      <c r="M14" s="236">
        <f t="shared" si="4"/>
        <v>-0.542857142857143</v>
      </c>
      <c r="N14" s="363"/>
    </row>
    <row r="15" s="187" customFormat="1" ht="18.6" customHeight="1" spans="1:14">
      <c r="A15" s="199"/>
      <c r="B15" s="203" t="s">
        <v>39</v>
      </c>
      <c r="C15" s="143" t="s">
        <v>17</v>
      </c>
      <c r="D15" s="176"/>
      <c r="E15" s="411">
        <f>'[2]5.北海热电厂（热电联产）表'!$M$56</f>
        <v>496</v>
      </c>
      <c r="F15" s="411">
        <f>[3]北海!G15</f>
        <v>376.96</v>
      </c>
      <c r="G15" s="412">
        <f>'[6]26.1'!$E$26</f>
        <v>377.74</v>
      </c>
      <c r="H15" s="176">
        <f>'[6]26.1'!$K$26</f>
        <v>377.74</v>
      </c>
      <c r="I15" s="145" t="str">
        <f t="shared" si="0"/>
        <v>-</v>
      </c>
      <c r="J15" s="23">
        <f t="shared" si="1"/>
        <v>-118.26</v>
      </c>
      <c r="K15" s="236">
        <f t="shared" si="2"/>
        <v>-0.238427419354839</v>
      </c>
      <c r="L15" s="23">
        <f t="shared" si="3"/>
        <v>0.78000000000003</v>
      </c>
      <c r="M15" s="236">
        <f t="shared" si="4"/>
        <v>0.00206918505942283</v>
      </c>
      <c r="N15" s="363"/>
    </row>
    <row r="16" s="187" customFormat="1" ht="18.6" customHeight="1" spans="1:14">
      <c r="A16" s="199"/>
      <c r="B16" s="203" t="s">
        <v>40</v>
      </c>
      <c r="C16" s="143" t="s">
        <v>17</v>
      </c>
      <c r="D16" s="367"/>
      <c r="E16" s="368">
        <f>'[2]5.北海热电厂（热电联产）表'!$M$59</f>
        <v>1.2</v>
      </c>
      <c r="F16" s="368">
        <f>[3]北海!G16</f>
        <v>1.2</v>
      </c>
      <c r="G16" s="413">
        <f>'[6]26.1'!$E$27</f>
        <v>1.075</v>
      </c>
      <c r="H16" s="367">
        <f>'[6]26.1'!$K$27</f>
        <v>1.075</v>
      </c>
      <c r="I16" s="145" t="str">
        <f t="shared" si="0"/>
        <v>-</v>
      </c>
      <c r="J16" s="23">
        <f t="shared" si="1"/>
        <v>-0.125</v>
      </c>
      <c r="K16" s="236">
        <f t="shared" si="2"/>
        <v>-0.104166666666667</v>
      </c>
      <c r="L16" s="244">
        <f t="shared" si="3"/>
        <v>-0.125</v>
      </c>
      <c r="M16" s="236">
        <f t="shared" si="4"/>
        <v>-0.104166666666667</v>
      </c>
      <c r="N16" s="363"/>
    </row>
    <row r="17" s="187" customFormat="1" ht="18.6" customHeight="1" spans="1:14">
      <c r="A17" s="199"/>
      <c r="B17" s="203" t="s">
        <v>41</v>
      </c>
      <c r="C17" s="143" t="s">
        <v>17</v>
      </c>
      <c r="D17" s="367"/>
      <c r="E17" s="368">
        <f>'[2]5.北海热电厂（热电联产）表'!$M$60</f>
        <v>0</v>
      </c>
      <c r="F17" s="368">
        <f>[3]北海!G17</f>
        <v>0</v>
      </c>
      <c r="G17" s="413">
        <f>'[6]26.1'!$E$28</f>
        <v>0</v>
      </c>
      <c r="H17" s="367">
        <f>'[6]26.1'!$K$28</f>
        <v>0</v>
      </c>
      <c r="I17" s="145" t="str">
        <f t="shared" si="0"/>
        <v>-</v>
      </c>
      <c r="J17" s="23">
        <f t="shared" si="1"/>
        <v>0</v>
      </c>
      <c r="K17" s="236" t="str">
        <f t="shared" si="2"/>
        <v>-</v>
      </c>
      <c r="L17" s="244">
        <f t="shared" si="3"/>
        <v>0</v>
      </c>
      <c r="M17" s="236" t="str">
        <f t="shared" si="4"/>
        <v>-</v>
      </c>
      <c r="N17" s="363"/>
    </row>
    <row r="18" s="187" customFormat="1" ht="18.6" customHeight="1" spans="1:14">
      <c r="A18" s="199"/>
      <c r="B18" s="203" t="s">
        <v>42</v>
      </c>
      <c r="C18" s="143" t="s">
        <v>17</v>
      </c>
      <c r="D18" s="148"/>
      <c r="E18" s="206">
        <f>'[2]5.北海热电厂（热电联产）表'!$M$61</f>
        <v>40</v>
      </c>
      <c r="F18" s="206">
        <f>[3]北海!G18</f>
        <v>25</v>
      </c>
      <c r="G18" s="414">
        <f>'[6]26.1'!$E$29</f>
        <v>28</v>
      </c>
      <c r="H18" s="148">
        <f>'[6]26.1'!$K$29</f>
        <v>28</v>
      </c>
      <c r="I18" s="145" t="str">
        <f t="shared" si="0"/>
        <v>-</v>
      </c>
      <c r="J18" s="23">
        <f t="shared" si="1"/>
        <v>-12</v>
      </c>
      <c r="K18" s="236">
        <f t="shared" si="2"/>
        <v>-0.3</v>
      </c>
      <c r="L18" s="23">
        <f t="shared" si="3"/>
        <v>3</v>
      </c>
      <c r="M18" s="236">
        <f t="shared" si="4"/>
        <v>0.12</v>
      </c>
      <c r="N18" s="363"/>
    </row>
    <row r="19" s="187" customFormat="1" ht="18.6" customHeight="1" spans="1:14">
      <c r="A19" s="199"/>
      <c r="B19" s="203" t="s">
        <v>44</v>
      </c>
      <c r="C19" s="287" t="s">
        <v>17</v>
      </c>
      <c r="D19" s="148"/>
      <c r="E19" s="206">
        <f>'[2]5.北海热电厂（热电联产）表'!$M$75</f>
        <v>17019</v>
      </c>
      <c r="F19" s="206">
        <f>[3]北海!G19</f>
        <v>37019</v>
      </c>
      <c r="G19" s="414">
        <f>'[6]26.1'!$E$65</f>
        <v>6302</v>
      </c>
      <c r="H19" s="148">
        <f>'[6]26.1'!$K$65</f>
        <v>6302</v>
      </c>
      <c r="I19" s="145" t="str">
        <f t="shared" si="0"/>
        <v>-</v>
      </c>
      <c r="J19" s="23">
        <f t="shared" si="1"/>
        <v>-10717</v>
      </c>
      <c r="K19" s="236">
        <f t="shared" si="2"/>
        <v>-0.629707973441448</v>
      </c>
      <c r="L19" s="23">
        <f t="shared" si="3"/>
        <v>-30717</v>
      </c>
      <c r="M19" s="236">
        <f t="shared" si="4"/>
        <v>-0.829763094627083</v>
      </c>
      <c r="N19" s="363"/>
    </row>
    <row r="20" s="187" customFormat="1" ht="18.6" customHeight="1" spans="1:14">
      <c r="A20" s="199"/>
      <c r="B20" s="203" t="s">
        <v>45</v>
      </c>
      <c r="C20" s="287" t="s">
        <v>46</v>
      </c>
      <c r="D20" s="148"/>
      <c r="E20" s="206">
        <f>'[2]5.北海热电厂（热电联产）表'!$M$76*10000</f>
        <v>870000</v>
      </c>
      <c r="F20" s="206">
        <f>[3]北海!G20</f>
        <v>874260</v>
      </c>
      <c r="G20" s="414">
        <f>'[6]26.1'!$E$66</f>
        <v>1072980</v>
      </c>
      <c r="H20" s="148">
        <f>'[6]26.1'!$K$66</f>
        <v>1072980</v>
      </c>
      <c r="I20" s="145" t="str">
        <f t="shared" si="0"/>
        <v>-</v>
      </c>
      <c r="J20" s="23">
        <f t="shared" si="1"/>
        <v>202980</v>
      </c>
      <c r="K20" s="236">
        <f t="shared" si="2"/>
        <v>0.233310344827586</v>
      </c>
      <c r="L20" s="23">
        <f t="shared" si="3"/>
        <v>198720</v>
      </c>
      <c r="M20" s="236">
        <f t="shared" si="4"/>
        <v>0.227300802964793</v>
      </c>
      <c r="N20" s="363"/>
    </row>
    <row r="21" s="187" customFormat="1" ht="18.6" customHeight="1" spans="1:14">
      <c r="A21" s="199"/>
      <c r="B21" s="415" t="s">
        <v>117</v>
      </c>
      <c r="C21" s="287" t="s">
        <v>17</v>
      </c>
      <c r="D21" s="148"/>
      <c r="E21" s="206">
        <f>'[2]5.北海热电厂（热电联产）表'!$M$43</f>
        <v>57300</v>
      </c>
      <c r="F21" s="206">
        <f>[3]北海!G21</f>
        <v>64720</v>
      </c>
      <c r="G21" s="414">
        <f>'[6]26.1'!$E$64</f>
        <v>73699</v>
      </c>
      <c r="H21" s="148">
        <f>'[6]26.1'!$K$64</f>
        <v>73699</v>
      </c>
      <c r="I21" s="145" t="str">
        <f t="shared" si="0"/>
        <v>-</v>
      </c>
      <c r="J21" s="23">
        <f t="shared" si="1"/>
        <v>16399</v>
      </c>
      <c r="K21" s="236">
        <f t="shared" si="2"/>
        <v>0.286195462478185</v>
      </c>
      <c r="L21" s="23">
        <f t="shared" si="3"/>
        <v>8979</v>
      </c>
      <c r="M21" s="236">
        <f t="shared" si="4"/>
        <v>0.13873609394314</v>
      </c>
      <c r="N21" s="363"/>
    </row>
    <row r="22" s="187" customFormat="1" ht="18.6" customHeight="1" spans="1:14">
      <c r="A22" s="199"/>
      <c r="B22" s="142" t="s">
        <v>118</v>
      </c>
      <c r="C22" s="143" t="s">
        <v>17</v>
      </c>
      <c r="D22" s="175"/>
      <c r="E22" s="175">
        <f>'[2]5.北海热电厂（热电联产）表'!$M$42</f>
        <v>125687</v>
      </c>
      <c r="F22" s="175">
        <f>[3]北海!G22</f>
        <v>145687</v>
      </c>
      <c r="G22" s="361">
        <f>'[6]26.1'!$E$20-'[6]26.1'!$E$63-'[6]26.1'!$E$64</f>
        <v>103911</v>
      </c>
      <c r="H22" s="178">
        <f>'[6]26.1'!$K$20-'[6]26.1'!$K$63-'[6]26.1'!$K$64</f>
        <v>103911</v>
      </c>
      <c r="I22" s="145" t="str">
        <f t="shared" si="0"/>
        <v>-</v>
      </c>
      <c r="J22" s="23">
        <f t="shared" si="1"/>
        <v>-21776</v>
      </c>
      <c r="K22" s="236">
        <f t="shared" si="2"/>
        <v>-0.17325578619905</v>
      </c>
      <c r="L22" s="23">
        <f t="shared" si="3"/>
        <v>-41776</v>
      </c>
      <c r="M22" s="236">
        <f t="shared" si="4"/>
        <v>-0.286751734883689</v>
      </c>
      <c r="N22" s="363"/>
    </row>
    <row r="23" s="187" customFormat="1" ht="18.6" customHeight="1" spans="1:14">
      <c r="A23" s="199"/>
      <c r="B23" s="203" t="s">
        <v>119</v>
      </c>
      <c r="C23" s="143" t="s">
        <v>17</v>
      </c>
      <c r="D23" s="148"/>
      <c r="E23" s="206">
        <f>'[2]5.北海热电厂（热电联产）表'!$M$51</f>
        <v>113909</v>
      </c>
      <c r="F23" s="206">
        <f>[3]北海!G23</f>
        <v>113909</v>
      </c>
      <c r="G23" s="414">
        <f>'[6]26.1'!$E$21</f>
        <v>121213</v>
      </c>
      <c r="H23" s="148">
        <f>'[6]26.1'!$K$21</f>
        <v>121213</v>
      </c>
      <c r="I23" s="145" t="str">
        <f t="shared" si="0"/>
        <v>-</v>
      </c>
      <c r="J23" s="23">
        <f t="shared" si="1"/>
        <v>7304</v>
      </c>
      <c r="K23" s="236">
        <f t="shared" si="2"/>
        <v>0.0641213600330088</v>
      </c>
      <c r="L23" s="23">
        <f t="shared" si="3"/>
        <v>7304</v>
      </c>
      <c r="M23" s="236">
        <f t="shared" si="4"/>
        <v>0.0641213600330088</v>
      </c>
      <c r="N23" s="363"/>
    </row>
    <row r="24" s="187" customFormat="1" ht="18.6" customHeight="1" spans="1:14">
      <c r="A24" s="199"/>
      <c r="B24" s="203" t="s">
        <v>120</v>
      </c>
      <c r="C24" s="143" t="s">
        <v>17</v>
      </c>
      <c r="D24" s="175"/>
      <c r="E24" s="175">
        <f>'[2]5.北海热电厂（热电联产）表'!$M$37</f>
        <v>42</v>
      </c>
      <c r="F24" s="175">
        <f>[3]北海!G24</f>
        <v>41.4</v>
      </c>
      <c r="G24" s="364">
        <f>'[6]26.1'!$E$17</f>
        <v>69.3</v>
      </c>
      <c r="H24" s="178">
        <f>'[6]26.1'!$K$17</f>
        <v>69.3</v>
      </c>
      <c r="I24" s="145" t="str">
        <f t="shared" si="0"/>
        <v>-</v>
      </c>
      <c r="J24" s="23">
        <f t="shared" si="1"/>
        <v>27.3</v>
      </c>
      <c r="K24" s="238">
        <f t="shared" si="2"/>
        <v>0.65</v>
      </c>
      <c r="L24" s="23">
        <f t="shared" si="3"/>
        <v>27.9</v>
      </c>
      <c r="M24" s="238">
        <f t="shared" si="4"/>
        <v>0.673913043478261</v>
      </c>
      <c r="N24" s="363"/>
    </row>
    <row r="25" s="187" customFormat="1" ht="18.6" customHeight="1" spans="1:14">
      <c r="A25" s="199"/>
      <c r="B25" s="203" t="s">
        <v>38</v>
      </c>
      <c r="C25" s="143" t="s">
        <v>17</v>
      </c>
      <c r="D25" s="176"/>
      <c r="E25" s="411">
        <f>'[2]5.北海热电厂（热电联产）表'!$M$55</f>
        <v>2598</v>
      </c>
      <c r="F25" s="411">
        <f>[3]北海!G25</f>
        <v>1581</v>
      </c>
      <c r="G25" s="412">
        <f>'[6]26.1'!$E$25</f>
        <v>2045</v>
      </c>
      <c r="H25" s="176">
        <f>'[6]26.1'!$K$25</f>
        <v>2045</v>
      </c>
      <c r="I25" s="145" t="str">
        <f t="shared" si="0"/>
        <v>-</v>
      </c>
      <c r="J25" s="23">
        <f t="shared" si="1"/>
        <v>-553</v>
      </c>
      <c r="K25" s="238">
        <f t="shared" si="2"/>
        <v>-0.212856043110085</v>
      </c>
      <c r="L25" s="23">
        <f t="shared" si="3"/>
        <v>464</v>
      </c>
      <c r="M25" s="238">
        <f t="shared" si="4"/>
        <v>0.29348513598988</v>
      </c>
      <c r="N25" s="363"/>
    </row>
    <row r="26" s="187" customFormat="1" ht="18.6" customHeight="1" spans="1:14">
      <c r="A26" s="199"/>
      <c r="B26" s="203" t="s">
        <v>49</v>
      </c>
      <c r="C26" s="143" t="s">
        <v>15</v>
      </c>
      <c r="D26" s="416"/>
      <c r="E26" s="256">
        <f>'[2]5.北海热电厂（热电联产）表'!$M$70</f>
        <v>0</v>
      </c>
      <c r="F26" s="256">
        <f>[3]北海!G26</f>
        <v>0</v>
      </c>
      <c r="G26" s="417">
        <f>'[6]26.1'!$E$60/10000</f>
        <v>0</v>
      </c>
      <c r="H26" s="416">
        <f>'[6]26.1'!$K$60/10000</f>
        <v>0</v>
      </c>
      <c r="I26" s="145" t="str">
        <f t="shared" si="0"/>
        <v>-</v>
      </c>
      <c r="J26" s="23">
        <f t="shared" si="1"/>
        <v>0</v>
      </c>
      <c r="K26" s="236" t="str">
        <f t="shared" si="2"/>
        <v>-</v>
      </c>
      <c r="L26" s="23">
        <f t="shared" si="3"/>
        <v>0</v>
      </c>
      <c r="M26" s="236" t="str">
        <f t="shared" si="4"/>
        <v>-</v>
      </c>
      <c r="N26" s="363"/>
    </row>
    <row r="27" s="187" customFormat="1" ht="18.6" customHeight="1" spans="1:14">
      <c r="A27" s="199"/>
      <c r="B27" s="203" t="s">
        <v>51</v>
      </c>
      <c r="C27" s="143" t="s">
        <v>15</v>
      </c>
      <c r="D27" s="175"/>
      <c r="E27" s="175">
        <f>'[2]5.北海热电厂（热电联产）表'!$M$65</f>
        <v>2351</v>
      </c>
      <c r="F27" s="175">
        <f>[3]北海!G27</f>
        <v>1871.3739</v>
      </c>
      <c r="G27" s="361">
        <f>'[6]26.1'!$E$30/10000</f>
        <v>2360.7684</v>
      </c>
      <c r="H27" s="178">
        <f>'[6]26.1'!$K$30/10000</f>
        <v>2360.7684</v>
      </c>
      <c r="I27" s="145" t="str">
        <f t="shared" si="0"/>
        <v>-</v>
      </c>
      <c r="J27" s="23">
        <f t="shared" si="1"/>
        <v>9.76839999999993</v>
      </c>
      <c r="K27" s="236">
        <f t="shared" si="2"/>
        <v>0.0041549978732454</v>
      </c>
      <c r="L27" s="23">
        <f t="shared" si="3"/>
        <v>489.3945</v>
      </c>
      <c r="M27" s="236">
        <f t="shared" si="4"/>
        <v>0.261516151315352</v>
      </c>
      <c r="N27" s="363"/>
    </row>
    <row r="28" s="187" customFormat="1" ht="18.6" customHeight="1" spans="1:14">
      <c r="A28" s="199"/>
      <c r="B28" s="203" t="s">
        <v>93</v>
      </c>
      <c r="C28" s="143" t="s">
        <v>15</v>
      </c>
      <c r="D28" s="418">
        <f t="shared" ref="D28:H28" si="6">D27-D29-D30</f>
        <v>0</v>
      </c>
      <c r="E28" s="418">
        <f>'[2]5.北海热电厂（热电联产）表'!$M$66</f>
        <v>449.165945022548</v>
      </c>
      <c r="F28" s="418">
        <f t="shared" si="6"/>
        <v>454.203375</v>
      </c>
      <c r="G28" s="418">
        <f t="shared" si="6"/>
        <v>659.326521999986</v>
      </c>
      <c r="H28" s="418">
        <f t="shared" si="6"/>
        <v>659.326521999986</v>
      </c>
      <c r="I28" s="145" t="str">
        <f t="shared" si="0"/>
        <v>-</v>
      </c>
      <c r="J28" s="23">
        <f t="shared" si="1"/>
        <v>210.160576977438</v>
      </c>
      <c r="K28" s="236">
        <f t="shared" si="2"/>
        <v>0.467890719023429</v>
      </c>
      <c r="L28" s="23">
        <f t="shared" si="3"/>
        <v>205.123146999986</v>
      </c>
      <c r="M28" s="236">
        <f t="shared" si="4"/>
        <v>0.45161079439356</v>
      </c>
      <c r="N28" s="363"/>
    </row>
    <row r="29" s="187" customFormat="1" ht="18.6" customHeight="1" spans="1:14">
      <c r="A29" s="199"/>
      <c r="B29" s="203" t="s">
        <v>121</v>
      </c>
      <c r="C29" s="143" t="s">
        <v>15</v>
      </c>
      <c r="D29" s="175"/>
      <c r="E29" s="419">
        <f>'[2]5.北海热电厂（热电联产）表'!M68</f>
        <v>360.923602777998</v>
      </c>
      <c r="F29" s="175">
        <f>[3]北海!G28</f>
        <v>260.88229</v>
      </c>
      <c r="G29" s="361">
        <f>'[6]26.1'!$E$33/10000</f>
        <v>357.309600147514</v>
      </c>
      <c r="H29" s="178">
        <f>'[6]26.1'!$K$33/10000</f>
        <v>357.309600147514</v>
      </c>
      <c r="I29" s="145" t="str">
        <f t="shared" si="0"/>
        <v>-</v>
      </c>
      <c r="J29" s="23">
        <f t="shared" si="1"/>
        <v>-3.61400263048398</v>
      </c>
      <c r="K29" s="236">
        <f t="shared" si="2"/>
        <v>-0.0100132066804922</v>
      </c>
      <c r="L29" s="23">
        <f t="shared" si="3"/>
        <v>96.427310147514</v>
      </c>
      <c r="M29" s="236">
        <f t="shared" si="4"/>
        <v>0.369619992784922</v>
      </c>
      <c r="N29" s="363"/>
    </row>
    <row r="30" s="187" customFormat="1" ht="18.6" customHeight="1" spans="1:14">
      <c r="A30" s="201"/>
      <c r="B30" s="248" t="s">
        <v>122</v>
      </c>
      <c r="C30" s="249" t="s">
        <v>15</v>
      </c>
      <c r="D30" s="250"/>
      <c r="E30" s="420">
        <f>'[2]5.北海热电厂（热电联产）表'!M69</f>
        <v>1540.91045219945</v>
      </c>
      <c r="F30" s="250">
        <f>[3]北海!G29</f>
        <v>1156.288235</v>
      </c>
      <c r="G30" s="370">
        <f>'[6]26.1'!$E$34/10000</f>
        <v>1344.1322778525</v>
      </c>
      <c r="H30" s="409">
        <f>'[6]26.1'!$K$34/10000</f>
        <v>1344.1322778525</v>
      </c>
      <c r="I30" s="153" t="str">
        <f t="shared" si="0"/>
        <v>-</v>
      </c>
      <c r="J30" s="251">
        <f t="shared" si="1"/>
        <v>-196.77817434695</v>
      </c>
      <c r="K30" s="252">
        <f t="shared" si="2"/>
        <v>-0.127702537201999</v>
      </c>
      <c r="L30" s="251">
        <f t="shared" si="3"/>
        <v>187.8440428525</v>
      </c>
      <c r="M30" s="252">
        <f t="shared" si="4"/>
        <v>0.162454340679597</v>
      </c>
      <c r="N30" s="363"/>
    </row>
    <row r="31" s="187" customFormat="1" ht="18.6" customHeight="1" spans="1:14">
      <c r="A31" s="371" t="s">
        <v>96</v>
      </c>
      <c r="B31" s="203" t="s">
        <v>63</v>
      </c>
      <c r="C31" s="421" t="s">
        <v>64</v>
      </c>
      <c r="D31" s="181" t="e">
        <f>D27/D3</f>
        <v>#DIV/0!</v>
      </c>
      <c r="E31" s="181">
        <f>E27/E3</f>
        <v>0.3100764969665</v>
      </c>
      <c r="F31" s="181">
        <f>[3]北海!G30</f>
        <v>0.32243275234669</v>
      </c>
      <c r="G31" s="422">
        <f>G27/G3</f>
        <v>0.388580824840009</v>
      </c>
      <c r="H31" s="372">
        <f>H27/H3</f>
        <v>0.388580824840009</v>
      </c>
      <c r="I31" s="383" t="s">
        <v>65</v>
      </c>
      <c r="J31" s="147">
        <f t="shared" si="1"/>
        <v>0.0785043278735095</v>
      </c>
      <c r="K31" s="326" t="s">
        <v>65</v>
      </c>
      <c r="L31" s="147">
        <f t="shared" si="3"/>
        <v>0.0661480724933195</v>
      </c>
      <c r="M31" s="339" t="s">
        <v>65</v>
      </c>
      <c r="N31" s="363"/>
    </row>
    <row r="32" s="187" customFormat="1" ht="18.6" customHeight="1" spans="1:14">
      <c r="A32" s="199"/>
      <c r="B32" s="203" t="s">
        <v>123</v>
      </c>
      <c r="C32" s="421" t="s">
        <v>64</v>
      </c>
      <c r="D32" s="181" t="e">
        <f>D29/D3</f>
        <v>#DIV/0!</v>
      </c>
      <c r="E32" s="181">
        <f>E29/E3</f>
        <v>0.0476026909493535</v>
      </c>
      <c r="F32" s="181">
        <f>[3]北海!G31</f>
        <v>0.0449493256281961</v>
      </c>
      <c r="G32" s="422">
        <f>G29/G3</f>
        <v>0.0588129098765364</v>
      </c>
      <c r="H32" s="372">
        <f>H29/H3</f>
        <v>0.0588129098765364</v>
      </c>
      <c r="I32" s="383" t="s">
        <v>65</v>
      </c>
      <c r="J32" s="147">
        <f t="shared" si="1"/>
        <v>0.0112102189271829</v>
      </c>
      <c r="K32" s="326" t="s">
        <v>65</v>
      </c>
      <c r="L32" s="147">
        <f t="shared" si="3"/>
        <v>0.0138635842483403</v>
      </c>
      <c r="M32" s="339" t="s">
        <v>65</v>
      </c>
      <c r="N32" s="363"/>
    </row>
    <row r="33" s="187" customFormat="1" ht="18.6" customHeight="1" spans="1:19">
      <c r="A33" s="199"/>
      <c r="B33" s="203" t="s">
        <v>124</v>
      </c>
      <c r="C33" s="143" t="s">
        <v>125</v>
      </c>
      <c r="D33" s="254" t="e">
        <f>D30*10000/D6</f>
        <v>#DIV/0!</v>
      </c>
      <c r="E33" s="254">
        <f>E30*10000/E6</f>
        <v>12.8793697042782</v>
      </c>
      <c r="F33" s="254">
        <f>[3]北海!G32</f>
        <v>12.0129774456072</v>
      </c>
      <c r="G33" s="423">
        <f>G30*10000/G6</f>
        <v>13.7124285454164</v>
      </c>
      <c r="H33" s="424">
        <f>H30*10000/H6</f>
        <v>13.7124285454164</v>
      </c>
      <c r="I33" s="145" t="str">
        <f t="shared" ref="I33:I42" si="7">IFERROR(H33/D33,"-")</f>
        <v>-</v>
      </c>
      <c r="J33" s="255">
        <f t="shared" si="1"/>
        <v>0.833058841138202</v>
      </c>
      <c r="K33" s="145">
        <f t="shared" ref="K33:K42" si="8">IFERROR(J33/E33,"-")</f>
        <v>0.064681646716103</v>
      </c>
      <c r="L33" s="255">
        <f t="shared" si="3"/>
        <v>1.6994510998092</v>
      </c>
      <c r="M33" s="147">
        <f t="shared" ref="M33:M42" si="9">IFERROR(L33/F33,"-")</f>
        <v>0.141467933949268</v>
      </c>
      <c r="N33" s="363"/>
    </row>
    <row r="34" s="187" customFormat="1" ht="18.6" customHeight="1" spans="1:19">
      <c r="A34" s="199"/>
      <c r="B34" s="203" t="s">
        <v>66</v>
      </c>
      <c r="C34" s="143" t="s">
        <v>67</v>
      </c>
      <c r="D34" s="256" t="e">
        <f>D8*100/D3</f>
        <v>#DIV/0!</v>
      </c>
      <c r="E34" s="256">
        <f>E8*100/E3</f>
        <v>144.645212345028</v>
      </c>
      <c r="F34" s="256">
        <f>[3]北海!G33</f>
        <v>146.755985609726</v>
      </c>
      <c r="G34" s="417">
        <f>G8*100/G3</f>
        <v>161.940238609446</v>
      </c>
      <c r="H34" s="416">
        <f>H8*100/H3</f>
        <v>161.940238609446</v>
      </c>
      <c r="I34" s="145" t="str">
        <f t="shared" si="7"/>
        <v>-</v>
      </c>
      <c r="J34" s="257">
        <f t="shared" si="1"/>
        <v>17.2950262644177</v>
      </c>
      <c r="K34" s="145">
        <f t="shared" si="8"/>
        <v>0.119568605030377</v>
      </c>
      <c r="L34" s="257">
        <f t="shared" si="3"/>
        <v>15.1842529997197</v>
      </c>
      <c r="M34" s="147">
        <f t="shared" si="9"/>
        <v>0.103465987684481</v>
      </c>
      <c r="N34" s="377"/>
      <c r="O34" s="378"/>
      <c r="P34" s="378"/>
    </row>
    <row r="35" s="187" customFormat="1" ht="18.6" customHeight="1" spans="1:19">
      <c r="A35" s="199"/>
      <c r="B35" s="203" t="s">
        <v>68</v>
      </c>
      <c r="C35" s="143" t="s">
        <v>67</v>
      </c>
      <c r="D35" s="206" t="e">
        <f>D8*100/(D3-D29)</f>
        <v>#DIV/0!</v>
      </c>
      <c r="E35" s="206">
        <f>E8*100/(E3-E29)</f>
        <v>151.874864586934</v>
      </c>
      <c r="F35" s="206">
        <f>[3]北海!G34</f>
        <v>153.663035426111</v>
      </c>
      <c r="G35" s="414">
        <f>G8*100/(G3-G29)</f>
        <v>172.059562130418</v>
      </c>
      <c r="H35" s="148">
        <f>H8*100/(H3-H29)</f>
        <v>172.059562130418</v>
      </c>
      <c r="I35" s="145" t="str">
        <f t="shared" si="7"/>
        <v>-</v>
      </c>
      <c r="J35" s="257">
        <f t="shared" si="1"/>
        <v>20.1846975434843</v>
      </c>
      <c r="K35" s="145">
        <f t="shared" si="8"/>
        <v>0.132903476808899</v>
      </c>
      <c r="L35" s="257">
        <f t="shared" si="3"/>
        <v>18.3965267043073</v>
      </c>
      <c r="M35" s="147">
        <f t="shared" si="9"/>
        <v>0.119719922577953</v>
      </c>
      <c r="N35" s="377"/>
      <c r="O35" s="378"/>
      <c r="P35" s="378"/>
    </row>
    <row r="36" s="187" customFormat="1" ht="18.6" customHeight="1" spans="1:19">
      <c r="A36" s="199"/>
      <c r="B36" s="203" t="s">
        <v>69</v>
      </c>
      <c r="C36" s="143" t="s">
        <v>70</v>
      </c>
      <c r="D36" s="260" t="e">
        <f>D9*1000/D6</f>
        <v>#DIV/0!</v>
      </c>
      <c r="E36" s="260">
        <f>E9*1000/E6</f>
        <v>39.1351650209754</v>
      </c>
      <c r="F36" s="260">
        <f>[3]北海!G35</f>
        <v>39.2215704802756</v>
      </c>
      <c r="G36" s="425">
        <f>G9*1000/G6</f>
        <v>37.7569134943553</v>
      </c>
      <c r="H36" s="228">
        <f>H9*1000/H6</f>
        <v>37.7569134943553</v>
      </c>
      <c r="I36" s="145" t="str">
        <f t="shared" si="7"/>
        <v>-</v>
      </c>
      <c r="J36" s="261">
        <f t="shared" si="1"/>
        <v>-1.37825152662015</v>
      </c>
      <c r="K36" s="145">
        <f t="shared" si="8"/>
        <v>-0.0352177262030565</v>
      </c>
      <c r="L36" s="261">
        <f t="shared" si="3"/>
        <v>-1.46465698592035</v>
      </c>
      <c r="M36" s="147">
        <f t="shared" si="9"/>
        <v>-0.0373431499041305</v>
      </c>
      <c r="N36" s="363"/>
    </row>
    <row r="37" s="187" customFormat="1" ht="18.6" customHeight="1" spans="1:19">
      <c r="A37" s="199"/>
      <c r="B37" s="203" t="s">
        <v>71</v>
      </c>
      <c r="C37" s="287" t="s">
        <v>72</v>
      </c>
      <c r="D37" s="262" t="e">
        <f>((D22-D5)*(1-D45))/D3</f>
        <v>#DIV/0!</v>
      </c>
      <c r="E37" s="381">
        <f>((E22-E5)*(1-E45))/E3</f>
        <v>2.41978932818839</v>
      </c>
      <c r="F37" s="381">
        <f>[3]北海!G36</f>
        <v>3.70067745869654</v>
      </c>
      <c r="G37" s="426">
        <f>'[6]26.1'!$E$69</f>
        <v>2.36663076163388</v>
      </c>
      <c r="H37" s="262">
        <f>'[6]26.1'!$K$69</f>
        <v>2.36663076163388</v>
      </c>
      <c r="I37" s="145" t="str">
        <f t="shared" si="7"/>
        <v>-</v>
      </c>
      <c r="J37" s="160">
        <f t="shared" si="1"/>
        <v>-0.0531585665545098</v>
      </c>
      <c r="K37" s="145">
        <f t="shared" si="8"/>
        <v>-0.0219682622512877</v>
      </c>
      <c r="L37" s="160">
        <f t="shared" si="3"/>
        <v>-1.33404669706266</v>
      </c>
      <c r="M37" s="147">
        <f t="shared" si="9"/>
        <v>-0.360487157271074</v>
      </c>
      <c r="N37" s="363"/>
    </row>
    <row r="38" s="187" customFormat="1" ht="18.6" customHeight="1" spans="1:19">
      <c r="A38" s="199"/>
      <c r="B38" s="203" t="s">
        <v>73</v>
      </c>
      <c r="C38" s="287" t="s">
        <v>74</v>
      </c>
      <c r="D38" s="263" t="e">
        <f>((D22-D5)*D45+D5)/D6</f>
        <v>#DIV/0!</v>
      </c>
      <c r="E38" s="382">
        <f>((E22-E5)*E45+E5)/E6</f>
        <v>0.0897179695409882</v>
      </c>
      <c r="F38" s="382">
        <f>[3]北海!G37</f>
        <v>0.129043488788192</v>
      </c>
      <c r="G38" s="305">
        <f>'[6]26.1'!$E$70</f>
        <v>0.0913387059879055</v>
      </c>
      <c r="H38" s="263">
        <f>'[6]26.1'!$K$70</f>
        <v>0.0913387059879055</v>
      </c>
      <c r="I38" s="145" t="str">
        <f t="shared" si="7"/>
        <v>-</v>
      </c>
      <c r="J38" s="160">
        <f t="shared" si="1"/>
        <v>0.00162073644691731</v>
      </c>
      <c r="K38" s="145">
        <f t="shared" si="8"/>
        <v>0.0180647918717873</v>
      </c>
      <c r="L38" s="146">
        <f t="shared" si="3"/>
        <v>-0.0377047828002865</v>
      </c>
      <c r="M38" s="147">
        <f t="shared" si="9"/>
        <v>-0.292186635330156</v>
      </c>
      <c r="N38" s="363"/>
      <c r="O38" s="192"/>
      <c r="P38" s="192"/>
    </row>
    <row r="39" s="187" customFormat="1" ht="18.6" customHeight="1" spans="1:19">
      <c r="A39" s="199"/>
      <c r="B39" s="203" t="s">
        <v>126</v>
      </c>
      <c r="C39" s="143" t="s">
        <v>17</v>
      </c>
      <c r="D39" s="347">
        <v>0</v>
      </c>
      <c r="E39" s="419">
        <v>0</v>
      </c>
      <c r="F39" s="419">
        <f>[3]北海!G38</f>
        <v>80115</v>
      </c>
      <c r="G39" s="427">
        <f>'[6]26.1'!$E$57</f>
        <v>26761</v>
      </c>
      <c r="H39" s="347">
        <f>'[6]26.1'!$K$57</f>
        <v>26761</v>
      </c>
      <c r="I39" s="145" t="str">
        <f t="shared" si="7"/>
        <v>-</v>
      </c>
      <c r="J39" s="326">
        <f t="shared" si="1"/>
        <v>26761</v>
      </c>
      <c r="K39" s="145" t="str">
        <f t="shared" si="8"/>
        <v>-</v>
      </c>
      <c r="L39" s="23">
        <f t="shared" si="3"/>
        <v>-53354</v>
      </c>
      <c r="M39" s="147">
        <f t="shared" si="9"/>
        <v>-0.665967671472259</v>
      </c>
      <c r="N39" s="377"/>
      <c r="O39" s="377"/>
      <c r="P39" s="377"/>
    </row>
    <row r="40" s="187" customFormat="1" ht="18.6" customHeight="1" spans="1:19">
      <c r="A40" s="199"/>
      <c r="B40" s="203" t="s">
        <v>127</v>
      </c>
      <c r="C40" s="143" t="s">
        <v>17</v>
      </c>
      <c r="D40" s="347">
        <v>0</v>
      </c>
      <c r="E40" s="419">
        <v>0</v>
      </c>
      <c r="F40" s="419">
        <f>[3]北海!G39</f>
        <v>57922</v>
      </c>
      <c r="G40" s="427">
        <f>H40</f>
        <v>42846</v>
      </c>
      <c r="H40" s="347">
        <f>'[6]26.1'!$K$59</f>
        <v>42846</v>
      </c>
      <c r="I40" s="145" t="str">
        <f t="shared" si="7"/>
        <v>-</v>
      </c>
      <c r="J40" s="326">
        <f t="shared" si="1"/>
        <v>42846</v>
      </c>
      <c r="K40" s="145" t="str">
        <f t="shared" si="8"/>
        <v>-</v>
      </c>
      <c r="L40" s="264">
        <f t="shared" si="3"/>
        <v>-15076</v>
      </c>
      <c r="M40" s="147">
        <f t="shared" si="9"/>
        <v>-0.260281067642692</v>
      </c>
      <c r="N40" s="377"/>
      <c r="O40" s="377"/>
      <c r="P40" s="377"/>
    </row>
    <row r="41" s="187" customFormat="1" ht="18.6" customHeight="1" spans="1:19">
      <c r="A41" s="199"/>
      <c r="B41" s="203" t="s">
        <v>97</v>
      </c>
      <c r="C41" s="143" t="s">
        <v>98</v>
      </c>
      <c r="D41" s="200" t="e">
        <f>(D10-1.4571*D24)*29308/D12</f>
        <v>#DIV/0!</v>
      </c>
      <c r="E41" s="428">
        <f>(E10-1.4571*E24)*29308/E12</f>
        <v>20006.4613283479</v>
      </c>
      <c r="F41" s="428">
        <f>[3]北海!G40</f>
        <v>20673.2216540986</v>
      </c>
      <c r="G41" s="429">
        <f>'[6]26.1'!$E$48</f>
        <v>20068.0734596172</v>
      </c>
      <c r="H41" s="200">
        <f>'[6]26.1'!$K$48</f>
        <v>20068.0734596172</v>
      </c>
      <c r="I41" s="145" t="str">
        <f t="shared" si="7"/>
        <v>-</v>
      </c>
      <c r="J41" s="257">
        <f t="shared" si="1"/>
        <v>61.6121312692994</v>
      </c>
      <c r="K41" s="145">
        <f t="shared" si="8"/>
        <v>0.00307961164436406</v>
      </c>
      <c r="L41" s="257">
        <f t="shared" si="3"/>
        <v>-605.1481944814</v>
      </c>
      <c r="M41" s="147">
        <f t="shared" si="9"/>
        <v>-0.0292720798241635</v>
      </c>
      <c r="N41" s="377"/>
      <c r="O41" s="377"/>
      <c r="P41" s="377"/>
    </row>
    <row r="42" s="187" customFormat="1" ht="18.6" customHeight="1" spans="1:19">
      <c r="A42" s="199"/>
      <c r="B42" s="203" t="s">
        <v>128</v>
      </c>
      <c r="C42" s="143" t="s">
        <v>98</v>
      </c>
      <c r="D42" s="326">
        <v>0</v>
      </c>
      <c r="E42" s="383">
        <v>0</v>
      </c>
      <c r="F42" s="383">
        <f>[3]北海!G41</f>
        <v>20158.7629748137</v>
      </c>
      <c r="G42" s="430">
        <f>'[6]26.1'!$E$49</f>
        <v>20159.4936</v>
      </c>
      <c r="H42" s="326">
        <f>'[6]26.1'!$K$49</f>
        <v>20159.4936</v>
      </c>
      <c r="I42" s="145" t="str">
        <f t="shared" si="7"/>
        <v>-</v>
      </c>
      <c r="J42" s="326">
        <f t="shared" si="1"/>
        <v>20159.4936</v>
      </c>
      <c r="K42" s="145" t="str">
        <f t="shared" si="8"/>
        <v>-</v>
      </c>
      <c r="L42" s="257">
        <f t="shared" si="3"/>
        <v>0.73062518630104</v>
      </c>
      <c r="M42" s="147">
        <f t="shared" si="9"/>
        <v>3.62435526035938e-5</v>
      </c>
      <c r="N42" s="377"/>
      <c r="O42" s="377"/>
      <c r="P42" s="377"/>
      <c r="Q42" s="378"/>
      <c r="R42" s="378"/>
      <c r="S42" s="378"/>
    </row>
    <row r="43" s="187" customFormat="1" ht="18.6" customHeight="1" spans="1:19">
      <c r="A43" s="199"/>
      <c r="B43" s="161" t="s">
        <v>129</v>
      </c>
      <c r="C43" s="421" t="s">
        <v>64</v>
      </c>
      <c r="D43" s="162" t="e">
        <f>(D6*1000+D4*36000)/(D10*7000*4.1868)</f>
        <v>#DIV/0!</v>
      </c>
      <c r="E43" s="269">
        <f>(E6*1000+E4*36000)/(E10*7000*4.1868)</f>
        <v>0.817599832396608</v>
      </c>
      <c r="F43" s="269">
        <f>[3]北海!G42</f>
        <v>0.814204891688782</v>
      </c>
      <c r="G43" s="431">
        <f>(G6*1000+G4*36000)/(G10*7000*4.1868)</f>
        <v>0.811312127736843</v>
      </c>
      <c r="H43" s="162">
        <f>(H6*1000+H4*36000)/(H10*7000*4.1868)</f>
        <v>0.811312127736843</v>
      </c>
      <c r="I43" s="383" t="s">
        <v>65</v>
      </c>
      <c r="J43" s="265">
        <f t="shared" si="1"/>
        <v>-0.00628770465976458</v>
      </c>
      <c r="K43" s="326" t="s">
        <v>65</v>
      </c>
      <c r="L43" s="265">
        <f t="shared" si="3"/>
        <v>-0.00289276395193849</v>
      </c>
      <c r="M43" s="339" t="s">
        <v>65</v>
      </c>
      <c r="N43" s="362"/>
      <c r="O43" s="362"/>
      <c r="P43" s="362"/>
    </row>
    <row r="44" s="187" customFormat="1" ht="18.6" customHeight="1" spans="1:19">
      <c r="A44" s="199"/>
      <c r="B44" s="161" t="s">
        <v>130</v>
      </c>
      <c r="C44" s="421" t="s">
        <v>64</v>
      </c>
      <c r="D44" s="294" t="e">
        <f>D6*100/(D4*3600)</f>
        <v>#DIV/0!</v>
      </c>
      <c r="E44" s="295">
        <f>E6*100/(E4*3600)</f>
        <v>6.35324451790607</v>
      </c>
      <c r="F44" s="295">
        <f>[3]北海!G43</f>
        <v>6.79890733324426</v>
      </c>
      <c r="G44" s="432">
        <f>G6*100/(G4*3600)</f>
        <v>7.33017021777037</v>
      </c>
      <c r="H44" s="294">
        <f>H6*100/(H4*3600)</f>
        <v>7.33017021777037</v>
      </c>
      <c r="I44" s="383" t="s">
        <v>65</v>
      </c>
      <c r="J44" s="268">
        <f t="shared" si="1"/>
        <v>0.976925699864302</v>
      </c>
      <c r="K44" s="326" t="s">
        <v>65</v>
      </c>
      <c r="L44" s="268">
        <f t="shared" si="3"/>
        <v>0.531262884526112</v>
      </c>
      <c r="M44" s="339" t="s">
        <v>65</v>
      </c>
      <c r="N44" s="362"/>
      <c r="O44" s="362"/>
      <c r="P44" s="362"/>
    </row>
    <row r="45" s="187" customFormat="1" ht="18.6" customHeight="1" spans="1:19">
      <c r="A45" s="201"/>
      <c r="B45" s="273" t="s">
        <v>131</v>
      </c>
      <c r="C45" s="239" t="s">
        <v>64</v>
      </c>
      <c r="D45" s="386" t="e">
        <f>D9/D10</f>
        <v>#DIV/0!</v>
      </c>
      <c r="E45" s="387">
        <f>E9/E10</f>
        <v>0.810223398916749</v>
      </c>
      <c r="F45" s="387">
        <f>[3]北海!G44</f>
        <v>0.815913847611522</v>
      </c>
      <c r="G45" s="433">
        <f>'[6]26.1'!$E$54</f>
        <v>0.789996</v>
      </c>
      <c r="H45" s="386">
        <f>'[6]26.1'!$K$54</f>
        <v>0.789996</v>
      </c>
      <c r="I45" s="434" t="s">
        <v>65</v>
      </c>
      <c r="J45" s="388">
        <f t="shared" si="1"/>
        <v>-0.020227398916749</v>
      </c>
      <c r="K45" s="349" t="s">
        <v>65</v>
      </c>
      <c r="L45" s="388">
        <f t="shared" si="3"/>
        <v>-0.0259178476115219</v>
      </c>
      <c r="M45" s="389" t="s">
        <v>65</v>
      </c>
      <c r="N45" s="362"/>
      <c r="O45" s="362"/>
      <c r="P45" s="362"/>
    </row>
    <row r="46" s="187" customFormat="1" ht="18.6" customHeight="1" spans="1:19">
      <c r="A46" s="143" t="s">
        <v>99</v>
      </c>
      <c r="B46" s="203" t="s">
        <v>82</v>
      </c>
      <c r="C46" s="205" t="s">
        <v>64</v>
      </c>
      <c r="D46" s="162">
        <f>D3/10/8760</f>
        <v>0</v>
      </c>
      <c r="E46" s="269">
        <f>E3/10/(DAY(DATE(2026,2,0))*24)</f>
        <v>1.01908602150538</v>
      </c>
      <c r="F46" s="269">
        <f>[3]北海!G45</f>
        <v>0.780096774193549</v>
      </c>
      <c r="G46" s="431">
        <f>G3/10/(DAY(DATE(2026,2,0))*24)</f>
        <v>0.81658064516129</v>
      </c>
      <c r="H46" s="277">
        <f>H3/10/(DATEDIF(DATE(2026,1,1),DATE(2026,2,1),"D")*24)</f>
        <v>0.81658064516129</v>
      </c>
      <c r="I46" s="383" t="s">
        <v>65</v>
      </c>
      <c r="J46" s="265">
        <f t="shared" si="1"/>
        <v>-0.20250537634409</v>
      </c>
      <c r="K46" s="326" t="s">
        <v>65</v>
      </c>
      <c r="L46" s="278">
        <f t="shared" si="3"/>
        <v>0.0364838709677413</v>
      </c>
      <c r="M46" s="339" t="s">
        <v>65</v>
      </c>
      <c r="N46" s="362"/>
      <c r="O46" s="362"/>
      <c r="P46" s="362"/>
    </row>
    <row r="47" s="187" customFormat="1" ht="18.6" customHeight="1" spans="1:19">
      <c r="A47" s="216"/>
      <c r="B47" s="217" t="s">
        <v>83</v>
      </c>
      <c r="C47" s="435" t="s">
        <v>64</v>
      </c>
      <c r="D47" s="279">
        <f>D6*1000/577/(8760*3600)</f>
        <v>0</v>
      </c>
      <c r="E47" s="391">
        <f>E6*1000/577/((DAY(DATE(2026,2,0))*24)*3600)</f>
        <v>0.774161450428772</v>
      </c>
      <c r="F47" s="391">
        <f>[3]北海!G46</f>
        <v>0.622822359758743</v>
      </c>
      <c r="G47" s="436">
        <f>G6*1000/577/((DAY(DATE(2026,2,0))*24)*3600)</f>
        <v>0.634273231897933</v>
      </c>
      <c r="H47" s="280">
        <f>H6*1000/577/((DATEDIF(DATE(2026,1,1),DATE(2026,2,1),"D")*24)*3600)</f>
        <v>0.634273231897933</v>
      </c>
      <c r="I47" s="437" t="s">
        <v>65</v>
      </c>
      <c r="J47" s="282">
        <f t="shared" si="1"/>
        <v>-0.139888218530839</v>
      </c>
      <c r="K47" s="357" t="s">
        <v>65</v>
      </c>
      <c r="L47" s="282">
        <f t="shared" si="3"/>
        <v>0.0114508721391904</v>
      </c>
      <c r="M47" s="393" t="s">
        <v>65</v>
      </c>
      <c r="N47" s="362"/>
      <c r="O47" s="362"/>
      <c r="P47" s="362"/>
    </row>
    <row r="48" s="408" customFormat="1" ht="12.75" customHeight="1" spans="1:19">
      <c r="C48" s="220"/>
      <c r="D48" s="438"/>
      <c r="E48" s="438"/>
      <c r="G48" s="438"/>
      <c r="H48" s="438"/>
      <c r="I48" s="438"/>
      <c r="J48" s="438"/>
      <c r="K48" s="438"/>
      <c r="L48" s="438"/>
      <c r="M48" s="439"/>
      <c r="N48" s="440"/>
      <c r="O48" s="440"/>
      <c r="P48" s="440"/>
    </row>
    <row r="49" spans="1:1">
      <c r="A49" s="233"/>
    </row>
    <row r="50" spans="1:1">
      <c r="A50" s="233"/>
    </row>
  </sheetData>
  <mergeCells count="15">
    <mergeCell ref="J1:K1"/>
    <mergeCell ref="L1:M1"/>
    <mergeCell ref="A1:A2"/>
    <mergeCell ref="A3:A7"/>
    <mergeCell ref="A8:A30"/>
    <mergeCell ref="A31:A45"/>
    <mergeCell ref="A46:A47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393055555555556" right="0.393055555555556" top="0.984027777777778" bottom="0.590277777777778" header="0.590277777777778" footer="0.314583333333333"/>
  <pageSetup paperSize="9" scale="95" orientation="landscape" horizontalDpi="600" verticalDpi="360"/>
  <headerFooter alignWithMargins="0" scaleWithDoc="0">
    <oddHeader>&amp;C&amp;"黑体"&amp;20北海热电厂&amp;"Times New Roman"2026&amp;"黑体"年1月份主要经营指标统计表&amp;R表    号：     ZB005
制表单位：经济运行部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showGridLines="0" zoomScale="85" zoomScaleNormal="85" zoomScaleSheetLayoutView="60" workbookViewId="0">
      <pane ySplit="2" topLeftCell="A3" activePane="bottomLeft" state="frozen"/>
      <selection/>
      <selection pane="bottomLeft" activeCell="G10" sqref="G10"/>
    </sheetView>
  </sheetViews>
  <sheetFormatPr defaultColWidth="9" defaultRowHeight="15"/>
  <cols>
    <col min="1" max="1" width="10.1166666666667" style="2" customWidth="1"/>
    <col min="2" max="2" width="16.75" style="2" customWidth="1"/>
    <col min="3" max="3" width="13.625" style="2" customWidth="1"/>
    <col min="4" max="5" width="10.125" style="2" customWidth="1"/>
    <col min="6" max="6" width="9.625" style="2" customWidth="1"/>
    <col min="7" max="7" width="10.95" style="2" customWidth="1"/>
    <col min="8" max="8" width="9.625" style="2" customWidth="1"/>
    <col min="9" max="12" width="8.125" style="2" customWidth="1"/>
    <col min="13" max="13" width="8.80833333333333" style="2" customWidth="1"/>
    <col min="14" max="16384" width="9" style="2"/>
  </cols>
  <sheetData>
    <row r="1" s="64" customFormat="1" ht="18" customHeight="1" spans="1:13">
      <c r="A1" s="69" t="s">
        <v>84</v>
      </c>
      <c r="B1" s="70" t="s">
        <v>85</v>
      </c>
      <c r="C1" s="70" t="s">
        <v>2</v>
      </c>
      <c r="D1" s="137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132</v>
      </c>
      <c r="J1" s="8" t="s">
        <v>9</v>
      </c>
      <c r="K1" s="139"/>
      <c r="L1" s="8" t="s">
        <v>10</v>
      </c>
      <c r="M1" s="139"/>
    </row>
    <row r="2" s="64" customFormat="1" ht="19.5" customHeight="1" spans="1:13">
      <c r="A2" s="74"/>
      <c r="B2" s="75"/>
      <c r="C2" s="75"/>
      <c r="D2" s="140"/>
      <c r="E2" s="76"/>
      <c r="F2" s="76"/>
      <c r="G2" s="141"/>
      <c r="H2" s="76"/>
      <c r="I2" s="141"/>
      <c r="J2" s="15" t="s">
        <v>11</v>
      </c>
      <c r="K2" s="14" t="s">
        <v>12</v>
      </c>
      <c r="L2" s="14" t="s">
        <v>11</v>
      </c>
      <c r="M2" s="141" t="s">
        <v>12</v>
      </c>
    </row>
    <row r="3" s="64" customFormat="1" ht="27" customHeight="1" spans="1:13">
      <c r="A3" s="78" t="s">
        <v>87</v>
      </c>
      <c r="B3" s="142" t="s">
        <v>133</v>
      </c>
      <c r="C3" s="143" t="s">
        <v>134</v>
      </c>
      <c r="D3" s="178">
        <f>3*116</f>
        <v>348</v>
      </c>
      <c r="E3" s="175">
        <f>3*116</f>
        <v>348</v>
      </c>
      <c r="F3" s="175">
        <v>348</v>
      </c>
      <c r="G3" s="175">
        <f>'[7]26.1'!$D$3</f>
        <v>348</v>
      </c>
      <c r="H3" s="175">
        <f>'[7]26.1'!$I$3</f>
        <v>348</v>
      </c>
      <c r="I3" s="145">
        <f t="shared" ref="I3:I20" si="0">IFERROR(H3/D3,"-")</f>
        <v>1</v>
      </c>
      <c r="J3" s="23">
        <f t="shared" ref="J3:J22" si="1">IFERROR(G3-E3,"-")</f>
        <v>0</v>
      </c>
      <c r="K3" s="147">
        <f t="shared" ref="K3:K20" si="2">IFERROR(J3/E3,"-")</f>
        <v>0</v>
      </c>
      <c r="L3" s="23">
        <f t="shared" ref="L3:L22" si="3">IFERROR(G3-F3,"-")</f>
        <v>0</v>
      </c>
      <c r="M3" s="147">
        <f t="shared" ref="M3:M20" si="4">IFERROR(L3/F3,"-")</f>
        <v>0</v>
      </c>
    </row>
    <row r="4" s="64" customFormat="1" ht="27" customHeight="1" spans="1:13">
      <c r="A4" s="149"/>
      <c r="B4" s="150" t="s">
        <v>24</v>
      </c>
      <c r="C4" s="151" t="s">
        <v>19</v>
      </c>
      <c r="D4" s="177"/>
      <c r="E4" s="177">
        <f>'[2]6.北海热电厂（水炉）表'!$M$8</f>
        <v>352330</v>
      </c>
      <c r="F4" s="177">
        <f>[3]北海水炉!$G$4</f>
        <v>429418</v>
      </c>
      <c r="G4" s="177">
        <f>'[7]26.1'!$D$8</f>
        <v>740710</v>
      </c>
      <c r="H4" s="177">
        <f>'[7]26.1'!$I$8</f>
        <v>740710</v>
      </c>
      <c r="I4" s="153" t="str">
        <f t="shared" si="0"/>
        <v>-</v>
      </c>
      <c r="J4" s="156">
        <f t="shared" si="1"/>
        <v>388380</v>
      </c>
      <c r="K4" s="157">
        <f t="shared" si="2"/>
        <v>1.10231884880652</v>
      </c>
      <c r="L4" s="156">
        <f t="shared" si="3"/>
        <v>311292</v>
      </c>
      <c r="M4" s="157">
        <f t="shared" si="4"/>
        <v>0.724916049164218</v>
      </c>
    </row>
    <row r="5" s="64" customFormat="1" ht="27" customHeight="1" spans="1:13">
      <c r="A5" s="158" t="s">
        <v>90</v>
      </c>
      <c r="B5" s="142" t="s">
        <v>29</v>
      </c>
      <c r="C5" s="143" t="s">
        <v>17</v>
      </c>
      <c r="D5" s="175"/>
      <c r="E5" s="175">
        <f>'[2]6.北海热电厂（水炉）表'!$M$26</f>
        <v>20712.2222222222</v>
      </c>
      <c r="F5" s="175">
        <f>[3]北海水炉!G5</f>
        <v>26656</v>
      </c>
      <c r="G5" s="175">
        <f>'[7]26.1'!$D$10</f>
        <v>42844</v>
      </c>
      <c r="H5" s="175">
        <f>'[7]26.1'!$I$10</f>
        <v>42844</v>
      </c>
      <c r="I5" s="145" t="str">
        <f t="shared" si="0"/>
        <v>-</v>
      </c>
      <c r="J5" s="23">
        <f t="shared" si="1"/>
        <v>22131.7777777778</v>
      </c>
      <c r="K5" s="147">
        <f t="shared" si="2"/>
        <v>1.06853709564938</v>
      </c>
      <c r="L5" s="23">
        <f t="shared" si="3"/>
        <v>16188</v>
      </c>
      <c r="M5" s="147">
        <f t="shared" si="4"/>
        <v>0.607292917166867</v>
      </c>
    </row>
    <row r="6" s="64" customFormat="1" ht="27" customHeight="1" spans="1:13">
      <c r="A6" s="395"/>
      <c r="B6" s="142" t="s">
        <v>135</v>
      </c>
      <c r="C6" s="143" t="s">
        <v>17</v>
      </c>
      <c r="D6" s="175"/>
      <c r="E6" s="175">
        <f>'[2]6.北海热电厂（水炉）表'!$M$37</f>
        <v>17</v>
      </c>
      <c r="F6" s="175">
        <f>[3]北海水炉!G6</f>
        <v>17.1</v>
      </c>
      <c r="G6" s="175">
        <f>'[7]26.1'!$D$11</f>
        <v>9</v>
      </c>
      <c r="H6" s="175">
        <f>'[7]26.1'!$I$11</f>
        <v>9</v>
      </c>
      <c r="I6" s="145" t="str">
        <f t="shared" si="0"/>
        <v>-</v>
      </c>
      <c r="J6" s="23">
        <f t="shared" si="1"/>
        <v>-8</v>
      </c>
      <c r="K6" s="147">
        <f t="shared" si="2"/>
        <v>-0.470588235294118</v>
      </c>
      <c r="L6" s="23">
        <f t="shared" si="3"/>
        <v>-8.1</v>
      </c>
      <c r="M6" s="147">
        <f t="shared" si="4"/>
        <v>-0.473684210526316</v>
      </c>
    </row>
    <row r="7" s="64" customFormat="1" ht="27" customHeight="1" spans="1:13">
      <c r="A7" s="395"/>
      <c r="B7" s="142" t="s">
        <v>55</v>
      </c>
      <c r="C7" s="143" t="s">
        <v>17</v>
      </c>
      <c r="D7" s="178"/>
      <c r="E7" s="175">
        <f>'[2]6.北海热电厂（水炉）表'!$M$29</f>
        <v>13340</v>
      </c>
      <c r="F7" s="175">
        <f>[3]北海水炉!G7</f>
        <v>16413.64</v>
      </c>
      <c r="G7" s="175">
        <f>'[7]26.1'!$D$12</f>
        <v>27625.9182537601</v>
      </c>
      <c r="H7" s="175">
        <f>'[7]26.1'!$I$12</f>
        <v>27625.9182537601</v>
      </c>
      <c r="I7" s="145" t="str">
        <f t="shared" si="0"/>
        <v>-</v>
      </c>
      <c r="J7" s="23">
        <f t="shared" si="1"/>
        <v>14285.9182537601</v>
      </c>
      <c r="K7" s="147">
        <f t="shared" si="2"/>
        <v>1.0709084148246</v>
      </c>
      <c r="L7" s="23">
        <f t="shared" si="3"/>
        <v>11212.2782537601</v>
      </c>
      <c r="M7" s="147">
        <f t="shared" si="4"/>
        <v>0.683107357890151</v>
      </c>
    </row>
    <row r="8" s="64" customFormat="1" ht="27" customHeight="1" spans="1:13">
      <c r="A8" s="395"/>
      <c r="B8" s="396" t="s">
        <v>58</v>
      </c>
      <c r="C8" s="143" t="s">
        <v>17</v>
      </c>
      <c r="D8" s="148">
        <f t="shared" ref="D8:F8" si="5">D7-1.4571*D6</f>
        <v>0</v>
      </c>
      <c r="E8" s="206">
        <f t="shared" si="5"/>
        <v>13315.2293</v>
      </c>
      <c r="F8" s="206">
        <f t="shared" si="5"/>
        <v>16388.72359</v>
      </c>
      <c r="G8" s="206">
        <f>'[7]26.1'!$D$13</f>
        <v>27612.8043537601</v>
      </c>
      <c r="H8" s="206">
        <f>'[7]26.1'!$I$13</f>
        <v>27612.8043537601</v>
      </c>
      <c r="I8" s="145" t="str">
        <f t="shared" si="0"/>
        <v>-</v>
      </c>
      <c r="J8" s="23">
        <f t="shared" si="1"/>
        <v>14297.5750537601</v>
      </c>
      <c r="K8" s="147">
        <f t="shared" si="2"/>
        <v>1.0737761049117</v>
      </c>
      <c r="L8" s="23">
        <f t="shared" si="3"/>
        <v>11224.0807637601</v>
      </c>
      <c r="M8" s="147">
        <f t="shared" si="4"/>
        <v>0.684866072828806</v>
      </c>
    </row>
    <row r="9" s="64" customFormat="1" ht="27" customHeight="1" spans="1:13">
      <c r="A9" s="395"/>
      <c r="B9" s="142" t="s">
        <v>118</v>
      </c>
      <c r="C9" s="143" t="s">
        <v>17</v>
      </c>
      <c r="D9" s="175"/>
      <c r="E9" s="175">
        <f>'[2]6.北海热电厂（水炉）表'!$M$42</f>
        <v>10607</v>
      </c>
      <c r="F9" s="175">
        <f>[3]北海水炉!G9</f>
        <v>10607</v>
      </c>
      <c r="G9" s="175">
        <f>'[7]26.1'!$D$15</f>
        <v>14442</v>
      </c>
      <c r="H9" s="175">
        <f>'[7]26.1'!$I$15</f>
        <v>14442</v>
      </c>
      <c r="I9" s="145" t="str">
        <f t="shared" si="0"/>
        <v>-</v>
      </c>
      <c r="J9" s="23">
        <f t="shared" si="1"/>
        <v>3835</v>
      </c>
      <c r="K9" s="147">
        <f t="shared" si="2"/>
        <v>0.361553690958801</v>
      </c>
      <c r="L9" s="23">
        <f t="shared" si="3"/>
        <v>3835</v>
      </c>
      <c r="M9" s="147">
        <f t="shared" si="4"/>
        <v>0.361553690958801</v>
      </c>
    </row>
    <row r="10" s="64" customFormat="1" ht="27" customHeight="1" spans="1:13">
      <c r="A10" s="395"/>
      <c r="B10" s="142" t="s">
        <v>136</v>
      </c>
      <c r="C10" s="143" t="s">
        <v>17</v>
      </c>
      <c r="D10" s="175"/>
      <c r="E10" s="175">
        <f>'[2]6.北海热电厂（水炉）表'!$M$51</f>
        <v>2800</v>
      </c>
      <c r="F10" s="175">
        <f>[3]北海水炉!G10</f>
        <v>2800</v>
      </c>
      <c r="G10" s="175">
        <f>'[7]26.1'!$D$16</f>
        <v>300</v>
      </c>
      <c r="H10" s="175">
        <f>'[7]26.1'!$I$16</f>
        <v>300</v>
      </c>
      <c r="I10" s="145" t="str">
        <f t="shared" si="0"/>
        <v>-</v>
      </c>
      <c r="J10" s="23">
        <f t="shared" si="1"/>
        <v>-2500</v>
      </c>
      <c r="K10" s="147">
        <f t="shared" si="2"/>
        <v>-0.892857142857143</v>
      </c>
      <c r="L10" s="23">
        <f t="shared" si="3"/>
        <v>-2500</v>
      </c>
      <c r="M10" s="147">
        <f t="shared" si="4"/>
        <v>-0.892857142857143</v>
      </c>
    </row>
    <row r="11" s="64" customFormat="1" ht="27" customHeight="1" spans="1:13">
      <c r="A11" s="395"/>
      <c r="B11" s="142" t="s">
        <v>137</v>
      </c>
      <c r="C11" s="143" t="s">
        <v>15</v>
      </c>
      <c r="D11" s="175"/>
      <c r="E11" s="347">
        <f>'[2]6.北海热电厂（水炉）表'!$M$64</f>
        <v>259.027147022548</v>
      </c>
      <c r="F11" s="175">
        <f>[3]北海水炉!G11</f>
        <v>302.79476</v>
      </c>
      <c r="G11" s="175">
        <f>'[7]26.1'!$D$17/10000</f>
        <v>508.89136</v>
      </c>
      <c r="H11" s="175">
        <f>'[7]26.1'!$I$17/10000</f>
        <v>508.89136</v>
      </c>
      <c r="I11" s="145" t="str">
        <f t="shared" si="0"/>
        <v>-</v>
      </c>
      <c r="J11" s="23">
        <f t="shared" si="1"/>
        <v>249.864212977452</v>
      </c>
      <c r="K11" s="147">
        <f t="shared" si="2"/>
        <v>0.96462558403464</v>
      </c>
      <c r="L11" s="23">
        <f t="shared" si="3"/>
        <v>206.0966</v>
      </c>
      <c r="M11" s="147">
        <f t="shared" si="4"/>
        <v>0.680647842122499</v>
      </c>
    </row>
    <row r="12" s="64" customFormat="1" ht="27" customHeight="1" spans="1:13">
      <c r="A12" s="395"/>
      <c r="B12" s="142" t="s">
        <v>138</v>
      </c>
      <c r="C12" s="143" t="s">
        <v>15</v>
      </c>
      <c r="D12" s="175">
        <f>D11-D13</f>
        <v>0</v>
      </c>
      <c r="E12" s="347">
        <f>'[2]6.北海热电厂（水炉）表'!$M$69</f>
        <v>259.027147022548</v>
      </c>
      <c r="F12" s="175">
        <f>[3]北海水炉!G12</f>
        <v>302.79476</v>
      </c>
      <c r="G12" s="175">
        <f>'[7]26.1'!$D$18/10000</f>
        <v>508.89136</v>
      </c>
      <c r="H12" s="175">
        <f>'[7]26.1'!$I$18/10000</f>
        <v>508.89136</v>
      </c>
      <c r="I12" s="145" t="str">
        <f t="shared" si="0"/>
        <v>-</v>
      </c>
      <c r="J12" s="23">
        <f t="shared" si="1"/>
        <v>249.864212977452</v>
      </c>
      <c r="K12" s="147">
        <f t="shared" si="2"/>
        <v>0.96462558403464</v>
      </c>
      <c r="L12" s="23">
        <f t="shared" si="3"/>
        <v>206.0966</v>
      </c>
      <c r="M12" s="147">
        <f t="shared" si="4"/>
        <v>0.680647842122499</v>
      </c>
    </row>
    <row r="13" s="64" customFormat="1" ht="27" customHeight="1" spans="1:13">
      <c r="A13" s="395"/>
      <c r="B13" s="142" t="s">
        <v>139</v>
      </c>
      <c r="C13" s="143" t="s">
        <v>15</v>
      </c>
      <c r="D13" s="175"/>
      <c r="E13" s="347">
        <f>'[2]6.北海热电厂（水炉）表'!$M$70</f>
        <v>0</v>
      </c>
      <c r="F13" s="175">
        <f>[3]北海水炉!G13</f>
        <v>0</v>
      </c>
      <c r="G13" s="175">
        <f>'[7]26.1'!$D$19/10000</f>
        <v>0</v>
      </c>
      <c r="H13" s="175">
        <f>'[7]26.1'!$I$19/10000</f>
        <v>0</v>
      </c>
      <c r="I13" s="145" t="str">
        <f t="shared" si="0"/>
        <v>-</v>
      </c>
      <c r="J13" s="23">
        <f t="shared" si="1"/>
        <v>0</v>
      </c>
      <c r="K13" s="147" t="str">
        <f t="shared" si="2"/>
        <v>-</v>
      </c>
      <c r="L13" s="23">
        <f t="shared" si="3"/>
        <v>0</v>
      </c>
      <c r="M13" s="147" t="str">
        <f t="shared" si="4"/>
        <v>-</v>
      </c>
    </row>
    <row r="14" s="64" customFormat="1" ht="27" customHeight="1" spans="1:13">
      <c r="A14" s="395"/>
      <c r="B14" s="142" t="s">
        <v>44</v>
      </c>
      <c r="C14" s="143" t="s">
        <v>17</v>
      </c>
      <c r="D14" s="148"/>
      <c r="E14" s="206">
        <f>'[2]6.北海热电厂（水炉）表'!$M$75</f>
        <v>6963</v>
      </c>
      <c r="F14" s="206">
        <f>[3]北海水炉!G14</f>
        <v>6963</v>
      </c>
      <c r="G14" s="206">
        <f>'[7]26.1'!$D$20</f>
        <v>13000</v>
      </c>
      <c r="H14" s="206">
        <f>'[7]26.1'!$I$20</f>
        <v>13000</v>
      </c>
      <c r="I14" s="145" t="str">
        <f t="shared" si="0"/>
        <v>-</v>
      </c>
      <c r="J14" s="23">
        <f t="shared" si="1"/>
        <v>6037</v>
      </c>
      <c r="K14" s="147">
        <f t="shared" si="2"/>
        <v>0.867011345684331</v>
      </c>
      <c r="L14" s="23">
        <f t="shared" si="3"/>
        <v>6037</v>
      </c>
      <c r="M14" s="147">
        <f t="shared" si="4"/>
        <v>0.867011345684331</v>
      </c>
    </row>
    <row r="15" s="64" customFormat="1" ht="27" customHeight="1" spans="1:13">
      <c r="A15" s="395"/>
      <c r="B15" s="142" t="s">
        <v>45</v>
      </c>
      <c r="C15" s="143" t="s">
        <v>46</v>
      </c>
      <c r="D15" s="148"/>
      <c r="E15" s="206">
        <f>'[2]6.北海热电厂（水炉）表'!$M$76*10000</f>
        <v>37019</v>
      </c>
      <c r="F15" s="206">
        <f>[3]北海水炉!G15</f>
        <v>367085</v>
      </c>
      <c r="G15" s="206">
        <f>'[7]26.1'!$D$21</f>
        <v>571020.4</v>
      </c>
      <c r="H15" s="206">
        <f>'[7]26.1'!$I$21</f>
        <v>571020.4</v>
      </c>
      <c r="I15" s="145" t="str">
        <f t="shared" si="0"/>
        <v>-</v>
      </c>
      <c r="J15" s="23">
        <f t="shared" si="1"/>
        <v>534001.4</v>
      </c>
      <c r="K15" s="147">
        <f t="shared" si="2"/>
        <v>14.4250628055863</v>
      </c>
      <c r="L15" s="23">
        <f t="shared" si="3"/>
        <v>203935.4</v>
      </c>
      <c r="M15" s="147">
        <f t="shared" si="4"/>
        <v>0.555553618371767</v>
      </c>
    </row>
    <row r="16" s="64" customFormat="1" ht="27" customHeight="1" spans="1:13">
      <c r="A16" s="395"/>
      <c r="B16" s="142" t="s">
        <v>38</v>
      </c>
      <c r="C16" s="143" t="s">
        <v>17</v>
      </c>
      <c r="D16" s="148"/>
      <c r="E16" s="206">
        <f>'[2]6.北海热电厂（水炉）表'!$M$55</f>
        <v>491</v>
      </c>
      <c r="F16" s="206">
        <f>[3]北海水炉!G16</f>
        <v>310</v>
      </c>
      <c r="G16" s="206">
        <f>'[7]26.1'!$D$22</f>
        <v>734.29</v>
      </c>
      <c r="H16" s="206">
        <f>'[7]26.1'!$I$22</f>
        <v>734.29</v>
      </c>
      <c r="I16" s="145" t="str">
        <f t="shared" si="0"/>
        <v>-</v>
      </c>
      <c r="J16" s="23">
        <f t="shared" si="1"/>
        <v>243.29</v>
      </c>
      <c r="K16" s="147">
        <f t="shared" si="2"/>
        <v>0.495498981670061</v>
      </c>
      <c r="L16" s="23">
        <f t="shared" si="3"/>
        <v>424.29</v>
      </c>
      <c r="M16" s="147">
        <f t="shared" si="4"/>
        <v>1.36867741935484</v>
      </c>
    </row>
    <row r="17" s="64" customFormat="1" ht="27" customHeight="1" spans="1:14">
      <c r="A17" s="149"/>
      <c r="B17" s="150" t="s">
        <v>39</v>
      </c>
      <c r="C17" s="151" t="s">
        <v>17</v>
      </c>
      <c r="D17" s="152"/>
      <c r="E17" s="397">
        <f>'[2]6.北海热电厂（水炉）表'!$M$56</f>
        <v>99</v>
      </c>
      <c r="F17" s="397">
        <f>[3]北海水炉!G17</f>
        <v>143.67</v>
      </c>
      <c r="G17" s="397">
        <f>'[7]26.1'!$D$23</f>
        <v>253.8</v>
      </c>
      <c r="H17" s="397">
        <f>'[7]26.1'!$I$23</f>
        <v>253.8</v>
      </c>
      <c r="I17" s="153" t="str">
        <f t="shared" si="0"/>
        <v>-</v>
      </c>
      <c r="J17" s="156">
        <f t="shared" si="1"/>
        <v>154.8</v>
      </c>
      <c r="K17" s="157">
        <f t="shared" si="2"/>
        <v>1.56363636363636</v>
      </c>
      <c r="L17" s="156">
        <f t="shared" si="3"/>
        <v>110.13</v>
      </c>
      <c r="M17" s="157">
        <f t="shared" si="4"/>
        <v>0.766548339945709</v>
      </c>
    </row>
    <row r="18" s="64" customFormat="1" ht="27" customHeight="1" spans="1:14">
      <c r="A18" s="92" t="s">
        <v>96</v>
      </c>
      <c r="B18" s="142" t="s">
        <v>140</v>
      </c>
      <c r="C18" s="143" t="s">
        <v>125</v>
      </c>
      <c r="D18" s="204" t="e">
        <f>D11*10000/D4</f>
        <v>#DIV/0!</v>
      </c>
      <c r="E18" s="379">
        <f>E11*10000/E4</f>
        <v>7.35183342385116</v>
      </c>
      <c r="F18" s="379">
        <f>[3]北海水炉!G18</f>
        <v>7.05128243343316</v>
      </c>
      <c r="G18" s="379">
        <f>'[7]26.1'!$D$24</f>
        <v>6.87031847821685</v>
      </c>
      <c r="H18" s="379">
        <f>'[7]26.1'!$I$24</f>
        <v>6.87031847821685</v>
      </c>
      <c r="I18" s="145" t="str">
        <f t="shared" si="0"/>
        <v>-</v>
      </c>
      <c r="J18" s="160">
        <f t="shared" si="1"/>
        <v>-0.481514945634312</v>
      </c>
      <c r="K18" s="147">
        <f t="shared" si="2"/>
        <v>-0.0654958998488946</v>
      </c>
      <c r="L18" s="160">
        <f t="shared" si="3"/>
        <v>-0.180963955216308</v>
      </c>
      <c r="M18" s="147">
        <f t="shared" si="4"/>
        <v>-0.0256639777125194</v>
      </c>
    </row>
    <row r="19" s="64" customFormat="1" ht="27" customHeight="1" spans="1:14">
      <c r="A19" s="95"/>
      <c r="B19" s="142" t="s">
        <v>69</v>
      </c>
      <c r="C19" s="143" t="s">
        <v>70</v>
      </c>
      <c r="D19" s="204" t="e">
        <f>D7*1000/D4</f>
        <v>#DIV/0!</v>
      </c>
      <c r="E19" s="379">
        <f>E7*1000/E4</f>
        <v>37.8622314307609</v>
      </c>
      <c r="F19" s="379">
        <f>[3]北海水炉!G19</f>
        <v>38.2229901867178</v>
      </c>
      <c r="G19" s="379">
        <f>'[7]26.1'!$D$25</f>
        <v>37.2965374488803</v>
      </c>
      <c r="H19" s="379">
        <f>'[7]26.1'!$I$25</f>
        <v>37.2965374488803</v>
      </c>
      <c r="I19" s="145" t="str">
        <f t="shared" si="0"/>
        <v>-</v>
      </c>
      <c r="J19" s="160">
        <f t="shared" si="1"/>
        <v>-0.565693981880635</v>
      </c>
      <c r="K19" s="147">
        <f t="shared" si="2"/>
        <v>-0.0149408516218894</v>
      </c>
      <c r="L19" s="160">
        <f t="shared" si="3"/>
        <v>-0.926452737837536</v>
      </c>
      <c r="M19" s="147">
        <f t="shared" si="4"/>
        <v>-0.0242381020770968</v>
      </c>
    </row>
    <row r="20" s="64" customFormat="1" ht="27" customHeight="1" spans="1:14">
      <c r="A20" s="95"/>
      <c r="B20" s="142" t="s">
        <v>97</v>
      </c>
      <c r="C20" s="143" t="s">
        <v>98</v>
      </c>
      <c r="D20" s="36" t="e">
        <f>D7/D5*29308</f>
        <v>#DIV/0!</v>
      </c>
      <c r="E20" s="292">
        <f>(E7-E6*1.4571)*29308/E5</f>
        <v>18841.1816046328</v>
      </c>
      <c r="F20" s="292">
        <f>[3]北海水炉!G20</f>
        <v>18019.2304081633</v>
      </c>
      <c r="G20" s="292">
        <f>'[7]26.1'!$D$28</f>
        <v>18888.9008962749</v>
      </c>
      <c r="H20" s="292">
        <f>'[7]26.1'!$I$28</f>
        <v>18888.9008962749</v>
      </c>
      <c r="I20" s="145" t="str">
        <f t="shared" si="0"/>
        <v>-</v>
      </c>
      <c r="J20" s="23">
        <f t="shared" si="1"/>
        <v>47.7192916420827</v>
      </c>
      <c r="K20" s="147">
        <f t="shared" si="2"/>
        <v>0.0025327122599545</v>
      </c>
      <c r="L20" s="23">
        <f t="shared" si="3"/>
        <v>869.670488111631</v>
      </c>
      <c r="M20" s="147">
        <f t="shared" si="4"/>
        <v>0.048263464554937</v>
      </c>
    </row>
    <row r="21" s="64" customFormat="1" ht="27" customHeight="1" spans="1:14">
      <c r="A21" s="149"/>
      <c r="B21" s="398" t="s">
        <v>141</v>
      </c>
      <c r="C21" s="151" t="s">
        <v>64</v>
      </c>
      <c r="D21" s="399" t="e">
        <f>D4/(D7*29.308)</f>
        <v>#DIV/0!</v>
      </c>
      <c r="E21" s="400">
        <f>E4/(E7*29.308)</f>
        <v>0.901171837992564</v>
      </c>
      <c r="F21" s="400">
        <f>[3]北海水炉!G21</f>
        <v>0.892666338302731</v>
      </c>
      <c r="G21" s="400">
        <f>'[7]26.1'!$D$30</f>
        <v>0.914840331645398</v>
      </c>
      <c r="H21" s="400">
        <f>'[7]26.1'!$I$30</f>
        <v>0.914840331645398</v>
      </c>
      <c r="I21" s="401" t="s">
        <v>65</v>
      </c>
      <c r="J21" s="153">
        <f t="shared" si="1"/>
        <v>0.0136684936528343</v>
      </c>
      <c r="K21" s="179" t="s">
        <v>65</v>
      </c>
      <c r="L21" s="153">
        <f t="shared" si="3"/>
        <v>0.0221739933426667</v>
      </c>
      <c r="M21" s="402" t="s">
        <v>65</v>
      </c>
      <c r="N21" s="82"/>
    </row>
    <row r="22" s="64" customFormat="1" ht="27" customHeight="1" spans="1:14">
      <c r="A22" s="403" t="s">
        <v>99</v>
      </c>
      <c r="B22" s="404" t="s">
        <v>142</v>
      </c>
      <c r="C22" s="405" t="s">
        <v>64</v>
      </c>
      <c r="D22" s="406">
        <f>D4/3.6/D3/(365*24)</f>
        <v>0</v>
      </c>
      <c r="E22" s="407">
        <f>E4/3.6/E3/(DAY(DATE(2026,2,0))*24)</f>
        <v>0.378002736236422</v>
      </c>
      <c r="F22" s="407">
        <f>[3]北海水炉!G22</f>
        <v>0.460707799475412</v>
      </c>
      <c r="G22" s="406">
        <f>'[7]26.1'!$D$31</f>
        <v>0.794682277290268</v>
      </c>
      <c r="H22" s="406">
        <f>'[7]26.1'!$I$31</f>
        <v>0.794682277290268</v>
      </c>
      <c r="I22" s="281" t="s">
        <v>65</v>
      </c>
      <c r="J22" s="168">
        <f t="shared" si="1"/>
        <v>0.416679541053846</v>
      </c>
      <c r="K22" s="281" t="s">
        <v>65</v>
      </c>
      <c r="L22" s="168">
        <f t="shared" si="3"/>
        <v>0.333974477814856</v>
      </c>
      <c r="M22" s="283" t="s">
        <v>65</v>
      </c>
      <c r="N22" s="82"/>
    </row>
    <row r="23" spans="1:14">
      <c r="N23" s="32"/>
    </row>
    <row r="24" spans="1:14">
      <c r="A24" s="186"/>
    </row>
    <row r="25" spans="1:14">
      <c r="A25" s="186"/>
    </row>
  </sheetData>
  <mergeCells count="14">
    <mergeCell ref="J1:K1"/>
    <mergeCell ref="L1:M1"/>
    <mergeCell ref="A1:A2"/>
    <mergeCell ref="A3:A4"/>
    <mergeCell ref="A5:A17"/>
    <mergeCell ref="A18:A21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550694444444444" right="0.550694444444444" top="1.25972222222222" bottom="0.472222222222222" header="0.984027777777778" footer="0.393055555555556"/>
  <pageSetup paperSize="9" scale="80" orientation="landscape" horizontalDpi="600" verticalDpi="600"/>
  <headerFooter>
    <oddHeader>&amp;C&amp;"黑体"&amp;20北海热水锅炉2026年1月份主要经营指标统计表&amp;R表    号：     ZB006
制表单位：经济运行部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showGridLines="0" zoomScale="85" zoomScaleNormal="85" zoomScaleSheetLayoutView="60" workbookViewId="0">
      <pane xSplit="2" ySplit="2" topLeftCell="C36" activePane="bottomRight" state="frozen"/>
      <selection/>
      <selection pane="topRight"/>
      <selection pane="bottomLeft"/>
      <selection pane="bottomRight" activeCell="G46" sqref="G46"/>
    </sheetView>
  </sheetViews>
  <sheetFormatPr defaultColWidth="8.66666666666667" defaultRowHeight="15"/>
  <cols>
    <col min="1" max="1" width="10.4583333333333" style="189" customWidth="1"/>
    <col min="2" max="2" width="16.75" style="190" customWidth="1"/>
    <col min="3" max="3" width="13.625" style="189" customWidth="1"/>
    <col min="4" max="4" width="14.0833333333333" style="191" customWidth="1"/>
    <col min="5" max="5" width="10.125" style="191" customWidth="1"/>
    <col min="6" max="8" width="9.625" style="191" customWidth="1"/>
    <col min="9" max="13" width="8.625" style="191" customWidth="1"/>
    <col min="14" max="32" width="9" style="190"/>
    <col min="33" max="16384" width="8.66666666666667" style="190"/>
  </cols>
  <sheetData>
    <row r="1" ht="18" customHeight="1" spans="1:14">
      <c r="A1" s="69" t="s">
        <v>84</v>
      </c>
      <c r="B1" s="70" t="s">
        <v>112</v>
      </c>
      <c r="C1" s="70" t="s">
        <v>2</v>
      </c>
      <c r="D1" s="137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86</v>
      </c>
      <c r="J1" s="8" t="s">
        <v>9</v>
      </c>
      <c r="K1" s="3"/>
      <c r="L1" s="8" t="s">
        <v>10</v>
      </c>
      <c r="M1" s="139"/>
    </row>
    <row r="2" ht="19.5" customHeight="1" spans="1:14">
      <c r="A2" s="74"/>
      <c r="B2" s="75"/>
      <c r="C2" s="75"/>
      <c r="D2" s="140"/>
      <c r="E2" s="76"/>
      <c r="F2" s="76"/>
      <c r="G2" s="141"/>
      <c r="H2" s="76"/>
      <c r="I2" s="141"/>
      <c r="J2" s="14" t="s">
        <v>11</v>
      </c>
      <c r="K2" s="235" t="s">
        <v>12</v>
      </c>
      <c r="L2" s="14" t="s">
        <v>11</v>
      </c>
      <c r="M2" s="141" t="s">
        <v>12</v>
      </c>
    </row>
    <row r="3" s="187" customFormat="1" ht="18" customHeight="1" spans="1:14">
      <c r="A3" s="198" t="s">
        <v>87</v>
      </c>
      <c r="B3" s="203" t="s">
        <v>23</v>
      </c>
      <c r="C3" s="143" t="s">
        <v>15</v>
      </c>
      <c r="D3" s="175"/>
      <c r="E3" s="175">
        <f>'[2]8.香海热电厂表'!$M$7</f>
        <v>5849</v>
      </c>
      <c r="F3" s="175">
        <f>[3]香海!G3</f>
        <v>5823.936</v>
      </c>
      <c r="G3" s="175">
        <f>'[6]26.1'!$F$7/10000</f>
        <v>5767.632</v>
      </c>
      <c r="H3" s="361">
        <f>'[6]26.1'!$L$7/10000</f>
        <v>5767.632</v>
      </c>
      <c r="I3" s="145" t="str">
        <f t="shared" ref="I3:I29" si="0">IFERROR(H3/D3,"-")</f>
        <v>-</v>
      </c>
      <c r="J3" s="23">
        <f t="shared" ref="J3:J46" si="1">IFERROR(G3-E3,"-")</f>
        <v>-81.3680000000004</v>
      </c>
      <c r="K3" s="236">
        <f t="shared" ref="K3:K29" si="2">IFERROR(J3/E3,"-")</f>
        <v>-0.0139114378526244</v>
      </c>
      <c r="L3" s="23">
        <f t="shared" ref="L3:L46" si="3">IFERROR(G3-F3,"-")</f>
        <v>-56.3040000000001</v>
      </c>
      <c r="M3" s="236">
        <f t="shared" ref="M3:M29" si="4">IFERROR(L3/F3,"-")</f>
        <v>-0.00966768865591931</v>
      </c>
      <c r="N3" s="362"/>
    </row>
    <row r="4" s="187" customFormat="1" ht="18" customHeight="1" spans="1:14">
      <c r="A4" s="199"/>
      <c r="B4" s="203" t="s">
        <v>14</v>
      </c>
      <c r="C4" s="143" t="s">
        <v>15</v>
      </c>
      <c r="D4" s="175"/>
      <c r="E4" s="175">
        <f>'[2]8.香海热电厂表'!$M$14</f>
        <v>4387</v>
      </c>
      <c r="F4" s="175">
        <f>[3]香海!G4</f>
        <v>4365.4248</v>
      </c>
      <c r="G4" s="175">
        <f>'[6]26.1'!$F$8/10000</f>
        <v>4113.7272</v>
      </c>
      <c r="H4" s="361">
        <f>'[6]26.1'!$L$8/10000</f>
        <v>4113.7272</v>
      </c>
      <c r="I4" s="145" t="str">
        <f t="shared" si="0"/>
        <v>-</v>
      </c>
      <c r="J4" s="23">
        <f t="shared" si="1"/>
        <v>-273.2728</v>
      </c>
      <c r="K4" s="236">
        <f t="shared" si="2"/>
        <v>-0.0622914976065648</v>
      </c>
      <c r="L4" s="23">
        <f t="shared" si="3"/>
        <v>-251.6976</v>
      </c>
      <c r="M4" s="236">
        <f t="shared" si="4"/>
        <v>-0.0576570692501677</v>
      </c>
      <c r="N4" s="363"/>
    </row>
    <row r="5" s="187" customFormat="1" ht="18" customHeight="1" spans="1:14">
      <c r="A5" s="199"/>
      <c r="B5" s="203" t="s">
        <v>27</v>
      </c>
      <c r="C5" s="143" t="s">
        <v>17</v>
      </c>
      <c r="D5" s="175"/>
      <c r="E5" s="175">
        <f>'[2]8.香海热电厂表'!$M$9</f>
        <v>65000</v>
      </c>
      <c r="F5" s="175">
        <f>[3]香海!G5</f>
        <v>64839</v>
      </c>
      <c r="G5" s="175">
        <f>'[6]26.1'!$F$12</f>
        <v>77888</v>
      </c>
      <c r="H5" s="361">
        <f>'[6]26.1'!$L$12</f>
        <v>77888</v>
      </c>
      <c r="I5" s="145" t="str">
        <f t="shared" si="0"/>
        <v>-</v>
      </c>
      <c r="J5" s="23">
        <f t="shared" si="1"/>
        <v>12888</v>
      </c>
      <c r="K5" s="236">
        <f t="shared" si="2"/>
        <v>0.198276923076923</v>
      </c>
      <c r="L5" s="23">
        <f t="shared" si="3"/>
        <v>13049</v>
      </c>
      <c r="M5" s="236">
        <f t="shared" si="4"/>
        <v>0.201252332700998</v>
      </c>
      <c r="N5" s="363"/>
    </row>
    <row r="6" s="187" customFormat="1" ht="18" customHeight="1" spans="1:14">
      <c r="A6" s="199"/>
      <c r="B6" s="203" t="s">
        <v>24</v>
      </c>
      <c r="C6" s="143" t="s">
        <v>19</v>
      </c>
      <c r="D6" s="175"/>
      <c r="E6" s="175">
        <f>'[2]8.香海热电厂表'!$M$8</f>
        <v>835500.11</v>
      </c>
      <c r="F6" s="175">
        <f>[3]香海!G6</f>
        <v>840392.887266</v>
      </c>
      <c r="G6" s="175">
        <f>'[6]26.1'!$F$9</f>
        <v>967138.542272</v>
      </c>
      <c r="H6" s="364">
        <f>'[6]26.1'!$L$9</f>
        <v>967138.542272</v>
      </c>
      <c r="I6" s="145" t="str">
        <f t="shared" si="0"/>
        <v>-</v>
      </c>
      <c r="J6" s="23">
        <f t="shared" si="1"/>
        <v>131638.432272</v>
      </c>
      <c r="K6" s="238">
        <f t="shared" si="2"/>
        <v>0.157556451155943</v>
      </c>
      <c r="L6" s="23">
        <f t="shared" si="3"/>
        <v>126745.655006</v>
      </c>
      <c r="M6" s="238">
        <f t="shared" si="4"/>
        <v>0.150817143893654</v>
      </c>
      <c r="N6" s="363"/>
    </row>
    <row r="7" s="187" customFormat="1" ht="18" customHeight="1" spans="1:14">
      <c r="A7" s="199"/>
      <c r="B7" s="203" t="s">
        <v>143</v>
      </c>
      <c r="C7" s="143" t="s">
        <v>19</v>
      </c>
      <c r="D7" s="175"/>
      <c r="E7" s="175">
        <f>'[2]8.香海热电厂表'!$M$11</f>
        <v>222082</v>
      </c>
      <c r="F7" s="175">
        <f>[3]香海!G7</f>
        <v>217507</v>
      </c>
      <c r="G7" s="175">
        <f>'[6]26.1'!$F$10</f>
        <v>264848</v>
      </c>
      <c r="H7" s="364">
        <f>'[6]26.1'!$L$10</f>
        <v>264848</v>
      </c>
      <c r="I7" s="145" t="str">
        <f t="shared" si="0"/>
        <v>-</v>
      </c>
      <c r="J7" s="23">
        <f t="shared" si="1"/>
        <v>42766</v>
      </c>
      <c r="K7" s="238">
        <f t="shared" si="2"/>
        <v>0.192568510730271</v>
      </c>
      <c r="L7" s="23">
        <f t="shared" si="3"/>
        <v>47341</v>
      </c>
      <c r="M7" s="238">
        <f t="shared" si="4"/>
        <v>0.217652765198361</v>
      </c>
      <c r="N7" s="363"/>
    </row>
    <row r="8" s="187" customFormat="1" ht="18" customHeight="1" spans="1:14">
      <c r="A8" s="201"/>
      <c r="B8" s="248" t="s">
        <v>144</v>
      </c>
      <c r="C8" s="249" t="s">
        <v>19</v>
      </c>
      <c r="D8" s="365"/>
      <c r="E8" s="366">
        <f>'[2]8.香海热电厂表'!$M$10</f>
        <v>421558</v>
      </c>
      <c r="F8" s="366">
        <f>[3]香海!G8</f>
        <v>431501</v>
      </c>
      <c r="G8" s="366">
        <f>'[6]26.1'!$F$11</f>
        <v>472389</v>
      </c>
      <c r="H8" s="366">
        <f>'[6]26.1'!$L$11</f>
        <v>472389</v>
      </c>
      <c r="I8" s="153" t="str">
        <f t="shared" si="0"/>
        <v>-</v>
      </c>
      <c r="J8" s="251">
        <f t="shared" si="1"/>
        <v>50831</v>
      </c>
      <c r="K8" s="252">
        <f t="shared" si="2"/>
        <v>0.120578900175065</v>
      </c>
      <c r="L8" s="251">
        <f t="shared" si="3"/>
        <v>40888</v>
      </c>
      <c r="M8" s="252">
        <f t="shared" si="4"/>
        <v>0.094757601952255</v>
      </c>
      <c r="N8" s="363"/>
    </row>
    <row r="9" s="187" customFormat="1" ht="18" customHeight="1" spans="1:14">
      <c r="A9" s="198" t="s">
        <v>90</v>
      </c>
      <c r="B9" s="203" t="s">
        <v>115</v>
      </c>
      <c r="C9" s="143" t="s">
        <v>17</v>
      </c>
      <c r="D9" s="175"/>
      <c r="E9" s="175">
        <f>'[2]8.香海热电厂表'!$M$30</f>
        <v>7329</v>
      </c>
      <c r="F9" s="175">
        <f>[3]香海!G9</f>
        <v>7619</v>
      </c>
      <c r="G9" s="175">
        <f>'[6]26.1'!$F$39</f>
        <v>8551.12867688324</v>
      </c>
      <c r="H9" s="361">
        <f>'[6]26.1'!$L$39</f>
        <v>8551.12867688324</v>
      </c>
      <c r="I9" s="145" t="str">
        <f t="shared" si="0"/>
        <v>-</v>
      </c>
      <c r="J9" s="23">
        <f t="shared" si="1"/>
        <v>1222.12867688324</v>
      </c>
      <c r="K9" s="236">
        <f t="shared" si="2"/>
        <v>0.166752446020363</v>
      </c>
      <c r="L9" s="23">
        <f t="shared" si="3"/>
        <v>932.12867688324</v>
      </c>
      <c r="M9" s="236">
        <f t="shared" si="4"/>
        <v>0.122342653482509</v>
      </c>
      <c r="N9" s="363"/>
    </row>
    <row r="10" s="187" customFormat="1" ht="18" customHeight="1" spans="1:14">
      <c r="A10" s="199"/>
      <c r="B10" s="203" t="s">
        <v>116</v>
      </c>
      <c r="C10" s="143" t="s">
        <v>17</v>
      </c>
      <c r="D10" s="175"/>
      <c r="E10" s="175">
        <f>'[2]8.香海热电厂表'!$M$33</f>
        <v>33708</v>
      </c>
      <c r="F10" s="175">
        <f>[3]香海!G10</f>
        <v>33277.5569649835</v>
      </c>
      <c r="G10" s="175">
        <f>'[6]26.1'!$F$42</f>
        <v>39435.0030676916</v>
      </c>
      <c r="H10" s="361">
        <f>'[6]26.1'!$L$42</f>
        <v>39435.0030676916</v>
      </c>
      <c r="I10" s="145" t="str">
        <f t="shared" si="0"/>
        <v>-</v>
      </c>
      <c r="J10" s="23">
        <f t="shared" si="1"/>
        <v>5727.0030676916</v>
      </c>
      <c r="K10" s="236">
        <f t="shared" si="2"/>
        <v>0.169900411406538</v>
      </c>
      <c r="L10" s="23">
        <f t="shared" si="3"/>
        <v>6157.4461027081</v>
      </c>
      <c r="M10" s="236">
        <f t="shared" si="4"/>
        <v>0.185032997139403</v>
      </c>
      <c r="N10" s="363"/>
    </row>
    <row r="11" s="187" customFormat="1" ht="18" customHeight="1" spans="1:14">
      <c r="A11" s="199"/>
      <c r="B11" s="203" t="s">
        <v>55</v>
      </c>
      <c r="C11" s="143" t="s">
        <v>17</v>
      </c>
      <c r="D11" s="178"/>
      <c r="E11" s="175">
        <f>'[2]8.香海热电厂表'!$M$29</f>
        <v>41037</v>
      </c>
      <c r="F11" s="175">
        <f>[3]香海!G11</f>
        <v>40896.5569649835</v>
      </c>
      <c r="G11" s="175">
        <f>'[6]26.1'!$F$38</f>
        <v>47986.1317445748</v>
      </c>
      <c r="H11" s="364">
        <f>SUM(H9:H10)</f>
        <v>47986.1317445748</v>
      </c>
      <c r="I11" s="145" t="str">
        <f t="shared" si="0"/>
        <v>-</v>
      </c>
      <c r="J11" s="23">
        <f t="shared" si="1"/>
        <v>6949.1317445748</v>
      </c>
      <c r="K11" s="236">
        <f t="shared" si="2"/>
        <v>0.169338200759675</v>
      </c>
      <c r="L11" s="23">
        <f t="shared" si="3"/>
        <v>7089.5747795913</v>
      </c>
      <c r="M11" s="236">
        <f t="shared" si="4"/>
        <v>0.173353829899704</v>
      </c>
      <c r="N11" s="363"/>
    </row>
    <row r="12" s="187" customFormat="1" ht="18" customHeight="1" spans="1:14">
      <c r="A12" s="199"/>
      <c r="B12" s="242" t="s">
        <v>58</v>
      </c>
      <c r="C12" s="143" t="s">
        <v>17</v>
      </c>
      <c r="D12" s="178">
        <f t="shared" ref="D12:F12" si="5">D11-1.4571*D23</f>
        <v>0</v>
      </c>
      <c r="E12" s="175">
        <f t="shared" si="5"/>
        <v>41025.3432</v>
      </c>
      <c r="F12" s="175">
        <f t="shared" si="5"/>
        <v>40874.7004649835</v>
      </c>
      <c r="G12" s="175">
        <f>'[6]26.1'!$F$40+'[6]26.1'!$F$43</f>
        <v>47949.7042445748</v>
      </c>
      <c r="H12" s="364">
        <f>'[6]26.1'!$L$40+'[6]26.1'!$L$43</f>
        <v>47949.7042445748</v>
      </c>
      <c r="I12" s="145" t="str">
        <f t="shared" si="0"/>
        <v>-</v>
      </c>
      <c r="J12" s="23">
        <f t="shared" si="1"/>
        <v>6924.36104457483</v>
      </c>
      <c r="K12" s="236">
        <f t="shared" si="2"/>
        <v>0.168782525738257</v>
      </c>
      <c r="L12" s="23">
        <f t="shared" si="3"/>
        <v>7075.00377959134</v>
      </c>
      <c r="M12" s="236">
        <f t="shared" si="4"/>
        <v>0.173090045898987</v>
      </c>
      <c r="N12" s="363"/>
    </row>
    <row r="13" s="187" customFormat="1" ht="18" customHeight="1" spans="1:14">
      <c r="A13" s="199"/>
      <c r="B13" s="203" t="s">
        <v>29</v>
      </c>
      <c r="C13" s="143" t="s">
        <v>17</v>
      </c>
      <c r="D13" s="175"/>
      <c r="E13" s="175">
        <f>'[2]8.香海热电厂表'!$M$26</f>
        <v>59828</v>
      </c>
      <c r="F13" s="175">
        <f>[3]香海!G13</f>
        <v>61990</v>
      </c>
      <c r="G13" s="175">
        <f>'[6]26.1'!$F$14</f>
        <v>73239</v>
      </c>
      <c r="H13" s="361">
        <f>'[6]26.1'!$L$14</f>
        <v>73239</v>
      </c>
      <c r="I13" s="145" t="str">
        <f t="shared" si="0"/>
        <v>-</v>
      </c>
      <c r="J13" s="23">
        <f t="shared" si="1"/>
        <v>13411</v>
      </c>
      <c r="K13" s="236">
        <f t="shared" si="2"/>
        <v>0.224159256535401</v>
      </c>
      <c r="L13" s="23">
        <f t="shared" si="3"/>
        <v>11249</v>
      </c>
      <c r="M13" s="236">
        <f t="shared" si="4"/>
        <v>0.181464752379416</v>
      </c>
      <c r="N13" s="363"/>
    </row>
    <row r="14" s="187" customFormat="1" ht="18" customHeight="1" spans="1:14">
      <c r="A14" s="199"/>
      <c r="B14" s="203" t="s">
        <v>36</v>
      </c>
      <c r="C14" s="143" t="s">
        <v>17</v>
      </c>
      <c r="D14" s="175"/>
      <c r="E14" s="175">
        <f>'[2]8.香海热电厂表'!$M$53</f>
        <v>37</v>
      </c>
      <c r="F14" s="175">
        <f>[3]香海!G14</f>
        <v>37</v>
      </c>
      <c r="G14" s="175">
        <f>'[6]26.1'!$F$23</f>
        <v>32</v>
      </c>
      <c r="H14" s="361">
        <f>'[6]26.1'!$L$23</f>
        <v>32</v>
      </c>
      <c r="I14" s="145" t="str">
        <f t="shared" si="0"/>
        <v>-</v>
      </c>
      <c r="J14" s="23">
        <f t="shared" si="1"/>
        <v>-5</v>
      </c>
      <c r="K14" s="236">
        <f t="shared" si="2"/>
        <v>-0.135135135135135</v>
      </c>
      <c r="L14" s="23">
        <f t="shared" si="3"/>
        <v>-5</v>
      </c>
      <c r="M14" s="236">
        <f t="shared" si="4"/>
        <v>-0.135135135135135</v>
      </c>
      <c r="N14" s="363"/>
    </row>
    <row r="15" s="187" customFormat="1" ht="18" customHeight="1" spans="1:14">
      <c r="A15" s="199"/>
      <c r="B15" s="203" t="s">
        <v>35</v>
      </c>
      <c r="C15" s="143" t="s">
        <v>17</v>
      </c>
      <c r="D15" s="175"/>
      <c r="E15" s="175">
        <f>'[2]8.香海热电厂表'!$M$52</f>
        <v>46</v>
      </c>
      <c r="F15" s="175">
        <f>[3]香海!G15</f>
        <v>46</v>
      </c>
      <c r="G15" s="175">
        <f>'[6]26.1'!$F$22</f>
        <v>40</v>
      </c>
      <c r="H15" s="361">
        <f>'[6]26.1'!$L$22</f>
        <v>40</v>
      </c>
      <c r="I15" s="145" t="str">
        <f t="shared" si="0"/>
        <v>-</v>
      </c>
      <c r="J15" s="23">
        <f t="shared" si="1"/>
        <v>-6</v>
      </c>
      <c r="K15" s="236">
        <f t="shared" si="2"/>
        <v>-0.130434782608696</v>
      </c>
      <c r="L15" s="23">
        <f t="shared" si="3"/>
        <v>-6</v>
      </c>
      <c r="M15" s="236">
        <f t="shared" si="4"/>
        <v>-0.130434782608696</v>
      </c>
      <c r="N15" s="363"/>
    </row>
    <row r="16" s="187" customFormat="1" ht="18" customHeight="1" spans="1:14">
      <c r="A16" s="199"/>
      <c r="B16" s="203" t="s">
        <v>39</v>
      </c>
      <c r="C16" s="143" t="s">
        <v>17</v>
      </c>
      <c r="D16" s="175"/>
      <c r="E16" s="175">
        <f>'[2]8.香海热电厂表'!$M$56</f>
        <v>130</v>
      </c>
      <c r="F16" s="175">
        <f>[3]香海!G16</f>
        <v>113</v>
      </c>
      <c r="G16" s="175">
        <f>'[6]26.1'!$F$26</f>
        <v>201</v>
      </c>
      <c r="H16" s="361">
        <f>'[6]26.1'!$L$26</f>
        <v>201</v>
      </c>
      <c r="I16" s="145" t="str">
        <f t="shared" si="0"/>
        <v>-</v>
      </c>
      <c r="J16" s="23">
        <f t="shared" si="1"/>
        <v>71</v>
      </c>
      <c r="K16" s="236">
        <f t="shared" si="2"/>
        <v>0.546153846153846</v>
      </c>
      <c r="L16" s="23">
        <f t="shared" si="3"/>
        <v>88</v>
      </c>
      <c r="M16" s="236">
        <f t="shared" si="4"/>
        <v>0.778761061946903</v>
      </c>
      <c r="N16" s="363"/>
    </row>
    <row r="17" s="187" customFormat="1" ht="18" customHeight="1" spans="1:14">
      <c r="A17" s="199"/>
      <c r="B17" s="203" t="s">
        <v>40</v>
      </c>
      <c r="C17" s="143" t="s">
        <v>17</v>
      </c>
      <c r="D17" s="367"/>
      <c r="E17" s="368">
        <f>'[2]8.香海热电厂表'!$M$59</f>
        <v>0.9</v>
      </c>
      <c r="F17" s="368">
        <f>[3]香海!G17</f>
        <v>1</v>
      </c>
      <c r="G17" s="368">
        <f>'[6]26.1'!$F$27</f>
        <v>1</v>
      </c>
      <c r="H17" s="368">
        <f>'[6]26.1'!$L$27</f>
        <v>1</v>
      </c>
      <c r="I17" s="145" t="str">
        <f t="shared" si="0"/>
        <v>-</v>
      </c>
      <c r="J17" s="23">
        <f t="shared" si="1"/>
        <v>0.1</v>
      </c>
      <c r="K17" s="236">
        <f t="shared" si="2"/>
        <v>0.111111111111111</v>
      </c>
      <c r="L17" s="244">
        <f t="shared" si="3"/>
        <v>0</v>
      </c>
      <c r="M17" s="236">
        <f t="shared" si="4"/>
        <v>0</v>
      </c>
      <c r="N17" s="363"/>
    </row>
    <row r="18" s="187" customFormat="1" ht="18" customHeight="1" spans="1:14">
      <c r="A18" s="199"/>
      <c r="B18" s="203" t="s">
        <v>41</v>
      </c>
      <c r="C18" s="143" t="s">
        <v>17</v>
      </c>
      <c r="D18" s="367"/>
      <c r="E18" s="368">
        <f>'[2]8.香海热电厂表'!$M$60</f>
        <v>0</v>
      </c>
      <c r="F18" s="368">
        <f>[3]香海!G18</f>
        <v>0</v>
      </c>
      <c r="G18" s="368">
        <f>'[6]26.1'!$F$28</f>
        <v>0</v>
      </c>
      <c r="H18" s="368">
        <f>'[6]26.1'!$L$28</f>
        <v>0</v>
      </c>
      <c r="I18" s="145" t="str">
        <f t="shared" si="0"/>
        <v>-</v>
      </c>
      <c r="J18" s="23">
        <f t="shared" si="1"/>
        <v>0</v>
      </c>
      <c r="K18" s="236" t="str">
        <f t="shared" si="2"/>
        <v>-</v>
      </c>
      <c r="L18" s="244">
        <f t="shared" si="3"/>
        <v>0</v>
      </c>
      <c r="M18" s="236" t="str">
        <f t="shared" si="4"/>
        <v>-</v>
      </c>
      <c r="N18" s="363"/>
    </row>
    <row r="19" s="187" customFormat="1" ht="18" customHeight="1" spans="1:14">
      <c r="A19" s="199"/>
      <c r="B19" s="203" t="s">
        <v>44</v>
      </c>
      <c r="C19" s="287" t="s">
        <v>17</v>
      </c>
      <c r="D19" s="148"/>
      <c r="E19" s="206">
        <f>'[2]8.香海热电厂表'!$M$75</f>
        <v>25000</v>
      </c>
      <c r="F19" s="206">
        <f>[3]香海!G19</f>
        <v>25240</v>
      </c>
      <c r="G19" s="206">
        <f>'[6]26.1'!$F$65</f>
        <v>32849</v>
      </c>
      <c r="H19" s="206">
        <f>'[6]26.1'!$L$65</f>
        <v>32849</v>
      </c>
      <c r="I19" s="145" t="str">
        <f t="shared" si="0"/>
        <v>-</v>
      </c>
      <c r="J19" s="23">
        <f t="shared" si="1"/>
        <v>7849</v>
      </c>
      <c r="K19" s="236">
        <f t="shared" si="2"/>
        <v>0.31396</v>
      </c>
      <c r="L19" s="23">
        <f t="shared" si="3"/>
        <v>7609</v>
      </c>
      <c r="M19" s="236">
        <f t="shared" si="4"/>
        <v>0.301465927099842</v>
      </c>
      <c r="N19" s="363"/>
    </row>
    <row r="20" s="187" customFormat="1" ht="18" customHeight="1" spans="1:14">
      <c r="A20" s="199"/>
      <c r="B20" s="203" t="s">
        <v>45</v>
      </c>
      <c r="C20" s="287" t="s">
        <v>46</v>
      </c>
      <c r="D20" s="148"/>
      <c r="E20" s="206">
        <f>'[2]8.香海热电厂表'!$M$76*10000</f>
        <v>1080000</v>
      </c>
      <c r="F20" s="206">
        <f>[3]香海!G20</f>
        <v>1075554</v>
      </c>
      <c r="G20" s="206">
        <f>'[6]26.1'!$F$66</f>
        <v>1283190</v>
      </c>
      <c r="H20" s="206">
        <f>'[6]26.1'!$L$66</f>
        <v>1283190</v>
      </c>
      <c r="I20" s="145" t="str">
        <f t="shared" si="0"/>
        <v>-</v>
      </c>
      <c r="J20" s="23">
        <f t="shared" si="1"/>
        <v>203190</v>
      </c>
      <c r="K20" s="236">
        <f t="shared" si="2"/>
        <v>0.188138888888889</v>
      </c>
      <c r="L20" s="23">
        <f t="shared" si="3"/>
        <v>207636</v>
      </c>
      <c r="M20" s="236">
        <f t="shared" si="4"/>
        <v>0.193050279204949</v>
      </c>
      <c r="N20" s="363"/>
    </row>
    <row r="21" s="187" customFormat="1" ht="18" customHeight="1" spans="1:14">
      <c r="A21" s="199"/>
      <c r="B21" s="369" t="s">
        <v>145</v>
      </c>
      <c r="C21" s="143" t="s">
        <v>17</v>
      </c>
      <c r="D21" s="148"/>
      <c r="E21" s="206">
        <f>'[2]8.香海热电厂表'!$M$43</f>
        <v>25000</v>
      </c>
      <c r="F21" s="206">
        <f>[3]香海!G21</f>
        <v>26263</v>
      </c>
      <c r="G21" s="206">
        <f>'[6]26.1'!$F$63+'[6]26.1'!$F$64</f>
        <v>25920</v>
      </c>
      <c r="H21" s="206">
        <f>'[6]26.1'!$L$63+'[6]26.1'!$L$64</f>
        <v>25920</v>
      </c>
      <c r="I21" s="145" t="str">
        <f t="shared" si="0"/>
        <v>-</v>
      </c>
      <c r="J21" s="23">
        <f t="shared" si="1"/>
        <v>920</v>
      </c>
      <c r="K21" s="236">
        <f t="shared" si="2"/>
        <v>0.0368</v>
      </c>
      <c r="L21" s="23">
        <f t="shared" si="3"/>
        <v>-343</v>
      </c>
      <c r="M21" s="236">
        <f t="shared" si="4"/>
        <v>-0.01306019875871</v>
      </c>
      <c r="N21" s="363"/>
    </row>
    <row r="22" s="187" customFormat="1" ht="18" customHeight="1" spans="1:14">
      <c r="A22" s="199"/>
      <c r="B22" s="142" t="s">
        <v>118</v>
      </c>
      <c r="C22" s="143" t="s">
        <v>17</v>
      </c>
      <c r="D22" s="175"/>
      <c r="E22" s="175">
        <f>'[2]8.香海热电厂表'!$M$42</f>
        <v>165000</v>
      </c>
      <c r="F22" s="175">
        <f>[3]香海!G22</f>
        <v>162989</v>
      </c>
      <c r="G22" s="175">
        <f>'[6]26.1'!$F$20-'[6]26.1'!$F$63-'[6]26.1'!$F$64</f>
        <v>168854</v>
      </c>
      <c r="H22" s="361">
        <f>'[6]26.1'!$L$20-'[6]26.1'!$L$63-'[6]26.1'!$L$64</f>
        <v>168854</v>
      </c>
      <c r="I22" s="145" t="str">
        <f t="shared" si="0"/>
        <v>-</v>
      </c>
      <c r="J22" s="23">
        <f t="shared" si="1"/>
        <v>3854</v>
      </c>
      <c r="K22" s="236">
        <f t="shared" si="2"/>
        <v>0.0233575757575758</v>
      </c>
      <c r="L22" s="23">
        <f t="shared" si="3"/>
        <v>5865</v>
      </c>
      <c r="M22" s="236">
        <f t="shared" si="4"/>
        <v>0.035984023461706</v>
      </c>
      <c r="N22" s="363"/>
    </row>
    <row r="23" s="187" customFormat="1" ht="18" customHeight="1" spans="1:14">
      <c r="A23" s="199"/>
      <c r="B23" s="203" t="s">
        <v>120</v>
      </c>
      <c r="C23" s="143" t="s">
        <v>17</v>
      </c>
      <c r="D23" s="175"/>
      <c r="E23" s="175">
        <f>'[2]8.香海热电厂表'!$M$37</f>
        <v>8</v>
      </c>
      <c r="F23" s="175">
        <f>[3]香海!G23</f>
        <v>15</v>
      </c>
      <c r="G23" s="175">
        <f>'[6]26.1'!$F$17</f>
        <v>25</v>
      </c>
      <c r="H23" s="364">
        <f>'[6]26.1'!$L$17</f>
        <v>25</v>
      </c>
      <c r="I23" s="145" t="str">
        <f t="shared" si="0"/>
        <v>-</v>
      </c>
      <c r="J23" s="23">
        <f t="shared" si="1"/>
        <v>17</v>
      </c>
      <c r="K23" s="238">
        <f t="shared" si="2"/>
        <v>2.125</v>
      </c>
      <c r="L23" s="23">
        <f t="shared" si="3"/>
        <v>10</v>
      </c>
      <c r="M23" s="238">
        <f t="shared" si="4"/>
        <v>0.666666666666667</v>
      </c>
      <c r="N23" s="363"/>
    </row>
    <row r="24" s="187" customFormat="1" ht="18" customHeight="1" spans="1:14">
      <c r="A24" s="199"/>
      <c r="B24" s="203" t="s">
        <v>38</v>
      </c>
      <c r="C24" s="143" t="s">
        <v>17</v>
      </c>
      <c r="D24" s="175"/>
      <c r="E24" s="175">
        <f>'[2]8.香海热电厂表'!$M$55</f>
        <v>925</v>
      </c>
      <c r="F24" s="175">
        <f>[3]香海!G24</f>
        <v>840</v>
      </c>
      <c r="G24" s="175">
        <f>'[6]26.1'!$F$25</f>
        <v>854</v>
      </c>
      <c r="H24" s="364">
        <f>'[6]26.1'!$L$25</f>
        <v>854</v>
      </c>
      <c r="I24" s="145" t="str">
        <f t="shared" si="0"/>
        <v>-</v>
      </c>
      <c r="J24" s="23">
        <f t="shared" si="1"/>
        <v>-71</v>
      </c>
      <c r="K24" s="238">
        <f t="shared" si="2"/>
        <v>-0.0767567567567567</v>
      </c>
      <c r="L24" s="23">
        <f t="shared" si="3"/>
        <v>14</v>
      </c>
      <c r="M24" s="238">
        <f t="shared" si="4"/>
        <v>0.0166666666666667</v>
      </c>
      <c r="N24" s="363"/>
    </row>
    <row r="25" s="187" customFormat="1" ht="18" customHeight="1" spans="1:14">
      <c r="A25" s="199"/>
      <c r="B25" s="203" t="s">
        <v>49</v>
      </c>
      <c r="C25" s="143" t="s">
        <v>15</v>
      </c>
      <c r="D25" s="36"/>
      <c r="E25" s="292">
        <f>'[2]8.香海热电厂表'!$M$70</f>
        <v>0</v>
      </c>
      <c r="F25" s="292">
        <f>[3]香海!G25</f>
        <v>0</v>
      </c>
      <c r="G25" s="292">
        <f>'[6]26.1'!$F$60/10000</f>
        <v>0</v>
      </c>
      <c r="H25" s="292">
        <f>'[6]26.1'!$L$60/10000</f>
        <v>0</v>
      </c>
      <c r="I25" s="145" t="str">
        <f t="shared" si="0"/>
        <v>-</v>
      </c>
      <c r="J25" s="23">
        <f t="shared" si="1"/>
        <v>0</v>
      </c>
      <c r="K25" s="238" t="str">
        <f t="shared" si="2"/>
        <v>-</v>
      </c>
      <c r="L25" s="23">
        <f t="shared" si="3"/>
        <v>0</v>
      </c>
      <c r="M25" s="238" t="str">
        <f t="shared" si="4"/>
        <v>-</v>
      </c>
      <c r="N25" s="363"/>
    </row>
    <row r="26" s="187" customFormat="1" ht="18" customHeight="1" spans="1:14">
      <c r="A26" s="199"/>
      <c r="B26" s="203" t="s">
        <v>51</v>
      </c>
      <c r="C26" s="143" t="s">
        <v>15</v>
      </c>
      <c r="D26" s="175"/>
      <c r="E26" s="175">
        <f>'[2]8.香海热电厂表'!$M$65</f>
        <v>1462</v>
      </c>
      <c r="F26" s="175">
        <f>[3]香海!G26</f>
        <v>1458.5112</v>
      </c>
      <c r="G26" s="175">
        <f>'[6]26.1'!$F$30/10000</f>
        <v>1653.9048</v>
      </c>
      <c r="H26" s="364">
        <f>'[6]26.1'!$L$30/10000</f>
        <v>1653.9048</v>
      </c>
      <c r="I26" s="145" t="str">
        <f t="shared" si="0"/>
        <v>-</v>
      </c>
      <c r="J26" s="23">
        <f t="shared" si="1"/>
        <v>191.9048</v>
      </c>
      <c r="K26" s="238">
        <f t="shared" si="2"/>
        <v>0.131261833105335</v>
      </c>
      <c r="L26" s="23">
        <f t="shared" si="3"/>
        <v>195.3936</v>
      </c>
      <c r="M26" s="238">
        <f t="shared" si="4"/>
        <v>0.133967843373435</v>
      </c>
      <c r="N26" s="363"/>
    </row>
    <row r="27" s="187" customFormat="1" ht="18" customHeight="1" spans="1:14">
      <c r="A27" s="199"/>
      <c r="B27" s="203" t="s">
        <v>93</v>
      </c>
      <c r="C27" s="143" t="s">
        <v>15</v>
      </c>
      <c r="D27" s="175">
        <f t="shared" ref="D27:H27" si="6">D26-D28-D29</f>
        <v>0</v>
      </c>
      <c r="E27" s="175">
        <f t="shared" si="6"/>
        <v>85</v>
      </c>
      <c r="F27" s="175">
        <f t="shared" si="6"/>
        <v>85.107</v>
      </c>
      <c r="G27" s="175">
        <f t="shared" si="6"/>
        <v>57.3928000000001</v>
      </c>
      <c r="H27" s="175">
        <f t="shared" si="6"/>
        <v>57.3928000000001</v>
      </c>
      <c r="I27" s="145" t="str">
        <f t="shared" si="0"/>
        <v>-</v>
      </c>
      <c r="J27" s="23">
        <f t="shared" si="1"/>
        <v>-27.6071999999999</v>
      </c>
      <c r="K27" s="238">
        <f t="shared" si="2"/>
        <v>-0.324790588235293</v>
      </c>
      <c r="L27" s="23">
        <f t="shared" si="3"/>
        <v>-27.7141999999999</v>
      </c>
      <c r="M27" s="238">
        <f t="shared" si="4"/>
        <v>-0.325639489113703</v>
      </c>
      <c r="N27" s="363"/>
    </row>
    <row r="28" s="187" customFormat="1" ht="18" customHeight="1" spans="1:14">
      <c r="A28" s="199"/>
      <c r="B28" s="203" t="s">
        <v>121</v>
      </c>
      <c r="C28" s="143" t="s">
        <v>15</v>
      </c>
      <c r="D28" s="175"/>
      <c r="E28" s="175">
        <f>'[2]8.香海热电厂表'!$M$68</f>
        <v>246</v>
      </c>
      <c r="F28" s="175">
        <f>[3]香海!G27</f>
        <v>255.8652</v>
      </c>
      <c r="G28" s="175">
        <f>'[6]26.1'!$F$33/10000</f>
        <v>284.4984384</v>
      </c>
      <c r="H28" s="364">
        <f>'[6]26.1'!$L$33/10000</f>
        <v>284.4984384</v>
      </c>
      <c r="I28" s="145" t="str">
        <f t="shared" si="0"/>
        <v>-</v>
      </c>
      <c r="J28" s="23">
        <f t="shared" si="1"/>
        <v>38.4984384</v>
      </c>
      <c r="K28" s="238">
        <f t="shared" si="2"/>
        <v>0.156497717073171</v>
      </c>
      <c r="L28" s="23">
        <f t="shared" si="3"/>
        <v>28.6332384</v>
      </c>
      <c r="M28" s="238">
        <f t="shared" si="4"/>
        <v>0.111907513800235</v>
      </c>
      <c r="N28" s="363"/>
    </row>
    <row r="29" s="187" customFormat="1" ht="18" customHeight="1" spans="1:14">
      <c r="A29" s="201"/>
      <c r="B29" s="248" t="s">
        <v>122</v>
      </c>
      <c r="C29" s="249" t="s">
        <v>15</v>
      </c>
      <c r="D29" s="250"/>
      <c r="E29" s="250">
        <f>'[2]8.香海热电厂表'!$M$69</f>
        <v>1131</v>
      </c>
      <c r="F29" s="250">
        <f>[3]香海!G28</f>
        <v>1117.539</v>
      </c>
      <c r="G29" s="250">
        <f>'[6]26.1'!$F$34/10000</f>
        <v>1312.0135616</v>
      </c>
      <c r="H29" s="370">
        <f>'[6]26.1'!$L$34/10000</f>
        <v>1312.0135616</v>
      </c>
      <c r="I29" s="153" t="str">
        <f t="shared" si="0"/>
        <v>-</v>
      </c>
      <c r="J29" s="251">
        <f t="shared" si="1"/>
        <v>181.0135616</v>
      </c>
      <c r="K29" s="252">
        <f t="shared" si="2"/>
        <v>0.160047357736516</v>
      </c>
      <c r="L29" s="251">
        <f t="shared" si="3"/>
        <v>194.4745616</v>
      </c>
      <c r="M29" s="252">
        <f t="shared" si="4"/>
        <v>0.174020380138859</v>
      </c>
      <c r="N29" s="363"/>
    </row>
    <row r="30" s="187" customFormat="1" ht="18" customHeight="1" spans="1:14">
      <c r="A30" s="371" t="s">
        <v>96</v>
      </c>
      <c r="B30" s="203" t="s">
        <v>63</v>
      </c>
      <c r="C30" s="247" t="s">
        <v>64</v>
      </c>
      <c r="D30" s="372" t="e">
        <f>D26/D3</f>
        <v>#DIV/0!</v>
      </c>
      <c r="E30" s="181">
        <f>E26/E3</f>
        <v>0.249957257650881</v>
      </c>
      <c r="F30" s="181">
        <f>[3]香海!G29</f>
        <v>0.250433933339927</v>
      </c>
      <c r="G30" s="181">
        <f>G26/G3</f>
        <v>0.286756297905276</v>
      </c>
      <c r="H30" s="181">
        <f>H26/H3</f>
        <v>0.286756297905276</v>
      </c>
      <c r="I30" s="326" t="s">
        <v>65</v>
      </c>
      <c r="J30" s="147">
        <f t="shared" si="1"/>
        <v>0.0367990402543945</v>
      </c>
      <c r="K30" s="347" t="s">
        <v>65</v>
      </c>
      <c r="L30" s="147">
        <f t="shared" si="3"/>
        <v>0.0363223645653485</v>
      </c>
      <c r="M30" s="373" t="s">
        <v>65</v>
      </c>
      <c r="N30" s="363"/>
    </row>
    <row r="31" s="187" customFormat="1" ht="18" customHeight="1" spans="1:14">
      <c r="A31" s="199"/>
      <c r="B31" s="203" t="s">
        <v>123</v>
      </c>
      <c r="C31" s="143" t="s">
        <v>64</v>
      </c>
      <c r="D31" s="372" t="e">
        <f>D28/D3</f>
        <v>#DIV/0!</v>
      </c>
      <c r="E31" s="181">
        <f>E28/E3</f>
        <v>0.0420584715335955</v>
      </c>
      <c r="F31" s="181">
        <f>[3]香海!G30</f>
        <v>0.0439333811360564</v>
      </c>
      <c r="G31" s="181">
        <f>G28/G3</f>
        <v>0.049326732079994</v>
      </c>
      <c r="H31" s="181">
        <f>H28/H3</f>
        <v>0.049326732079994</v>
      </c>
      <c r="I31" s="326" t="s">
        <v>65</v>
      </c>
      <c r="J31" s="147">
        <f t="shared" si="1"/>
        <v>0.00726826054639851</v>
      </c>
      <c r="K31" s="347" t="s">
        <v>65</v>
      </c>
      <c r="L31" s="147">
        <f t="shared" si="3"/>
        <v>0.00539335094393761</v>
      </c>
      <c r="M31" s="373" t="s">
        <v>65</v>
      </c>
      <c r="N31" s="363"/>
    </row>
    <row r="32" s="187" customFormat="1" ht="18" customHeight="1" spans="1:14">
      <c r="A32" s="199"/>
      <c r="B32" s="203" t="s">
        <v>124</v>
      </c>
      <c r="C32" s="143" t="s">
        <v>125</v>
      </c>
      <c r="D32" s="183" t="e">
        <f>D29*10000/D6</f>
        <v>#DIV/0!</v>
      </c>
      <c r="E32" s="374">
        <f>E29*10000/E6</f>
        <v>13.536802526573</v>
      </c>
      <c r="F32" s="374">
        <f>[3]香海!G31</f>
        <v>13.2978160207379</v>
      </c>
      <c r="G32" s="374">
        <f>G29*10000/G6</f>
        <v>13.5659319141374</v>
      </c>
      <c r="H32" s="374">
        <f>H29*10000/H6</f>
        <v>13.5659319141374</v>
      </c>
      <c r="I32" s="145" t="str">
        <f t="shared" ref="I32:I41" si="7">IFERROR(H32/D32,"-")</f>
        <v>-</v>
      </c>
      <c r="J32" s="215">
        <f t="shared" si="1"/>
        <v>0.0291293875643515</v>
      </c>
      <c r="K32" s="236">
        <f t="shared" ref="K32:K41" si="8">IFERROR(J32/E32,"-")</f>
        <v>0.00215186618163114</v>
      </c>
      <c r="L32" s="215">
        <f t="shared" si="3"/>
        <v>0.268115893399452</v>
      </c>
      <c r="M32" s="236">
        <f t="shared" ref="M32:M41" si="9">IFERROR(L32/F32,"-")</f>
        <v>0.0201624005762545</v>
      </c>
      <c r="N32" s="363"/>
    </row>
    <row r="33" s="187" customFormat="1" ht="18" customHeight="1" spans="1:19">
      <c r="A33" s="199"/>
      <c r="B33" s="203" t="s">
        <v>66</v>
      </c>
      <c r="C33" s="143" t="s">
        <v>67</v>
      </c>
      <c r="D33" s="375" t="e">
        <f>D9*100/D3</f>
        <v>#DIV/0!</v>
      </c>
      <c r="E33" s="376">
        <f>E9*100/E3</f>
        <v>125.303470678749</v>
      </c>
      <c r="F33" s="376">
        <f>[3]香海!G32</f>
        <v>130.822179364608</v>
      </c>
      <c r="G33" s="376">
        <f>G9*100/G3</f>
        <v>148.260649723894</v>
      </c>
      <c r="H33" s="376">
        <f>H9*100/H3</f>
        <v>148.260649723894</v>
      </c>
      <c r="I33" s="145" t="str">
        <f t="shared" si="7"/>
        <v>-</v>
      </c>
      <c r="J33" s="257">
        <f t="shared" si="1"/>
        <v>22.9571790451453</v>
      </c>
      <c r="K33" s="145">
        <f t="shared" si="8"/>
        <v>0.183212635059428</v>
      </c>
      <c r="L33" s="257">
        <f t="shared" si="3"/>
        <v>17.4384703592863</v>
      </c>
      <c r="M33" s="147">
        <f t="shared" si="9"/>
        <v>0.133299035713848</v>
      </c>
      <c r="N33" s="377"/>
      <c r="O33" s="378"/>
      <c r="P33" s="378"/>
    </row>
    <row r="34" s="187" customFormat="1" ht="18" customHeight="1" spans="1:19">
      <c r="A34" s="199"/>
      <c r="B34" s="203" t="s">
        <v>68</v>
      </c>
      <c r="C34" s="143" t="s">
        <v>67</v>
      </c>
      <c r="D34" s="148" t="e">
        <f>D9*100/(D3-D28)</f>
        <v>#DIV/0!</v>
      </c>
      <c r="E34" s="206">
        <f>E9*100/(E3-E28)</f>
        <v>130.804925932536</v>
      </c>
      <c r="F34" s="206">
        <f>[3]香海!G33</f>
        <v>136.833748593858</v>
      </c>
      <c r="G34" s="206">
        <f>G9*100/(G3-G28)</f>
        <v>155.95331721936</v>
      </c>
      <c r="H34" s="206">
        <f>H9*100/(H3-H28)</f>
        <v>155.95331721936</v>
      </c>
      <c r="I34" s="145" t="str">
        <f t="shared" si="7"/>
        <v>-</v>
      </c>
      <c r="J34" s="257">
        <f t="shared" si="1"/>
        <v>25.148391286824</v>
      </c>
      <c r="K34" s="145">
        <f t="shared" si="8"/>
        <v>0.192258747960261</v>
      </c>
      <c r="L34" s="257">
        <f t="shared" si="3"/>
        <v>19.119568625502</v>
      </c>
      <c r="M34" s="147">
        <f t="shared" si="9"/>
        <v>0.139728457503942</v>
      </c>
      <c r="N34" s="377"/>
      <c r="O34" s="378"/>
      <c r="P34" s="378"/>
    </row>
    <row r="35" s="187" customFormat="1" ht="18" customHeight="1" spans="1:19">
      <c r="A35" s="199"/>
      <c r="B35" s="203" t="s">
        <v>69</v>
      </c>
      <c r="C35" s="143" t="s">
        <v>70</v>
      </c>
      <c r="D35" s="204" t="e">
        <f>D10*1000/D6</f>
        <v>#DIV/0!</v>
      </c>
      <c r="E35" s="379">
        <f>E10*1000/E6</f>
        <v>40.3446984585077</v>
      </c>
      <c r="F35" s="379">
        <f>[3]香海!G34</f>
        <v>39.597618529642</v>
      </c>
      <c r="G35" s="379">
        <f>G10*1000/G6</f>
        <v>40.7749265943336</v>
      </c>
      <c r="H35" s="380">
        <f>H10*1000/H6</f>
        <v>40.7749265943336</v>
      </c>
      <c r="I35" s="145" t="str">
        <f t="shared" si="7"/>
        <v>-</v>
      </c>
      <c r="J35" s="261">
        <f t="shared" si="1"/>
        <v>0.430228135825899</v>
      </c>
      <c r="K35" s="145">
        <f t="shared" si="8"/>
        <v>0.0106638084373927</v>
      </c>
      <c r="L35" s="261">
        <f t="shared" si="3"/>
        <v>1.1773080646916</v>
      </c>
      <c r="M35" s="147">
        <f t="shared" si="9"/>
        <v>0.0297317896481651</v>
      </c>
      <c r="N35" s="363"/>
    </row>
    <row r="36" s="187" customFormat="1" ht="18" customHeight="1" spans="1:19">
      <c r="A36" s="199"/>
      <c r="B36" s="203" t="s">
        <v>71</v>
      </c>
      <c r="C36" s="143" t="s">
        <v>146</v>
      </c>
      <c r="D36" s="262" t="e">
        <f>((D22-D5)*(1-D44))/D3</f>
        <v>#DIV/0!</v>
      </c>
      <c r="E36" s="381">
        <f>((E22-E5)*(1-E44))/E3</f>
        <v>3.05342668028239</v>
      </c>
      <c r="F36" s="381">
        <f>[3]香海!G35</f>
        <v>3.24850181647561</v>
      </c>
      <c r="G36" s="381">
        <f>'[6]26.1'!$F$69</f>
        <v>2.81053666392031</v>
      </c>
      <c r="H36" s="381">
        <f>'[6]26.1'!$L$69</f>
        <v>2.81053666392031</v>
      </c>
      <c r="I36" s="145" t="str">
        <f t="shared" si="7"/>
        <v>-</v>
      </c>
      <c r="J36" s="160">
        <f t="shared" si="1"/>
        <v>-0.24289001636208</v>
      </c>
      <c r="K36" s="236">
        <f t="shared" si="8"/>
        <v>-0.0795467000830741</v>
      </c>
      <c r="L36" s="160">
        <f t="shared" si="3"/>
        <v>-0.4379651525553</v>
      </c>
      <c r="M36" s="236">
        <f t="shared" si="9"/>
        <v>-0.134820658044286</v>
      </c>
      <c r="N36" s="363"/>
    </row>
    <row r="37" s="187" customFormat="1" ht="18" customHeight="1" spans="1:19">
      <c r="A37" s="199"/>
      <c r="B37" s="203" t="s">
        <v>73</v>
      </c>
      <c r="C37" s="143" t="s">
        <v>147</v>
      </c>
      <c r="D37" s="263" t="e">
        <f>((D22-D5)*D44+D5)/D6</f>
        <v>#DIV/0!</v>
      </c>
      <c r="E37" s="382">
        <f>((E22-E5)*E44+E5)/E6</f>
        <v>0.176110697755657</v>
      </c>
      <c r="F37" s="382">
        <f>[3]香海!G36</f>
        <v>0.175479749483273</v>
      </c>
      <c r="G37" s="382">
        <f>'[6]26.1'!$F$70</f>
        <v>0.15783039567569</v>
      </c>
      <c r="H37" s="382">
        <f>'[6]26.1'!$L$70</f>
        <v>0.15783039567569</v>
      </c>
      <c r="I37" s="145" t="str">
        <f t="shared" si="7"/>
        <v>-</v>
      </c>
      <c r="J37" s="146">
        <f t="shared" si="1"/>
        <v>-0.018280302079967</v>
      </c>
      <c r="K37" s="238">
        <f t="shared" si="8"/>
        <v>-0.103800066168211</v>
      </c>
      <c r="L37" s="146">
        <f t="shared" si="3"/>
        <v>-0.017649353807583</v>
      </c>
      <c r="M37" s="238">
        <f t="shared" si="9"/>
        <v>-0.100577723979857</v>
      </c>
      <c r="N37" s="363"/>
    </row>
    <row r="38" s="187" customFormat="1" ht="18" customHeight="1" spans="1:19">
      <c r="A38" s="199"/>
      <c r="B38" s="203" t="s">
        <v>126</v>
      </c>
      <c r="C38" s="143" t="s">
        <v>17</v>
      </c>
      <c r="D38" s="326">
        <v>0</v>
      </c>
      <c r="E38" s="383">
        <v>0</v>
      </c>
      <c r="F38" s="383">
        <f>[3]香海!G37</f>
        <v>62372</v>
      </c>
      <c r="G38" s="383">
        <f>'[6]26.1'!$F$57</f>
        <v>66608</v>
      </c>
      <c r="H38" s="383">
        <f>'[6]26.1'!$L$57</f>
        <v>66608</v>
      </c>
      <c r="I38" s="326" t="str">
        <f t="shared" si="7"/>
        <v>-</v>
      </c>
      <c r="J38" s="326">
        <f t="shared" si="1"/>
        <v>66608</v>
      </c>
      <c r="K38" s="326" t="str">
        <f t="shared" si="8"/>
        <v>-</v>
      </c>
      <c r="L38" s="23">
        <f t="shared" si="3"/>
        <v>4236</v>
      </c>
      <c r="M38" s="147">
        <f t="shared" si="9"/>
        <v>0.0679150901045341</v>
      </c>
      <c r="N38" s="377"/>
      <c r="O38" s="378"/>
      <c r="P38" s="378"/>
    </row>
    <row r="39" s="187" customFormat="1" ht="18" customHeight="1" spans="1:19">
      <c r="A39" s="199"/>
      <c r="B39" s="203" t="s">
        <v>127</v>
      </c>
      <c r="C39" s="143" t="s">
        <v>17</v>
      </c>
      <c r="D39" s="326">
        <v>0</v>
      </c>
      <c r="E39" s="383">
        <v>0</v>
      </c>
      <c r="F39" s="383">
        <f>[3]香海!G38</f>
        <v>10148</v>
      </c>
      <c r="G39" s="383">
        <f>H39</f>
        <v>11815</v>
      </c>
      <c r="H39" s="383">
        <f>'[6]26.1'!$L$59</f>
        <v>11815</v>
      </c>
      <c r="I39" s="326" t="str">
        <f t="shared" si="7"/>
        <v>-</v>
      </c>
      <c r="J39" s="326">
        <f t="shared" si="1"/>
        <v>11815</v>
      </c>
      <c r="K39" s="326" t="str">
        <f t="shared" si="8"/>
        <v>-</v>
      </c>
      <c r="L39" s="264">
        <f t="shared" si="3"/>
        <v>1667</v>
      </c>
      <c r="M39" s="147">
        <f t="shared" si="9"/>
        <v>0.164268821442649</v>
      </c>
      <c r="N39" s="377"/>
      <c r="O39" s="378"/>
      <c r="P39" s="378"/>
    </row>
    <row r="40" s="187" customFormat="1" ht="18" customHeight="1" spans="1:19">
      <c r="A40" s="199"/>
      <c r="B40" s="203" t="s">
        <v>97</v>
      </c>
      <c r="C40" s="143" t="s">
        <v>98</v>
      </c>
      <c r="D40" s="206" t="e">
        <f>D11/D13*29308</f>
        <v>#DIV/0!</v>
      </c>
      <c r="E40" s="206">
        <f>(E11-1.4571*E23)*29308/E13</f>
        <v>20097.1243983687</v>
      </c>
      <c r="F40" s="206">
        <f>[3]香海!G39</f>
        <v>19325.0173814325</v>
      </c>
      <c r="G40" s="206">
        <f>'[6]26.1'!$F$48</f>
        <v>19188</v>
      </c>
      <c r="H40" s="384">
        <f>'[6]26.1'!$L$48</f>
        <v>19188</v>
      </c>
      <c r="I40" s="145" t="str">
        <f t="shared" si="7"/>
        <v>-</v>
      </c>
      <c r="J40" s="257">
        <f t="shared" si="1"/>
        <v>-909.124398368702</v>
      </c>
      <c r="K40" s="145">
        <f t="shared" si="8"/>
        <v>-0.0452365413254095</v>
      </c>
      <c r="L40" s="257">
        <f t="shared" si="3"/>
        <v>-137.017381432499</v>
      </c>
      <c r="M40" s="147">
        <f t="shared" si="9"/>
        <v>-0.007090155663412</v>
      </c>
      <c r="N40" s="377"/>
      <c r="O40" s="378"/>
      <c r="P40" s="378"/>
    </row>
    <row r="41" s="187" customFormat="1" ht="18" customHeight="1" spans="1:19">
      <c r="A41" s="199"/>
      <c r="B41" s="203" t="s">
        <v>128</v>
      </c>
      <c r="C41" s="143" t="s">
        <v>98</v>
      </c>
      <c r="D41" s="326">
        <v>0</v>
      </c>
      <c r="E41" s="383">
        <v>0</v>
      </c>
      <c r="F41" s="383">
        <f>[3]香海!G40</f>
        <v>20066</v>
      </c>
      <c r="G41" s="383">
        <f>'[6]26.1'!$F$49</f>
        <v>19277</v>
      </c>
      <c r="H41" s="383">
        <f>'[6]26.1'!$L$49</f>
        <v>19277</v>
      </c>
      <c r="I41" s="326" t="str">
        <f t="shared" si="7"/>
        <v>-</v>
      </c>
      <c r="J41" s="326">
        <f t="shared" si="1"/>
        <v>19277</v>
      </c>
      <c r="K41" s="326" t="str">
        <f t="shared" si="8"/>
        <v>-</v>
      </c>
      <c r="L41" s="257">
        <f t="shared" si="3"/>
        <v>-789</v>
      </c>
      <c r="M41" s="147">
        <f t="shared" si="9"/>
        <v>-0.0393202431974484</v>
      </c>
      <c r="N41" s="377"/>
      <c r="O41" s="378"/>
      <c r="P41" s="378"/>
      <c r="Q41" s="378"/>
      <c r="R41" s="378"/>
      <c r="S41" s="378"/>
    </row>
    <row r="42" s="187" customFormat="1" ht="18" customHeight="1" spans="1:19">
      <c r="A42" s="199"/>
      <c r="B42" s="161" t="s">
        <v>129</v>
      </c>
      <c r="C42" s="247" t="s">
        <v>64</v>
      </c>
      <c r="D42" s="162" t="e">
        <f>(D6*1000+D4*36000)/(D11*7000*4.1868)</f>
        <v>#DIV/0!</v>
      </c>
      <c r="E42" s="269">
        <f>(E6*1000+E4*36000)/(E11*7000*4.1868)</f>
        <v>0.826004348171842</v>
      </c>
      <c r="F42" s="269">
        <f>[3]香海!G41</f>
        <v>0.832275055403787</v>
      </c>
      <c r="G42" s="269">
        <f>(G6*1000+G4*36000)/(G11*7000*4.1868)</f>
        <v>0.792993277802356</v>
      </c>
      <c r="H42" s="269">
        <f>(H6*1000+H4*36000)/(H11*7000*4.1868)</f>
        <v>0.792993277802355</v>
      </c>
      <c r="I42" s="326" t="s">
        <v>65</v>
      </c>
      <c r="J42" s="265">
        <f t="shared" si="1"/>
        <v>-0.0330110703694865</v>
      </c>
      <c r="K42" s="326" t="s">
        <v>65</v>
      </c>
      <c r="L42" s="265">
        <f t="shared" si="3"/>
        <v>-0.0392817776014315</v>
      </c>
      <c r="M42" s="339" t="s">
        <v>65</v>
      </c>
      <c r="N42" s="362"/>
      <c r="O42" s="385"/>
      <c r="P42" s="385"/>
    </row>
    <row r="43" s="187" customFormat="1" ht="18" customHeight="1" spans="1:19">
      <c r="A43" s="199"/>
      <c r="B43" s="161" t="s">
        <v>130</v>
      </c>
      <c r="C43" s="247" t="s">
        <v>64</v>
      </c>
      <c r="D43" s="294" t="e">
        <f>D6*100/(D4*3600)</f>
        <v>#DIV/0!</v>
      </c>
      <c r="E43" s="295">
        <f>E6*100/(E4*3600)</f>
        <v>5.29025219714814</v>
      </c>
      <c r="F43" s="295">
        <f>[3]香海!G42</f>
        <v>5.34753155489015</v>
      </c>
      <c r="G43" s="295">
        <f>G6*100/(G4*3600)</f>
        <v>6.53056418217415</v>
      </c>
      <c r="H43" s="295">
        <f>H6*100/(H4*3600)</f>
        <v>6.53056418217415</v>
      </c>
      <c r="I43" s="326" t="s">
        <v>65</v>
      </c>
      <c r="J43" s="268">
        <f t="shared" si="1"/>
        <v>1.24031198502601</v>
      </c>
      <c r="K43" s="326" t="s">
        <v>65</v>
      </c>
      <c r="L43" s="268">
        <f t="shared" si="3"/>
        <v>1.183032627284</v>
      </c>
      <c r="M43" s="339" t="s">
        <v>65</v>
      </c>
      <c r="N43" s="362"/>
      <c r="O43" s="385"/>
      <c r="P43" s="385"/>
    </row>
    <row r="44" s="187" customFormat="1" ht="18" customHeight="1" spans="1:19">
      <c r="A44" s="201"/>
      <c r="B44" s="273" t="s">
        <v>131</v>
      </c>
      <c r="C44" s="151" t="s">
        <v>64</v>
      </c>
      <c r="D44" s="386" t="e">
        <f>D10/D11</f>
        <v>#DIV/0!</v>
      </c>
      <c r="E44" s="387">
        <f>E10/E11</f>
        <v>0.821405073470283</v>
      </c>
      <c r="F44" s="387">
        <f>[3]香海!G43</f>
        <v>0.813700698410295</v>
      </c>
      <c r="G44" s="387">
        <f>'[6]26.1'!$F$54</f>
        <v>0.8218</v>
      </c>
      <c r="H44" s="387">
        <f>'[6]26.1'!$L$54</f>
        <v>0.8218</v>
      </c>
      <c r="I44" s="349" t="s">
        <v>65</v>
      </c>
      <c r="J44" s="388">
        <f t="shared" si="1"/>
        <v>0.000394926529716955</v>
      </c>
      <c r="K44" s="349" t="s">
        <v>65</v>
      </c>
      <c r="L44" s="388">
        <f t="shared" si="3"/>
        <v>0.00809930158970495</v>
      </c>
      <c r="M44" s="389" t="s">
        <v>65</v>
      </c>
      <c r="N44" s="362"/>
      <c r="O44" s="385"/>
      <c r="P44" s="385"/>
    </row>
    <row r="45" s="187" customFormat="1" ht="18" customHeight="1" spans="1:19">
      <c r="A45" s="143" t="s">
        <v>99</v>
      </c>
      <c r="B45" s="203" t="s">
        <v>82</v>
      </c>
      <c r="C45" s="143" t="s">
        <v>64</v>
      </c>
      <c r="D45" s="162">
        <f>D3/10/8760</f>
        <v>0</v>
      </c>
      <c r="E45" s="269">
        <f>E3/10/(DAY(DATE(2026,2,0))*24)</f>
        <v>0.786155913978495</v>
      </c>
      <c r="F45" s="269">
        <f>[3]香海!G44</f>
        <v>0.782787096774194</v>
      </c>
      <c r="G45" s="269">
        <f>G3/10/(DAY(DATE(2026,2,0))*24)</f>
        <v>0.77521935483871</v>
      </c>
      <c r="H45" s="390">
        <f>H3/10/(DATEDIF(DATE(2026,1,1),DATE(2026,2,1),"D")*24)</f>
        <v>0.77521935483871</v>
      </c>
      <c r="I45" s="326" t="s">
        <v>65</v>
      </c>
      <c r="J45" s="265">
        <f t="shared" si="1"/>
        <v>-0.0109365591397854</v>
      </c>
      <c r="K45" s="326" t="s">
        <v>65</v>
      </c>
      <c r="L45" s="278">
        <f t="shared" si="3"/>
        <v>-0.00756774193548437</v>
      </c>
      <c r="M45" s="339" t="s">
        <v>65</v>
      </c>
      <c r="N45" s="362"/>
      <c r="O45" s="385"/>
      <c r="P45" s="385"/>
    </row>
    <row r="46" s="187" customFormat="1" ht="18" customHeight="1" spans="1:19">
      <c r="A46" s="216"/>
      <c r="B46" s="217" t="s">
        <v>83</v>
      </c>
      <c r="C46" s="184" t="s">
        <v>64</v>
      </c>
      <c r="D46" s="279">
        <f>D6*1000/528/(8760*3600)</f>
        <v>0</v>
      </c>
      <c r="E46" s="391">
        <f>E6*1000/528/((DAY(DATE(2026,2,0))*24)*3600)</f>
        <v>0.590795464445078</v>
      </c>
      <c r="F46" s="391">
        <f>[3]香海!G45</f>
        <v>0.594255225350786</v>
      </c>
      <c r="G46" s="391">
        <f>G6*1000/528/((DAY(DATE(2026,2,0))*24)*3600)</f>
        <v>0.683879101182072</v>
      </c>
      <c r="H46" s="392">
        <f>H6*1000/528/((DATEDIF(DATE(2026,1,1),DATE(2026,2,1),"D")*24)*3600)</f>
        <v>0.683879101182072</v>
      </c>
      <c r="I46" s="357" t="s">
        <v>65</v>
      </c>
      <c r="J46" s="282">
        <f t="shared" si="1"/>
        <v>0.0930836367369935</v>
      </c>
      <c r="K46" s="357" t="s">
        <v>65</v>
      </c>
      <c r="L46" s="282">
        <f t="shared" si="3"/>
        <v>0.0896238758312855</v>
      </c>
      <c r="M46" s="393" t="s">
        <v>65</v>
      </c>
      <c r="N46" s="362"/>
      <c r="O46" s="385"/>
      <c r="P46" s="385"/>
    </row>
    <row r="47" s="188" customFormat="1" ht="18" customHeight="1" spans="1:19">
      <c r="C47" s="220"/>
      <c r="D47" s="221"/>
      <c r="E47" s="221"/>
      <c r="G47" s="221"/>
      <c r="H47" s="221"/>
      <c r="I47" s="221"/>
      <c r="J47" s="221"/>
      <c r="K47" s="222"/>
      <c r="L47" s="221"/>
      <c r="M47" s="223"/>
      <c r="N47" s="394"/>
    </row>
    <row r="48" spans="1:19">
      <c r="A48" s="233"/>
    </row>
    <row r="49" spans="1:1">
      <c r="A49" s="233"/>
    </row>
  </sheetData>
  <mergeCells count="15">
    <mergeCell ref="J1:K1"/>
    <mergeCell ref="L1:M1"/>
    <mergeCell ref="A1:A2"/>
    <mergeCell ref="A3:A8"/>
    <mergeCell ref="A9:A29"/>
    <mergeCell ref="A30:A44"/>
    <mergeCell ref="A45:A46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550694444444444" right="0.550694444444444" top="0.984027777777778" bottom="0.590277777777778" header="0.629861111111111" footer="0.314583333333333"/>
  <pageSetup paperSize="9" scale="90" orientation="landscape" horizontalDpi="600" verticalDpi="180"/>
  <headerFooter alignWithMargins="0" scaleWithDoc="0">
    <oddHeader>&amp;C&amp;"黑体"&amp;20香海热电厂&amp;"Times New Roman"2026&amp;"黑体"年1月份主要经营指标统计表&amp;R表号：&amp;"Times New Roman"ZB007&amp;"宋体"
制表单位：经济运行部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showGridLines="0" zoomScale="85" zoomScaleNormal="85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B12" sqref="$A12:$XFD12"/>
    </sheetView>
  </sheetViews>
  <sheetFormatPr defaultColWidth="8.66666666666667" defaultRowHeight="15.5"/>
  <cols>
    <col min="1" max="1" width="9.58333333333333" style="308" customWidth="1"/>
    <col min="2" max="2" width="19.0166666666667" style="308" customWidth="1"/>
    <col min="3" max="3" width="9.5" style="309" customWidth="1"/>
    <col min="4" max="4" width="11.3" style="308" customWidth="1"/>
    <col min="5" max="9" width="10.625" style="308" customWidth="1"/>
    <col min="10" max="10" width="8.625" style="308" customWidth="1"/>
    <col min="11" max="11" width="7.625" style="308" customWidth="1"/>
    <col min="12" max="12" width="8.625" style="308" customWidth="1"/>
    <col min="13" max="13" width="7.625" style="308" customWidth="1"/>
    <col min="14" max="16" width="9" style="308"/>
    <col min="17" max="17" width="9.75" style="308"/>
    <col min="18" max="32" width="9" style="308"/>
    <col min="33" max="16384" width="8.66666666666667" style="308"/>
  </cols>
  <sheetData>
    <row r="1" s="306" customFormat="1" ht="20.1" customHeight="1" spans="1:14">
      <c r="A1" s="310" t="s">
        <v>84</v>
      </c>
      <c r="B1" s="311" t="s">
        <v>112</v>
      </c>
      <c r="C1" s="311" t="s">
        <v>2</v>
      </c>
      <c r="D1" s="311" t="s">
        <v>3</v>
      </c>
      <c r="E1" s="311" t="s">
        <v>4</v>
      </c>
      <c r="F1" s="311" t="s">
        <v>5</v>
      </c>
      <c r="G1" s="311" t="s">
        <v>6</v>
      </c>
      <c r="H1" s="311" t="s">
        <v>7</v>
      </c>
      <c r="I1" s="312" t="s">
        <v>148</v>
      </c>
      <c r="J1" s="8" t="s">
        <v>9</v>
      </c>
      <c r="K1" s="139"/>
      <c r="L1" s="8" t="s">
        <v>10</v>
      </c>
      <c r="M1" s="139"/>
    </row>
    <row r="2" s="306" customFormat="1" ht="20.1" customHeight="1" spans="1:14">
      <c r="A2" s="313"/>
      <c r="B2" s="314"/>
      <c r="C2" s="314"/>
      <c r="D2" s="314"/>
      <c r="E2" s="314"/>
      <c r="F2" s="314"/>
      <c r="G2" s="314"/>
      <c r="H2" s="314"/>
      <c r="I2" s="315"/>
      <c r="J2" s="15" t="s">
        <v>11</v>
      </c>
      <c r="K2" s="14" t="s">
        <v>12</v>
      </c>
      <c r="L2" s="14" t="s">
        <v>11</v>
      </c>
      <c r="M2" s="141" t="s">
        <v>12</v>
      </c>
    </row>
    <row r="3" s="307" customFormat="1" ht="18" customHeight="1" spans="1:14">
      <c r="A3" s="316" t="s">
        <v>87</v>
      </c>
      <c r="B3" s="317" t="s">
        <v>20</v>
      </c>
      <c r="C3" s="318" t="s">
        <v>149</v>
      </c>
      <c r="D3" s="319"/>
      <c r="E3" s="319">
        <f>'[2]9.供热公司表'!$M$19</f>
        <v>22899999.95</v>
      </c>
      <c r="F3" s="319">
        <f>[3]供热公司!$G$3</f>
        <v>22156949.35</v>
      </c>
      <c r="G3" s="319">
        <f>'[8]26.1'!$E$4</f>
        <v>22941300</v>
      </c>
      <c r="H3" s="319">
        <f>'[8]26.1'!$I$4</f>
        <v>22941300</v>
      </c>
      <c r="I3" s="319">
        <f>'[8]26.1'!$M$4</f>
        <v>22941300</v>
      </c>
      <c r="J3" s="23">
        <f t="shared" ref="J3:J34" si="0">IFERROR(G3-E3,"-")</f>
        <v>41300.0500000007</v>
      </c>
      <c r="K3" s="236">
        <f t="shared" ref="K3:K17" si="1">IFERROR(J3/E3,"-")</f>
        <v>0.00180349563712557</v>
      </c>
      <c r="L3" s="23">
        <f t="shared" ref="L3:L34" si="2">IFERROR(G3-F3,"-")</f>
        <v>784350.649999999</v>
      </c>
      <c r="M3" s="236">
        <f t="shared" ref="M3:M17" si="3">IFERROR(L3/F3,"-")</f>
        <v>0.0353997582252901</v>
      </c>
    </row>
    <row r="4" s="307" customFormat="1" ht="18" customHeight="1" spans="1:14">
      <c r="A4" s="320"/>
      <c r="B4" s="317" t="s">
        <v>150</v>
      </c>
      <c r="C4" s="318" t="s">
        <v>149</v>
      </c>
      <c r="D4" s="178"/>
      <c r="E4" s="178">
        <f>E3</f>
        <v>22899999.95</v>
      </c>
      <c r="F4" s="178">
        <f>F3</f>
        <v>22156949.35</v>
      </c>
      <c r="G4" s="178">
        <f>'[8]26.1'!$E$5</f>
        <v>22941300</v>
      </c>
      <c r="H4" s="178">
        <f>'[8]26.1'!$I$5</f>
        <v>22941300</v>
      </c>
      <c r="I4" s="178">
        <f>'[8]26.1'!$M$5</f>
        <v>22929638.8094118</v>
      </c>
      <c r="J4" s="23">
        <f t="shared" si="0"/>
        <v>41300.0500000007</v>
      </c>
      <c r="K4" s="236">
        <f t="shared" si="1"/>
        <v>0.00180349563712557</v>
      </c>
      <c r="L4" s="23">
        <f t="shared" si="2"/>
        <v>784350.649999999</v>
      </c>
      <c r="M4" s="236">
        <f t="shared" si="3"/>
        <v>0.0353997582252901</v>
      </c>
    </row>
    <row r="5" s="307" customFormat="1" ht="18" customHeight="1" spans="1:14">
      <c r="A5" s="321"/>
      <c r="B5" s="322" t="s">
        <v>18</v>
      </c>
      <c r="C5" s="323" t="s">
        <v>19</v>
      </c>
      <c r="D5" s="324"/>
      <c r="E5" s="324">
        <f>'[2]9.供热公司表'!$M$25</f>
        <v>430000</v>
      </c>
      <c r="F5" s="324">
        <f>[3]供热公司!$G$5</f>
        <v>414571</v>
      </c>
      <c r="G5" s="324">
        <f>'[8]26.1'!$E$6</f>
        <v>463052</v>
      </c>
      <c r="H5" s="324">
        <f>'[8]26.1'!$I$6</f>
        <v>463052</v>
      </c>
      <c r="I5" s="324">
        <f>'[8]26.1'!$M$6</f>
        <v>932904</v>
      </c>
      <c r="J5" s="325">
        <f t="shared" si="0"/>
        <v>33052</v>
      </c>
      <c r="K5" s="241">
        <f t="shared" si="1"/>
        <v>0.0768651162790698</v>
      </c>
      <c r="L5" s="156">
        <f t="shared" si="2"/>
        <v>48481</v>
      </c>
      <c r="M5" s="241">
        <f t="shared" si="3"/>
        <v>0.116942574372062</v>
      </c>
    </row>
    <row r="6" s="307" customFormat="1" ht="18" customHeight="1" spans="1:14">
      <c r="A6" s="316" t="s">
        <v>90</v>
      </c>
      <c r="B6" s="317" t="s">
        <v>151</v>
      </c>
      <c r="C6" s="318" t="s">
        <v>19</v>
      </c>
      <c r="D6" s="319">
        <f>北海!D6+香海!D6+北海水炉!D4</f>
        <v>0</v>
      </c>
      <c r="E6" s="319">
        <f>北海!E6+香海!E6+北海水炉!E4</f>
        <v>2384247.704634</v>
      </c>
      <c r="F6" s="319">
        <f>[3]供热公司!G6</f>
        <v>2232343.4819</v>
      </c>
      <c r="G6" s="319">
        <f>北海!G6+北海水炉!G4+香海!G6+天然气炉!D5</f>
        <v>2688077.736102</v>
      </c>
      <c r="H6" s="319">
        <f>北海!H6+北海水炉!H4+香海!H6+天然气炉!F5</f>
        <v>2688077.736102</v>
      </c>
      <c r="I6" s="319">
        <f>G6+[4]供热公司!$I$6</f>
        <v>13656243.021062</v>
      </c>
      <c r="J6" s="291">
        <f t="shared" si="0"/>
        <v>303830.031468</v>
      </c>
      <c r="K6" s="236">
        <f t="shared" si="1"/>
        <v>0.127432242412346</v>
      </c>
      <c r="L6" s="23">
        <f t="shared" si="2"/>
        <v>455734.254202</v>
      </c>
      <c r="M6" s="236">
        <f t="shared" si="3"/>
        <v>0.204150596849063</v>
      </c>
    </row>
    <row r="7" s="307" customFormat="1" ht="18" customHeight="1" spans="1:14">
      <c r="A7" s="320"/>
      <c r="B7" s="317" t="s">
        <v>152</v>
      </c>
      <c r="C7" s="318" t="s">
        <v>19</v>
      </c>
      <c r="D7" s="319"/>
      <c r="E7" s="319">
        <f>'[2]9.供热公司表'!$M$63</f>
        <v>1460000</v>
      </c>
      <c r="F7" s="319">
        <f>[3]供热公司!G7</f>
        <v>1341930.76682</v>
      </c>
      <c r="G7" s="319">
        <f>'[8]26.1'!$E$7</f>
        <v>1715360.290288</v>
      </c>
      <c r="H7" s="319">
        <f>'[8]26.1'!$I$7</f>
        <v>1715360.290288</v>
      </c>
      <c r="I7" s="319">
        <f>'[8]26.1'!$M$7</f>
        <v>3593872.124218</v>
      </c>
      <c r="J7" s="23">
        <f t="shared" si="0"/>
        <v>255360.290288</v>
      </c>
      <c r="K7" s="236">
        <f t="shared" si="1"/>
        <v>0.174904308416438</v>
      </c>
      <c r="L7" s="23">
        <f t="shared" si="2"/>
        <v>373429.523468</v>
      </c>
      <c r="M7" s="236">
        <f t="shared" si="3"/>
        <v>0.278277786530615</v>
      </c>
    </row>
    <row r="8" s="307" customFormat="1" ht="18" customHeight="1" spans="1:14">
      <c r="A8" s="320"/>
      <c r="B8" s="317" t="s">
        <v>153</v>
      </c>
      <c r="C8" s="318" t="s">
        <v>17</v>
      </c>
      <c r="D8" s="319"/>
      <c r="E8" s="326">
        <v>0</v>
      </c>
      <c r="F8" s="319">
        <f>[3]供热公司!G8</f>
        <v>35238</v>
      </c>
      <c r="G8" s="319">
        <f>'[8]26.1'!$E$8</f>
        <v>41737.2</v>
      </c>
      <c r="H8" s="319">
        <f>'[8]26.1'!$I$8</f>
        <v>41737.2</v>
      </c>
      <c r="I8" s="319">
        <f>'[8]26.1'!$M$8</f>
        <v>89426.2</v>
      </c>
      <c r="J8" s="23">
        <f t="shared" si="0"/>
        <v>41737.2</v>
      </c>
      <c r="K8" s="236" t="str">
        <f t="shared" si="1"/>
        <v>-</v>
      </c>
      <c r="L8" s="23">
        <f t="shared" si="2"/>
        <v>6499.2</v>
      </c>
      <c r="M8" s="236">
        <f t="shared" si="3"/>
        <v>0.184437255235825</v>
      </c>
    </row>
    <row r="9" s="307" customFormat="1" ht="18" customHeight="1" spans="1:14">
      <c r="A9" s="320"/>
      <c r="B9" s="327" t="s">
        <v>154</v>
      </c>
      <c r="C9" s="318" t="s">
        <v>19</v>
      </c>
      <c r="D9" s="319"/>
      <c r="E9" s="326">
        <v>0</v>
      </c>
      <c r="F9" s="319">
        <f>[3]供热公司!G9</f>
        <v>168815</v>
      </c>
      <c r="G9" s="319">
        <f>'[8]26.1'!$E$9</f>
        <v>207628</v>
      </c>
      <c r="H9" s="319">
        <f>'[8]26.1'!$I$9</f>
        <v>207628</v>
      </c>
      <c r="I9" s="319">
        <f>'[8]26.1'!$M$9</f>
        <v>433803</v>
      </c>
      <c r="J9" s="23">
        <f t="shared" si="0"/>
        <v>207628</v>
      </c>
      <c r="K9" s="236" t="str">
        <f t="shared" si="1"/>
        <v>-</v>
      </c>
      <c r="L9" s="23">
        <f t="shared" si="2"/>
        <v>38813</v>
      </c>
      <c r="M9" s="236">
        <f t="shared" si="3"/>
        <v>0.229914403340935</v>
      </c>
    </row>
    <row r="10" s="307" customFormat="1" ht="18" customHeight="1" spans="1:14">
      <c r="A10" s="320"/>
      <c r="B10" s="327" t="s">
        <v>155</v>
      </c>
      <c r="C10" s="318" t="s">
        <v>19</v>
      </c>
      <c r="D10" s="326"/>
      <c r="E10" s="326">
        <v>0</v>
      </c>
      <c r="F10" s="319">
        <f>[3]供热公司!G10</f>
        <v>0</v>
      </c>
      <c r="G10" s="319">
        <v>0</v>
      </c>
      <c r="H10" s="319">
        <v>0</v>
      </c>
      <c r="I10" s="319">
        <v>0</v>
      </c>
      <c r="J10" s="23">
        <f t="shared" si="0"/>
        <v>0</v>
      </c>
      <c r="K10" s="236" t="str">
        <f t="shared" si="1"/>
        <v>-</v>
      </c>
      <c r="L10" s="23">
        <f t="shared" si="2"/>
        <v>0</v>
      </c>
      <c r="M10" s="236" t="str">
        <f t="shared" si="3"/>
        <v>-</v>
      </c>
    </row>
    <row r="11" s="307" customFormat="1" ht="18" customHeight="1" spans="1:14">
      <c r="A11" s="320"/>
      <c r="B11" s="317" t="s">
        <v>156</v>
      </c>
      <c r="C11" s="318" t="s">
        <v>19</v>
      </c>
      <c r="D11" s="328"/>
      <c r="E11" s="326">
        <v>0</v>
      </c>
      <c r="F11" s="328">
        <f>[3]供热公司!G11</f>
        <v>1076268</v>
      </c>
      <c r="G11" s="328">
        <f>'[8]26.1'!$E$10</f>
        <v>1392369</v>
      </c>
      <c r="H11" s="328">
        <f>'[8]26.1'!$I$10</f>
        <v>1392369</v>
      </c>
      <c r="I11" s="328">
        <f>'[8]26.1'!$M$10</f>
        <v>2915084</v>
      </c>
      <c r="J11" s="23">
        <f t="shared" si="0"/>
        <v>1392369</v>
      </c>
      <c r="K11" s="236" t="str">
        <f t="shared" si="1"/>
        <v>-</v>
      </c>
      <c r="L11" s="23">
        <f t="shared" si="2"/>
        <v>316101</v>
      </c>
      <c r="M11" s="236">
        <f t="shared" si="3"/>
        <v>0.293701011272285</v>
      </c>
    </row>
    <row r="12" s="307" customFormat="1" ht="18" customHeight="1" spans="1:14">
      <c r="A12" s="320"/>
      <c r="B12" s="329" t="s">
        <v>91</v>
      </c>
      <c r="C12" s="318" t="s">
        <v>17</v>
      </c>
      <c r="D12" s="319"/>
      <c r="E12" s="319">
        <f>'[2]9.供热公司表'!$M$41+北海!E21+香海!E21</f>
        <v>192296.809522245</v>
      </c>
      <c r="F12" s="319">
        <f>[3]供热公司!G12</f>
        <v>229323</v>
      </c>
      <c r="G12" s="319">
        <f>'[8]26.1'!$E$11</f>
        <v>201190</v>
      </c>
      <c r="H12" s="319">
        <f>'[8]26.1'!$I$11</f>
        <v>201190</v>
      </c>
      <c r="I12" s="319">
        <f>'[8]26.1'!$M$11</f>
        <v>663921</v>
      </c>
      <c r="J12" s="23">
        <f t="shared" si="0"/>
        <v>8893.19047775498</v>
      </c>
      <c r="K12" s="236">
        <f t="shared" si="1"/>
        <v>0.0462472076362047</v>
      </c>
      <c r="L12" s="23">
        <f t="shared" si="2"/>
        <v>-28133</v>
      </c>
      <c r="M12" s="236">
        <f t="shared" si="3"/>
        <v>-0.122678492780925</v>
      </c>
    </row>
    <row r="13" s="307" customFormat="1" ht="18" customHeight="1" spans="1:14">
      <c r="A13" s="321"/>
      <c r="B13" s="322" t="s">
        <v>49</v>
      </c>
      <c r="C13" s="323" t="s">
        <v>15</v>
      </c>
      <c r="D13" s="324"/>
      <c r="E13" s="324">
        <f>'[2]9.供热公司表'!$M$64</f>
        <v>750</v>
      </c>
      <c r="F13" s="324">
        <f>[3]供热公司!G13</f>
        <v>704.9947108</v>
      </c>
      <c r="G13" s="324">
        <f>'[8]26.1'!$E$12</f>
        <v>677.835079466667</v>
      </c>
      <c r="H13" s="324">
        <f>'[8]26.1'!$I$12</f>
        <v>677.835079466667</v>
      </c>
      <c r="I13" s="324">
        <f>'[8]26.1'!$M$12</f>
        <v>1772.5204062</v>
      </c>
      <c r="J13" s="156">
        <f t="shared" si="0"/>
        <v>-72.164920533333</v>
      </c>
      <c r="K13" s="241">
        <f t="shared" si="1"/>
        <v>-0.096219894044444</v>
      </c>
      <c r="L13" s="156">
        <f t="shared" si="2"/>
        <v>-27.159631333333</v>
      </c>
      <c r="M13" s="241">
        <f t="shared" si="3"/>
        <v>-0.038524588790905</v>
      </c>
    </row>
    <row r="14" s="307" customFormat="1" ht="18" customHeight="1" spans="1:14">
      <c r="A14" s="330" t="s">
        <v>96</v>
      </c>
      <c r="B14" s="317" t="s">
        <v>75</v>
      </c>
      <c r="C14" s="318" t="s">
        <v>76</v>
      </c>
      <c r="D14" s="331" t="e">
        <f t="shared" ref="D14:F14" si="4">D7/D4</f>
        <v>#DIV/0!</v>
      </c>
      <c r="E14" s="331">
        <f t="shared" si="4"/>
        <v>0.0637554586544879</v>
      </c>
      <c r="F14" s="331">
        <f t="shared" si="4"/>
        <v>0.0605647801790006</v>
      </c>
      <c r="G14" s="331">
        <f>'[8]26.1'!$E$13</f>
        <v>0.074771712600768</v>
      </c>
      <c r="H14" s="331">
        <f>'[8]26.1'!$I$13</f>
        <v>0.074771712600768</v>
      </c>
      <c r="I14" s="331">
        <f>'[8]26.1'!$M$13</f>
        <v>0.156734790028304</v>
      </c>
      <c r="J14" s="244">
        <f t="shared" si="0"/>
        <v>0.0110162539462801</v>
      </c>
      <c r="K14" s="236">
        <f t="shared" si="1"/>
        <v>0.172789188232193</v>
      </c>
      <c r="L14" s="244">
        <f t="shared" si="2"/>
        <v>0.0142069324217674</v>
      </c>
      <c r="M14" s="236">
        <f t="shared" si="3"/>
        <v>0.234574159763785</v>
      </c>
    </row>
    <row r="15" s="307" customFormat="1" ht="18" customHeight="1" spans="1:14">
      <c r="A15" s="316"/>
      <c r="B15" s="317" t="s">
        <v>157</v>
      </c>
      <c r="C15" s="318" t="s">
        <v>158</v>
      </c>
      <c r="D15" s="332">
        <f>D8/1331836.77</f>
        <v>0</v>
      </c>
      <c r="E15" s="332">
        <f>E8/1357966.36</f>
        <v>0</v>
      </c>
      <c r="F15" s="332">
        <f>[3]供热公司!$G$15</f>
        <v>0.0255724675310651</v>
      </c>
      <c r="G15" s="332">
        <f>'[8]26.1'!$E$14</f>
        <v>0.0311596487341857</v>
      </c>
      <c r="H15" s="332">
        <f>'[8]26.1'!$I$14</f>
        <v>0.0311596487341857</v>
      </c>
      <c r="I15" s="332">
        <f>'[8]26.1'!$M$14</f>
        <v>0.0665033297367593</v>
      </c>
      <c r="J15" s="244">
        <f t="shared" si="0"/>
        <v>0.0311596487341857</v>
      </c>
      <c r="K15" s="236" t="str">
        <f t="shared" si="1"/>
        <v>-</v>
      </c>
      <c r="L15" s="244">
        <f t="shared" si="2"/>
        <v>0.00558718120312058</v>
      </c>
      <c r="M15" s="236">
        <f t="shared" si="3"/>
        <v>0.218484242724459</v>
      </c>
    </row>
    <row r="16" s="307" customFormat="1" ht="18" customHeight="1" spans="1:14">
      <c r="A16" s="316"/>
      <c r="B16" s="317" t="s">
        <v>77</v>
      </c>
      <c r="C16" s="318" t="s">
        <v>159</v>
      </c>
      <c r="D16" s="333" t="e">
        <f t="shared" ref="D16:F16" si="5">D12*1000/D4</f>
        <v>#DIV/0!</v>
      </c>
      <c r="E16" s="333">
        <f t="shared" si="5"/>
        <v>8.39724060882564</v>
      </c>
      <c r="F16" s="333">
        <f t="shared" si="5"/>
        <v>10.3499356512272</v>
      </c>
      <c r="G16" s="333">
        <f>'[8]26.1'!$E$15</f>
        <v>8.76977329096433</v>
      </c>
      <c r="H16" s="333">
        <f>'[8]26.1'!$I$15</f>
        <v>8.76977329096433</v>
      </c>
      <c r="I16" s="333">
        <f>'[8]26.1'!$M$15</f>
        <v>28.9547081625849</v>
      </c>
      <c r="J16" s="244">
        <f t="shared" si="0"/>
        <v>0.372532682138695</v>
      </c>
      <c r="K16" s="236">
        <f t="shared" si="1"/>
        <v>0.0443637022556145</v>
      </c>
      <c r="L16" s="244">
        <f t="shared" si="2"/>
        <v>-1.58016236026285</v>
      </c>
      <c r="M16" s="236">
        <f t="shared" si="3"/>
        <v>-0.152673641026502</v>
      </c>
      <c r="N16" s="334"/>
    </row>
    <row r="17" s="307" customFormat="1" ht="18" customHeight="1" spans="1:15">
      <c r="A17" s="335"/>
      <c r="B17" s="322" t="s">
        <v>79</v>
      </c>
      <c r="C17" s="323" t="s">
        <v>160</v>
      </c>
      <c r="D17" s="336" t="e">
        <f t="shared" ref="D17:F17" si="6">D13*10000/D4</f>
        <v>#DIV/0!</v>
      </c>
      <c r="E17" s="336">
        <f t="shared" si="6"/>
        <v>0.327510917745657</v>
      </c>
      <c r="F17" s="336">
        <f t="shared" si="6"/>
        <v>0.318182209862749</v>
      </c>
      <c r="G17" s="336">
        <f>'[8]26.1'!$E$16</f>
        <v>0.295464982135566</v>
      </c>
      <c r="H17" s="336">
        <f>'[8]26.1'!$I$16</f>
        <v>0.295464982135566</v>
      </c>
      <c r="I17" s="336">
        <f>'[8]26.1'!$M$16</f>
        <v>0.773025873164842</v>
      </c>
      <c r="J17" s="337">
        <f t="shared" si="0"/>
        <v>-0.0320459356100911</v>
      </c>
      <c r="K17" s="241">
        <f t="shared" si="1"/>
        <v>-0.0978469231825051</v>
      </c>
      <c r="L17" s="337">
        <f t="shared" si="2"/>
        <v>-0.022717227727183</v>
      </c>
      <c r="M17" s="241">
        <f t="shared" si="3"/>
        <v>-0.0713969135388879</v>
      </c>
      <c r="N17" s="334"/>
    </row>
    <row r="18" s="307" customFormat="1" ht="18" customHeight="1" spans="1:15">
      <c r="A18" s="338" t="s">
        <v>161</v>
      </c>
      <c r="B18" s="317" t="s">
        <v>162</v>
      </c>
      <c r="C18" s="318" t="s">
        <v>163</v>
      </c>
      <c r="D18" s="326">
        <v>0</v>
      </c>
      <c r="E18" s="326">
        <v>0</v>
      </c>
      <c r="F18" s="326">
        <v>0</v>
      </c>
      <c r="G18" s="326">
        <v>0</v>
      </c>
      <c r="H18" s="326">
        <v>0</v>
      </c>
      <c r="I18" s="326">
        <v>0</v>
      </c>
      <c r="J18" s="326">
        <f t="shared" si="0"/>
        <v>0</v>
      </c>
      <c r="K18" s="326">
        <v>0</v>
      </c>
      <c r="L18" s="326">
        <f t="shared" si="2"/>
        <v>0</v>
      </c>
      <c r="M18" s="339">
        <v>0</v>
      </c>
      <c r="N18" s="334"/>
    </row>
    <row r="19" s="307" customFormat="1" ht="18" customHeight="1" spans="1:15">
      <c r="A19" s="340"/>
      <c r="B19" s="317" t="s">
        <v>164</v>
      </c>
      <c r="C19" s="318" t="s">
        <v>163</v>
      </c>
      <c r="D19" s="326">
        <v>0</v>
      </c>
      <c r="E19" s="326">
        <v>0</v>
      </c>
      <c r="F19" s="326">
        <v>0</v>
      </c>
      <c r="G19" s="326">
        <v>0</v>
      </c>
      <c r="H19" s="326">
        <v>0</v>
      </c>
      <c r="I19" s="326">
        <v>0</v>
      </c>
      <c r="J19" s="326">
        <f t="shared" si="0"/>
        <v>0</v>
      </c>
      <c r="K19" s="326">
        <v>0</v>
      </c>
      <c r="L19" s="326">
        <f t="shared" si="2"/>
        <v>0</v>
      </c>
      <c r="M19" s="339">
        <v>0</v>
      </c>
      <c r="N19" s="334"/>
    </row>
    <row r="20" s="307" customFormat="1" ht="18" customHeight="1" spans="1:15">
      <c r="A20" s="340"/>
      <c r="B20" s="317" t="s">
        <v>165</v>
      </c>
      <c r="C20" s="341" t="s">
        <v>64</v>
      </c>
      <c r="D20" s="326">
        <v>0</v>
      </c>
      <c r="E20" s="326">
        <v>0</v>
      </c>
      <c r="F20" s="326">
        <v>0</v>
      </c>
      <c r="G20" s="326">
        <v>0</v>
      </c>
      <c r="H20" s="326">
        <v>0</v>
      </c>
      <c r="I20" s="326">
        <v>0</v>
      </c>
      <c r="J20" s="326">
        <f t="shared" si="0"/>
        <v>0</v>
      </c>
      <c r="K20" s="326">
        <v>0</v>
      </c>
      <c r="L20" s="326">
        <f t="shared" si="2"/>
        <v>0</v>
      </c>
      <c r="M20" s="339">
        <v>0</v>
      </c>
      <c r="N20" s="334"/>
    </row>
    <row r="21" s="307" customFormat="1" ht="18" customHeight="1" spans="1:15">
      <c r="A21" s="340"/>
      <c r="B21" s="317" t="s">
        <v>166</v>
      </c>
      <c r="C21" s="318" t="s">
        <v>167</v>
      </c>
      <c r="D21" s="326">
        <v>0</v>
      </c>
      <c r="E21" s="326">
        <v>0</v>
      </c>
      <c r="F21" s="326">
        <f>[3]供热公司!G21</f>
        <v>7</v>
      </c>
      <c r="G21" s="326">
        <f>'[8]26.1'!$E$20</f>
        <v>7</v>
      </c>
      <c r="H21" s="326">
        <v>0</v>
      </c>
      <c r="I21" s="326">
        <v>0</v>
      </c>
      <c r="J21" s="326">
        <f t="shared" si="0"/>
        <v>7</v>
      </c>
      <c r="K21" s="326">
        <v>0</v>
      </c>
      <c r="L21" s="342">
        <f t="shared" si="2"/>
        <v>0</v>
      </c>
      <c r="M21" s="343">
        <f t="shared" ref="M21:M26" si="7">IFERROR(L21/F21,"-")</f>
        <v>0</v>
      </c>
      <c r="N21" s="334"/>
    </row>
    <row r="22" s="307" customFormat="1" ht="18" customHeight="1" spans="1:15">
      <c r="A22" s="340"/>
      <c r="B22" s="317" t="s">
        <v>168</v>
      </c>
      <c r="C22" s="318" t="s">
        <v>167</v>
      </c>
      <c r="D22" s="326">
        <v>0</v>
      </c>
      <c r="E22" s="326">
        <v>0</v>
      </c>
      <c r="F22" s="326">
        <f>[3]供热公司!G22</f>
        <v>-10</v>
      </c>
      <c r="G22" s="326">
        <f>'[8]26.1'!$E$21</f>
        <v>-14</v>
      </c>
      <c r="H22" s="326">
        <v>0</v>
      </c>
      <c r="I22" s="326">
        <v>0</v>
      </c>
      <c r="J22" s="326">
        <f t="shared" si="0"/>
        <v>-14</v>
      </c>
      <c r="K22" s="326">
        <v>0</v>
      </c>
      <c r="L22" s="342">
        <f t="shared" si="2"/>
        <v>-4</v>
      </c>
      <c r="M22" s="343">
        <f t="shared" si="7"/>
        <v>0.4</v>
      </c>
    </row>
    <row r="23" s="307" customFormat="1" ht="18" customHeight="1" spans="1:15">
      <c r="A23" s="340"/>
      <c r="B23" s="317" t="s">
        <v>169</v>
      </c>
      <c r="C23" s="318" t="s">
        <v>167</v>
      </c>
      <c r="D23" s="326">
        <v>0</v>
      </c>
      <c r="E23" s="326">
        <v>0</v>
      </c>
      <c r="F23" s="326" t="str">
        <f>[3]供热公司!G23</f>
        <v>2.8   -3.1</v>
      </c>
      <c r="G23" s="326" t="str">
        <f>'[8]26.1'!$E$22</f>
        <v>-0.4  -5.6</v>
      </c>
      <c r="H23" s="326">
        <v>0</v>
      </c>
      <c r="I23" s="326">
        <v>0</v>
      </c>
      <c r="J23" s="326" t="str">
        <f t="shared" si="0"/>
        <v>-</v>
      </c>
      <c r="K23" s="326">
        <v>0</v>
      </c>
      <c r="L23" s="342" t="str">
        <f t="shared" si="2"/>
        <v>-</v>
      </c>
      <c r="M23" s="343" t="str">
        <f t="shared" si="7"/>
        <v>-</v>
      </c>
    </row>
    <row r="24" s="307" customFormat="1" ht="18" customHeight="1" spans="1:15">
      <c r="A24" s="340"/>
      <c r="B24" s="322" t="s">
        <v>170</v>
      </c>
      <c r="C24" s="323" t="s">
        <v>171</v>
      </c>
      <c r="D24" s="344" t="e">
        <f>(D7-D9-D10-D11)*1000/D8</f>
        <v>#DIV/0!</v>
      </c>
      <c r="E24" s="344" t="e">
        <f>(E7-E9-E10-E11)*1000/E8</f>
        <v>#DIV/0!</v>
      </c>
      <c r="F24" s="344">
        <f>[3]供热公司!G24</f>
        <v>2748.39</v>
      </c>
      <c r="G24" s="344">
        <f>'[8]26.1'!$E$23</f>
        <v>2764.04</v>
      </c>
      <c r="H24" s="344">
        <f>'[8]26.1'!$I$23</f>
        <v>2764.04</v>
      </c>
      <c r="I24" s="344">
        <f>'[8]26.1'!$M$23</f>
        <v>2739.52291630417</v>
      </c>
      <c r="J24" s="345" t="str">
        <f t="shared" si="0"/>
        <v>-</v>
      </c>
      <c r="K24" s="241" t="str">
        <f>IFERROR(J24/E24,"-")</f>
        <v>-</v>
      </c>
      <c r="L24" s="345">
        <f t="shared" si="2"/>
        <v>15.6500000000001</v>
      </c>
      <c r="M24" s="241">
        <f t="shared" si="7"/>
        <v>0.00569424281124589</v>
      </c>
    </row>
    <row r="25" s="307" customFormat="1" ht="18" customHeight="1" spans="1:15">
      <c r="A25" s="340"/>
      <c r="B25" s="317" t="s">
        <v>172</v>
      </c>
      <c r="C25" s="318" t="s">
        <v>173</v>
      </c>
      <c r="D25" s="346">
        <v>0</v>
      </c>
      <c r="E25" s="346">
        <v>0</v>
      </c>
      <c r="F25" s="346">
        <f>[3]供热公司!G25</f>
        <v>2043</v>
      </c>
      <c r="G25" s="346">
        <f>'[8]26.1'!$E$24</f>
        <v>948</v>
      </c>
      <c r="H25" s="346">
        <f>'[8]26.1'!$I$24</f>
        <v>948</v>
      </c>
      <c r="I25" s="346">
        <f>'[8]26.1'!$M$24</f>
        <v>1889</v>
      </c>
      <c r="J25" s="347">
        <f t="shared" si="0"/>
        <v>948</v>
      </c>
      <c r="K25" s="347">
        <v>0</v>
      </c>
      <c r="L25" s="23">
        <f t="shared" si="2"/>
        <v>-1095</v>
      </c>
      <c r="M25" s="236">
        <f t="shared" si="7"/>
        <v>-0.535976505139501</v>
      </c>
      <c r="N25" s="334"/>
      <c r="O25" s="334"/>
    </row>
    <row r="26" s="307" customFormat="1" ht="18" customHeight="1" spans="1:15">
      <c r="A26" s="340"/>
      <c r="B26" s="317" t="s">
        <v>174</v>
      </c>
      <c r="C26" s="318" t="s">
        <v>173</v>
      </c>
      <c r="D26" s="326">
        <v>0</v>
      </c>
      <c r="E26" s="326">
        <v>0</v>
      </c>
      <c r="F26" s="326">
        <f>[3]供热公司!G26</f>
        <v>2043</v>
      </c>
      <c r="G26" s="326">
        <f>'[8]26.1'!$E$25</f>
        <v>729</v>
      </c>
      <c r="H26" s="326">
        <f>'[8]26.1'!$I$25</f>
        <v>729</v>
      </c>
      <c r="I26" s="326">
        <f>'[8]26.1'!$M$25</f>
        <v>1670</v>
      </c>
      <c r="J26" s="347">
        <f t="shared" si="0"/>
        <v>729</v>
      </c>
      <c r="K26" s="347">
        <v>0</v>
      </c>
      <c r="L26" s="23">
        <f t="shared" si="2"/>
        <v>-1314</v>
      </c>
      <c r="M26" s="236">
        <f t="shared" si="7"/>
        <v>-0.643171806167401</v>
      </c>
      <c r="N26" s="334"/>
      <c r="O26" s="334"/>
    </row>
    <row r="27" s="307" customFormat="1" ht="18" customHeight="1" spans="1:15">
      <c r="A27" s="340"/>
      <c r="B27" s="322" t="s">
        <v>175</v>
      </c>
      <c r="C27" s="348" t="s">
        <v>64</v>
      </c>
      <c r="D27" s="349">
        <v>0</v>
      </c>
      <c r="E27" s="349">
        <v>0</v>
      </c>
      <c r="F27" s="349">
        <f>[3]供热公司!G27</f>
        <v>1</v>
      </c>
      <c r="G27" s="349">
        <f>'[8]26.1'!$E$26</f>
        <v>0.768987341772152</v>
      </c>
      <c r="H27" s="349">
        <f>'[8]26.1'!$I$26</f>
        <v>0.768987341772152</v>
      </c>
      <c r="I27" s="349">
        <f>'[8]26.1'!$M$26</f>
        <v>0.884065643197459</v>
      </c>
      <c r="J27" s="350">
        <f t="shared" si="0"/>
        <v>0.768987341772152</v>
      </c>
      <c r="K27" s="350" t="s">
        <v>65</v>
      </c>
      <c r="L27" s="351">
        <f t="shared" si="2"/>
        <v>-0.231012658227848</v>
      </c>
      <c r="M27" s="352" t="s">
        <v>65</v>
      </c>
      <c r="N27" s="334"/>
      <c r="O27" s="334"/>
    </row>
    <row r="28" s="307" customFormat="1" ht="18" customHeight="1" spans="1:15">
      <c r="A28" s="340"/>
      <c r="B28" s="317" t="s">
        <v>176</v>
      </c>
      <c r="C28" s="318" t="s">
        <v>177</v>
      </c>
      <c r="D28" s="346">
        <v>0</v>
      </c>
      <c r="E28" s="346">
        <v>0</v>
      </c>
      <c r="F28" s="346">
        <f>[3]供热公司!G28</f>
        <v>2917</v>
      </c>
      <c r="G28" s="346">
        <f>'[8]26.1'!$E$27</f>
        <v>8002</v>
      </c>
      <c r="H28" s="346">
        <f>'[8]26.1'!$I$27</f>
        <v>8002</v>
      </c>
      <c r="I28" s="346">
        <f>'[8]26.1'!$M$27</f>
        <v>27856</v>
      </c>
      <c r="J28" s="347">
        <f t="shared" si="0"/>
        <v>8002</v>
      </c>
      <c r="K28" s="347">
        <v>0</v>
      </c>
      <c r="L28" s="23">
        <f t="shared" si="2"/>
        <v>5085</v>
      </c>
      <c r="M28" s="236">
        <f t="shared" ref="M28:M33" si="8">IFERROR(L28/F28,"-")</f>
        <v>1.74322934521769</v>
      </c>
      <c r="N28" s="334"/>
      <c r="O28" s="334"/>
    </row>
    <row r="29" s="307" customFormat="1" ht="18" customHeight="1" spans="1:15">
      <c r="A29" s="340"/>
      <c r="B29" s="317" t="s">
        <v>178</v>
      </c>
      <c r="C29" s="318" t="s">
        <v>177</v>
      </c>
      <c r="D29" s="326">
        <v>0</v>
      </c>
      <c r="E29" s="326">
        <v>0</v>
      </c>
      <c r="F29" s="326">
        <f>[3]供热公司!G29</f>
        <v>2917</v>
      </c>
      <c r="G29" s="326">
        <f>'[8]26.1'!$E$28</f>
        <v>8002</v>
      </c>
      <c r="H29" s="326">
        <f>'[8]26.1'!$I$28</f>
        <v>8002</v>
      </c>
      <c r="I29" s="326">
        <f>'[8]26.1'!$M$28</f>
        <v>27856</v>
      </c>
      <c r="J29" s="347">
        <f t="shared" si="0"/>
        <v>8002</v>
      </c>
      <c r="K29" s="347">
        <v>0</v>
      </c>
      <c r="L29" s="23">
        <f t="shared" si="2"/>
        <v>5085</v>
      </c>
      <c r="M29" s="236">
        <f t="shared" si="8"/>
        <v>1.74322934521769</v>
      </c>
      <c r="N29" s="334"/>
      <c r="O29" s="334"/>
    </row>
    <row r="30" s="307" customFormat="1" ht="18" customHeight="1" spans="1:15">
      <c r="A30" s="340"/>
      <c r="B30" s="322" t="s">
        <v>179</v>
      </c>
      <c r="C30" s="348" t="s">
        <v>64</v>
      </c>
      <c r="D30" s="349">
        <v>0</v>
      </c>
      <c r="E30" s="349">
        <v>0</v>
      </c>
      <c r="F30" s="349">
        <f>[3]供热公司!G30</f>
        <v>1</v>
      </c>
      <c r="G30" s="349">
        <f>'[8]26.1'!$E$29</f>
        <v>1</v>
      </c>
      <c r="H30" s="349">
        <f>'[8]26.1'!$I$29</f>
        <v>1</v>
      </c>
      <c r="I30" s="349">
        <f>'[8]26.1'!$M$29</f>
        <v>1</v>
      </c>
      <c r="J30" s="350">
        <f t="shared" si="0"/>
        <v>1</v>
      </c>
      <c r="K30" s="350" t="s">
        <v>65</v>
      </c>
      <c r="L30" s="351">
        <f t="shared" si="2"/>
        <v>0</v>
      </c>
      <c r="M30" s="352" t="s">
        <v>65</v>
      </c>
      <c r="N30" s="334"/>
      <c r="O30" s="334"/>
    </row>
    <row r="31" s="307" customFormat="1" ht="18" customHeight="1" spans="1:15">
      <c r="A31" s="340"/>
      <c r="B31" s="317" t="s">
        <v>180</v>
      </c>
      <c r="C31" s="318" t="s">
        <v>181</v>
      </c>
      <c r="D31" s="346">
        <v>0</v>
      </c>
      <c r="E31" s="346">
        <v>0</v>
      </c>
      <c r="F31" s="346">
        <f>[3]供热公司!G31</f>
        <v>744</v>
      </c>
      <c r="G31" s="346">
        <f>'[8]26.1'!$E$30</f>
        <v>744</v>
      </c>
      <c r="H31" s="346">
        <f>'[8]26.1'!$I$30</f>
        <v>744</v>
      </c>
      <c r="I31" s="346">
        <f>'[8]26.1'!$M$30</f>
        <v>2068.76</v>
      </c>
      <c r="J31" s="347">
        <f t="shared" si="0"/>
        <v>744</v>
      </c>
      <c r="K31" s="347">
        <v>0</v>
      </c>
      <c r="L31" s="23">
        <f t="shared" si="2"/>
        <v>0</v>
      </c>
      <c r="M31" s="353">
        <f t="shared" si="8"/>
        <v>0</v>
      </c>
      <c r="N31" s="334"/>
      <c r="O31" s="334"/>
    </row>
    <row r="32" s="307" customFormat="1" ht="18" customHeight="1" spans="1:15">
      <c r="A32" s="340"/>
      <c r="B32" s="317" t="s">
        <v>182</v>
      </c>
      <c r="C32" s="318" t="s">
        <v>183</v>
      </c>
      <c r="D32" s="326">
        <v>0</v>
      </c>
      <c r="E32" s="326">
        <v>0</v>
      </c>
      <c r="F32" s="326">
        <f>[3]供热公司!G32</f>
        <v>43</v>
      </c>
      <c r="G32" s="326">
        <f>'[8]26.1'!$E$31</f>
        <v>52</v>
      </c>
      <c r="H32" s="326">
        <f>'[8]26.1'!$I$31</f>
        <v>52</v>
      </c>
      <c r="I32" s="326">
        <f>'[8]26.1'!$M$31</f>
        <v>173</v>
      </c>
      <c r="J32" s="347">
        <f t="shared" si="0"/>
        <v>52</v>
      </c>
      <c r="K32" s="347">
        <v>0</v>
      </c>
      <c r="L32" s="23">
        <f t="shared" si="2"/>
        <v>9</v>
      </c>
      <c r="M32" s="236">
        <f t="shared" si="8"/>
        <v>0.209302325581395</v>
      </c>
      <c r="N32" s="334"/>
      <c r="O32" s="334"/>
    </row>
    <row r="33" s="307" customFormat="1" ht="18" customHeight="1" spans="1:15">
      <c r="A33" s="340"/>
      <c r="B33" s="317" t="s">
        <v>184</v>
      </c>
      <c r="C33" s="318" t="s">
        <v>183</v>
      </c>
      <c r="D33" s="326">
        <v>0</v>
      </c>
      <c r="E33" s="326">
        <v>0</v>
      </c>
      <c r="F33" s="326">
        <f>[3]供热公司!G33</f>
        <v>43</v>
      </c>
      <c r="G33" s="326">
        <f>'[8]26.1'!$E$32</f>
        <v>52</v>
      </c>
      <c r="H33" s="326">
        <f>'[8]26.1'!$I$32</f>
        <v>52</v>
      </c>
      <c r="I33" s="326">
        <f>'[8]26.1'!$M$32</f>
        <v>173</v>
      </c>
      <c r="J33" s="347">
        <f t="shared" si="0"/>
        <v>52</v>
      </c>
      <c r="K33" s="347">
        <v>0</v>
      </c>
      <c r="L33" s="23">
        <f t="shared" si="2"/>
        <v>9</v>
      </c>
      <c r="M33" s="236">
        <f t="shared" si="8"/>
        <v>0.209302325581395</v>
      </c>
      <c r="N33" s="334"/>
      <c r="O33" s="334"/>
    </row>
    <row r="34" s="307" customFormat="1" ht="18" customHeight="1" spans="1:15">
      <c r="A34" s="354"/>
      <c r="B34" s="355" t="s">
        <v>185</v>
      </c>
      <c r="C34" s="356" t="s">
        <v>64</v>
      </c>
      <c r="D34" s="357">
        <v>0</v>
      </c>
      <c r="E34" s="357">
        <v>0</v>
      </c>
      <c r="F34" s="357">
        <f>[3]供热公司!G34</f>
        <v>1</v>
      </c>
      <c r="G34" s="357">
        <f>'[8]26.1'!$E$33</f>
        <v>1</v>
      </c>
      <c r="H34" s="357">
        <f>'[8]26.1'!$I$33</f>
        <v>1</v>
      </c>
      <c r="I34" s="357">
        <f>'[8]26.1'!$M$33</f>
        <v>1</v>
      </c>
      <c r="J34" s="358">
        <f t="shared" si="0"/>
        <v>1</v>
      </c>
      <c r="K34" s="358" t="s">
        <v>65</v>
      </c>
      <c r="L34" s="359">
        <f t="shared" si="2"/>
        <v>0</v>
      </c>
      <c r="M34" s="360" t="s">
        <v>65</v>
      </c>
      <c r="N34" s="334"/>
      <c r="O34" s="334"/>
    </row>
  </sheetData>
  <mergeCells count="15">
    <mergeCell ref="J1:K1"/>
    <mergeCell ref="L1:M1"/>
    <mergeCell ref="A1:A2"/>
    <mergeCell ref="A3:A5"/>
    <mergeCell ref="A6:A13"/>
    <mergeCell ref="A14:A17"/>
    <mergeCell ref="A18:A34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550694444444444" right="0.550694444444444" top="0.944444444444444" bottom="0.0784722222222222" header="0.550694444444444" footer="0.0784722222222222"/>
  <pageSetup paperSize="9" scale="85" orientation="landscape" horizontalDpi="600" verticalDpi="180"/>
  <headerFooter alignWithMargins="0" scaleWithDoc="0">
    <oddHeader>&amp;C&amp;"黑体"&amp;20供热公司2026年1月份主要经营指标统计表&amp;R表    号：     ZB008
制表单位：经济运行部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"/>
  <sheetViews>
    <sheetView showGridLines="0" zoomScale="85" zoomScaleNormal="85" zoomScaleSheetLayoutView="60" workbookViewId="0">
      <pane xSplit="2" ySplit="2" topLeftCell="C39" activePane="bottomRight" state="frozen"/>
      <selection/>
      <selection pane="topRight"/>
      <selection pane="bottomLeft"/>
      <selection pane="bottomRight" activeCell="G48" sqref="G48"/>
    </sheetView>
  </sheetViews>
  <sheetFormatPr defaultColWidth="8.66666666666667" defaultRowHeight="15"/>
  <cols>
    <col min="1" max="1" width="10" style="66" customWidth="1"/>
    <col min="2" max="2" width="18.25" style="67" customWidth="1"/>
    <col min="3" max="3" width="10.6833333333333" style="66" customWidth="1"/>
    <col min="4" max="4" width="11.8916666666667" style="2" customWidth="1"/>
    <col min="5" max="5" width="10.125" style="2" customWidth="1"/>
    <col min="6" max="8" width="9.625" style="2" customWidth="1"/>
    <col min="9" max="9" width="8.375" style="2" customWidth="1"/>
    <col min="10" max="10" width="10.25" style="2" customWidth="1"/>
    <col min="11" max="13" width="8.375" style="2" customWidth="1"/>
    <col min="14" max="32" width="9" style="67"/>
    <col min="33" max="16384" width="8.66666666666667" style="67"/>
  </cols>
  <sheetData>
    <row r="1" ht="14.1" customHeight="1" spans="1:14">
      <c r="A1" s="69" t="s">
        <v>84</v>
      </c>
      <c r="B1" s="70" t="s">
        <v>112</v>
      </c>
      <c r="C1" s="70" t="s">
        <v>2</v>
      </c>
      <c r="D1" s="137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86</v>
      </c>
      <c r="J1" s="8" t="s">
        <v>9</v>
      </c>
      <c r="K1" s="3"/>
      <c r="L1" s="8" t="s">
        <v>10</v>
      </c>
      <c r="M1" s="139"/>
    </row>
    <row r="2" ht="14.1" customHeight="1" spans="1:14">
      <c r="A2" s="74"/>
      <c r="B2" s="75"/>
      <c r="C2" s="75"/>
      <c r="D2" s="140"/>
      <c r="E2" s="76"/>
      <c r="F2" s="76"/>
      <c r="G2" s="141"/>
      <c r="H2" s="76"/>
      <c r="I2" s="141"/>
      <c r="J2" s="14" t="s">
        <v>11</v>
      </c>
      <c r="K2" s="235" t="s">
        <v>12</v>
      </c>
      <c r="L2" s="14" t="s">
        <v>11</v>
      </c>
      <c r="M2" s="141" t="s">
        <v>12</v>
      </c>
    </row>
    <row r="3" s="64" customFormat="1" ht="16.5" customHeight="1" spans="1:14">
      <c r="A3" s="143" t="s">
        <v>87</v>
      </c>
      <c r="B3" s="203" t="s">
        <v>23</v>
      </c>
      <c r="C3" s="143" t="s">
        <v>15</v>
      </c>
      <c r="D3" s="175"/>
      <c r="E3" s="175">
        <f>'[2]11.金州热电表'!$M$7</f>
        <v>2300</v>
      </c>
      <c r="F3" s="175">
        <f>[3]金州!G3</f>
        <v>2213.064</v>
      </c>
      <c r="G3" s="175">
        <f>'[6]26.1'!$H$7/10000</f>
        <v>2264.16</v>
      </c>
      <c r="H3" s="175">
        <f>'[6]26.1'!$N$7/10000</f>
        <v>2264.16</v>
      </c>
      <c r="I3" s="145" t="str">
        <f t="shared" ref="I3:I29" si="0">IFERROR(H3/D3,"-")</f>
        <v>-</v>
      </c>
      <c r="J3" s="23">
        <f t="shared" ref="J3:J49" si="1">IFERROR(G3-E3,"-")</f>
        <v>-35.8400000000001</v>
      </c>
      <c r="K3" s="236">
        <f t="shared" ref="K3:K29" si="2">IFERROR(J3/E3,"-")</f>
        <v>-0.0155826086956522</v>
      </c>
      <c r="L3" s="23">
        <f t="shared" ref="L3:L49" si="3">IFERROR(G3-F3,"-")</f>
        <v>51.096</v>
      </c>
      <c r="M3" s="236">
        <f t="shared" ref="M3:M29" si="4">IFERROR(L3/F3,"-")</f>
        <v>0.0230883517150882</v>
      </c>
      <c r="N3" s="237"/>
    </row>
    <row r="4" s="64" customFormat="1" ht="16.5" customHeight="1" spans="1:14">
      <c r="A4" s="205"/>
      <c r="B4" s="203" t="s">
        <v>14</v>
      </c>
      <c r="C4" s="143" t="s">
        <v>15</v>
      </c>
      <c r="D4" s="175"/>
      <c r="E4" s="175">
        <f>'[2]11.金州热电表'!$M$14</f>
        <v>1620</v>
      </c>
      <c r="F4" s="175">
        <f>[3]金州!G4</f>
        <v>1552.32</v>
      </c>
      <c r="G4" s="175">
        <f>'[6]26.1'!$H$8/10000</f>
        <v>1564.2792</v>
      </c>
      <c r="H4" s="175">
        <f>'[6]26.1'!$N$8/10000</f>
        <v>1564.2792</v>
      </c>
      <c r="I4" s="145" t="str">
        <f t="shared" si="0"/>
        <v>-</v>
      </c>
      <c r="J4" s="23">
        <f t="shared" si="1"/>
        <v>-55.7208000000001</v>
      </c>
      <c r="K4" s="236">
        <f t="shared" si="2"/>
        <v>-0.0343955555555556</v>
      </c>
      <c r="L4" s="23">
        <f t="shared" si="3"/>
        <v>11.9592</v>
      </c>
      <c r="M4" s="236">
        <f t="shared" si="4"/>
        <v>0.00770408163265307</v>
      </c>
      <c r="N4" s="237"/>
    </row>
    <row r="5" s="64" customFormat="1" ht="16.5" customHeight="1" spans="1:14">
      <c r="A5" s="205"/>
      <c r="B5" s="203" t="s">
        <v>24</v>
      </c>
      <c r="C5" s="143" t="s">
        <v>19</v>
      </c>
      <c r="D5" s="175"/>
      <c r="E5" s="175">
        <f>'[2]11.金州热电表'!$M$8</f>
        <v>513000</v>
      </c>
      <c r="F5" s="175">
        <f>[3]金州!G5</f>
        <v>491140</v>
      </c>
      <c r="G5" s="175">
        <f>'[6]26.1'!$H$9</f>
        <v>570124</v>
      </c>
      <c r="H5" s="175">
        <f>'[6]26.1'!$N$9</f>
        <v>570124</v>
      </c>
      <c r="I5" s="145" t="str">
        <f t="shared" si="0"/>
        <v>-</v>
      </c>
      <c r="J5" s="23">
        <f t="shared" si="1"/>
        <v>57124</v>
      </c>
      <c r="K5" s="238">
        <f t="shared" si="2"/>
        <v>0.111352826510721</v>
      </c>
      <c r="L5" s="23">
        <f t="shared" si="3"/>
        <v>78984</v>
      </c>
      <c r="M5" s="238">
        <f t="shared" si="4"/>
        <v>0.160817689457181</v>
      </c>
      <c r="N5" s="237"/>
    </row>
    <row r="6" s="64" customFormat="1" ht="16.5" customHeight="1" spans="1:14">
      <c r="A6" s="205"/>
      <c r="B6" s="203" t="s">
        <v>143</v>
      </c>
      <c r="C6" s="143" t="s">
        <v>19</v>
      </c>
      <c r="D6" s="175"/>
      <c r="E6" s="175">
        <f>'[2]11.金州热电表'!$M$11</f>
        <v>103000</v>
      </c>
      <c r="F6" s="175">
        <f>[3]金州!G6</f>
        <v>103249</v>
      </c>
      <c r="G6" s="175">
        <f>'[6]26.1'!$H$10</f>
        <v>113115</v>
      </c>
      <c r="H6" s="175">
        <f>'[6]26.1'!$N$10</f>
        <v>113115</v>
      </c>
      <c r="I6" s="145" t="str">
        <f t="shared" si="0"/>
        <v>-</v>
      </c>
      <c r="J6" s="23">
        <f t="shared" si="1"/>
        <v>10115</v>
      </c>
      <c r="K6" s="236">
        <f t="shared" si="2"/>
        <v>0.0982038834951456</v>
      </c>
      <c r="L6" s="23">
        <f t="shared" si="3"/>
        <v>9866</v>
      </c>
      <c r="M6" s="236">
        <f t="shared" si="4"/>
        <v>0.0955554048949627</v>
      </c>
      <c r="N6" s="237"/>
    </row>
    <row r="7" s="64" customFormat="1" ht="16.5" customHeight="1" spans="1:14">
      <c r="A7" s="205"/>
      <c r="B7" s="142" t="s">
        <v>18</v>
      </c>
      <c r="C7" s="247" t="s">
        <v>19</v>
      </c>
      <c r="D7" s="175"/>
      <c r="E7" s="175">
        <f>'[2]11.金州热电表'!$M$25</f>
        <v>9980</v>
      </c>
      <c r="F7" s="175">
        <f>[3]金州!G7</f>
        <v>9073</v>
      </c>
      <c r="G7" s="175">
        <f>[5]售热量!$D$23</f>
        <v>19518</v>
      </c>
      <c r="H7" s="175">
        <f>[5]售热量!$D$23</f>
        <v>19518</v>
      </c>
      <c r="I7" s="145" t="str">
        <f t="shared" si="0"/>
        <v>-</v>
      </c>
      <c r="J7" s="23">
        <f t="shared" si="1"/>
        <v>9538</v>
      </c>
      <c r="K7" s="238">
        <f t="shared" si="2"/>
        <v>0.955711422845691</v>
      </c>
      <c r="L7" s="23">
        <f t="shared" si="3"/>
        <v>10445</v>
      </c>
      <c r="M7" s="238">
        <f t="shared" si="4"/>
        <v>1.15121789926155</v>
      </c>
      <c r="N7" s="237"/>
    </row>
    <row r="8" s="64" customFormat="1" ht="16.5" customHeight="1" spans="1:14">
      <c r="A8" s="239"/>
      <c r="B8" s="150" t="s">
        <v>20</v>
      </c>
      <c r="C8" s="240" t="s">
        <v>21</v>
      </c>
      <c r="D8" s="177"/>
      <c r="E8" s="177">
        <f>'[2]11.金州热电表'!$M$19</f>
        <v>6555000</v>
      </c>
      <c r="F8" s="177">
        <f>[3]金州!G8</f>
        <v>6547599</v>
      </c>
      <c r="G8" s="177">
        <f>'[6]26.1'!$H$13</f>
        <v>6337791.65</v>
      </c>
      <c r="H8" s="177">
        <f>'[6]26.1'!$N$13</f>
        <v>6337791.65</v>
      </c>
      <c r="I8" s="153" t="str">
        <f t="shared" si="0"/>
        <v>-</v>
      </c>
      <c r="J8" s="156">
        <f t="shared" si="1"/>
        <v>-217208.35</v>
      </c>
      <c r="K8" s="241">
        <f t="shared" si="2"/>
        <v>-0.0331362852784134</v>
      </c>
      <c r="L8" s="156">
        <f t="shared" si="3"/>
        <v>-209807.35</v>
      </c>
      <c r="M8" s="241">
        <f t="shared" si="4"/>
        <v>-0.0320434024747086</v>
      </c>
      <c r="N8" s="237"/>
    </row>
    <row r="9" s="64" customFormat="1" ht="16.5" customHeight="1" spans="1:14">
      <c r="A9" s="198" t="s">
        <v>90</v>
      </c>
      <c r="B9" s="203" t="s">
        <v>115</v>
      </c>
      <c r="C9" s="143" t="s">
        <v>17</v>
      </c>
      <c r="D9" s="175"/>
      <c r="E9" s="175">
        <f>'[2]11.金州热电表'!$M$30</f>
        <v>4754</v>
      </c>
      <c r="F9" s="175">
        <f>[3]金州!G9</f>
        <v>4614</v>
      </c>
      <c r="G9" s="175">
        <f>'[6]26.1'!$H$39</f>
        <v>5645</v>
      </c>
      <c r="H9" s="175">
        <f>'[6]26.1'!$N$39</f>
        <v>5645</v>
      </c>
      <c r="I9" s="145" t="str">
        <f t="shared" si="0"/>
        <v>-</v>
      </c>
      <c r="J9" s="23">
        <f t="shared" si="1"/>
        <v>891</v>
      </c>
      <c r="K9" s="236">
        <f t="shared" si="2"/>
        <v>0.187421119057636</v>
      </c>
      <c r="L9" s="23">
        <f t="shared" si="3"/>
        <v>1031</v>
      </c>
      <c r="M9" s="236">
        <f t="shared" si="4"/>
        <v>0.223450368443866</v>
      </c>
      <c r="N9" s="237"/>
    </row>
    <row r="10" s="64" customFormat="1" ht="16.5" customHeight="1" spans="1:14">
      <c r="A10" s="199"/>
      <c r="B10" s="203" t="s">
        <v>116</v>
      </c>
      <c r="C10" s="143" t="s">
        <v>17</v>
      </c>
      <c r="D10" s="175"/>
      <c r="E10" s="175">
        <f>'[2]11.金州热电表'!$M$33</f>
        <v>20319</v>
      </c>
      <c r="F10" s="175">
        <f>[3]金州!G10</f>
        <v>19444</v>
      </c>
      <c r="G10" s="175">
        <f>'[6]26.1'!$H$42</f>
        <v>22565</v>
      </c>
      <c r="H10" s="175">
        <f>'[6]26.1'!$N$42</f>
        <v>22565</v>
      </c>
      <c r="I10" s="145" t="str">
        <f t="shared" si="0"/>
        <v>-</v>
      </c>
      <c r="J10" s="23">
        <f t="shared" si="1"/>
        <v>2246</v>
      </c>
      <c r="K10" s="236">
        <f t="shared" si="2"/>
        <v>0.110536935872828</v>
      </c>
      <c r="L10" s="23">
        <f t="shared" si="3"/>
        <v>3121</v>
      </c>
      <c r="M10" s="236">
        <f t="shared" si="4"/>
        <v>0.160512240279778</v>
      </c>
      <c r="N10" s="237"/>
    </row>
    <row r="11" s="64" customFormat="1" ht="16.5" customHeight="1" spans="1:14">
      <c r="A11" s="199"/>
      <c r="B11" s="203" t="s">
        <v>55</v>
      </c>
      <c r="C11" s="143" t="s">
        <v>17</v>
      </c>
      <c r="D11" s="178"/>
      <c r="E11" s="178">
        <f>'[2]11.金州热电表'!$M$29</f>
        <v>25073</v>
      </c>
      <c r="F11" s="178">
        <f>[3]金州!G11</f>
        <v>24058</v>
      </c>
      <c r="G11" s="178">
        <f>SUM(G9:G10)</f>
        <v>28210</v>
      </c>
      <c r="H11" s="178">
        <f>SUM(H9:H10)</f>
        <v>28210</v>
      </c>
      <c r="I11" s="145" t="str">
        <f t="shared" si="0"/>
        <v>-</v>
      </c>
      <c r="J11" s="23">
        <f t="shared" si="1"/>
        <v>3137</v>
      </c>
      <c r="K11" s="236">
        <f t="shared" si="2"/>
        <v>0.125114665177681</v>
      </c>
      <c r="L11" s="23">
        <f t="shared" si="3"/>
        <v>4152</v>
      </c>
      <c r="M11" s="236">
        <f t="shared" si="4"/>
        <v>0.172582924598886</v>
      </c>
      <c r="N11" s="237"/>
    </row>
    <row r="12" s="64" customFormat="1" ht="16.5" customHeight="1" spans="1:14">
      <c r="A12" s="199"/>
      <c r="B12" s="242" t="s">
        <v>58</v>
      </c>
      <c r="C12" s="143" t="s">
        <v>17</v>
      </c>
      <c r="D12" s="36">
        <f t="shared" ref="D12:F12" si="5">D11-1.4571*D23</f>
        <v>0</v>
      </c>
      <c r="E12" s="36">
        <f t="shared" si="5"/>
        <v>25051.1435</v>
      </c>
      <c r="F12" s="36">
        <f t="shared" si="5"/>
        <v>24034.6864</v>
      </c>
      <c r="G12" s="36">
        <f>'[6]26.1'!$H$40+'[6]26.1'!$H$43</f>
        <v>28190</v>
      </c>
      <c r="H12" s="36">
        <f>'[6]26.1'!$N$40+'[6]26.1'!$N$43</f>
        <v>28190</v>
      </c>
      <c r="I12" s="145" t="str">
        <f t="shared" si="0"/>
        <v>-</v>
      </c>
      <c r="J12" s="23">
        <f t="shared" si="1"/>
        <v>3138.8565</v>
      </c>
      <c r="K12" s="236">
        <f t="shared" si="2"/>
        <v>0.125297933006531</v>
      </c>
      <c r="L12" s="23">
        <f t="shared" si="3"/>
        <v>4155.3136</v>
      </c>
      <c r="M12" s="236">
        <f t="shared" si="4"/>
        <v>0.172888197118312</v>
      </c>
      <c r="N12" s="237"/>
    </row>
    <row r="13" s="64" customFormat="1" ht="16.5" customHeight="1" spans="1:14">
      <c r="A13" s="199"/>
      <c r="B13" s="203" t="s">
        <v>29</v>
      </c>
      <c r="C13" s="143" t="s">
        <v>17</v>
      </c>
      <c r="D13" s="175"/>
      <c r="E13" s="175">
        <f>'[2]11.金州热电表'!$M$26</f>
        <v>34620</v>
      </c>
      <c r="F13" s="175">
        <f>[3]金州!G13</f>
        <v>34632</v>
      </c>
      <c r="G13" s="175">
        <f>'[6]26.1'!$H$14</f>
        <v>39301</v>
      </c>
      <c r="H13" s="175">
        <f>'[6]26.1'!$N$14</f>
        <v>39301</v>
      </c>
      <c r="I13" s="145" t="str">
        <f t="shared" si="0"/>
        <v>-</v>
      </c>
      <c r="J13" s="23">
        <f t="shared" si="1"/>
        <v>4681</v>
      </c>
      <c r="K13" s="236">
        <f t="shared" si="2"/>
        <v>0.135210860774119</v>
      </c>
      <c r="L13" s="23">
        <f t="shared" si="3"/>
        <v>4669</v>
      </c>
      <c r="M13" s="236">
        <f t="shared" si="4"/>
        <v>0.13481750981751</v>
      </c>
      <c r="N13" s="237"/>
    </row>
    <row r="14" s="64" customFormat="1" ht="16.5" customHeight="1" spans="1:14">
      <c r="A14" s="199"/>
      <c r="B14" s="203" t="s">
        <v>36</v>
      </c>
      <c r="C14" s="143" t="s">
        <v>17</v>
      </c>
      <c r="D14" s="175"/>
      <c r="E14" s="175">
        <f>'[2]11.金州热电表'!$M$53</f>
        <v>10</v>
      </c>
      <c r="F14" s="175">
        <f>[3]金州!G14</f>
        <v>11</v>
      </c>
      <c r="G14" s="175">
        <f>'[6]26.1'!$H$23</f>
        <v>10</v>
      </c>
      <c r="H14" s="175">
        <f>'[6]26.1'!$N$23</f>
        <v>10</v>
      </c>
      <c r="I14" s="145" t="str">
        <f t="shared" si="0"/>
        <v>-</v>
      </c>
      <c r="J14" s="23">
        <f t="shared" si="1"/>
        <v>0</v>
      </c>
      <c r="K14" s="236">
        <f t="shared" si="2"/>
        <v>0</v>
      </c>
      <c r="L14" s="23">
        <f t="shared" si="3"/>
        <v>-1</v>
      </c>
      <c r="M14" s="236">
        <f t="shared" si="4"/>
        <v>-0.0909090909090909</v>
      </c>
      <c r="N14" s="237"/>
    </row>
    <row r="15" s="64" customFormat="1" ht="16.5" customHeight="1" spans="1:14">
      <c r="A15" s="199"/>
      <c r="B15" s="203" t="s">
        <v>35</v>
      </c>
      <c r="C15" s="143" t="s">
        <v>17</v>
      </c>
      <c r="D15" s="175"/>
      <c r="E15" s="175">
        <f>'[2]11.金州热电表'!$M$52</f>
        <v>14</v>
      </c>
      <c r="F15" s="175">
        <f>[3]金州!G15</f>
        <v>16.5</v>
      </c>
      <c r="G15" s="175">
        <f>'[6]26.1'!$H$22</f>
        <v>15</v>
      </c>
      <c r="H15" s="175">
        <f>'[6]26.1'!$N$22</f>
        <v>15</v>
      </c>
      <c r="I15" s="145" t="str">
        <f t="shared" si="0"/>
        <v>-</v>
      </c>
      <c r="J15" s="23">
        <f t="shared" si="1"/>
        <v>1</v>
      </c>
      <c r="K15" s="236">
        <f t="shared" si="2"/>
        <v>0.0714285714285714</v>
      </c>
      <c r="L15" s="23">
        <f t="shared" si="3"/>
        <v>-1.5</v>
      </c>
      <c r="M15" s="236">
        <f t="shared" si="4"/>
        <v>-0.0909090909090909</v>
      </c>
      <c r="N15" s="237"/>
    </row>
    <row r="16" s="64" customFormat="1" ht="16.5" customHeight="1" spans="1:14">
      <c r="A16" s="199"/>
      <c r="B16" s="203" t="s">
        <v>39</v>
      </c>
      <c r="C16" s="143" t="s">
        <v>17</v>
      </c>
      <c r="D16" s="176"/>
      <c r="E16" s="176">
        <f>'[2]11.金州热电表'!$M$56</f>
        <v>384</v>
      </c>
      <c r="F16" s="176">
        <f>[3]金州!G16</f>
        <v>427</v>
      </c>
      <c r="G16" s="176">
        <f>'[6]26.1'!$H$26</f>
        <v>319</v>
      </c>
      <c r="H16" s="176">
        <f>'[6]26.1'!$N$26</f>
        <v>319</v>
      </c>
      <c r="I16" s="145" t="str">
        <f t="shared" si="0"/>
        <v>-</v>
      </c>
      <c r="J16" s="23">
        <f t="shared" si="1"/>
        <v>-65</v>
      </c>
      <c r="K16" s="236">
        <f t="shared" si="2"/>
        <v>-0.169270833333333</v>
      </c>
      <c r="L16" s="23">
        <f t="shared" si="3"/>
        <v>-108</v>
      </c>
      <c r="M16" s="236">
        <f t="shared" si="4"/>
        <v>-0.252927400468384</v>
      </c>
      <c r="N16" s="237"/>
    </row>
    <row r="17" s="64" customFormat="1" ht="16.5" customHeight="1" spans="1:15">
      <c r="A17" s="199"/>
      <c r="B17" s="203" t="s">
        <v>186</v>
      </c>
      <c r="C17" s="143" t="s">
        <v>17</v>
      </c>
      <c r="D17" s="286"/>
      <c r="E17" s="286">
        <f>'[2]11.金州热电表'!$M$59</f>
        <v>2</v>
      </c>
      <c r="F17" s="286">
        <f>[3]金州!G17</f>
        <v>2</v>
      </c>
      <c r="G17" s="286">
        <f>'[6]26.1'!$H$27</f>
        <v>1</v>
      </c>
      <c r="H17" s="286">
        <f>'[6]26.1'!$N$27</f>
        <v>1</v>
      </c>
      <c r="I17" s="145" t="str">
        <f t="shared" si="0"/>
        <v>-</v>
      </c>
      <c r="J17" s="23">
        <f t="shared" si="1"/>
        <v>-1</v>
      </c>
      <c r="K17" s="236">
        <f t="shared" si="2"/>
        <v>-0.5</v>
      </c>
      <c r="L17" s="244">
        <f t="shared" si="3"/>
        <v>-1</v>
      </c>
      <c r="M17" s="236">
        <f t="shared" si="4"/>
        <v>-0.5</v>
      </c>
      <c r="N17" s="237"/>
    </row>
    <row r="18" s="64" customFormat="1" ht="16.5" customHeight="1" spans="1:15">
      <c r="A18" s="199"/>
      <c r="B18" s="203" t="s">
        <v>41</v>
      </c>
      <c r="C18" s="143" t="s">
        <v>17</v>
      </c>
      <c r="D18" s="286"/>
      <c r="E18" s="286">
        <f>'[2]11.金州热电表'!$M$60</f>
        <v>0</v>
      </c>
      <c r="F18" s="286">
        <f>[3]金州!G18</f>
        <v>0</v>
      </c>
      <c r="G18" s="286">
        <f>'[6]26.1'!$H$28</f>
        <v>0</v>
      </c>
      <c r="H18" s="286">
        <f>'[6]26.1'!$N$28</f>
        <v>0</v>
      </c>
      <c r="I18" s="145" t="str">
        <f t="shared" si="0"/>
        <v>-</v>
      </c>
      <c r="J18" s="23">
        <f t="shared" si="1"/>
        <v>0</v>
      </c>
      <c r="K18" s="236" t="str">
        <f t="shared" si="2"/>
        <v>-</v>
      </c>
      <c r="L18" s="244">
        <f t="shared" si="3"/>
        <v>0</v>
      </c>
      <c r="M18" s="236" t="str">
        <f t="shared" si="4"/>
        <v>-</v>
      </c>
      <c r="N18" s="237"/>
    </row>
    <row r="19" s="64" customFormat="1" ht="16.5" customHeight="1" spans="1:15">
      <c r="A19" s="199"/>
      <c r="B19" s="203" t="s">
        <v>44</v>
      </c>
      <c r="C19" s="143" t="s">
        <v>17</v>
      </c>
      <c r="D19" s="175"/>
      <c r="E19" s="175">
        <f>'[2]11.金州热电表'!$M$75</f>
        <v>18000</v>
      </c>
      <c r="F19" s="175">
        <f>[3]金州!G19</f>
        <v>20020</v>
      </c>
      <c r="G19" s="175">
        <f>'[6]26.1'!$H$65</f>
        <v>23814</v>
      </c>
      <c r="H19" s="175">
        <f>'[6]26.1'!$N$65</f>
        <v>23814</v>
      </c>
      <c r="I19" s="145" t="str">
        <f t="shared" si="0"/>
        <v>-</v>
      </c>
      <c r="J19" s="23">
        <f t="shared" si="1"/>
        <v>5814</v>
      </c>
      <c r="K19" s="236">
        <f t="shared" si="2"/>
        <v>0.323</v>
      </c>
      <c r="L19" s="23">
        <f t="shared" si="3"/>
        <v>3794</v>
      </c>
      <c r="M19" s="236">
        <f t="shared" si="4"/>
        <v>0.18951048951049</v>
      </c>
      <c r="N19" s="237"/>
    </row>
    <row r="20" s="64" customFormat="1" ht="16.5" customHeight="1" spans="1:15">
      <c r="A20" s="199"/>
      <c r="B20" s="203" t="s">
        <v>45</v>
      </c>
      <c r="C20" s="287" t="s">
        <v>46</v>
      </c>
      <c r="D20" s="175"/>
      <c r="E20" s="175">
        <f>'[2]11.金州热电表'!$M$76*10000</f>
        <v>650000</v>
      </c>
      <c r="F20" s="175">
        <f>[3]金州!G20</f>
        <v>691699</v>
      </c>
      <c r="G20" s="175">
        <f>'[6]26.1'!$H$66</f>
        <v>754606</v>
      </c>
      <c r="H20" s="175">
        <f>'[6]26.1'!$N$66</f>
        <v>754606</v>
      </c>
      <c r="I20" s="145" t="str">
        <f t="shared" si="0"/>
        <v>-</v>
      </c>
      <c r="J20" s="23">
        <f t="shared" si="1"/>
        <v>104606</v>
      </c>
      <c r="K20" s="236">
        <f t="shared" si="2"/>
        <v>0.160932307692308</v>
      </c>
      <c r="L20" s="23">
        <f t="shared" si="3"/>
        <v>62907</v>
      </c>
      <c r="M20" s="236">
        <f t="shared" si="4"/>
        <v>0.090945628083892</v>
      </c>
      <c r="N20" s="237"/>
    </row>
    <row r="21" s="64" customFormat="1" ht="16.5" customHeight="1" spans="1:15">
      <c r="A21" s="199"/>
      <c r="B21" s="142" t="s">
        <v>31</v>
      </c>
      <c r="C21" s="143" t="s">
        <v>17</v>
      </c>
      <c r="D21" s="175"/>
      <c r="E21" s="175">
        <f>'[2]11.金州热电表'!$M$41</f>
        <v>108630.4</v>
      </c>
      <c r="F21" s="175">
        <f>[3]金州!G21</f>
        <v>125994</v>
      </c>
      <c r="G21" s="175">
        <f>'[6]26.1'!$H$20</f>
        <v>94794</v>
      </c>
      <c r="H21" s="175">
        <f>'[6]26.1'!$N$20</f>
        <v>94794</v>
      </c>
      <c r="I21" s="145" t="str">
        <f t="shared" si="0"/>
        <v>-</v>
      </c>
      <c r="J21" s="23">
        <f t="shared" si="1"/>
        <v>-13836.4</v>
      </c>
      <c r="K21" s="236">
        <f t="shared" si="2"/>
        <v>-0.127371343564969</v>
      </c>
      <c r="L21" s="23">
        <f t="shared" si="3"/>
        <v>-31200</v>
      </c>
      <c r="M21" s="236">
        <f t="shared" si="4"/>
        <v>-0.247630839563789</v>
      </c>
      <c r="N21" s="237"/>
    </row>
    <row r="22" s="64" customFormat="1" ht="16.5" customHeight="1" spans="1:15">
      <c r="A22" s="199"/>
      <c r="B22" s="203" t="s">
        <v>32</v>
      </c>
      <c r="C22" s="143" t="s">
        <v>17</v>
      </c>
      <c r="D22" s="175"/>
      <c r="E22" s="175">
        <f>'[2]11.金州热电表'!$M$43+'[2]11.金州热电表'!$M$47</f>
        <v>53630.4</v>
      </c>
      <c r="F22" s="175">
        <f>[3]金州!G22</f>
        <v>64121</v>
      </c>
      <c r="G22" s="175">
        <f>'[6]26.1'!$H$62</f>
        <v>40661</v>
      </c>
      <c r="H22" s="175">
        <f>'[6]26.1'!$N$62</f>
        <v>40661</v>
      </c>
      <c r="I22" s="145" t="str">
        <f t="shared" si="0"/>
        <v>-</v>
      </c>
      <c r="J22" s="23">
        <f t="shared" si="1"/>
        <v>-12969.4</v>
      </c>
      <c r="K22" s="236">
        <f t="shared" si="2"/>
        <v>-0.24182926101614</v>
      </c>
      <c r="L22" s="23">
        <f t="shared" si="3"/>
        <v>-23460</v>
      </c>
      <c r="M22" s="236">
        <f t="shared" si="4"/>
        <v>-0.365870775564948</v>
      </c>
      <c r="N22" s="237"/>
    </row>
    <row r="23" s="64" customFormat="1" ht="16.5" customHeight="1" spans="1:15">
      <c r="A23" s="199"/>
      <c r="B23" s="203" t="s">
        <v>120</v>
      </c>
      <c r="C23" s="143" t="s">
        <v>17</v>
      </c>
      <c r="D23" s="175"/>
      <c r="E23" s="175">
        <f>'[2]11.金州热电表'!$M$37</f>
        <v>15</v>
      </c>
      <c r="F23" s="175">
        <f>[3]金州!G23</f>
        <v>16</v>
      </c>
      <c r="G23" s="175">
        <f>'[6]26.1'!$H$17</f>
        <v>14</v>
      </c>
      <c r="H23" s="175">
        <f>'[6]26.1'!$N$17</f>
        <v>14</v>
      </c>
      <c r="I23" s="145" t="str">
        <f t="shared" si="0"/>
        <v>-</v>
      </c>
      <c r="J23" s="23">
        <f t="shared" si="1"/>
        <v>-1</v>
      </c>
      <c r="K23" s="238">
        <f t="shared" si="2"/>
        <v>-0.0666666666666667</v>
      </c>
      <c r="L23" s="23">
        <f t="shared" si="3"/>
        <v>-2</v>
      </c>
      <c r="M23" s="238">
        <f t="shared" si="4"/>
        <v>-0.125</v>
      </c>
      <c r="N23" s="237"/>
    </row>
    <row r="24" s="64" customFormat="1" ht="16.5" customHeight="1" spans="1:15">
      <c r="A24" s="199"/>
      <c r="B24" s="203" t="s">
        <v>38</v>
      </c>
      <c r="C24" s="143" t="s">
        <v>17</v>
      </c>
      <c r="D24" s="176"/>
      <c r="E24" s="176">
        <f>'[2]11.金州热电表'!$M$55</f>
        <v>574</v>
      </c>
      <c r="F24" s="176">
        <f>[3]金州!G24</f>
        <v>638</v>
      </c>
      <c r="G24" s="176">
        <f>'[6]26.1'!$H$25</f>
        <v>702</v>
      </c>
      <c r="H24" s="176">
        <f>'[6]26.1'!$N$25</f>
        <v>702</v>
      </c>
      <c r="I24" s="145" t="str">
        <f t="shared" si="0"/>
        <v>-</v>
      </c>
      <c r="J24" s="23">
        <f t="shared" si="1"/>
        <v>128</v>
      </c>
      <c r="K24" s="236">
        <f t="shared" si="2"/>
        <v>0.222996515679443</v>
      </c>
      <c r="L24" s="23">
        <f t="shared" si="3"/>
        <v>64</v>
      </c>
      <c r="M24" s="236">
        <f t="shared" si="4"/>
        <v>0.100313479623824</v>
      </c>
      <c r="N24" s="237"/>
    </row>
    <row r="25" s="64" customFormat="1" ht="16.5" customHeight="1" spans="1:15">
      <c r="A25" s="199"/>
      <c r="B25" s="142" t="s">
        <v>49</v>
      </c>
      <c r="C25" s="247" t="s">
        <v>15</v>
      </c>
      <c r="D25" s="36"/>
      <c r="E25" s="36">
        <f>'[2]11.金州热电表'!$M$70</f>
        <v>189</v>
      </c>
      <c r="F25" s="36">
        <f>[3]金州!G25</f>
        <v>199</v>
      </c>
      <c r="G25" s="36">
        <f>'[6]26.1'!$H$60/10000</f>
        <v>182.8619</v>
      </c>
      <c r="H25" s="36">
        <f>'[6]26.1'!$N$60/10000</f>
        <v>182.8619</v>
      </c>
      <c r="I25" s="145" t="str">
        <f t="shared" si="0"/>
        <v>-</v>
      </c>
      <c r="J25" s="23">
        <f t="shared" si="1"/>
        <v>-6.13810000000001</v>
      </c>
      <c r="K25" s="236">
        <f t="shared" si="2"/>
        <v>-0.0324767195767196</v>
      </c>
      <c r="L25" s="23">
        <f t="shared" si="3"/>
        <v>-16.1381</v>
      </c>
      <c r="M25" s="236">
        <f t="shared" si="4"/>
        <v>-0.0810959798994975</v>
      </c>
      <c r="N25" s="237"/>
    </row>
    <row r="26" s="64" customFormat="1" ht="16.5" customHeight="1" spans="1:15">
      <c r="A26" s="199"/>
      <c r="B26" s="203" t="s">
        <v>50</v>
      </c>
      <c r="C26" s="247" t="s">
        <v>15</v>
      </c>
      <c r="D26" s="36"/>
      <c r="E26" s="36">
        <f>'[2]11.金州热电表'!$M$73</f>
        <v>189</v>
      </c>
      <c r="F26" s="36">
        <f>[3]金州!G26</f>
        <v>199</v>
      </c>
      <c r="G26" s="36">
        <f>'[6]26.1'!$H$61/10000</f>
        <v>182.8619</v>
      </c>
      <c r="H26" s="36">
        <f>'[6]26.1'!$N$61/10000</f>
        <v>182.8619</v>
      </c>
      <c r="I26" s="145" t="str">
        <f t="shared" si="0"/>
        <v>-</v>
      </c>
      <c r="J26" s="23">
        <f t="shared" si="1"/>
        <v>-6.13810000000001</v>
      </c>
      <c r="K26" s="236">
        <f t="shared" si="2"/>
        <v>-0.0324767195767196</v>
      </c>
      <c r="L26" s="23">
        <f t="shared" si="3"/>
        <v>-16.1381</v>
      </c>
      <c r="M26" s="236">
        <f t="shared" si="4"/>
        <v>-0.0810959798994975</v>
      </c>
      <c r="N26" s="237"/>
    </row>
    <row r="27" s="64" customFormat="1" ht="16.5" customHeight="1" spans="1:15">
      <c r="A27" s="199"/>
      <c r="B27" s="203" t="s">
        <v>51</v>
      </c>
      <c r="C27" s="143" t="s">
        <v>15</v>
      </c>
      <c r="D27" s="175"/>
      <c r="E27" s="175">
        <f>'[2]11.金州热电表'!$M$65</f>
        <v>680</v>
      </c>
      <c r="F27" s="175">
        <f>[3]金州!G27</f>
        <v>660.744</v>
      </c>
      <c r="G27" s="175">
        <f>'[6]26.1'!$H$30/10000</f>
        <v>699.8808</v>
      </c>
      <c r="H27" s="175">
        <f>'[6]26.1'!$N$30/10000</f>
        <v>699.8808</v>
      </c>
      <c r="I27" s="145" t="str">
        <f t="shared" si="0"/>
        <v>-</v>
      </c>
      <c r="J27" s="23">
        <f t="shared" si="1"/>
        <v>19.8808</v>
      </c>
      <c r="K27" s="236">
        <f t="shared" si="2"/>
        <v>0.0292364705882353</v>
      </c>
      <c r="L27" s="23">
        <f t="shared" si="3"/>
        <v>39.1368</v>
      </c>
      <c r="M27" s="236">
        <f t="shared" si="4"/>
        <v>0.0592314118629908</v>
      </c>
      <c r="N27" s="237"/>
    </row>
    <row r="28" s="64" customFormat="1" ht="16.5" customHeight="1" spans="1:15">
      <c r="A28" s="199"/>
      <c r="B28" s="203" t="s">
        <v>121</v>
      </c>
      <c r="C28" s="143" t="s">
        <v>15</v>
      </c>
      <c r="D28" s="175"/>
      <c r="E28" s="175">
        <f>'[2]11.金州热电表'!$M$68</f>
        <v>127</v>
      </c>
      <c r="F28" s="175">
        <f>[3]金州!G28</f>
        <v>126.7349</v>
      </c>
      <c r="G28" s="175">
        <f>'[6]26.1'!$H$33/10000</f>
        <v>140.0555</v>
      </c>
      <c r="H28" s="175">
        <f>'[6]26.1'!$N$33/10000</f>
        <v>140.0555</v>
      </c>
      <c r="I28" s="145" t="str">
        <f t="shared" si="0"/>
        <v>-</v>
      </c>
      <c r="J28" s="23">
        <f t="shared" si="1"/>
        <v>13.0555</v>
      </c>
      <c r="K28" s="236">
        <f t="shared" si="2"/>
        <v>0.102799212598425</v>
      </c>
      <c r="L28" s="23">
        <f t="shared" si="3"/>
        <v>13.3206</v>
      </c>
      <c r="M28" s="236">
        <f t="shared" si="4"/>
        <v>0.105106012629512</v>
      </c>
      <c r="N28" s="237"/>
    </row>
    <row r="29" s="64" customFormat="1" ht="16.5" customHeight="1" spans="1:15">
      <c r="A29" s="201"/>
      <c r="B29" s="273" t="s">
        <v>122</v>
      </c>
      <c r="C29" s="151" t="s">
        <v>15</v>
      </c>
      <c r="D29" s="177"/>
      <c r="E29" s="177">
        <f>'[2]11.金州热电表'!$M$69</f>
        <v>533</v>
      </c>
      <c r="F29" s="177">
        <f>[3]金州!G29</f>
        <v>534.0091</v>
      </c>
      <c r="G29" s="177">
        <f>'[6]26.1'!$H$34/10000</f>
        <v>559.8253</v>
      </c>
      <c r="H29" s="177">
        <f>'[6]26.1'!$N$34/10000</f>
        <v>559.8253</v>
      </c>
      <c r="I29" s="153" t="str">
        <f t="shared" si="0"/>
        <v>-</v>
      </c>
      <c r="J29" s="156">
        <f t="shared" si="1"/>
        <v>26.8253</v>
      </c>
      <c r="K29" s="241">
        <f t="shared" si="2"/>
        <v>0.0503288930581613</v>
      </c>
      <c r="L29" s="156">
        <f t="shared" si="3"/>
        <v>25.8162</v>
      </c>
      <c r="M29" s="241">
        <f t="shared" si="4"/>
        <v>0.0483441199784797</v>
      </c>
      <c r="N29" s="237"/>
      <c r="O29" s="82"/>
    </row>
    <row r="30" s="64" customFormat="1" ht="16.5" customHeight="1" spans="1:15">
      <c r="A30" s="202" t="s">
        <v>96</v>
      </c>
      <c r="B30" s="203" t="s">
        <v>63</v>
      </c>
      <c r="C30" s="247" t="s">
        <v>64</v>
      </c>
      <c r="D30" s="181" t="e">
        <f>D27/D3</f>
        <v>#DIV/0!</v>
      </c>
      <c r="E30" s="181">
        <f>E27/E3</f>
        <v>0.295652173913043</v>
      </c>
      <c r="F30" s="181">
        <f>[3]金州!G30</f>
        <v>0.298565247096333</v>
      </c>
      <c r="G30" s="181">
        <f>G27/G3</f>
        <v>0.309112783548866</v>
      </c>
      <c r="H30" s="181">
        <f>H27/H3</f>
        <v>0.309112783548866</v>
      </c>
      <c r="I30" s="38" t="s">
        <v>65</v>
      </c>
      <c r="J30" s="147">
        <f t="shared" si="1"/>
        <v>0.0134606096358229</v>
      </c>
      <c r="K30" s="38" t="s">
        <v>65</v>
      </c>
      <c r="L30" s="145">
        <f t="shared" si="3"/>
        <v>0.0105475364525329</v>
      </c>
      <c r="M30" s="288" t="s">
        <v>65</v>
      </c>
      <c r="N30" s="237"/>
      <c r="O30" s="82"/>
    </row>
    <row r="31" s="64" customFormat="1" ht="16.5" customHeight="1" spans="1:15">
      <c r="A31" s="202"/>
      <c r="B31" s="203" t="s">
        <v>123</v>
      </c>
      <c r="C31" s="143" t="s">
        <v>64</v>
      </c>
      <c r="D31" s="181" t="e">
        <f>D28/D3</f>
        <v>#DIV/0!</v>
      </c>
      <c r="E31" s="181">
        <f>E28/E3</f>
        <v>0.0552173913043478</v>
      </c>
      <c r="F31" s="181">
        <f>[3]金州!G31</f>
        <v>0.0572667125758676</v>
      </c>
      <c r="G31" s="181">
        <f>G28/G3</f>
        <v>0.0618575984029397</v>
      </c>
      <c r="H31" s="181">
        <f>H28/H3</f>
        <v>0.0618575984029397</v>
      </c>
      <c r="I31" s="245" t="s">
        <v>65</v>
      </c>
      <c r="J31" s="145">
        <f t="shared" si="1"/>
        <v>0.00664020709859192</v>
      </c>
      <c r="K31" s="245" t="s">
        <v>65</v>
      </c>
      <c r="L31" s="145">
        <f t="shared" si="3"/>
        <v>0.00459088582707212</v>
      </c>
      <c r="M31" s="288" t="s">
        <v>65</v>
      </c>
      <c r="N31" s="237"/>
      <c r="O31" s="82"/>
    </row>
    <row r="32" s="64" customFormat="1" ht="16.5" customHeight="1" spans="1:15">
      <c r="A32" s="202"/>
      <c r="B32" s="203" t="s">
        <v>124</v>
      </c>
      <c r="C32" s="143" t="s">
        <v>125</v>
      </c>
      <c r="D32" s="254" t="e">
        <f>D29*10000/D5</f>
        <v>#DIV/0!</v>
      </c>
      <c r="E32" s="254">
        <f>E29*10000/E5</f>
        <v>10.3898635477583</v>
      </c>
      <c r="F32" s="254">
        <f>[3]金州!G32</f>
        <v>10.8728488821925</v>
      </c>
      <c r="G32" s="254">
        <f>G29*10000/G5</f>
        <v>9.81936034967832</v>
      </c>
      <c r="H32" s="254">
        <f>H29*10000/H5</f>
        <v>9.81936034967832</v>
      </c>
      <c r="I32" s="145" t="str">
        <f t="shared" ref="I32:I41" si="6">IFERROR(H32/D32,"-")</f>
        <v>-</v>
      </c>
      <c r="J32" s="215">
        <f t="shared" si="1"/>
        <v>-0.570503198079983</v>
      </c>
      <c r="K32" s="238">
        <f t="shared" ref="K32:K37" si="7">IFERROR(J32/E32,"-")</f>
        <v>-0.0549095948621071</v>
      </c>
      <c r="L32" s="215">
        <f t="shared" si="3"/>
        <v>-1.05348853251418</v>
      </c>
      <c r="M32" s="238">
        <f t="shared" ref="M32:M41" si="8">IFERROR(L32/F32,"-")</f>
        <v>-0.0968916742915081</v>
      </c>
      <c r="N32" s="237"/>
      <c r="O32" s="82"/>
    </row>
    <row r="33" s="64" customFormat="1" ht="16.5" customHeight="1" spans="1:19">
      <c r="A33" s="202"/>
      <c r="B33" s="203" t="s">
        <v>66</v>
      </c>
      <c r="C33" s="143" t="s">
        <v>67</v>
      </c>
      <c r="D33" s="256" t="e">
        <f>D9*100/D3</f>
        <v>#DIV/0!</v>
      </c>
      <c r="E33" s="256">
        <f>E9*100/E3</f>
        <v>206.695652173913</v>
      </c>
      <c r="F33" s="256">
        <f>[3]金州!G33</f>
        <v>208.489225797356</v>
      </c>
      <c r="G33" s="256">
        <f>G9*100/G3</f>
        <v>249.319836053989</v>
      </c>
      <c r="H33" s="256">
        <f>H9*100/H3</f>
        <v>249.319836053989</v>
      </c>
      <c r="I33" s="145" t="str">
        <f t="shared" si="6"/>
        <v>-</v>
      </c>
      <c r="J33" s="23">
        <f t="shared" si="1"/>
        <v>42.6241838800761</v>
      </c>
      <c r="K33" s="238">
        <f t="shared" si="7"/>
        <v>0.206217128574201</v>
      </c>
      <c r="L33" s="23">
        <f t="shared" si="3"/>
        <v>40.8306102566331</v>
      </c>
      <c r="M33" s="238">
        <f t="shared" si="8"/>
        <v>0.19584038503898</v>
      </c>
      <c r="N33" s="258"/>
      <c r="O33" s="259"/>
      <c r="P33" s="259"/>
    </row>
    <row r="34" s="64" customFormat="1" ht="16.5" customHeight="1" spans="1:19">
      <c r="A34" s="202"/>
      <c r="B34" s="203" t="s">
        <v>68</v>
      </c>
      <c r="C34" s="143" t="s">
        <v>67</v>
      </c>
      <c r="D34" s="206" t="e">
        <f>D9*100/(D3-D28)</f>
        <v>#DIV/0!</v>
      </c>
      <c r="E34" s="206">
        <f>E9*100/(E3-E28)</f>
        <v>218.775885872066</v>
      </c>
      <c r="F34" s="206">
        <f>[3]金州!G34</f>
        <v>221.153987642697</v>
      </c>
      <c r="G34" s="206">
        <f>G9*100/(G3-G28)</f>
        <v>265.759052814963</v>
      </c>
      <c r="H34" s="206">
        <f>H9*100/(H3-H28)</f>
        <v>265.759052814963</v>
      </c>
      <c r="I34" s="145" t="str">
        <f t="shared" si="6"/>
        <v>-</v>
      </c>
      <c r="J34" s="23">
        <f t="shared" si="1"/>
        <v>46.9831669428967</v>
      </c>
      <c r="K34" s="238">
        <f t="shared" si="7"/>
        <v>0.214754778643068</v>
      </c>
      <c r="L34" s="23">
        <f t="shared" si="3"/>
        <v>44.6050651722657</v>
      </c>
      <c r="M34" s="238">
        <f t="shared" si="8"/>
        <v>0.201692339567175</v>
      </c>
      <c r="N34" s="258"/>
      <c r="O34" s="259"/>
      <c r="P34" s="259"/>
    </row>
    <row r="35" s="64" customFormat="1" ht="16.5" customHeight="1" spans="1:19">
      <c r="A35" s="202"/>
      <c r="B35" s="203" t="s">
        <v>69</v>
      </c>
      <c r="C35" s="143" t="s">
        <v>70</v>
      </c>
      <c r="D35" s="260" t="e">
        <f>D10*1000/D5</f>
        <v>#DIV/0!</v>
      </c>
      <c r="E35" s="260">
        <f>E10*1000/E5</f>
        <v>39.6081871345029</v>
      </c>
      <c r="F35" s="260">
        <f>[3]金州!G35</f>
        <v>39.5895264079489</v>
      </c>
      <c r="G35" s="260">
        <f>G10*1000/G5</f>
        <v>39.5791091060892</v>
      </c>
      <c r="H35" s="260">
        <f>H10*1000/H5</f>
        <v>39.5791091060892</v>
      </c>
      <c r="I35" s="145" t="str">
        <f t="shared" si="6"/>
        <v>-</v>
      </c>
      <c r="J35" s="289">
        <f t="shared" si="1"/>
        <v>-0.0290780284137</v>
      </c>
      <c r="K35" s="238">
        <f t="shared" si="7"/>
        <v>-0.000734141866047941</v>
      </c>
      <c r="L35" s="289">
        <f t="shared" si="3"/>
        <v>-0.0104173018597038</v>
      </c>
      <c r="M35" s="238">
        <f t="shared" si="8"/>
        <v>-0.00026313277285409</v>
      </c>
      <c r="N35" s="237"/>
    </row>
    <row r="36" s="64" customFormat="1" ht="16.5" customHeight="1" spans="1:19">
      <c r="A36" s="202"/>
      <c r="B36" s="203" t="s">
        <v>71</v>
      </c>
      <c r="C36" s="290" t="s">
        <v>72</v>
      </c>
      <c r="D36" s="263" t="e">
        <f t="shared" ref="D36:H36" si="9">((D21-D22)*(1-D44))/D3</f>
        <v>#DIV/0!</v>
      </c>
      <c r="E36" s="263">
        <f t="shared" si="9"/>
        <v>4.53406487838121</v>
      </c>
      <c r="F36" s="263">
        <f>[3]金州!G36</f>
        <v>5.36198099083873</v>
      </c>
      <c r="G36" s="263">
        <f t="shared" si="9"/>
        <v>4.78427177777759</v>
      </c>
      <c r="H36" s="263">
        <f t="shared" si="9"/>
        <v>4.78427177777759</v>
      </c>
      <c r="I36" s="145" t="str">
        <f t="shared" si="6"/>
        <v>-</v>
      </c>
      <c r="J36" s="160">
        <f t="shared" si="1"/>
        <v>0.250206899396384</v>
      </c>
      <c r="K36" s="238">
        <f t="shared" si="7"/>
        <v>0.0551837933747687</v>
      </c>
      <c r="L36" s="160">
        <f t="shared" si="3"/>
        <v>-0.577709213061135</v>
      </c>
      <c r="M36" s="238">
        <f t="shared" si="8"/>
        <v>-0.107741749560132</v>
      </c>
      <c r="N36" s="237"/>
    </row>
    <row r="37" s="64" customFormat="1" ht="16.5" customHeight="1" spans="1:19">
      <c r="A37" s="202"/>
      <c r="B37" s="203" t="s">
        <v>73</v>
      </c>
      <c r="C37" s="290" t="s">
        <v>74</v>
      </c>
      <c r="D37" s="263" t="e">
        <f t="shared" ref="D37:H37" si="10">((D21-D22)*D44+D22)/D5</f>
        <v>#DIV/0!</v>
      </c>
      <c r="E37" s="263">
        <f t="shared" si="10"/>
        <v>0.191426999570611</v>
      </c>
      <c r="F37" s="263">
        <f>[3]金州!G37</f>
        <v>0.232372832390949</v>
      </c>
      <c r="G37" s="263">
        <f t="shared" si="10"/>
        <v>0.147269090954998</v>
      </c>
      <c r="H37" s="263">
        <f t="shared" si="10"/>
        <v>0.147269090954998</v>
      </c>
      <c r="I37" s="145" t="str">
        <f t="shared" si="6"/>
        <v>-</v>
      </c>
      <c r="J37" s="146">
        <f t="shared" si="1"/>
        <v>-0.0441579086156133</v>
      </c>
      <c r="K37" s="238">
        <f t="shared" si="7"/>
        <v>-0.230677536160854</v>
      </c>
      <c r="L37" s="146">
        <f t="shared" si="3"/>
        <v>-0.0851037414359513</v>
      </c>
      <c r="M37" s="238">
        <f t="shared" si="8"/>
        <v>-0.366237914132625</v>
      </c>
      <c r="N37" s="237"/>
    </row>
    <row r="38" s="64" customFormat="1" ht="16.5" customHeight="1" spans="1:19">
      <c r="A38" s="202"/>
      <c r="B38" s="203" t="s">
        <v>126</v>
      </c>
      <c r="C38" s="143" t="s">
        <v>17</v>
      </c>
      <c r="D38" s="36">
        <v>0</v>
      </c>
      <c r="E38" s="36">
        <v>0</v>
      </c>
      <c r="F38" s="36">
        <f>[3]金州!G38</f>
        <v>23611.8</v>
      </c>
      <c r="G38" s="36">
        <f>'[6]26.1'!$H$57</f>
        <v>4890.18</v>
      </c>
      <c r="H38" s="36">
        <f>'[6]26.1'!$N$57</f>
        <v>4890.18</v>
      </c>
      <c r="I38" s="145" t="str">
        <f t="shared" si="6"/>
        <v>-</v>
      </c>
      <c r="J38" s="38">
        <f t="shared" si="1"/>
        <v>4890.18</v>
      </c>
      <c r="K38" s="245">
        <v>0</v>
      </c>
      <c r="L38" s="23">
        <f t="shared" si="3"/>
        <v>-18721.62</v>
      </c>
      <c r="M38" s="238">
        <f t="shared" si="8"/>
        <v>-0.792892536782456</v>
      </c>
      <c r="N38" s="258"/>
      <c r="O38" s="259"/>
      <c r="P38" s="259"/>
    </row>
    <row r="39" s="64" customFormat="1" ht="16.5" customHeight="1" spans="1:19">
      <c r="A39" s="202"/>
      <c r="B39" s="203" t="s">
        <v>127</v>
      </c>
      <c r="C39" s="143" t="s">
        <v>17</v>
      </c>
      <c r="D39" s="36">
        <v>0</v>
      </c>
      <c r="E39" s="36">
        <v>0</v>
      </c>
      <c r="F39" s="36">
        <f>[3]金州!G39</f>
        <v>13468.56</v>
      </c>
      <c r="G39" s="36">
        <f>H39</f>
        <v>28612.66</v>
      </c>
      <c r="H39" s="36">
        <f>'[6]26.1'!$N$59</f>
        <v>28612.66</v>
      </c>
      <c r="I39" s="145" t="str">
        <f t="shared" si="6"/>
        <v>-</v>
      </c>
      <c r="J39" s="38">
        <f t="shared" si="1"/>
        <v>28612.66</v>
      </c>
      <c r="K39" s="245">
        <v>0</v>
      </c>
      <c r="L39" s="176">
        <f t="shared" si="3"/>
        <v>15144.1</v>
      </c>
      <c r="M39" s="238">
        <f t="shared" si="8"/>
        <v>1.12440379669393</v>
      </c>
      <c r="N39" s="258"/>
      <c r="O39" s="259"/>
      <c r="P39" s="259"/>
    </row>
    <row r="40" s="64" customFormat="1" ht="16.5" customHeight="1" spans="1:19">
      <c r="A40" s="202"/>
      <c r="B40" s="203" t="s">
        <v>97</v>
      </c>
      <c r="C40" s="143" t="s">
        <v>98</v>
      </c>
      <c r="D40" s="175" t="e">
        <f>D11/D13*29308</f>
        <v>#DIV/0!</v>
      </c>
      <c r="E40" s="175">
        <f>(E11-1.4571*E23)*29308/E13</f>
        <v>21207.3631917389</v>
      </c>
      <c r="F40" s="175">
        <f>[3]金州!G40</f>
        <v>20340.0837375837</v>
      </c>
      <c r="G40" s="175">
        <f>'[6]26.1'!$H$48</f>
        <v>21022.1755171624</v>
      </c>
      <c r="H40" s="175">
        <f>'[6]26.1'!$N$48</f>
        <v>21022.1755171624</v>
      </c>
      <c r="I40" s="145" t="str">
        <f t="shared" si="6"/>
        <v>-</v>
      </c>
      <c r="J40" s="291">
        <f t="shared" si="1"/>
        <v>-185.1876745765</v>
      </c>
      <c r="K40" s="238">
        <f>IFERROR(J40/E40,"-")</f>
        <v>-0.00873223478572943</v>
      </c>
      <c r="L40" s="257">
        <f t="shared" si="3"/>
        <v>682.091779578699</v>
      </c>
      <c r="M40" s="147">
        <f t="shared" si="8"/>
        <v>0.0335343643801404</v>
      </c>
      <c r="N40" s="258"/>
      <c r="O40" s="259"/>
      <c r="P40" s="259"/>
    </row>
    <row r="41" s="64" customFormat="1" ht="16.5" customHeight="1" spans="1:19">
      <c r="A41" s="202"/>
      <c r="B41" s="203" t="s">
        <v>128</v>
      </c>
      <c r="C41" s="143" t="s">
        <v>98</v>
      </c>
      <c r="D41" s="36">
        <v>0</v>
      </c>
      <c r="E41" s="36">
        <v>0</v>
      </c>
      <c r="F41" s="292">
        <f>[3]金州!G41</f>
        <v>21020.9</v>
      </c>
      <c r="G41" s="292">
        <f>'[6]26.1'!$H$49</f>
        <v>20991.6</v>
      </c>
      <c r="H41" s="292">
        <f>'[6]26.1'!$N$49</f>
        <v>20991.6</v>
      </c>
      <c r="I41" s="145" t="str">
        <f t="shared" si="6"/>
        <v>-</v>
      </c>
      <c r="J41" s="245">
        <f t="shared" si="1"/>
        <v>20991.6</v>
      </c>
      <c r="K41" s="38">
        <v>0</v>
      </c>
      <c r="L41" s="257">
        <f t="shared" si="3"/>
        <v>-29.3000000000029</v>
      </c>
      <c r="M41" s="147">
        <f t="shared" si="8"/>
        <v>-0.00139385088174164</v>
      </c>
      <c r="N41" s="258"/>
      <c r="O41" s="259"/>
      <c r="P41" s="259"/>
      <c r="Q41" s="259"/>
      <c r="R41" s="259"/>
      <c r="S41" s="259"/>
    </row>
    <row r="42" s="64" customFormat="1" ht="16.5" customHeight="1" spans="1:19">
      <c r="A42" s="202"/>
      <c r="B42" s="207" t="s">
        <v>129</v>
      </c>
      <c r="C42" s="212" t="s">
        <v>64</v>
      </c>
      <c r="D42" s="162" t="e">
        <f>(D5*1000+D4*36000)/(D11*7000*4.1868)</f>
        <v>#DIV/0!</v>
      </c>
      <c r="E42" s="162">
        <f>(E5*1000+E4*36000)/(E11*7000*4.1868)</f>
        <v>0.777486525979688</v>
      </c>
      <c r="F42" s="269">
        <f>[3]金州!G42</f>
        <v>0.775829383221079</v>
      </c>
      <c r="G42" s="269">
        <f>(G5*1000+G4*36000)/(G11*7000*4.1868)</f>
        <v>0.757695639947563</v>
      </c>
      <c r="H42" s="269">
        <f>(H5*1000+H4*36000)/(H11*7000*4.1868)</f>
        <v>0.757695639947563</v>
      </c>
      <c r="I42" s="245" t="s">
        <v>65</v>
      </c>
      <c r="J42" s="293">
        <f t="shared" si="1"/>
        <v>-0.0197908860321253</v>
      </c>
      <c r="K42" s="245" t="s">
        <v>65</v>
      </c>
      <c r="L42" s="265">
        <f t="shared" si="3"/>
        <v>-0.0181337432735162</v>
      </c>
      <c r="M42" s="39" t="s">
        <v>65</v>
      </c>
      <c r="N42" s="266"/>
      <c r="O42" s="267"/>
      <c r="P42" s="267"/>
    </row>
    <row r="43" s="64" customFormat="1" ht="16.5" customHeight="1" spans="1:19">
      <c r="A43" s="202"/>
      <c r="B43" s="207" t="s">
        <v>130</v>
      </c>
      <c r="C43" s="212" t="s">
        <v>64</v>
      </c>
      <c r="D43" s="294" t="e">
        <f>D5*100/(D4*3600)</f>
        <v>#DIV/0!</v>
      </c>
      <c r="E43" s="295">
        <f>E5*100/(E4*3600)</f>
        <v>8.7962962962963</v>
      </c>
      <c r="F43" s="295">
        <f>[3]金州!G43</f>
        <v>8.7886375088756</v>
      </c>
      <c r="G43" s="295">
        <f>G5*100/(G4*3600)</f>
        <v>10.1240096894325</v>
      </c>
      <c r="H43" s="295">
        <f>H5*100/(H4*3600)</f>
        <v>10.1240096894325</v>
      </c>
      <c r="I43" s="245" t="s">
        <v>65</v>
      </c>
      <c r="J43" s="296">
        <f t="shared" si="1"/>
        <v>1.32771339313624</v>
      </c>
      <c r="K43" s="245" t="s">
        <v>65</v>
      </c>
      <c r="L43" s="297">
        <f t="shared" si="3"/>
        <v>1.33537218055694</v>
      </c>
      <c r="M43" s="288" t="s">
        <v>65</v>
      </c>
      <c r="N43" s="266"/>
      <c r="O43" s="267"/>
      <c r="P43" s="267"/>
    </row>
    <row r="44" s="64" customFormat="1" ht="16.5" customHeight="1" spans="1:19">
      <c r="A44" s="202"/>
      <c r="B44" s="203" t="s">
        <v>131</v>
      </c>
      <c r="C44" s="143" t="s">
        <v>64</v>
      </c>
      <c r="D44" s="269" t="e">
        <f>D10/D11</f>
        <v>#DIV/0!</v>
      </c>
      <c r="E44" s="269">
        <f>E10/E11</f>
        <v>0.810393650540422</v>
      </c>
      <c r="F44" s="269">
        <f>[3]金州!G44</f>
        <v>0.80821348408014</v>
      </c>
      <c r="G44" s="269">
        <f>G10/G11</f>
        <v>0.799893654732364</v>
      </c>
      <c r="H44" s="269">
        <f>H10/H11</f>
        <v>0.799893654732364</v>
      </c>
      <c r="I44" s="245" t="s">
        <v>65</v>
      </c>
      <c r="J44" s="293">
        <f t="shared" si="1"/>
        <v>-0.0104999958080576</v>
      </c>
      <c r="K44" s="245" t="s">
        <v>65</v>
      </c>
      <c r="L44" s="293">
        <f t="shared" si="3"/>
        <v>-0.00831982934777564</v>
      </c>
      <c r="M44" s="288">
        <v>0</v>
      </c>
      <c r="N44" s="266"/>
      <c r="O44" s="267"/>
      <c r="P44" s="267"/>
    </row>
    <row r="45" s="64" customFormat="1" ht="16.5" customHeight="1" spans="1:19">
      <c r="A45" s="202"/>
      <c r="B45" s="203" t="s">
        <v>75</v>
      </c>
      <c r="C45" s="270" t="s">
        <v>76</v>
      </c>
      <c r="D45" s="298" t="e">
        <f t="shared" ref="D45:H45" si="11">(D5-D7)/D8</f>
        <v>#DIV/0!</v>
      </c>
      <c r="E45" s="298">
        <f t="shared" si="11"/>
        <v>0.0767383676582761</v>
      </c>
      <c r="F45" s="298">
        <f>[3]金州!G45</f>
        <v>0.0736250036081929</v>
      </c>
      <c r="G45" s="298">
        <f t="shared" si="11"/>
        <v>0.0868766331250413</v>
      </c>
      <c r="H45" s="298">
        <f t="shared" si="11"/>
        <v>0.0868766331250413</v>
      </c>
      <c r="I45" s="145" t="str">
        <f t="shared" ref="I45:I47" si="12">IFERROR(H45/D45,"-")</f>
        <v>-</v>
      </c>
      <c r="J45" s="291">
        <f t="shared" si="1"/>
        <v>0.0101382654667652</v>
      </c>
      <c r="K45" s="299">
        <f t="shared" ref="K45:K47" si="13">IFERROR(J45/E45,"-")</f>
        <v>0.13211468755645</v>
      </c>
      <c r="L45" s="291">
        <f t="shared" si="3"/>
        <v>0.0132516295168484</v>
      </c>
      <c r="M45" s="238">
        <f t="shared" ref="M45:M47" si="14">IFERROR(L45/F45,"-")</f>
        <v>0.17998816797849</v>
      </c>
      <c r="N45" s="266"/>
      <c r="O45" s="267"/>
      <c r="P45" s="267"/>
    </row>
    <row r="46" s="64" customFormat="1" ht="16.5" customHeight="1" spans="1:19">
      <c r="A46" s="202"/>
      <c r="B46" s="203" t="s">
        <v>77</v>
      </c>
      <c r="C46" s="212" t="s">
        <v>78</v>
      </c>
      <c r="D46" s="271" t="e">
        <f t="shared" ref="D46:H46" si="15">D22*1000/D8</f>
        <v>#DIV/0!</v>
      </c>
      <c r="E46" s="271">
        <f t="shared" si="15"/>
        <v>8.18160183066361</v>
      </c>
      <c r="F46" s="271">
        <f t="shared" si="15"/>
        <v>9.79305543910065</v>
      </c>
      <c r="G46" s="271">
        <f t="shared" si="15"/>
        <v>6.41564163757261</v>
      </c>
      <c r="H46" s="271">
        <f t="shared" si="15"/>
        <v>6.41564163757261</v>
      </c>
      <c r="I46" s="145" t="str">
        <f t="shared" si="12"/>
        <v>-</v>
      </c>
      <c r="J46" s="300">
        <f t="shared" si="1"/>
        <v>-1.765960193091</v>
      </c>
      <c r="K46" s="299">
        <f t="shared" si="13"/>
        <v>-0.215845286734977</v>
      </c>
      <c r="L46" s="300">
        <f t="shared" si="3"/>
        <v>-3.37741380152804</v>
      </c>
      <c r="M46" s="238">
        <f t="shared" si="14"/>
        <v>-0.344878452136916</v>
      </c>
      <c r="N46" s="266"/>
      <c r="O46" s="267"/>
      <c r="P46" s="267"/>
    </row>
    <row r="47" s="64" customFormat="1" ht="16.5" customHeight="1" spans="1:19">
      <c r="A47" s="202"/>
      <c r="B47" s="273" t="s">
        <v>79</v>
      </c>
      <c r="C47" s="274" t="s">
        <v>80</v>
      </c>
      <c r="D47" s="301" t="e">
        <f t="shared" ref="D47:H47" si="16">D26*10000/D8</f>
        <v>#DIV/0!</v>
      </c>
      <c r="E47" s="301">
        <f t="shared" si="16"/>
        <v>0.288329519450801</v>
      </c>
      <c r="F47" s="301">
        <f t="shared" si="16"/>
        <v>0.303928203300172</v>
      </c>
      <c r="G47" s="301">
        <f t="shared" si="16"/>
        <v>0.288526209283008</v>
      </c>
      <c r="H47" s="301">
        <f t="shared" si="16"/>
        <v>0.288526209283008</v>
      </c>
      <c r="I47" s="153" t="str">
        <f t="shared" si="12"/>
        <v>-</v>
      </c>
      <c r="J47" s="302">
        <f t="shared" si="1"/>
        <v>0.000196689832206887</v>
      </c>
      <c r="K47" s="303">
        <f t="shared" si="13"/>
        <v>0.000682170291066742</v>
      </c>
      <c r="L47" s="302">
        <f t="shared" si="3"/>
        <v>-0.0154019940171641</v>
      </c>
      <c r="M47" s="241">
        <f t="shared" si="14"/>
        <v>-0.0506764224245174</v>
      </c>
      <c r="N47" s="266"/>
      <c r="O47" s="267"/>
      <c r="P47" s="267"/>
    </row>
    <row r="48" s="64" customFormat="1" ht="16.5" customHeight="1" spans="1:19">
      <c r="A48" s="304" t="s">
        <v>99</v>
      </c>
      <c r="B48" s="203" t="s">
        <v>82</v>
      </c>
      <c r="C48" s="143" t="s">
        <v>64</v>
      </c>
      <c r="D48" s="162">
        <f>D3/3.6/8760</f>
        <v>0</v>
      </c>
      <c r="E48" s="162">
        <f>E3/3.6/(DAY(DATE(2026,2,0))*24)</f>
        <v>0.858721624850657</v>
      </c>
      <c r="F48" s="162">
        <f>[3]金州!G46</f>
        <v>0.826263440860215</v>
      </c>
      <c r="G48" s="162">
        <f>G3/3.6/(DAY(DATE(2026,2,0))*24)</f>
        <v>0.845340501792115</v>
      </c>
      <c r="H48" s="277">
        <f>H3/3.6/(DATEDIF(DATE(2026,1,1),DATE(2026,2,1),"D")*24)</f>
        <v>0.845340501792115</v>
      </c>
      <c r="I48" s="245" t="s">
        <v>65</v>
      </c>
      <c r="J48" s="278">
        <f t="shared" si="1"/>
        <v>-0.0133811230585423</v>
      </c>
      <c r="K48" s="245" t="s">
        <v>65</v>
      </c>
      <c r="L48" s="278">
        <f t="shared" si="3"/>
        <v>0.0190770609318996</v>
      </c>
      <c r="M48" s="39" t="s">
        <v>65</v>
      </c>
      <c r="N48" s="266"/>
      <c r="O48" s="267"/>
      <c r="P48" s="267"/>
    </row>
    <row r="49" s="64" customFormat="1" ht="16.5" customHeight="1" spans="1:16">
      <c r="A49" s="216"/>
      <c r="B49" s="217" t="s">
        <v>83</v>
      </c>
      <c r="C49" s="184" t="s">
        <v>64</v>
      </c>
      <c r="D49" s="279">
        <f>D5*1000/414/(8760*3600)</f>
        <v>0</v>
      </c>
      <c r="E49" s="279">
        <f>E5*1000/414/((DAY(DATE(2026,2,0))*24)*3600)</f>
        <v>0.462638304503662</v>
      </c>
      <c r="F49" s="279">
        <f>[3]金州!G47</f>
        <v>0.442924321391674</v>
      </c>
      <c r="G49" s="279">
        <f>G5*1000/414/((DAY(DATE(2026,2,0))*24)*3600)</f>
        <v>0.514154387362273</v>
      </c>
      <c r="H49" s="280">
        <f>H5*1000/414/((DATEDIF(DATE(2026,1,1),DATE(2026,2,1),"D")*24)*3600)</f>
        <v>0.514154387362273</v>
      </c>
      <c r="I49" s="281" t="s">
        <v>65</v>
      </c>
      <c r="J49" s="282">
        <f t="shared" si="1"/>
        <v>0.0515160828586106</v>
      </c>
      <c r="K49" s="281" t="s">
        <v>65</v>
      </c>
      <c r="L49" s="282">
        <f t="shared" si="3"/>
        <v>0.0712300659705986</v>
      </c>
      <c r="M49" s="283" t="s">
        <v>65</v>
      </c>
      <c r="N49" s="266"/>
      <c r="O49" s="267"/>
      <c r="P49" s="267"/>
    </row>
    <row r="50" s="103" customFormat="1" ht="18.75" customHeight="1" spans="1:16">
      <c r="C50" s="104"/>
      <c r="D50" s="172"/>
      <c r="E50" s="172"/>
      <c r="F50" s="305"/>
      <c r="G50" s="305"/>
      <c r="H50" s="172"/>
      <c r="I50" s="172"/>
      <c r="J50" s="172"/>
      <c r="K50" s="173"/>
      <c r="L50" s="172"/>
      <c r="M50" s="174"/>
    </row>
    <row r="51" spans="1:16">
      <c r="A51" s="186"/>
    </row>
    <row r="52" spans="1:16">
      <c r="A52" s="186"/>
    </row>
  </sheetData>
  <mergeCells count="15">
    <mergeCell ref="J1:K1"/>
    <mergeCell ref="L1:M1"/>
    <mergeCell ref="A1:A2"/>
    <mergeCell ref="A3:A8"/>
    <mergeCell ref="A9:A29"/>
    <mergeCell ref="A30:A47"/>
    <mergeCell ref="A48:A49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550694444444444" right="0.550694444444444" top="0.984027777777778" bottom="0.590277777777778" header="0.629861111111111" footer="0.314583333333333"/>
  <pageSetup paperSize="9" scale="95" orientation="landscape" horizontalDpi="600" verticalDpi="600"/>
  <headerFooter alignWithMargins="0" scaleWithDoc="0">
    <oddHeader>&amp;C&amp;"黑体"&amp;18大连金州热电有限公司2026年1月份主要经营指标统计表&amp;R表    号：     ZB009
制表单位：经济运行部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"/>
  <sheetViews>
    <sheetView showGridLines="0" zoomScale="85" zoomScaleNormal="85" zoomScaleSheetLayoutView="60" workbookViewId="0">
      <pane xSplit="2" ySplit="2" topLeftCell="C13" activePane="bottomRight" state="frozen"/>
      <selection/>
      <selection pane="topRight"/>
      <selection pane="bottomLeft"/>
      <selection pane="bottomRight" activeCell="G34" sqref="G34"/>
    </sheetView>
  </sheetViews>
  <sheetFormatPr defaultColWidth="8.66666666666667" defaultRowHeight="15"/>
  <cols>
    <col min="1" max="1" width="11.875" style="66" customWidth="1"/>
    <col min="2" max="2" width="20" style="67" customWidth="1"/>
    <col min="3" max="3" width="9.625" style="66" customWidth="1"/>
    <col min="4" max="4" width="11.9666666666667" style="2" customWidth="1"/>
    <col min="5" max="5" width="10.125" style="2" customWidth="1"/>
    <col min="6" max="8" width="9.625" style="2" customWidth="1"/>
    <col min="9" max="13" width="8.125" style="2" customWidth="1"/>
    <col min="14" max="14" width="9" style="67"/>
    <col min="15" max="15" width="10.6666666666667" style="67"/>
    <col min="16" max="32" width="9" style="67"/>
    <col min="33" max="16384" width="8.66666666666667" style="67"/>
  </cols>
  <sheetData>
    <row r="1" ht="15.95" customHeight="1" spans="1:14">
      <c r="A1" s="69" t="s">
        <v>84</v>
      </c>
      <c r="B1" s="70" t="s">
        <v>112</v>
      </c>
      <c r="C1" s="70" t="s">
        <v>2</v>
      </c>
      <c r="D1" s="137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86</v>
      </c>
      <c r="J1" s="8" t="s">
        <v>9</v>
      </c>
      <c r="K1" s="3"/>
      <c r="L1" s="8" t="s">
        <v>10</v>
      </c>
      <c r="M1" s="139"/>
    </row>
    <row r="2" ht="15.95" customHeight="1" spans="1:14">
      <c r="A2" s="74"/>
      <c r="B2" s="75"/>
      <c r="C2" s="75"/>
      <c r="D2" s="140"/>
      <c r="E2" s="76"/>
      <c r="F2" s="76"/>
      <c r="G2" s="141"/>
      <c r="H2" s="76"/>
      <c r="I2" s="141"/>
      <c r="J2" s="14" t="s">
        <v>11</v>
      </c>
      <c r="K2" s="235" t="s">
        <v>12</v>
      </c>
      <c r="L2" s="14" t="s">
        <v>11</v>
      </c>
      <c r="M2" s="141" t="s">
        <v>12</v>
      </c>
    </row>
    <row r="3" s="64" customFormat="1" ht="15.95" customHeight="1" spans="1:14">
      <c r="A3" s="143" t="s">
        <v>87</v>
      </c>
      <c r="B3" s="203" t="s">
        <v>23</v>
      </c>
      <c r="C3" s="143" t="s">
        <v>15</v>
      </c>
      <c r="D3" s="175"/>
      <c r="E3" s="175">
        <f>'[2]12.北方热电表'!$M$7</f>
        <v>1221</v>
      </c>
      <c r="F3" s="175">
        <f>[3]北方!G3</f>
        <v>1203.51</v>
      </c>
      <c r="G3" s="175">
        <f>'[6]26.1'!$I$7/10000</f>
        <v>1535.29</v>
      </c>
      <c r="H3" s="175">
        <f>'[6]26.1'!$O$7/10000</f>
        <v>1535.29</v>
      </c>
      <c r="I3" s="145" t="str">
        <f t="shared" ref="I3:I30" si="0">IFERROR(H3/D3,"-")</f>
        <v>-</v>
      </c>
      <c r="J3" s="23">
        <f t="shared" ref="J3:J50" si="1">IFERROR(G3-E3,"-")</f>
        <v>314.29</v>
      </c>
      <c r="K3" s="236">
        <f t="shared" ref="K3:K30" si="2">IFERROR(J3/E3,"-")</f>
        <v>0.257403767403767</v>
      </c>
      <c r="L3" s="23">
        <f t="shared" ref="L3:L50" si="3">IFERROR(G3-F3,"-")</f>
        <v>331.78</v>
      </c>
      <c r="M3" s="236">
        <f t="shared" ref="M3:M30" si="4">IFERROR(L3/F3,"-")</f>
        <v>0.27567697817218</v>
      </c>
      <c r="N3" s="237"/>
    </row>
    <row r="4" s="64" customFormat="1" ht="15.95" customHeight="1" spans="1:14">
      <c r="A4" s="205"/>
      <c r="B4" s="203" t="s">
        <v>14</v>
      </c>
      <c r="C4" s="143" t="s">
        <v>15</v>
      </c>
      <c r="D4" s="175"/>
      <c r="E4" s="175">
        <f>'[2]12.北方热电表'!$M$14</f>
        <v>892</v>
      </c>
      <c r="F4" s="175">
        <f>[3]北方!G4</f>
        <v>873.576</v>
      </c>
      <c r="G4" s="175">
        <f>'[6]26.1'!$I$8/10000</f>
        <v>1115.0964</v>
      </c>
      <c r="H4" s="175">
        <f>'[6]26.1'!$O$8/10000</f>
        <v>1115.0964</v>
      </c>
      <c r="I4" s="145" t="str">
        <f t="shared" si="0"/>
        <v>-</v>
      </c>
      <c r="J4" s="23">
        <f t="shared" si="1"/>
        <v>223.0964</v>
      </c>
      <c r="K4" s="236">
        <f t="shared" si="2"/>
        <v>0.250108071748879</v>
      </c>
      <c r="L4" s="23">
        <f t="shared" si="3"/>
        <v>241.5204</v>
      </c>
      <c r="M4" s="236">
        <f t="shared" si="4"/>
        <v>0.276473254759746</v>
      </c>
      <c r="N4" s="237"/>
    </row>
    <row r="5" s="64" customFormat="1" ht="15.95" customHeight="1" spans="1:14">
      <c r="A5" s="205"/>
      <c r="B5" s="203" t="s">
        <v>24</v>
      </c>
      <c r="C5" s="143" t="s">
        <v>19</v>
      </c>
      <c r="D5" s="175"/>
      <c r="E5" s="175">
        <f>'[2]12.北方热电表'!$M$8</f>
        <v>261000</v>
      </c>
      <c r="F5" s="175">
        <f>[3]北方!G5</f>
        <v>250183.46</v>
      </c>
      <c r="G5" s="175">
        <f>'[6]26.1'!$I$9</f>
        <v>292094.32</v>
      </c>
      <c r="H5" s="175">
        <f>'[6]26.1'!$O$9</f>
        <v>292094.32</v>
      </c>
      <c r="I5" s="145" t="str">
        <f t="shared" si="0"/>
        <v>-</v>
      </c>
      <c r="J5" s="23">
        <f t="shared" si="1"/>
        <v>31094.32</v>
      </c>
      <c r="K5" s="238">
        <f t="shared" si="2"/>
        <v>0.119135325670498</v>
      </c>
      <c r="L5" s="23">
        <f t="shared" si="3"/>
        <v>41910.86</v>
      </c>
      <c r="M5" s="238">
        <f t="shared" si="4"/>
        <v>0.167520506751326</v>
      </c>
      <c r="N5" s="237"/>
    </row>
    <row r="6" s="64" customFormat="1" ht="15.95" customHeight="1" spans="1:14">
      <c r="A6" s="205"/>
      <c r="B6" s="203" t="s">
        <v>18</v>
      </c>
      <c r="C6" s="143" t="s">
        <v>19</v>
      </c>
      <c r="D6" s="178"/>
      <c r="E6" s="178">
        <f>'[2]12.北方热电表'!$M$25</f>
        <v>4500</v>
      </c>
      <c r="F6" s="178">
        <f>[3]北方!G6</f>
        <v>4203</v>
      </c>
      <c r="G6" s="178">
        <f>[5]售热量!$D$24</f>
        <v>6898.5</v>
      </c>
      <c r="H6" s="178">
        <f>[5]售热量!$D$24</f>
        <v>6898.5</v>
      </c>
      <c r="I6" s="145" t="str">
        <f t="shared" si="0"/>
        <v>-</v>
      </c>
      <c r="J6" s="23">
        <f t="shared" si="1"/>
        <v>2398.5</v>
      </c>
      <c r="K6" s="236">
        <f t="shared" si="2"/>
        <v>0.533</v>
      </c>
      <c r="L6" s="23">
        <f t="shared" si="3"/>
        <v>2695.5</v>
      </c>
      <c r="M6" s="236">
        <f t="shared" si="4"/>
        <v>0.641327623126338</v>
      </c>
      <c r="N6" s="237"/>
    </row>
    <row r="7" s="64" customFormat="1" ht="15.95" customHeight="1" spans="1:14">
      <c r="A7" s="239"/>
      <c r="B7" s="150" t="s">
        <v>20</v>
      </c>
      <c r="C7" s="240" t="s">
        <v>21</v>
      </c>
      <c r="D7" s="227"/>
      <c r="E7" s="227">
        <f>'[2]12.北方热电表'!$M$19</f>
        <v>3038545</v>
      </c>
      <c r="F7" s="227">
        <f>[3]北方!G7</f>
        <v>3008545.17</v>
      </c>
      <c r="G7" s="227">
        <f>'[6]26.1'!$I$13</f>
        <v>2993404</v>
      </c>
      <c r="H7" s="227">
        <f>'[6]26.1'!$O$13</f>
        <v>2993404</v>
      </c>
      <c r="I7" s="153" t="str">
        <f t="shared" si="0"/>
        <v>-</v>
      </c>
      <c r="J7" s="156">
        <f t="shared" si="1"/>
        <v>-45141</v>
      </c>
      <c r="K7" s="241">
        <f t="shared" si="2"/>
        <v>-0.0148561235723019</v>
      </c>
      <c r="L7" s="156">
        <f t="shared" si="3"/>
        <v>-15141.1699999999</v>
      </c>
      <c r="M7" s="241">
        <f t="shared" si="4"/>
        <v>-0.00503272151303613</v>
      </c>
      <c r="N7" s="237"/>
    </row>
    <row r="8" s="64" customFormat="1" ht="15.95" customHeight="1" spans="1:14">
      <c r="A8" s="198" t="s">
        <v>90</v>
      </c>
      <c r="B8" s="203" t="s">
        <v>115</v>
      </c>
      <c r="C8" s="143" t="s">
        <v>17</v>
      </c>
      <c r="D8" s="175"/>
      <c r="E8" s="175">
        <f>'[2]12.北方热电表'!$M$30</f>
        <v>2555.142</v>
      </c>
      <c r="F8" s="175">
        <f>[3]北方!G8</f>
        <v>2665.52966548918</v>
      </c>
      <c r="G8" s="175">
        <f>'[6]26.1'!$I$39</f>
        <v>3561.81895707005</v>
      </c>
      <c r="H8" s="175">
        <f>'[6]26.1'!$O$39</f>
        <v>3561.81895707005</v>
      </c>
      <c r="I8" s="145" t="str">
        <f t="shared" si="0"/>
        <v>-</v>
      </c>
      <c r="J8" s="23">
        <f t="shared" si="1"/>
        <v>1006.67695707005</v>
      </c>
      <c r="K8" s="236">
        <f t="shared" si="2"/>
        <v>0.39398082653334</v>
      </c>
      <c r="L8" s="23">
        <f t="shared" si="3"/>
        <v>896.28929158087</v>
      </c>
      <c r="M8" s="236">
        <f t="shared" si="4"/>
        <v>0.336251853875497</v>
      </c>
      <c r="N8" s="237"/>
    </row>
    <row r="9" s="64" customFormat="1" ht="15.95" customHeight="1" spans="1:14">
      <c r="A9" s="199"/>
      <c r="B9" s="203" t="s">
        <v>116</v>
      </c>
      <c r="C9" s="143" t="s">
        <v>17</v>
      </c>
      <c r="D9" s="175"/>
      <c r="E9" s="175">
        <f>'[2]12.北方热电表'!$M$33</f>
        <v>10257.058</v>
      </c>
      <c r="F9" s="175">
        <f>[3]北方!G9</f>
        <v>9965.11431631004</v>
      </c>
      <c r="G9" s="175">
        <f>'[6]26.1'!$I$42</f>
        <v>11290.5286512377</v>
      </c>
      <c r="H9" s="175">
        <f>'[6]26.1'!$O$42</f>
        <v>11290.5286512377</v>
      </c>
      <c r="I9" s="145" t="str">
        <f t="shared" si="0"/>
        <v>-</v>
      </c>
      <c r="J9" s="23">
        <f t="shared" si="1"/>
        <v>1033.4706512377</v>
      </c>
      <c r="K9" s="236">
        <f t="shared" si="2"/>
        <v>0.10075702518575</v>
      </c>
      <c r="L9" s="23">
        <f t="shared" si="3"/>
        <v>1325.41433492766</v>
      </c>
      <c r="M9" s="236">
        <f t="shared" si="4"/>
        <v>0.133005432035871</v>
      </c>
      <c r="N9" s="237"/>
    </row>
    <row r="10" s="64" customFormat="1" ht="15.95" customHeight="1" spans="1:14">
      <c r="A10" s="199"/>
      <c r="B10" s="203" t="s">
        <v>55</v>
      </c>
      <c r="C10" s="143" t="s">
        <v>17</v>
      </c>
      <c r="D10" s="178"/>
      <c r="E10" s="178">
        <f>'[2]12.北方热电表'!$M$29</f>
        <v>12812.2</v>
      </c>
      <c r="F10" s="178">
        <f>[3]北方!G10</f>
        <v>12630.6439817992</v>
      </c>
      <c r="G10" s="178">
        <f>SUM(G8:G9)</f>
        <v>14852.3476083078</v>
      </c>
      <c r="H10" s="178">
        <f>SUM(H8:H9)</f>
        <v>14852.3476083078</v>
      </c>
      <c r="I10" s="145" t="str">
        <f t="shared" si="0"/>
        <v>-</v>
      </c>
      <c r="J10" s="23">
        <f t="shared" si="1"/>
        <v>2040.14760830775</v>
      </c>
      <c r="K10" s="236">
        <f t="shared" si="2"/>
        <v>0.15923476126721</v>
      </c>
      <c r="L10" s="23">
        <f t="shared" si="3"/>
        <v>2221.70362650855</v>
      </c>
      <c r="M10" s="236">
        <f t="shared" si="4"/>
        <v>0.175897890060874</v>
      </c>
      <c r="N10" s="237"/>
    </row>
    <row r="11" s="64" customFormat="1" ht="15.95" customHeight="1" spans="1:14">
      <c r="A11" s="199"/>
      <c r="B11" s="242" t="s">
        <v>58</v>
      </c>
      <c r="C11" s="143" t="s">
        <v>17</v>
      </c>
      <c r="D11" s="36">
        <f t="shared" ref="D11:F11" si="5">D10-1.4571*D23</f>
        <v>0</v>
      </c>
      <c r="E11" s="36">
        <f t="shared" si="5"/>
        <v>12802.0003</v>
      </c>
      <c r="F11" s="36">
        <f t="shared" si="5"/>
        <v>12617.8215017992</v>
      </c>
      <c r="G11" s="36">
        <f>'[6]26.1'!$I$40+'[6]26.1'!$I$43</f>
        <v>14852.0618940221</v>
      </c>
      <c r="H11" s="36">
        <f>'[6]26.1'!$O$40+'[6]26.1'!$O$43</f>
        <v>14852.0618940221</v>
      </c>
      <c r="I11" s="145" t="str">
        <f t="shared" si="0"/>
        <v>-</v>
      </c>
      <c r="J11" s="23">
        <f t="shared" si="1"/>
        <v>2050.06159402207</v>
      </c>
      <c r="K11" s="236">
        <f t="shared" si="2"/>
        <v>0.160136037024001</v>
      </c>
      <c r="L11" s="23">
        <f t="shared" si="3"/>
        <v>2234.24039222287</v>
      </c>
      <c r="M11" s="236">
        <f t="shared" si="4"/>
        <v>0.17707021706594</v>
      </c>
      <c r="N11" s="237"/>
    </row>
    <row r="12" s="64" customFormat="1" ht="15.95" customHeight="1" spans="1:14">
      <c r="A12" s="199"/>
      <c r="B12" s="203" t="s">
        <v>29</v>
      </c>
      <c r="C12" s="143" t="s">
        <v>17</v>
      </c>
      <c r="D12" s="175"/>
      <c r="E12" s="175">
        <f>'[2]12.北方热电表'!$M$26</f>
        <v>17650</v>
      </c>
      <c r="F12" s="175">
        <f>[3]北方!G12</f>
        <v>17767.37</v>
      </c>
      <c r="G12" s="175">
        <f>'[6]26.1'!$I$14</f>
        <v>20654.19</v>
      </c>
      <c r="H12" s="175">
        <f>'[6]26.1'!$O$14</f>
        <v>20654.19</v>
      </c>
      <c r="I12" s="145" t="str">
        <f t="shared" si="0"/>
        <v>-</v>
      </c>
      <c r="J12" s="23">
        <f t="shared" si="1"/>
        <v>3004.19</v>
      </c>
      <c r="K12" s="236">
        <f t="shared" si="2"/>
        <v>0.170209065155807</v>
      </c>
      <c r="L12" s="23">
        <f t="shared" si="3"/>
        <v>2886.82</v>
      </c>
      <c r="M12" s="236">
        <f t="shared" si="4"/>
        <v>0.16247874615095</v>
      </c>
      <c r="N12" s="237"/>
    </row>
    <row r="13" s="64" customFormat="1" ht="15.95" customHeight="1" spans="1:14">
      <c r="A13" s="199"/>
      <c r="B13" s="203" t="s">
        <v>36</v>
      </c>
      <c r="C13" s="143" t="s">
        <v>17</v>
      </c>
      <c r="D13" s="175"/>
      <c r="E13" s="175">
        <f>'[2]12.北方热电表'!$M$53</f>
        <v>21</v>
      </c>
      <c r="F13" s="175">
        <f>[3]北方!G13</f>
        <v>7.12</v>
      </c>
      <c r="G13" s="175">
        <f>'[6]26.1'!$I$23</f>
        <v>2.3</v>
      </c>
      <c r="H13" s="175">
        <f>'[6]26.1'!$O$23</f>
        <v>2.3</v>
      </c>
      <c r="I13" s="145" t="str">
        <f t="shared" si="0"/>
        <v>-</v>
      </c>
      <c r="J13" s="23">
        <f t="shared" si="1"/>
        <v>-18.7</v>
      </c>
      <c r="K13" s="236">
        <f t="shared" si="2"/>
        <v>-0.89047619047619</v>
      </c>
      <c r="L13" s="23">
        <f t="shared" si="3"/>
        <v>-4.82</v>
      </c>
      <c r="M13" s="236">
        <f t="shared" si="4"/>
        <v>-0.676966292134832</v>
      </c>
      <c r="N13" s="237"/>
    </row>
    <row r="14" s="64" customFormat="1" ht="15.95" customHeight="1" spans="1:14">
      <c r="A14" s="199"/>
      <c r="B14" s="203" t="s">
        <v>35</v>
      </c>
      <c r="C14" s="143" t="s">
        <v>17</v>
      </c>
      <c r="D14" s="175"/>
      <c r="E14" s="175">
        <f>'[2]12.北方热电表'!$M$52</f>
        <v>18</v>
      </c>
      <c r="F14" s="175">
        <f>[3]北方!G14</f>
        <v>6.72</v>
      </c>
      <c r="G14" s="175">
        <f>'[6]26.1'!$I$22</f>
        <v>2.31</v>
      </c>
      <c r="H14" s="175">
        <f>'[6]26.1'!$O$22</f>
        <v>2.31</v>
      </c>
      <c r="I14" s="145" t="str">
        <f t="shared" si="0"/>
        <v>-</v>
      </c>
      <c r="J14" s="23">
        <f t="shared" si="1"/>
        <v>-15.69</v>
      </c>
      <c r="K14" s="236">
        <f t="shared" si="2"/>
        <v>-0.871666666666667</v>
      </c>
      <c r="L14" s="23">
        <f t="shared" si="3"/>
        <v>-4.41</v>
      </c>
      <c r="M14" s="236">
        <f t="shared" si="4"/>
        <v>-0.65625</v>
      </c>
      <c r="N14" s="237"/>
    </row>
    <row r="15" s="64" customFormat="1" ht="15.95" customHeight="1" spans="1:14">
      <c r="A15" s="199"/>
      <c r="B15" s="203" t="s">
        <v>39</v>
      </c>
      <c r="C15" s="143" t="s">
        <v>17</v>
      </c>
      <c r="D15" s="23"/>
      <c r="E15" s="23">
        <f>'[2]12.北方热电表'!$M$56</f>
        <v>345</v>
      </c>
      <c r="F15" s="23">
        <f>[3]北方!G15</f>
        <v>386.346</v>
      </c>
      <c r="G15" s="23">
        <f>'[6]26.1'!$I$26</f>
        <v>74.273</v>
      </c>
      <c r="H15" s="23">
        <f>'[6]26.1'!$O$26</f>
        <v>74.273</v>
      </c>
      <c r="I15" s="145" t="str">
        <f t="shared" si="0"/>
        <v>-</v>
      </c>
      <c r="J15" s="23">
        <f t="shared" si="1"/>
        <v>-270.727</v>
      </c>
      <c r="K15" s="236">
        <f t="shared" si="2"/>
        <v>-0.784715942028985</v>
      </c>
      <c r="L15" s="23">
        <f t="shared" si="3"/>
        <v>-312.073</v>
      </c>
      <c r="M15" s="236">
        <f t="shared" si="4"/>
        <v>-0.807755224591428</v>
      </c>
      <c r="N15" s="237"/>
    </row>
    <row r="16" s="64" customFormat="1" ht="15.95" customHeight="1" spans="1:14">
      <c r="A16" s="199"/>
      <c r="B16" s="203" t="s">
        <v>40</v>
      </c>
      <c r="C16" s="143" t="s">
        <v>17</v>
      </c>
      <c r="D16" s="243"/>
      <c r="E16" s="243">
        <f>'[2]12.北方热电表'!$M$59</f>
        <v>0.1</v>
      </c>
      <c r="F16" s="243">
        <f>[3]北方!G16</f>
        <v>0.119</v>
      </c>
      <c r="G16" s="243">
        <f>'[6]26.1'!$I$27</f>
        <v>0.05</v>
      </c>
      <c r="H16" s="243">
        <f>'[6]26.1'!$O$27</f>
        <v>0.05</v>
      </c>
      <c r="I16" s="145" t="str">
        <f t="shared" si="0"/>
        <v>-</v>
      </c>
      <c r="J16" s="23">
        <f t="shared" si="1"/>
        <v>-0.05</v>
      </c>
      <c r="K16" s="236">
        <f t="shared" si="2"/>
        <v>-0.5</v>
      </c>
      <c r="L16" s="244">
        <f t="shared" si="3"/>
        <v>-0.069</v>
      </c>
      <c r="M16" s="236">
        <f t="shared" si="4"/>
        <v>-0.579831932773109</v>
      </c>
      <c r="N16" s="237"/>
    </row>
    <row r="17" s="64" customFormat="1" ht="15.95" customHeight="1" spans="1:15">
      <c r="A17" s="199"/>
      <c r="B17" s="203" t="s">
        <v>41</v>
      </c>
      <c r="C17" s="143" t="s">
        <v>17</v>
      </c>
      <c r="D17" s="243"/>
      <c r="E17" s="243">
        <f>'[2]12.北方热电表'!$M$60</f>
        <v>0</v>
      </c>
      <c r="F17" s="243">
        <f>[3]北方!G17</f>
        <v>0</v>
      </c>
      <c r="G17" s="243">
        <f>'[6]26.1'!$I$28</f>
        <v>0</v>
      </c>
      <c r="H17" s="243">
        <f>'[6]26.1'!$O$28</f>
        <v>0</v>
      </c>
      <c r="I17" s="145" t="str">
        <f t="shared" si="0"/>
        <v>-</v>
      </c>
      <c r="J17" s="23">
        <f t="shared" si="1"/>
        <v>0</v>
      </c>
      <c r="K17" s="236" t="str">
        <f t="shared" si="2"/>
        <v>-</v>
      </c>
      <c r="L17" s="244">
        <f t="shared" si="3"/>
        <v>0</v>
      </c>
      <c r="M17" s="236" t="str">
        <f t="shared" si="4"/>
        <v>-</v>
      </c>
      <c r="N17" s="237"/>
    </row>
    <row r="18" s="64" customFormat="1" ht="15.95" customHeight="1" spans="1:15">
      <c r="A18" s="199"/>
      <c r="B18" s="203" t="s">
        <v>44</v>
      </c>
      <c r="C18" s="143" t="s">
        <v>17</v>
      </c>
      <c r="D18" s="178"/>
      <c r="E18" s="178">
        <f>'[2]12.北方热电表'!$M$75</f>
        <v>7400</v>
      </c>
      <c r="F18" s="178">
        <f>[3]北方!G18</f>
        <v>7487</v>
      </c>
      <c r="G18" s="178">
        <f>'[6]26.1'!$I$65</f>
        <v>7404</v>
      </c>
      <c r="H18" s="178">
        <f>'[6]26.1'!$O$65</f>
        <v>7404</v>
      </c>
      <c r="I18" s="145" t="str">
        <f t="shared" si="0"/>
        <v>-</v>
      </c>
      <c r="J18" s="23">
        <f t="shared" si="1"/>
        <v>4</v>
      </c>
      <c r="K18" s="236">
        <f t="shared" si="2"/>
        <v>0.000540540540540541</v>
      </c>
      <c r="L18" s="23">
        <f t="shared" si="3"/>
        <v>-83</v>
      </c>
      <c r="M18" s="236">
        <f t="shared" si="4"/>
        <v>-0.0110858821958061</v>
      </c>
      <c r="N18" s="237"/>
    </row>
    <row r="19" s="64" customFormat="1" ht="15.95" customHeight="1" spans="1:15">
      <c r="A19" s="199"/>
      <c r="B19" s="203" t="s">
        <v>45</v>
      </c>
      <c r="C19" s="143" t="s">
        <v>46</v>
      </c>
      <c r="D19" s="178"/>
      <c r="E19" s="178">
        <f>'[2]12.北方热电表'!$M$76*10000</f>
        <v>440000</v>
      </c>
      <c r="F19" s="178">
        <f>[3]北方!G19</f>
        <v>441012</v>
      </c>
      <c r="G19" s="178">
        <f>'[6]26.1'!$I$66</f>
        <v>619963</v>
      </c>
      <c r="H19" s="178">
        <f>'[6]26.1'!$O$66</f>
        <v>619963</v>
      </c>
      <c r="I19" s="145" t="str">
        <f t="shared" si="0"/>
        <v>-</v>
      </c>
      <c r="J19" s="23">
        <f t="shared" si="1"/>
        <v>179963</v>
      </c>
      <c r="K19" s="236">
        <f t="shared" si="2"/>
        <v>0.409006818181818</v>
      </c>
      <c r="L19" s="23">
        <f t="shared" si="3"/>
        <v>178951</v>
      </c>
      <c r="M19" s="236">
        <f t="shared" si="4"/>
        <v>0.405773539042022</v>
      </c>
      <c r="N19" s="237"/>
    </row>
    <row r="20" s="64" customFormat="1" ht="15.95" customHeight="1" spans="1:15">
      <c r="A20" s="199"/>
      <c r="B20" s="142" t="s">
        <v>31</v>
      </c>
      <c r="C20" s="143" t="s">
        <v>17</v>
      </c>
      <c r="D20" s="175"/>
      <c r="E20" s="175">
        <f>'[2]12.北方热电表'!$M$41</f>
        <v>38400</v>
      </c>
      <c r="F20" s="175">
        <f>[3]北方!G20</f>
        <v>43108.9</v>
      </c>
      <c r="G20" s="175">
        <f>'[6]26.1'!$I$20</f>
        <v>34653</v>
      </c>
      <c r="H20" s="175">
        <f>'[6]26.1'!$O$20</f>
        <v>34653</v>
      </c>
      <c r="I20" s="145" t="str">
        <f t="shared" si="0"/>
        <v>-</v>
      </c>
      <c r="J20" s="23">
        <f t="shared" si="1"/>
        <v>-3747</v>
      </c>
      <c r="K20" s="236">
        <f t="shared" si="2"/>
        <v>-0.097578125</v>
      </c>
      <c r="L20" s="23">
        <f t="shared" si="3"/>
        <v>-8455.9</v>
      </c>
      <c r="M20" s="236">
        <f t="shared" si="4"/>
        <v>-0.1961520706861</v>
      </c>
      <c r="N20" s="237"/>
    </row>
    <row r="21" s="64" customFormat="1" ht="15.95" customHeight="1" spans="1:15">
      <c r="A21" s="199"/>
      <c r="B21" s="203" t="s">
        <v>187</v>
      </c>
      <c r="C21" s="143" t="s">
        <v>17</v>
      </c>
      <c r="D21" s="36"/>
      <c r="E21" s="36">
        <f>'[2]12.北方热电表'!$M$51</f>
        <v>0</v>
      </c>
      <c r="F21" s="36">
        <f>[3]北方!G21</f>
        <v>21789.9</v>
      </c>
      <c r="G21" s="36">
        <f>'[6]26.1'!$I$21</f>
        <v>11538</v>
      </c>
      <c r="H21" s="36">
        <f>'[6]26.1'!$O$21</f>
        <v>11538</v>
      </c>
      <c r="I21" s="245" t="str">
        <f t="shared" si="0"/>
        <v>-</v>
      </c>
      <c r="J21" s="38">
        <f t="shared" si="1"/>
        <v>11538</v>
      </c>
      <c r="K21" s="38" t="str">
        <f t="shared" si="2"/>
        <v>-</v>
      </c>
      <c r="L21" s="23">
        <f t="shared" si="3"/>
        <v>-10251.9</v>
      </c>
      <c r="M21" s="236">
        <f t="shared" si="4"/>
        <v>-0.470488620874809</v>
      </c>
      <c r="N21" s="237"/>
    </row>
    <row r="22" s="64" customFormat="1" ht="15.95" customHeight="1" spans="1:15">
      <c r="A22" s="199"/>
      <c r="B22" s="203" t="s">
        <v>188</v>
      </c>
      <c r="C22" s="143" t="s">
        <v>17</v>
      </c>
      <c r="D22" s="178"/>
      <c r="E22" s="178">
        <f>'[2]12.北方热电表'!$M$43+'[2]12.北方热电表'!$M$47</f>
        <v>28400</v>
      </c>
      <c r="F22" s="178">
        <f>[3]北方!G22</f>
        <v>32644</v>
      </c>
      <c r="G22" s="178">
        <f>'[6]26.1'!$I$62</f>
        <v>22885</v>
      </c>
      <c r="H22" s="178">
        <f>'[6]26.1'!$O$62</f>
        <v>22885</v>
      </c>
      <c r="I22" s="145" t="str">
        <f t="shared" si="0"/>
        <v>-</v>
      </c>
      <c r="J22" s="23">
        <f t="shared" si="1"/>
        <v>-5515</v>
      </c>
      <c r="K22" s="236">
        <f t="shared" si="2"/>
        <v>-0.19419014084507</v>
      </c>
      <c r="L22" s="23">
        <f t="shared" si="3"/>
        <v>-9759</v>
      </c>
      <c r="M22" s="236">
        <f t="shared" si="4"/>
        <v>-0.298952334272761</v>
      </c>
      <c r="N22" s="237"/>
      <c r="O22" s="246"/>
    </row>
    <row r="23" s="64" customFormat="1" ht="15.95" customHeight="1" spans="1:15">
      <c r="A23" s="199"/>
      <c r="B23" s="203" t="s">
        <v>120</v>
      </c>
      <c r="C23" s="143" t="s">
        <v>17</v>
      </c>
      <c r="D23" s="175"/>
      <c r="E23" s="175">
        <f>'[2]12.北方热电表'!$M$37</f>
        <v>7</v>
      </c>
      <c r="F23" s="175">
        <f>[3]北方!G23</f>
        <v>8.8</v>
      </c>
      <c r="G23" s="175">
        <f>'[6]26.1'!$I$17</f>
        <v>0.2</v>
      </c>
      <c r="H23" s="175">
        <f>'[6]26.1'!$O$17</f>
        <v>0.2</v>
      </c>
      <c r="I23" s="145" t="str">
        <f t="shared" si="0"/>
        <v>-</v>
      </c>
      <c r="J23" s="23">
        <f t="shared" si="1"/>
        <v>-6.8</v>
      </c>
      <c r="K23" s="238">
        <f t="shared" si="2"/>
        <v>-0.971428571428571</v>
      </c>
      <c r="L23" s="23">
        <f t="shared" si="3"/>
        <v>-8.6</v>
      </c>
      <c r="M23" s="238">
        <f t="shared" si="4"/>
        <v>-0.977272727272727</v>
      </c>
      <c r="N23" s="237"/>
      <c r="O23" s="246"/>
    </row>
    <row r="24" s="64" customFormat="1" ht="15.95" customHeight="1" spans="1:15">
      <c r="A24" s="199"/>
      <c r="B24" s="203" t="s">
        <v>37</v>
      </c>
      <c r="C24" s="143" t="s">
        <v>17</v>
      </c>
      <c r="D24" s="175"/>
      <c r="E24" s="175">
        <f>'[2]12.北方热电表'!$M$54</f>
        <v>830</v>
      </c>
      <c r="F24" s="175">
        <f>[3]北方!G24</f>
        <v>837.04</v>
      </c>
      <c r="G24" s="175">
        <f>'[6]26.1'!$I$24</f>
        <v>601.88</v>
      </c>
      <c r="H24" s="175">
        <f>'[6]26.1'!$O$24</f>
        <v>601.88</v>
      </c>
      <c r="I24" s="145" t="str">
        <f t="shared" si="0"/>
        <v>-</v>
      </c>
      <c r="J24" s="23">
        <f t="shared" si="1"/>
        <v>-228.12</v>
      </c>
      <c r="K24" s="236">
        <f t="shared" si="2"/>
        <v>-0.274843373493976</v>
      </c>
      <c r="L24" s="23">
        <f t="shared" si="3"/>
        <v>-235.16</v>
      </c>
      <c r="M24" s="236">
        <f t="shared" si="4"/>
        <v>-0.280942368345599</v>
      </c>
      <c r="N24" s="237"/>
    </row>
    <row r="25" s="64" customFormat="1" ht="15.95" customHeight="1" spans="1:15">
      <c r="A25" s="199"/>
      <c r="B25" s="203" t="s">
        <v>38</v>
      </c>
      <c r="C25" s="143" t="s">
        <v>17</v>
      </c>
      <c r="D25" s="175"/>
      <c r="E25" s="175">
        <f>'[2]12.北方热电表'!$M$55</f>
        <v>270</v>
      </c>
      <c r="F25" s="175">
        <f>[3]北方!G25</f>
        <v>299.42</v>
      </c>
      <c r="G25" s="175">
        <f>'[6]26.1'!$I$25</f>
        <v>364.38</v>
      </c>
      <c r="H25" s="175">
        <f>'[6]26.1'!$O$25</f>
        <v>364.38</v>
      </c>
      <c r="I25" s="145" t="str">
        <f t="shared" si="0"/>
        <v>-</v>
      </c>
      <c r="J25" s="23">
        <f t="shared" si="1"/>
        <v>94.38</v>
      </c>
      <c r="K25" s="236">
        <f t="shared" si="2"/>
        <v>0.349555555555556</v>
      </c>
      <c r="L25" s="23">
        <f t="shared" si="3"/>
        <v>64.96</v>
      </c>
      <c r="M25" s="236">
        <f t="shared" si="4"/>
        <v>0.216952775365707</v>
      </c>
      <c r="N25" s="237"/>
    </row>
    <row r="26" s="64" customFormat="1" ht="15.95" customHeight="1" spans="1:15">
      <c r="A26" s="199"/>
      <c r="B26" s="203" t="s">
        <v>49</v>
      </c>
      <c r="C26" s="247" t="s">
        <v>15</v>
      </c>
      <c r="D26" s="178"/>
      <c r="E26" s="178">
        <f>'[2]12.北方热电表'!$M$70</f>
        <v>98</v>
      </c>
      <c r="F26" s="178">
        <f>[3]北方!G26</f>
        <v>100.3755</v>
      </c>
      <c r="G26" s="178">
        <f>'[6]26.1'!$I$60/10000</f>
        <v>102.7192</v>
      </c>
      <c r="H26" s="178">
        <f>'[6]26.1'!$O$60/10000</f>
        <v>102.7192</v>
      </c>
      <c r="I26" s="145" t="str">
        <f t="shared" si="0"/>
        <v>-</v>
      </c>
      <c r="J26" s="23">
        <f t="shared" si="1"/>
        <v>4.7192</v>
      </c>
      <c r="K26" s="236">
        <f t="shared" si="2"/>
        <v>0.0481551020408163</v>
      </c>
      <c r="L26" s="23">
        <f t="shared" si="3"/>
        <v>2.3437</v>
      </c>
      <c r="M26" s="236">
        <f t="shared" si="4"/>
        <v>0.0233493232910421</v>
      </c>
      <c r="N26" s="237"/>
    </row>
    <row r="27" s="64" customFormat="1" ht="15.95" customHeight="1" spans="1:15">
      <c r="A27" s="199"/>
      <c r="B27" s="203" t="s">
        <v>50</v>
      </c>
      <c r="C27" s="247" t="s">
        <v>15</v>
      </c>
      <c r="D27" s="178"/>
      <c r="E27" s="178">
        <f>'[2]12.北方热电表'!$M$73</f>
        <v>98</v>
      </c>
      <c r="F27" s="178">
        <f>[3]北方!G27</f>
        <v>100.3755</v>
      </c>
      <c r="G27" s="178">
        <f>'[6]26.1'!$I$61/10000</f>
        <v>102.7192</v>
      </c>
      <c r="H27" s="178">
        <f>'[6]26.1'!$O$61/10000</f>
        <v>102.7192</v>
      </c>
      <c r="I27" s="145" t="str">
        <f t="shared" si="0"/>
        <v>-</v>
      </c>
      <c r="J27" s="23">
        <f t="shared" si="1"/>
        <v>4.7192</v>
      </c>
      <c r="K27" s="236">
        <f t="shared" si="2"/>
        <v>0.0481551020408163</v>
      </c>
      <c r="L27" s="23">
        <f t="shared" si="3"/>
        <v>2.3437</v>
      </c>
      <c r="M27" s="236">
        <f t="shared" si="4"/>
        <v>0.0233493232910421</v>
      </c>
      <c r="N27" s="237"/>
    </row>
    <row r="28" s="64" customFormat="1" ht="15.95" customHeight="1" spans="1:15">
      <c r="A28" s="199"/>
      <c r="B28" s="203" t="s">
        <v>51</v>
      </c>
      <c r="C28" s="143" t="s">
        <v>15</v>
      </c>
      <c r="D28" s="175"/>
      <c r="E28" s="175">
        <f>'[2]12.北方热电表'!$M$65</f>
        <v>329</v>
      </c>
      <c r="F28" s="175">
        <f>[3]北方!G28</f>
        <v>329.934</v>
      </c>
      <c r="G28" s="175">
        <f>'[6]26.1'!$I$30/10000</f>
        <v>420.1936</v>
      </c>
      <c r="H28" s="175">
        <f>'[6]26.1'!$O$30/10000</f>
        <v>420.1936</v>
      </c>
      <c r="I28" s="145" t="str">
        <f t="shared" si="0"/>
        <v>-</v>
      </c>
      <c r="J28" s="23">
        <f t="shared" si="1"/>
        <v>91.1936</v>
      </c>
      <c r="K28" s="236">
        <f t="shared" si="2"/>
        <v>0.277184194528875</v>
      </c>
      <c r="L28" s="23">
        <f t="shared" si="3"/>
        <v>90.2596</v>
      </c>
      <c r="M28" s="236">
        <f t="shared" si="4"/>
        <v>0.273568653124564</v>
      </c>
      <c r="N28" s="237"/>
    </row>
    <row r="29" s="64" customFormat="1" ht="15.95" customHeight="1" spans="1:15">
      <c r="A29" s="199"/>
      <c r="B29" s="203" t="s">
        <v>121</v>
      </c>
      <c r="C29" s="143" t="s">
        <v>15</v>
      </c>
      <c r="D29" s="175"/>
      <c r="E29" s="175">
        <f>'[2]12.北方热电表'!$M$68</f>
        <v>69.4</v>
      </c>
      <c r="F29" s="175">
        <f>[3]北方!G29</f>
        <v>69.6281888651753</v>
      </c>
      <c r="G29" s="175">
        <f>'[6]26.1'!$I$33/10000</f>
        <v>100.768819151684</v>
      </c>
      <c r="H29" s="175">
        <f>'[6]26.1'!$O$33/10000</f>
        <v>100.768819151684</v>
      </c>
      <c r="I29" s="145" t="str">
        <f t="shared" si="0"/>
        <v>-</v>
      </c>
      <c r="J29" s="23">
        <f t="shared" si="1"/>
        <v>31.368819151684</v>
      </c>
      <c r="K29" s="236">
        <f t="shared" si="2"/>
        <v>0.452000275960864</v>
      </c>
      <c r="L29" s="23">
        <f t="shared" si="3"/>
        <v>31.1406302865087</v>
      </c>
      <c r="M29" s="236">
        <f t="shared" si="4"/>
        <v>0.447241710491823</v>
      </c>
      <c r="N29" s="237"/>
    </row>
    <row r="30" s="64" customFormat="1" ht="15.95" customHeight="1" spans="1:15">
      <c r="A30" s="199"/>
      <c r="B30" s="248" t="s">
        <v>122</v>
      </c>
      <c r="C30" s="249" t="s">
        <v>15</v>
      </c>
      <c r="D30" s="250"/>
      <c r="E30" s="250">
        <f>'[2]12.北方热电表'!$M$69</f>
        <v>259.6</v>
      </c>
      <c r="F30" s="250">
        <f>[3]北方!G30</f>
        <v>260.305811134825</v>
      </c>
      <c r="G30" s="250">
        <f>'[6]26.1'!$I$34/10000</f>
        <v>319.424780848316</v>
      </c>
      <c r="H30" s="250">
        <f>'[6]26.1'!$O$34/10000</f>
        <v>319.424780848316</v>
      </c>
      <c r="I30" s="153" t="str">
        <f t="shared" si="0"/>
        <v>-</v>
      </c>
      <c r="J30" s="251">
        <f t="shared" si="1"/>
        <v>59.824780848316</v>
      </c>
      <c r="K30" s="252">
        <f t="shared" si="2"/>
        <v>0.230449849184576</v>
      </c>
      <c r="L30" s="251">
        <f t="shared" si="3"/>
        <v>59.118969713491</v>
      </c>
      <c r="M30" s="252">
        <f t="shared" si="4"/>
        <v>0.227113522574686</v>
      </c>
      <c r="N30" s="237"/>
    </row>
    <row r="31" s="64" customFormat="1" ht="15.95" customHeight="1" spans="1:15">
      <c r="A31" s="253" t="s">
        <v>96</v>
      </c>
      <c r="B31" s="203" t="s">
        <v>63</v>
      </c>
      <c r="C31" s="247" t="s">
        <v>64</v>
      </c>
      <c r="D31" s="181" t="e">
        <f>D28/D3</f>
        <v>#DIV/0!</v>
      </c>
      <c r="E31" s="181">
        <f>E28/E3</f>
        <v>0.269451269451269</v>
      </c>
      <c r="F31" s="181">
        <f>[3]北方!G31</f>
        <v>0.274143131340828</v>
      </c>
      <c r="G31" s="181">
        <f>G28/G3</f>
        <v>0.273690052042285</v>
      </c>
      <c r="H31" s="181">
        <f>H28/H3</f>
        <v>0.273690052042285</v>
      </c>
      <c r="I31" s="38" t="s">
        <v>65</v>
      </c>
      <c r="J31" s="147">
        <f t="shared" si="1"/>
        <v>0.00423878259101618</v>
      </c>
      <c r="K31" s="38" t="s">
        <v>65</v>
      </c>
      <c r="L31" s="147">
        <f t="shared" si="3"/>
        <v>-0.000453079298542824</v>
      </c>
      <c r="M31" s="39" t="s">
        <v>65</v>
      </c>
      <c r="N31" s="237"/>
    </row>
    <row r="32" s="64" customFormat="1" ht="15.95" customHeight="1" spans="1:15">
      <c r="A32" s="202"/>
      <c r="B32" s="203" t="s">
        <v>123</v>
      </c>
      <c r="C32" s="143" t="s">
        <v>64</v>
      </c>
      <c r="D32" s="181" t="e">
        <f>D29/D3</f>
        <v>#DIV/0!</v>
      </c>
      <c r="E32" s="181">
        <f>E29/E3</f>
        <v>0.0568386568386568</v>
      </c>
      <c r="F32" s="181">
        <f>[3]北方!G32</f>
        <v>0.0578542669900336</v>
      </c>
      <c r="G32" s="181">
        <f>G29/G3</f>
        <v>0.0656350390816614</v>
      </c>
      <c r="H32" s="181">
        <f>H29/H3</f>
        <v>0.0656350390816614</v>
      </c>
      <c r="I32" s="38" t="s">
        <v>65</v>
      </c>
      <c r="J32" s="147">
        <f t="shared" si="1"/>
        <v>0.00879638224300465</v>
      </c>
      <c r="K32" s="38" t="s">
        <v>65</v>
      </c>
      <c r="L32" s="147">
        <f t="shared" si="3"/>
        <v>0.00778077209162785</v>
      </c>
      <c r="M32" s="39" t="s">
        <v>65</v>
      </c>
      <c r="N32" s="237"/>
    </row>
    <row r="33" s="64" customFormat="1" ht="15.95" customHeight="1" spans="1:19">
      <c r="A33" s="202"/>
      <c r="B33" s="203" t="s">
        <v>124</v>
      </c>
      <c r="C33" s="143" t="s">
        <v>125</v>
      </c>
      <c r="D33" s="254" t="e">
        <f>D30*10000/D5</f>
        <v>#DIV/0!</v>
      </c>
      <c r="E33" s="254">
        <f>E30*10000/E5</f>
        <v>9.94636015325671</v>
      </c>
      <c r="F33" s="254">
        <f>[3]北方!G33</f>
        <v>10.4045971358308</v>
      </c>
      <c r="G33" s="254">
        <f>G30*10000/G5</f>
        <v>10.9356724515669</v>
      </c>
      <c r="H33" s="254">
        <f>H30*10000/H5</f>
        <v>10.9356724515669</v>
      </c>
      <c r="I33" s="145" t="str">
        <f t="shared" ref="I33:I42" si="6">IFERROR(H33/D33,"-")</f>
        <v>-</v>
      </c>
      <c r="J33" s="255">
        <f t="shared" si="1"/>
        <v>0.989312298310168</v>
      </c>
      <c r="K33" s="145">
        <f t="shared" ref="K33:K42" si="7">IFERROR(J33/E33,"-")</f>
        <v>0.09946475726462</v>
      </c>
      <c r="L33" s="255">
        <f t="shared" si="3"/>
        <v>0.531075315736079</v>
      </c>
      <c r="M33" s="147">
        <f t="shared" ref="M33:M42" si="8">IFERROR(L33/F33,"-")</f>
        <v>0.051042371828813</v>
      </c>
      <c r="N33" s="237"/>
    </row>
    <row r="34" s="64" customFormat="1" ht="15.95" customHeight="1" spans="1:19">
      <c r="A34" s="202"/>
      <c r="B34" s="203" t="s">
        <v>66</v>
      </c>
      <c r="C34" s="143" t="s">
        <v>67</v>
      </c>
      <c r="D34" s="256" t="e">
        <f>D8*100/D3</f>
        <v>#DIV/0!</v>
      </c>
      <c r="E34" s="256">
        <f>E8*100/E3</f>
        <v>209.266339066339</v>
      </c>
      <c r="F34" s="256">
        <f>[3]北方!G34</f>
        <v>221.479644164916</v>
      </c>
      <c r="G34" s="256">
        <f>G8*100/G3</f>
        <v>231.996492979831</v>
      </c>
      <c r="H34" s="256">
        <f>H8*100/H3</f>
        <v>231.996492979831</v>
      </c>
      <c r="I34" s="145" t="str">
        <f t="shared" si="6"/>
        <v>-</v>
      </c>
      <c r="J34" s="257">
        <f t="shared" si="1"/>
        <v>22.7301539134922</v>
      </c>
      <c r="K34" s="145">
        <f t="shared" si="7"/>
        <v>0.108618299602816</v>
      </c>
      <c r="L34" s="257">
        <f t="shared" si="3"/>
        <v>10.5168488149152</v>
      </c>
      <c r="M34" s="147">
        <f t="shared" si="8"/>
        <v>0.0474844939117033</v>
      </c>
      <c r="N34" s="258"/>
      <c r="O34" s="259"/>
      <c r="P34" s="259"/>
    </row>
    <row r="35" s="64" customFormat="1" ht="15.95" customHeight="1" spans="1:19">
      <c r="A35" s="202"/>
      <c r="B35" s="203" t="s">
        <v>68</v>
      </c>
      <c r="C35" s="143" t="s">
        <v>67</v>
      </c>
      <c r="D35" s="206" t="e">
        <f>D8*100/(D3-D29)</f>
        <v>#DIV/0!</v>
      </c>
      <c r="E35" s="206">
        <f>E8*100/(E3-E29)</f>
        <v>221.877561653352</v>
      </c>
      <c r="F35" s="206">
        <f>[3]北方!G35</f>
        <v>235.080026799392</v>
      </c>
      <c r="G35" s="206">
        <f>G8*100/(G3-G29)</f>
        <v>248.293228752728</v>
      </c>
      <c r="H35" s="206">
        <f>H8*100/(H3-H29)</f>
        <v>248.293228752728</v>
      </c>
      <c r="I35" s="145" t="str">
        <f t="shared" si="6"/>
        <v>-</v>
      </c>
      <c r="J35" s="257">
        <f t="shared" si="1"/>
        <v>26.4156670993764</v>
      </c>
      <c r="K35" s="145">
        <f t="shared" si="7"/>
        <v>0.119055153222959</v>
      </c>
      <c r="L35" s="257">
        <f t="shared" si="3"/>
        <v>13.2132019533364</v>
      </c>
      <c r="M35" s="147">
        <f t="shared" si="8"/>
        <v>0.0562072504977722</v>
      </c>
      <c r="N35" s="258"/>
      <c r="O35" s="259"/>
      <c r="P35" s="259"/>
    </row>
    <row r="36" s="64" customFormat="1" ht="15.95" customHeight="1" spans="1:19">
      <c r="A36" s="202"/>
      <c r="B36" s="203" t="s">
        <v>69</v>
      </c>
      <c r="C36" s="143" t="s">
        <v>70</v>
      </c>
      <c r="D36" s="260" t="e">
        <f>D9*1000/D5</f>
        <v>#DIV/0!</v>
      </c>
      <c r="E36" s="260">
        <f>E9*1000/E5</f>
        <v>39.2990727969349</v>
      </c>
      <c r="F36" s="260">
        <f>[3]北方!G36</f>
        <v>39.8312275172389</v>
      </c>
      <c r="G36" s="260">
        <f>G9*1000/G5</f>
        <v>38.6537083337933</v>
      </c>
      <c r="H36" s="260">
        <f>H9*1000/H5</f>
        <v>38.6537083337933</v>
      </c>
      <c r="I36" s="145" t="str">
        <f t="shared" si="6"/>
        <v>-</v>
      </c>
      <c r="J36" s="261">
        <f t="shared" si="1"/>
        <v>-0.645364463141554</v>
      </c>
      <c r="K36" s="145">
        <f t="shared" si="7"/>
        <v>-0.0164218750522758</v>
      </c>
      <c r="L36" s="261">
        <f t="shared" si="3"/>
        <v>-1.17751918344555</v>
      </c>
      <c r="M36" s="147">
        <f t="shared" si="8"/>
        <v>-0.0295627139016975</v>
      </c>
      <c r="N36" s="237"/>
    </row>
    <row r="37" s="64" customFormat="1" ht="15.95" customHeight="1" spans="1:19">
      <c r="A37" s="202"/>
      <c r="B37" s="203" t="s">
        <v>71</v>
      </c>
      <c r="C37" s="143" t="s">
        <v>146</v>
      </c>
      <c r="D37" s="262" t="e">
        <f t="shared" ref="D37:H37" si="9">((D20-D22)*(1-D45))/D3</f>
        <v>#DIV/0!</v>
      </c>
      <c r="E37" s="262">
        <f t="shared" si="9"/>
        <v>1.63333650010411</v>
      </c>
      <c r="F37" s="262">
        <f>[3]北方!G37</f>
        <v>1.83503100203072</v>
      </c>
      <c r="G37" s="262">
        <f t="shared" si="9"/>
        <v>1.83818397022942</v>
      </c>
      <c r="H37" s="262">
        <f t="shared" si="9"/>
        <v>1.83818397022942</v>
      </c>
      <c r="I37" s="145" t="str">
        <f t="shared" si="6"/>
        <v>-</v>
      </c>
      <c r="J37" s="160">
        <f t="shared" si="1"/>
        <v>0.204847470125307</v>
      </c>
      <c r="K37" s="145">
        <f t="shared" si="7"/>
        <v>0.125416575281487</v>
      </c>
      <c r="L37" s="160">
        <f t="shared" si="3"/>
        <v>0.00315296819869748</v>
      </c>
      <c r="M37" s="147">
        <f t="shared" si="8"/>
        <v>0.00171820977150156</v>
      </c>
      <c r="N37" s="237"/>
    </row>
    <row r="38" s="64" customFormat="1" ht="15.95" customHeight="1" spans="1:19">
      <c r="A38" s="202"/>
      <c r="B38" s="203" t="s">
        <v>73</v>
      </c>
      <c r="C38" s="143" t="s">
        <v>147</v>
      </c>
      <c r="D38" s="263" t="e">
        <f t="shared" ref="D38:H38" si="10">((D20-D22)*D45+D22)/D5</f>
        <v>#DIV/0!</v>
      </c>
      <c r="E38" s="263">
        <f t="shared" si="10"/>
        <v>0.139485425798364</v>
      </c>
      <c r="F38" s="263">
        <f>[3]北方!G38</f>
        <v>0.163481717931098</v>
      </c>
      <c r="G38" s="263">
        <f t="shared" si="10"/>
        <v>0.108974575515013</v>
      </c>
      <c r="H38" s="263">
        <f t="shared" si="10"/>
        <v>0.108974575515013</v>
      </c>
      <c r="I38" s="145" t="str">
        <f t="shared" si="6"/>
        <v>-</v>
      </c>
      <c r="J38" s="146">
        <f t="shared" si="1"/>
        <v>-0.0305108502833506</v>
      </c>
      <c r="K38" s="145">
        <f t="shared" si="7"/>
        <v>-0.218738625262945</v>
      </c>
      <c r="L38" s="146">
        <f t="shared" si="3"/>
        <v>-0.0545071424160846</v>
      </c>
      <c r="M38" s="147">
        <f t="shared" si="8"/>
        <v>-0.333414299200462</v>
      </c>
      <c r="N38" s="237"/>
    </row>
    <row r="39" s="64" customFormat="1" ht="15.95" customHeight="1" spans="1:19">
      <c r="A39" s="202"/>
      <c r="B39" s="203" t="s">
        <v>126</v>
      </c>
      <c r="C39" s="143" t="s">
        <v>17</v>
      </c>
      <c r="D39" s="36">
        <v>0</v>
      </c>
      <c r="E39" s="36">
        <v>0</v>
      </c>
      <c r="F39" s="36">
        <f>[3]北方!G39</f>
        <v>27004.62</v>
      </c>
      <c r="G39" s="36">
        <f>'[6]26.1'!$I$57</f>
        <v>17015.74</v>
      </c>
      <c r="H39" s="36">
        <f>'[6]26.1'!$O$57</f>
        <v>17015.74</v>
      </c>
      <c r="I39" s="145" t="str">
        <f t="shared" si="6"/>
        <v>-</v>
      </c>
      <c r="J39" s="38">
        <f t="shared" si="1"/>
        <v>17015.74</v>
      </c>
      <c r="K39" s="145" t="str">
        <f t="shared" si="7"/>
        <v>-</v>
      </c>
      <c r="L39" s="23">
        <f t="shared" si="3"/>
        <v>-9988.88</v>
      </c>
      <c r="M39" s="147">
        <f t="shared" si="8"/>
        <v>-0.369895225335517</v>
      </c>
      <c r="N39" s="258"/>
      <c r="O39" s="259"/>
      <c r="P39" s="259"/>
    </row>
    <row r="40" s="64" customFormat="1" ht="15.95" customHeight="1" spans="1:19">
      <c r="A40" s="202"/>
      <c r="B40" s="203" t="s">
        <v>127</v>
      </c>
      <c r="C40" s="143" t="s">
        <v>17</v>
      </c>
      <c r="D40" s="36">
        <v>0</v>
      </c>
      <c r="E40" s="36">
        <v>0</v>
      </c>
      <c r="F40" s="36">
        <f>[3]北方!G40</f>
        <v>17683.45</v>
      </c>
      <c r="G40" s="36">
        <f>H40</f>
        <v>20225.9499979253</v>
      </c>
      <c r="H40" s="36">
        <f>'[6]26.1'!$O$59</f>
        <v>20225.9499979253</v>
      </c>
      <c r="I40" s="145" t="str">
        <f t="shared" si="6"/>
        <v>-</v>
      </c>
      <c r="J40" s="38">
        <f t="shared" si="1"/>
        <v>20225.9499979253</v>
      </c>
      <c r="K40" s="145" t="str">
        <f t="shared" si="7"/>
        <v>-</v>
      </c>
      <c r="L40" s="264">
        <f t="shared" si="3"/>
        <v>2542.49999792529</v>
      </c>
      <c r="M40" s="147">
        <f t="shared" si="8"/>
        <v>0.143778504642776</v>
      </c>
      <c r="N40" s="258"/>
      <c r="O40" s="259"/>
      <c r="P40" s="259"/>
    </row>
    <row r="41" s="64" customFormat="1" ht="15.95" customHeight="1" spans="1:19">
      <c r="A41" s="202"/>
      <c r="B41" s="203" t="s">
        <v>97</v>
      </c>
      <c r="C41" s="143" t="s">
        <v>98</v>
      </c>
      <c r="D41" s="206" t="e">
        <f>D10/D12*29308</f>
        <v>#DIV/0!</v>
      </c>
      <c r="E41" s="206">
        <f>(E10-1.4571*E23)*29308/E12</f>
        <v>21257.8484301643</v>
      </c>
      <c r="F41" s="206">
        <f>[3]北方!G41</f>
        <v>20814.0242697709</v>
      </c>
      <c r="G41" s="206">
        <f>'[6]26.1'!$I$48</f>
        <v>21074.8632597066</v>
      </c>
      <c r="H41" s="206">
        <f>'[6]26.1'!$O$48</f>
        <v>21074.8632597066</v>
      </c>
      <c r="I41" s="145" t="str">
        <f t="shared" si="6"/>
        <v>-</v>
      </c>
      <c r="J41" s="257">
        <f t="shared" si="1"/>
        <v>-182.985170457701</v>
      </c>
      <c r="K41" s="145">
        <f t="shared" si="7"/>
        <v>-0.00860788762601442</v>
      </c>
      <c r="L41" s="257">
        <f t="shared" si="3"/>
        <v>260.838989935699</v>
      </c>
      <c r="M41" s="147">
        <f t="shared" si="8"/>
        <v>0.0125318865085848</v>
      </c>
      <c r="N41" s="258"/>
      <c r="O41" s="259"/>
      <c r="P41" s="259"/>
    </row>
    <row r="42" s="64" customFormat="1" ht="15.95" customHeight="1" spans="1:19">
      <c r="A42" s="202"/>
      <c r="B42" s="203" t="s">
        <v>128</v>
      </c>
      <c r="C42" s="143" t="s">
        <v>98</v>
      </c>
      <c r="D42" s="36">
        <v>0</v>
      </c>
      <c r="E42" s="36">
        <v>0</v>
      </c>
      <c r="F42" s="36">
        <f>[3]北方!G42</f>
        <v>20903.8184</v>
      </c>
      <c r="G42" s="36">
        <f>'[6]26.1'!$I$49</f>
        <v>20480</v>
      </c>
      <c r="H42" s="36">
        <f>'[6]26.1'!$O$49</f>
        <v>20480</v>
      </c>
      <c r="I42" s="145" t="str">
        <f t="shared" si="6"/>
        <v>-</v>
      </c>
      <c r="J42" s="38">
        <f t="shared" si="1"/>
        <v>20480</v>
      </c>
      <c r="K42" s="145" t="str">
        <f t="shared" si="7"/>
        <v>-</v>
      </c>
      <c r="L42" s="257">
        <f t="shared" si="3"/>
        <v>-423.8184</v>
      </c>
      <c r="M42" s="147">
        <f t="shared" si="8"/>
        <v>-0.0202746881880681</v>
      </c>
      <c r="N42" s="258"/>
      <c r="O42" s="259"/>
      <c r="P42" s="259"/>
      <c r="Q42" s="259"/>
      <c r="R42" s="259"/>
      <c r="S42" s="259"/>
    </row>
    <row r="43" s="64" customFormat="1" ht="15.95" customHeight="1" spans="1:19">
      <c r="A43" s="202"/>
      <c r="B43" s="207" t="s">
        <v>129</v>
      </c>
      <c r="C43" s="247" t="s">
        <v>64</v>
      </c>
      <c r="D43" s="162" t="e">
        <f>(D5*1000+D4*36000)/(D10*7000*4.1868)</f>
        <v>#DIV/0!</v>
      </c>
      <c r="E43" s="162">
        <f>(E5*1000+E4*36000)/(E10*7000*4.1868)</f>
        <v>0.780601953632125</v>
      </c>
      <c r="F43" s="162">
        <f>[3]北方!G43</f>
        <v>0.760810595357519</v>
      </c>
      <c r="G43" s="162">
        <f>(G5*1000+G4*36000)/(G10*7000*4.1868)</f>
        <v>0.763262049632757</v>
      </c>
      <c r="H43" s="162">
        <f>(H5*1000+H4*36000)/(H10*7000*4.1868)</f>
        <v>0.763262049632757</v>
      </c>
      <c r="I43" s="38" t="s">
        <v>65</v>
      </c>
      <c r="J43" s="265">
        <f t="shared" si="1"/>
        <v>-0.017339903999368</v>
      </c>
      <c r="K43" s="38" t="s">
        <v>65</v>
      </c>
      <c r="L43" s="265">
        <f t="shared" si="3"/>
        <v>0.00245145427523796</v>
      </c>
      <c r="M43" s="39" t="s">
        <v>65</v>
      </c>
      <c r="N43" s="266"/>
      <c r="O43" s="267"/>
      <c r="P43" s="267"/>
    </row>
    <row r="44" s="64" customFormat="1" ht="15.95" customHeight="1" spans="1:19">
      <c r="A44" s="202"/>
      <c r="B44" s="207" t="s">
        <v>130</v>
      </c>
      <c r="C44" s="212" t="s">
        <v>64</v>
      </c>
      <c r="D44" s="162" t="e">
        <f>D5*100/(D4*3600)</f>
        <v>#DIV/0!</v>
      </c>
      <c r="E44" s="162">
        <f>E5*100/(E4*3600)</f>
        <v>8.12780269058296</v>
      </c>
      <c r="F44" s="162">
        <f>[3]北方!G44</f>
        <v>7.95527871136061</v>
      </c>
      <c r="G44" s="162">
        <f>G5*100/(G4*3600)</f>
        <v>7.27625980239118</v>
      </c>
      <c r="H44" s="162">
        <f>H5*100/(H4*3600)</f>
        <v>7.27625980239118</v>
      </c>
      <c r="I44" s="38" t="s">
        <v>65</v>
      </c>
      <c r="J44" s="268">
        <f t="shared" si="1"/>
        <v>-0.851542888191784</v>
      </c>
      <c r="K44" s="38" t="s">
        <v>65</v>
      </c>
      <c r="L44" s="268">
        <f t="shared" si="3"/>
        <v>-0.679018908969434</v>
      </c>
      <c r="M44" s="39" t="s">
        <v>65</v>
      </c>
      <c r="N44" s="266"/>
      <c r="O44" s="267"/>
      <c r="P44" s="267"/>
    </row>
    <row r="45" s="64" customFormat="1" ht="15.95" customHeight="1" spans="1:19">
      <c r="A45" s="202"/>
      <c r="B45" s="203" t="s">
        <v>131</v>
      </c>
      <c r="C45" s="143" t="s">
        <v>64</v>
      </c>
      <c r="D45" s="269" t="e">
        <f>D9/D10</f>
        <v>#DIV/0!</v>
      </c>
      <c r="E45" s="162">
        <f>E9/E10</f>
        <v>0.800569613337288</v>
      </c>
      <c r="F45" s="162">
        <f>[3]北方!G45</f>
        <v>0.788963280943536</v>
      </c>
      <c r="G45" s="162">
        <f>G9/G10</f>
        <v>0.760184783510068</v>
      </c>
      <c r="H45" s="162">
        <f>H9/H10</f>
        <v>0.760184783510068</v>
      </c>
      <c r="I45" s="38" t="s">
        <v>65</v>
      </c>
      <c r="J45" s="265">
        <f t="shared" si="1"/>
        <v>-0.0403848298272202</v>
      </c>
      <c r="K45" s="38" t="s">
        <v>65</v>
      </c>
      <c r="L45" s="265">
        <f t="shared" si="3"/>
        <v>-0.0287784974334682</v>
      </c>
      <c r="M45" s="39" t="s">
        <v>65</v>
      </c>
      <c r="N45" s="266"/>
      <c r="O45" s="267"/>
      <c r="P45" s="267"/>
    </row>
    <row r="46" s="64" customFormat="1" ht="15.95" customHeight="1" spans="1:19">
      <c r="A46" s="202"/>
      <c r="B46" s="203" t="s">
        <v>75</v>
      </c>
      <c r="C46" s="270" t="s">
        <v>76</v>
      </c>
      <c r="D46" s="271">
        <v>0.278527898804289</v>
      </c>
      <c r="E46" s="271">
        <f>(E5-E6)/E7</f>
        <v>0.0844154027667848</v>
      </c>
      <c r="F46" s="271">
        <f>[3]北方!G46</f>
        <v>0.0623141883116883</v>
      </c>
      <c r="G46" s="271">
        <f>(G5-G6)/G7</f>
        <v>0.0952747507519867</v>
      </c>
      <c r="H46" s="271">
        <f>(H5-H6)/H7</f>
        <v>0.0952747507519867</v>
      </c>
      <c r="I46" s="145">
        <f t="shared" ref="I46:I50" si="11">IFERROR(H46/D46,"-")</f>
        <v>0.342065377152515</v>
      </c>
      <c r="J46" s="272">
        <f t="shared" si="1"/>
        <v>0.0108593479852019</v>
      </c>
      <c r="K46" s="145">
        <f t="shared" ref="K46:K48" si="12">IFERROR(J46/E46,"-")</f>
        <v>0.12864178371811</v>
      </c>
      <c r="L46" s="272">
        <f t="shared" si="3"/>
        <v>0.0329605624402984</v>
      </c>
      <c r="M46" s="147">
        <f t="shared" ref="M46:M48" si="13">IFERROR(L46/F46,"-")</f>
        <v>0.528941535360029</v>
      </c>
      <c r="N46" s="266"/>
      <c r="O46" s="267"/>
      <c r="P46" s="267"/>
    </row>
    <row r="47" s="64" customFormat="1" ht="15.95" customHeight="1" spans="1:19">
      <c r="A47" s="202"/>
      <c r="B47" s="203" t="s">
        <v>77</v>
      </c>
      <c r="C47" s="212" t="s">
        <v>78</v>
      </c>
      <c r="D47" s="271" t="e">
        <f t="shared" ref="D47:H47" si="14">D22*1000/D7</f>
        <v>#DIV/0!</v>
      </c>
      <c r="E47" s="271">
        <f t="shared" si="14"/>
        <v>9.34657870790132</v>
      </c>
      <c r="F47" s="271">
        <f t="shared" si="14"/>
        <v>10.8504270853278</v>
      </c>
      <c r="G47" s="271">
        <f t="shared" si="14"/>
        <v>7.64514245320712</v>
      </c>
      <c r="H47" s="271">
        <f t="shared" si="14"/>
        <v>7.64514245320712</v>
      </c>
      <c r="I47" s="145" t="str">
        <f t="shared" si="11"/>
        <v>-</v>
      </c>
      <c r="J47" s="272">
        <f t="shared" si="1"/>
        <v>-1.7014362546942</v>
      </c>
      <c r="K47" s="145">
        <f t="shared" si="12"/>
        <v>-0.182038402271824</v>
      </c>
      <c r="L47" s="272">
        <f t="shared" si="3"/>
        <v>-3.20528463212068</v>
      </c>
      <c r="M47" s="147">
        <f t="shared" si="13"/>
        <v>-0.295406310453433</v>
      </c>
      <c r="N47" s="266"/>
      <c r="O47" s="267"/>
      <c r="P47" s="267"/>
    </row>
    <row r="48" s="64" customFormat="1" ht="15.95" customHeight="1" spans="1:19">
      <c r="A48" s="74"/>
      <c r="B48" s="273" t="s">
        <v>79</v>
      </c>
      <c r="C48" s="274" t="s">
        <v>80</v>
      </c>
      <c r="D48" s="275" t="e">
        <f t="shared" ref="D48:H48" si="15">D27*10000/D7</f>
        <v>#DIV/0!</v>
      </c>
      <c r="E48" s="275">
        <f t="shared" si="15"/>
        <v>0.322522786399412</v>
      </c>
      <c r="F48" s="275">
        <f t="shared" si="15"/>
        <v>0.333634678318624</v>
      </c>
      <c r="G48" s="275">
        <f t="shared" si="15"/>
        <v>0.343151809779101</v>
      </c>
      <c r="H48" s="275">
        <f t="shared" si="15"/>
        <v>0.343151809779101</v>
      </c>
      <c r="I48" s="153" t="str">
        <f t="shared" si="11"/>
        <v>-</v>
      </c>
      <c r="J48" s="276">
        <f t="shared" si="1"/>
        <v>0.020629023379689</v>
      </c>
      <c r="K48" s="153">
        <f t="shared" si="12"/>
        <v>0.0639614447400377</v>
      </c>
      <c r="L48" s="276">
        <f t="shared" si="3"/>
        <v>0.009517131460477</v>
      </c>
      <c r="M48" s="157">
        <f t="shared" si="13"/>
        <v>0.028525606236256</v>
      </c>
      <c r="N48" s="266"/>
      <c r="O48" s="267"/>
      <c r="P48" s="267"/>
    </row>
    <row r="49" s="64" customFormat="1" ht="15.95" customHeight="1" spans="1:16">
      <c r="A49" s="143" t="s">
        <v>99</v>
      </c>
      <c r="B49" s="203" t="s">
        <v>82</v>
      </c>
      <c r="C49" s="143" t="s">
        <v>64</v>
      </c>
      <c r="D49" s="162">
        <f>D3/3.28/8760</f>
        <v>0</v>
      </c>
      <c r="E49" s="162">
        <f>E3/3.28/(DAY(DATE(2026,2,0))*24)</f>
        <v>0.500344217151849</v>
      </c>
      <c r="F49" s="162">
        <f>[3]北方!G47</f>
        <v>0.408490143369176</v>
      </c>
      <c r="G49" s="162">
        <f>G3/3.28/(DAY(DATE(2026,2,0))*24)</f>
        <v>0.629134703645424</v>
      </c>
      <c r="H49" s="277">
        <f>H3/3.28/(DATEDIF(DATE(2026,1,1),DATE(2026,2,1),"D")*24)</f>
        <v>0.629134703645424</v>
      </c>
      <c r="I49" s="38" t="str">
        <f t="shared" si="11"/>
        <v>-</v>
      </c>
      <c r="J49" s="278">
        <f t="shared" si="1"/>
        <v>0.128790486493575</v>
      </c>
      <c r="K49" s="38" t="s">
        <v>65</v>
      </c>
      <c r="L49" s="278">
        <f t="shared" si="3"/>
        <v>0.220644560276248</v>
      </c>
      <c r="M49" s="39" t="s">
        <v>65</v>
      </c>
      <c r="N49" s="266"/>
      <c r="O49" s="267"/>
      <c r="P49" s="267"/>
    </row>
    <row r="50" s="64" customFormat="1" ht="15.95" customHeight="1" spans="1:16">
      <c r="A50" s="216"/>
      <c r="B50" s="217" t="s">
        <v>83</v>
      </c>
      <c r="C50" s="184" t="s">
        <v>64</v>
      </c>
      <c r="D50" s="279">
        <f>D5*1000/130/(8760*3600)</f>
        <v>0</v>
      </c>
      <c r="E50" s="279">
        <f>E5*1000/130/((DAY(DATE(2026,2,0))*24)*3600)</f>
        <v>0.749586435070306</v>
      </c>
      <c r="F50" s="279">
        <f>[3]北方!G48</f>
        <v>0.718521562815918</v>
      </c>
      <c r="G50" s="279">
        <f>G5*1000/130/((DAY(DATE(2026,2,0))*24)*3600)</f>
        <v>0.838888659130595</v>
      </c>
      <c r="H50" s="280">
        <f>H5*1000/130/((DATEDIF(DATE(2026,1,1),DATE(2026,2,1),"D")*24)*3600)</f>
        <v>0.838888659130595</v>
      </c>
      <c r="I50" s="281" t="str">
        <f t="shared" si="11"/>
        <v>-</v>
      </c>
      <c r="J50" s="282">
        <f t="shared" si="1"/>
        <v>0.0893022240602886</v>
      </c>
      <c r="K50" s="281" t="s">
        <v>65</v>
      </c>
      <c r="L50" s="282">
        <f t="shared" si="3"/>
        <v>0.120367096314677</v>
      </c>
      <c r="M50" s="283" t="s">
        <v>65</v>
      </c>
      <c r="N50" s="266"/>
      <c r="O50" s="267"/>
      <c r="P50" s="267"/>
    </row>
    <row r="51" s="103" customFormat="1" ht="24" customHeight="1" spans="1:16">
      <c r="C51" s="104"/>
      <c r="D51" s="172"/>
      <c r="E51" s="172"/>
      <c r="G51" s="172"/>
      <c r="H51" s="172"/>
      <c r="I51" s="172"/>
      <c r="J51" s="172"/>
      <c r="K51" s="173"/>
      <c r="L51" s="172"/>
      <c r="M51" s="174"/>
      <c r="N51" s="284"/>
    </row>
    <row r="52" spans="1:16">
      <c r="A52" s="186"/>
    </row>
    <row r="53" spans="1:16">
      <c r="A53" s="186"/>
    </row>
    <row r="55" spans="1:16">
      <c r="G55" s="68"/>
      <c r="H55" s="285"/>
    </row>
    <row r="56" spans="1:16">
      <c r="G56" s="68"/>
      <c r="H56" s="68"/>
    </row>
  </sheetData>
  <mergeCells count="15">
    <mergeCell ref="J1:K1"/>
    <mergeCell ref="L1:M1"/>
    <mergeCell ref="A1:A2"/>
    <mergeCell ref="A3:A7"/>
    <mergeCell ref="A8:A30"/>
    <mergeCell ref="A31:A48"/>
    <mergeCell ref="A49:A50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550694444444444" right="0.550694444444444" top="1.10208333333333" bottom="0.472222222222222" header="0.747916666666667" footer="0.314583333333333"/>
  <pageSetup paperSize="9" scale="95" orientation="landscape" horizontalDpi="600" verticalDpi="600"/>
  <headerFooter alignWithMargins="0" scaleWithDoc="0">
    <oddHeader>&amp;C&amp;"黑体"&amp;16大连北方热电股份有限公司2026年1月份主要经营指标统计表&amp;R表    号：     ZB010
制表单位：经济运行部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0"/>
  <sheetViews>
    <sheetView showGridLines="0" zoomScale="85" zoomScaleNormal="85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C27" sqref="C27"/>
    </sheetView>
  </sheetViews>
  <sheetFormatPr defaultColWidth="8.66666666666667" defaultRowHeight="15"/>
  <cols>
    <col min="1" max="1" width="9.54166666666667" style="189" customWidth="1"/>
    <col min="2" max="2" width="16.75" style="190" customWidth="1"/>
    <col min="3" max="3" width="13.625" style="189" customWidth="1"/>
    <col min="4" max="5" width="10.125" style="191" customWidth="1"/>
    <col min="6" max="8" width="9.625" style="191" customWidth="1"/>
    <col min="9" max="13" width="8.125" style="191" customWidth="1"/>
    <col min="14" max="32" width="9" style="190"/>
    <col min="33" max="16384" width="8.66666666666667" style="190"/>
  </cols>
  <sheetData>
    <row r="1" s="187" customFormat="1" ht="18" customHeight="1" spans="1:14">
      <c r="A1" s="69" t="s">
        <v>84</v>
      </c>
      <c r="B1" s="70" t="s">
        <v>85</v>
      </c>
      <c r="C1" s="70" t="s">
        <v>2</v>
      </c>
      <c r="D1" s="137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132</v>
      </c>
      <c r="J1" s="8" t="s">
        <v>9</v>
      </c>
      <c r="K1" s="139"/>
      <c r="L1" s="8" t="s">
        <v>10</v>
      </c>
      <c r="M1" s="139"/>
    </row>
    <row r="2" s="187" customFormat="1" ht="19.5" customHeight="1" spans="1:14">
      <c r="A2" s="74"/>
      <c r="B2" s="75"/>
      <c r="C2" s="75"/>
      <c r="D2" s="140"/>
      <c r="E2" s="76"/>
      <c r="F2" s="76"/>
      <c r="G2" s="141"/>
      <c r="H2" s="76"/>
      <c r="I2" s="141"/>
      <c r="J2" s="15" t="s">
        <v>11</v>
      </c>
      <c r="K2" s="14" t="s">
        <v>12</v>
      </c>
      <c r="L2" s="14" t="s">
        <v>11</v>
      </c>
      <c r="M2" s="141" t="s">
        <v>12</v>
      </c>
    </row>
    <row r="3" s="187" customFormat="1" ht="21.95" customHeight="1" spans="1:14">
      <c r="A3" s="78" t="s">
        <v>87</v>
      </c>
      <c r="B3" s="142" t="s">
        <v>133</v>
      </c>
      <c r="C3" s="143" t="s">
        <v>134</v>
      </c>
      <c r="D3" s="225">
        <f>99+63</f>
        <v>162</v>
      </c>
      <c r="E3" s="225">
        <f>99+63</f>
        <v>162</v>
      </c>
      <c r="F3" s="225">
        <f>[3]金普!G3</f>
        <v>162</v>
      </c>
      <c r="G3" s="225">
        <f>'[7]26.1'!E3+'[7]26.1'!F3</f>
        <v>162</v>
      </c>
      <c r="H3" s="225">
        <f>'[7]26.1'!$J$3</f>
        <v>162</v>
      </c>
      <c r="I3" s="145">
        <f t="shared" ref="I3:I19" si="0">IFERROR(H3/D3,"-")</f>
        <v>1</v>
      </c>
      <c r="J3" s="23">
        <f t="shared" ref="J3:J27" si="1">IFERROR(G3-E3,"-")</f>
        <v>0</v>
      </c>
      <c r="K3" s="147">
        <f t="shared" ref="K3:K19" si="2">IFERROR(J3/E3,"-")</f>
        <v>0</v>
      </c>
      <c r="L3" s="23">
        <f t="shared" ref="L3:L27" si="3">IFERROR(G3-F3,"-")</f>
        <v>0</v>
      </c>
      <c r="M3" s="147">
        <f t="shared" ref="M3:M19" si="4">IFERROR(L3/F3,"-")</f>
        <v>0</v>
      </c>
    </row>
    <row r="4" s="187" customFormat="1" ht="21.95" customHeight="1" spans="1:14">
      <c r="A4" s="95"/>
      <c r="B4" s="142" t="s">
        <v>189</v>
      </c>
      <c r="C4" s="143" t="s">
        <v>21</v>
      </c>
      <c r="D4" s="175"/>
      <c r="E4" s="175">
        <f>'[2]13.金普热电表'!$M$19+E5</f>
        <v>1796212</v>
      </c>
      <c r="F4" s="175">
        <f>[3]金普!G4</f>
        <v>1759025.25</v>
      </c>
      <c r="G4" s="175">
        <f>'[7]26.1'!E4+'[7]26.1'!F4</f>
        <v>1769458.54</v>
      </c>
      <c r="H4" s="175">
        <f>'[7]26.1'!$J$4</f>
        <v>1769458.54</v>
      </c>
      <c r="I4" s="145" t="str">
        <f t="shared" si="0"/>
        <v>-</v>
      </c>
      <c r="J4" s="23">
        <f t="shared" si="1"/>
        <v>-26753.46</v>
      </c>
      <c r="K4" s="147">
        <f t="shared" si="2"/>
        <v>-0.0148943777237876</v>
      </c>
      <c r="L4" s="23">
        <f t="shared" si="3"/>
        <v>10433.29</v>
      </c>
      <c r="M4" s="147">
        <f t="shared" si="4"/>
        <v>0.00593129063951756</v>
      </c>
    </row>
    <row r="5" s="187" customFormat="1" ht="21.95" customHeight="1" spans="1:14">
      <c r="A5" s="95"/>
      <c r="B5" s="142" t="s">
        <v>190</v>
      </c>
      <c r="C5" s="143" t="s">
        <v>21</v>
      </c>
      <c r="D5" s="36"/>
      <c r="E5" s="36">
        <v>55000</v>
      </c>
      <c r="F5" s="36">
        <f>[3]金普!G5</f>
        <v>55000</v>
      </c>
      <c r="G5" s="36">
        <f>'[7]26.1'!E5+'[7]26.1'!F5</f>
        <v>55000</v>
      </c>
      <c r="H5" s="36">
        <f>'[7]26.1'!$J$5</f>
        <v>55000</v>
      </c>
      <c r="I5" s="145" t="str">
        <f t="shared" si="0"/>
        <v>-</v>
      </c>
      <c r="J5" s="23">
        <f t="shared" si="1"/>
        <v>0</v>
      </c>
      <c r="K5" s="147">
        <f t="shared" si="2"/>
        <v>0</v>
      </c>
      <c r="L5" s="23">
        <f t="shared" si="3"/>
        <v>0</v>
      </c>
      <c r="M5" s="147">
        <f t="shared" si="4"/>
        <v>0</v>
      </c>
    </row>
    <row r="6" s="187" customFormat="1" ht="21.95" customHeight="1" spans="1:14">
      <c r="A6" s="95"/>
      <c r="B6" s="142" t="s">
        <v>191</v>
      </c>
      <c r="C6" s="143" t="s">
        <v>21</v>
      </c>
      <c r="D6" s="175">
        <f>D4</f>
        <v>0</v>
      </c>
      <c r="E6" s="175">
        <f>E4</f>
        <v>1796212</v>
      </c>
      <c r="F6" s="175">
        <f>[3]金普!G6</f>
        <v>1759025.25</v>
      </c>
      <c r="G6" s="175">
        <f>'[7]26.1'!E6+'[7]26.1'!F6</f>
        <v>1769458.54</v>
      </c>
      <c r="H6" s="175">
        <f>'[7]26.1'!$J$6</f>
        <v>1769458.54</v>
      </c>
      <c r="I6" s="145" t="str">
        <f t="shared" si="0"/>
        <v>-</v>
      </c>
      <c r="J6" s="23">
        <f t="shared" si="1"/>
        <v>-26753.46</v>
      </c>
      <c r="K6" s="147">
        <f t="shared" si="2"/>
        <v>-0.0148943777237876</v>
      </c>
      <c r="L6" s="23">
        <f t="shared" si="3"/>
        <v>10433.29</v>
      </c>
      <c r="M6" s="147">
        <f t="shared" si="4"/>
        <v>0.00593129063951756</v>
      </c>
      <c r="N6" s="226"/>
    </row>
    <row r="7" s="187" customFormat="1" ht="21.95" customHeight="1" spans="1:14">
      <c r="A7" s="95"/>
      <c r="B7" s="142" t="s">
        <v>24</v>
      </c>
      <c r="C7" s="143" t="s">
        <v>19</v>
      </c>
      <c r="D7" s="178"/>
      <c r="E7" s="178">
        <f>'[2]13.金普热电表'!$M$8</f>
        <v>152729.48017306</v>
      </c>
      <c r="F7" s="178">
        <f>[3]金普!G7</f>
        <v>148201.192094</v>
      </c>
      <c r="G7" s="178">
        <f>'[7]26.1'!E8</f>
        <v>156456.25</v>
      </c>
      <c r="H7" s="178">
        <f>'[7]26.1'!$J$8</f>
        <v>156456.25</v>
      </c>
      <c r="I7" s="145" t="str">
        <f t="shared" si="0"/>
        <v>-</v>
      </c>
      <c r="J7" s="23">
        <f t="shared" si="1"/>
        <v>3726.76982694</v>
      </c>
      <c r="K7" s="147">
        <f t="shared" si="2"/>
        <v>0.0244011164230844</v>
      </c>
      <c r="L7" s="23">
        <f t="shared" si="3"/>
        <v>8255.057906</v>
      </c>
      <c r="M7" s="147">
        <f t="shared" si="4"/>
        <v>0.0557016970603316</v>
      </c>
    </row>
    <row r="8" s="187" customFormat="1" ht="21.95" customHeight="1" spans="1:14">
      <c r="A8" s="149"/>
      <c r="B8" s="150" t="s">
        <v>18</v>
      </c>
      <c r="C8" s="151" t="s">
        <v>19</v>
      </c>
      <c r="D8" s="227"/>
      <c r="E8" s="227">
        <f>'[2]13.金普热电表'!$M$25</f>
        <v>3989.7</v>
      </c>
      <c r="F8" s="227">
        <f>[3]金普!G8</f>
        <v>4030</v>
      </c>
      <c r="G8" s="227">
        <f>'[7]26.1'!E9</f>
        <v>4030</v>
      </c>
      <c r="H8" s="227">
        <f>'[7]26.1'!$J$9</f>
        <v>4030</v>
      </c>
      <c r="I8" s="153" t="str">
        <f t="shared" si="0"/>
        <v>-</v>
      </c>
      <c r="J8" s="156">
        <f t="shared" si="1"/>
        <v>40.3000000000002</v>
      </c>
      <c r="K8" s="157">
        <f t="shared" si="2"/>
        <v>0.0101010101010101</v>
      </c>
      <c r="L8" s="156">
        <f t="shared" si="3"/>
        <v>0</v>
      </c>
      <c r="M8" s="157">
        <f t="shared" si="4"/>
        <v>0</v>
      </c>
    </row>
    <row r="9" s="187" customFormat="1" ht="21.95" customHeight="1" spans="1:14">
      <c r="A9" s="198" t="s">
        <v>90</v>
      </c>
      <c r="B9" s="142" t="s">
        <v>29</v>
      </c>
      <c r="C9" s="143" t="s">
        <v>17</v>
      </c>
      <c r="D9" s="178"/>
      <c r="E9" s="178">
        <f>'[2]13.金普热电表'!$M$26</f>
        <v>12684.95</v>
      </c>
      <c r="F9" s="178">
        <f>[3]金普!G9</f>
        <v>12005</v>
      </c>
      <c r="G9" s="178">
        <f>'[7]26.1'!E10</f>
        <v>12660</v>
      </c>
      <c r="H9" s="178">
        <f>'[7]26.1'!$J$10</f>
        <v>12660</v>
      </c>
      <c r="I9" s="145" t="str">
        <f t="shared" si="0"/>
        <v>-</v>
      </c>
      <c r="J9" s="23">
        <f t="shared" si="1"/>
        <v>-24.9500000000007</v>
      </c>
      <c r="K9" s="147">
        <f t="shared" si="2"/>
        <v>-0.00196689778044066</v>
      </c>
      <c r="L9" s="23">
        <f t="shared" si="3"/>
        <v>655</v>
      </c>
      <c r="M9" s="147">
        <f t="shared" si="4"/>
        <v>0.0545605997501041</v>
      </c>
    </row>
    <row r="10" s="187" customFormat="1" ht="21.95" customHeight="1" spans="1:14">
      <c r="A10" s="199"/>
      <c r="B10" s="142" t="s">
        <v>55</v>
      </c>
      <c r="C10" s="143" t="s">
        <v>17</v>
      </c>
      <c r="D10" s="200"/>
      <c r="E10" s="200">
        <f>'[2]13.金普热电表'!$M$29</f>
        <v>7651.59099285715</v>
      </c>
      <c r="F10" s="200">
        <f>[3]金普!G10</f>
        <v>7223.82928571429</v>
      </c>
      <c r="G10" s="200">
        <f>'[7]26.1'!E12</f>
        <v>7626.19</v>
      </c>
      <c r="H10" s="200">
        <f>'[7]26.1'!$J$12</f>
        <v>7626.19</v>
      </c>
      <c r="I10" s="145" t="str">
        <f t="shared" si="0"/>
        <v>-</v>
      </c>
      <c r="J10" s="23">
        <f t="shared" si="1"/>
        <v>-25.4009928571504</v>
      </c>
      <c r="K10" s="147">
        <f t="shared" si="2"/>
        <v>-0.00331970081527653</v>
      </c>
      <c r="L10" s="23">
        <f t="shared" si="3"/>
        <v>402.36071428571</v>
      </c>
      <c r="M10" s="147">
        <f t="shared" si="4"/>
        <v>0.0556990895509409</v>
      </c>
    </row>
    <row r="11" s="187" customFormat="1" ht="21.95" customHeight="1" spans="1:14">
      <c r="A11" s="199"/>
      <c r="B11" s="142" t="s">
        <v>31</v>
      </c>
      <c r="C11" s="143" t="s">
        <v>17</v>
      </c>
      <c r="D11" s="175"/>
      <c r="E11" s="175">
        <f>'[2]13.金普热电表'!$M$41</f>
        <v>19720</v>
      </c>
      <c r="F11" s="175">
        <f>[3]金普!G11</f>
        <v>23200</v>
      </c>
      <c r="G11" s="175">
        <f>'[7]26.1'!E15</f>
        <v>22828</v>
      </c>
      <c r="H11" s="175">
        <f>'[7]26.1'!$J$15</f>
        <v>22828</v>
      </c>
      <c r="I11" s="145" t="str">
        <f t="shared" si="0"/>
        <v>-</v>
      </c>
      <c r="J11" s="23">
        <f t="shared" si="1"/>
        <v>3108</v>
      </c>
      <c r="K11" s="147">
        <f t="shared" si="2"/>
        <v>0.157606490872211</v>
      </c>
      <c r="L11" s="23">
        <f t="shared" si="3"/>
        <v>-372</v>
      </c>
      <c r="M11" s="147">
        <f t="shared" si="4"/>
        <v>-0.0160344827586207</v>
      </c>
    </row>
    <row r="12" s="187" customFormat="1" ht="21.95" customHeight="1" spans="1:14">
      <c r="A12" s="199"/>
      <c r="B12" s="142" t="s">
        <v>49</v>
      </c>
      <c r="C12" s="143" t="s">
        <v>15</v>
      </c>
      <c r="D12" s="175"/>
      <c r="E12" s="175">
        <f>'[2]13.金普热电表'!$M$70</f>
        <v>166.91781243</v>
      </c>
      <c r="F12" s="175">
        <f>[3]金普!G12</f>
        <v>172.083369</v>
      </c>
      <c r="G12" s="175">
        <f>'[7]26.1'!$E$17/10000</f>
        <v>178.77141</v>
      </c>
      <c r="H12" s="175">
        <f>'[7]26.1'!$J$17/10000</f>
        <v>178.77141</v>
      </c>
      <c r="I12" s="145" t="str">
        <f t="shared" si="0"/>
        <v>-</v>
      </c>
      <c r="J12" s="23">
        <f t="shared" si="1"/>
        <v>11.85359757</v>
      </c>
      <c r="K12" s="147">
        <f t="shared" si="2"/>
        <v>0.0710145753615782</v>
      </c>
      <c r="L12" s="23">
        <f t="shared" si="3"/>
        <v>6.688041</v>
      </c>
      <c r="M12" s="147">
        <f t="shared" si="4"/>
        <v>0.0388651212424833</v>
      </c>
    </row>
    <row r="13" s="187" customFormat="1" ht="21.95" customHeight="1" spans="1:14">
      <c r="A13" s="199"/>
      <c r="B13" s="142" t="s">
        <v>43</v>
      </c>
      <c r="C13" s="143" t="s">
        <v>17</v>
      </c>
      <c r="D13" s="175"/>
      <c r="E13" s="175">
        <f>'[2]13.金普热电表'!$M$57</f>
        <v>61.48875</v>
      </c>
      <c r="F13" s="175">
        <f>[3]金普!G13</f>
        <v>64.725</v>
      </c>
      <c r="G13" s="175">
        <f>'[7]26.1'!$E$22</f>
        <v>43.975</v>
      </c>
      <c r="H13" s="175">
        <f>'[7]26.1'!$J$22</f>
        <v>43.975</v>
      </c>
      <c r="I13" s="145" t="str">
        <f t="shared" si="0"/>
        <v>-</v>
      </c>
      <c r="J13" s="23">
        <f t="shared" si="1"/>
        <v>-17.51375</v>
      </c>
      <c r="K13" s="147">
        <f t="shared" si="2"/>
        <v>-0.28482852554329</v>
      </c>
      <c r="L13" s="23">
        <f t="shared" si="3"/>
        <v>-20.75</v>
      </c>
      <c r="M13" s="147">
        <f t="shared" si="4"/>
        <v>-0.320587099266126</v>
      </c>
    </row>
    <row r="14" s="187" customFormat="1" ht="21.95" customHeight="1" spans="1:14">
      <c r="A14" s="201"/>
      <c r="B14" s="150" t="s">
        <v>192</v>
      </c>
      <c r="C14" s="151" t="s">
        <v>17</v>
      </c>
      <c r="D14" s="177"/>
      <c r="E14" s="177">
        <f>'[2]13.金普热电表'!$M$58</f>
        <v>22.99</v>
      </c>
      <c r="F14" s="177">
        <f>[3]金普!G14</f>
        <v>24.825</v>
      </c>
      <c r="G14" s="177">
        <f>'[7]26.1'!$E$23</f>
        <v>28.64</v>
      </c>
      <c r="H14" s="177">
        <f>'[7]26.1'!$J$23</f>
        <v>28.64</v>
      </c>
      <c r="I14" s="153" t="str">
        <f t="shared" si="0"/>
        <v>-</v>
      </c>
      <c r="J14" s="156">
        <f t="shared" si="1"/>
        <v>5.65</v>
      </c>
      <c r="K14" s="157">
        <f t="shared" si="2"/>
        <v>0.245759025663332</v>
      </c>
      <c r="L14" s="156">
        <f t="shared" si="3"/>
        <v>3.815</v>
      </c>
      <c r="M14" s="157">
        <f t="shared" si="4"/>
        <v>0.153675730110775</v>
      </c>
    </row>
    <row r="15" s="187" customFormat="1" ht="21.95" customHeight="1" spans="1:14">
      <c r="A15" s="202" t="s">
        <v>193</v>
      </c>
      <c r="B15" s="203" t="s">
        <v>140</v>
      </c>
      <c r="C15" s="143" t="s">
        <v>125</v>
      </c>
      <c r="D15" s="228" t="e">
        <f t="shared" ref="D15:H15" si="5">D12*10000/D7</f>
        <v>#DIV/0!</v>
      </c>
      <c r="E15" s="228">
        <f t="shared" si="5"/>
        <v>10.9289845183041</v>
      </c>
      <c r="F15" s="228">
        <f t="shared" si="5"/>
        <v>11.6114699597593</v>
      </c>
      <c r="G15" s="228">
        <f t="shared" si="5"/>
        <v>11.4262875404466</v>
      </c>
      <c r="H15" s="228">
        <f t="shared" si="5"/>
        <v>11.4262875404466</v>
      </c>
      <c r="I15" s="145" t="str">
        <f t="shared" si="0"/>
        <v>-</v>
      </c>
      <c r="J15" s="215">
        <f t="shared" si="1"/>
        <v>0.497303022142548</v>
      </c>
      <c r="K15" s="147">
        <f t="shared" si="2"/>
        <v>0.045503131723689</v>
      </c>
      <c r="L15" s="215">
        <f t="shared" si="3"/>
        <v>-0.185182419312699</v>
      </c>
      <c r="M15" s="147">
        <f t="shared" si="4"/>
        <v>-0.0159482322181832</v>
      </c>
    </row>
    <row r="16" s="187" customFormat="1" ht="21.95" customHeight="1" spans="1:14">
      <c r="A16" s="205"/>
      <c r="B16" s="203" t="s">
        <v>69</v>
      </c>
      <c r="C16" s="143" t="s">
        <v>70</v>
      </c>
      <c r="D16" s="228" t="e">
        <f t="shared" ref="D16:H16" si="6">D10*1000/D7</f>
        <v>#DIV/0!</v>
      </c>
      <c r="E16" s="228">
        <f t="shared" si="6"/>
        <v>50.0989788231258</v>
      </c>
      <c r="F16" s="228">
        <f t="shared" si="6"/>
        <v>48.743395269941</v>
      </c>
      <c r="G16" s="228">
        <f t="shared" si="6"/>
        <v>48.7432748771621</v>
      </c>
      <c r="H16" s="228">
        <f t="shared" si="6"/>
        <v>48.7432748771621</v>
      </c>
      <c r="I16" s="145" t="str">
        <f t="shared" si="0"/>
        <v>-</v>
      </c>
      <c r="J16" s="215">
        <f t="shared" si="1"/>
        <v>-1.35570394596369</v>
      </c>
      <c r="K16" s="147">
        <f t="shared" si="2"/>
        <v>-0.0270605105694868</v>
      </c>
      <c r="L16" s="215">
        <f t="shared" si="3"/>
        <v>-0.000120392778811151</v>
      </c>
      <c r="M16" s="147">
        <f t="shared" si="4"/>
        <v>-2.46993009297806e-6</v>
      </c>
    </row>
    <row r="17" s="187" customFormat="1" ht="21.95" customHeight="1" spans="1:14">
      <c r="A17" s="205"/>
      <c r="B17" s="203" t="s">
        <v>126</v>
      </c>
      <c r="C17" s="143" t="s">
        <v>17</v>
      </c>
      <c r="D17" s="36">
        <v>0</v>
      </c>
      <c r="E17" s="36">
        <v>0</v>
      </c>
      <c r="F17" s="36">
        <f>[3]金普!$G$17</f>
        <v>12984</v>
      </c>
      <c r="G17" s="36">
        <f>'[7]26.1'!$E$26</f>
        <v>9596</v>
      </c>
      <c r="H17" s="36">
        <f>'[7]26.1'!$J$26</f>
        <v>9596</v>
      </c>
      <c r="I17" s="145" t="str">
        <f t="shared" si="0"/>
        <v>-</v>
      </c>
      <c r="J17" s="38">
        <f t="shared" si="1"/>
        <v>9596</v>
      </c>
      <c r="K17" s="38" t="str">
        <f t="shared" si="2"/>
        <v>-</v>
      </c>
      <c r="L17" s="23">
        <f t="shared" si="3"/>
        <v>-3388</v>
      </c>
      <c r="M17" s="147">
        <f t="shared" si="4"/>
        <v>-0.260936537276648</v>
      </c>
    </row>
    <row r="18" s="187" customFormat="1" ht="21.95" customHeight="1" spans="1:14">
      <c r="A18" s="205"/>
      <c r="B18" s="203" t="s">
        <v>127</v>
      </c>
      <c r="C18" s="143" t="s">
        <v>17</v>
      </c>
      <c r="D18" s="36">
        <v>0</v>
      </c>
      <c r="E18" s="36">
        <v>0</v>
      </c>
      <c r="F18" s="36">
        <f>[3]金普!G18</f>
        <v>8180.7</v>
      </c>
      <c r="G18" s="36">
        <f>H18</f>
        <v>9505.7</v>
      </c>
      <c r="H18" s="36">
        <f>'[7]26.1'!$J$27</f>
        <v>9505.7</v>
      </c>
      <c r="I18" s="145" t="str">
        <f t="shared" si="0"/>
        <v>-</v>
      </c>
      <c r="J18" s="38">
        <f t="shared" si="1"/>
        <v>9505.7</v>
      </c>
      <c r="K18" s="38" t="str">
        <f t="shared" si="2"/>
        <v>-</v>
      </c>
      <c r="L18" s="23">
        <f t="shared" si="3"/>
        <v>1325</v>
      </c>
      <c r="M18" s="147">
        <f t="shared" si="4"/>
        <v>0.161966579877028</v>
      </c>
    </row>
    <row r="19" s="187" customFormat="1" ht="21.95" customHeight="1" spans="1:14">
      <c r="A19" s="205"/>
      <c r="B19" s="203" t="s">
        <v>97</v>
      </c>
      <c r="C19" s="143" t="s">
        <v>98</v>
      </c>
      <c r="D19" s="206" t="e">
        <f t="shared" ref="D19:H19" si="7">D10/D9*29308</f>
        <v>#DIV/0!</v>
      </c>
      <c r="E19" s="206">
        <f>E10*29308/E9</f>
        <v>17678.6529563504</v>
      </c>
      <c r="F19" s="206">
        <f t="shared" si="7"/>
        <v>17635.6508709466</v>
      </c>
      <c r="G19" s="206">
        <f t="shared" si="7"/>
        <v>17654.6900884676</v>
      </c>
      <c r="H19" s="206">
        <f t="shared" si="7"/>
        <v>17654.6900884676</v>
      </c>
      <c r="I19" s="145" t="str">
        <f t="shared" si="0"/>
        <v>-</v>
      </c>
      <c r="J19" s="38">
        <f t="shared" si="1"/>
        <v>-23.9628678828121</v>
      </c>
      <c r="K19" s="147">
        <f t="shared" si="2"/>
        <v>-0.00135546910400797</v>
      </c>
      <c r="L19" s="23">
        <f t="shared" si="3"/>
        <v>19.0392175209781</v>
      </c>
      <c r="M19" s="147">
        <f t="shared" si="4"/>
        <v>0.00107958689249988</v>
      </c>
    </row>
    <row r="20" s="187" customFormat="1" ht="21.95" customHeight="1" spans="1:14">
      <c r="A20" s="205"/>
      <c r="B20" s="207" t="s">
        <v>141</v>
      </c>
      <c r="C20" s="143" t="s">
        <v>64</v>
      </c>
      <c r="D20" s="162" t="e">
        <f>D7*1000/(D9*D19)</f>
        <v>#DIV/0!</v>
      </c>
      <c r="E20" s="162">
        <f>E7*1000/(E9*E19)</f>
        <v>0.68105932477028</v>
      </c>
      <c r="F20" s="162">
        <f t="shared" ref="F20:H20" si="8">F7/(F10*29.308)</f>
        <v>0.7</v>
      </c>
      <c r="G20" s="162">
        <f t="shared" si="8"/>
        <v>0.700001728955335</v>
      </c>
      <c r="H20" s="162">
        <f t="shared" si="8"/>
        <v>0.700001728955335</v>
      </c>
      <c r="I20" s="38" t="s">
        <v>65</v>
      </c>
      <c r="J20" s="38">
        <f t="shared" si="1"/>
        <v>0.0189424041850549</v>
      </c>
      <c r="K20" s="38" t="s">
        <v>65</v>
      </c>
      <c r="L20" s="23">
        <f t="shared" si="3"/>
        <v>1.72895533534501e-6</v>
      </c>
      <c r="M20" s="39" t="s">
        <v>65</v>
      </c>
      <c r="N20" s="192"/>
    </row>
    <row r="21" s="187" customFormat="1" ht="21.95" customHeight="1" spans="1:14">
      <c r="A21" s="205"/>
      <c r="B21" s="207" t="s">
        <v>142</v>
      </c>
      <c r="C21" s="143" t="s">
        <v>64</v>
      </c>
      <c r="D21" s="209">
        <f>D7/3.6/D3/8760</f>
        <v>0</v>
      </c>
      <c r="E21" s="209">
        <f>E7/3.6/E3/(DAY(DATE(2026,2,0))*24)</f>
        <v>0.351991699884075</v>
      </c>
      <c r="F21" s="209">
        <f>[3]金普!$G$21</f>
        <v>0.341555470960183</v>
      </c>
      <c r="G21" s="209">
        <f>G7/3.6/G3/(DAY(DATE(2026,2,0))*24)</f>
        <v>0.360580690332906</v>
      </c>
      <c r="H21" s="229">
        <f>H7/3.6/H3/(DATEDIF(DATE(2026,1,1),DATE(2026,2,1),"D")*24)</f>
        <v>0.360580690332906</v>
      </c>
      <c r="I21" s="38" t="s">
        <v>65</v>
      </c>
      <c r="J21" s="38">
        <f t="shared" si="1"/>
        <v>0.00858899044883071</v>
      </c>
      <c r="K21" s="38" t="s">
        <v>65</v>
      </c>
      <c r="L21" s="23">
        <f t="shared" si="3"/>
        <v>0.019025219372723</v>
      </c>
      <c r="M21" s="39" t="s">
        <v>65</v>
      </c>
      <c r="N21" s="192"/>
    </row>
    <row r="22" s="187" customFormat="1" ht="21.95" customHeight="1" spans="1:14">
      <c r="A22" s="205"/>
      <c r="B22" s="207" t="s">
        <v>75</v>
      </c>
      <c r="C22" s="143" t="s">
        <v>194</v>
      </c>
      <c r="D22" s="230" t="e">
        <f>(D7-D8)/D6</f>
        <v>#DIV/0!</v>
      </c>
      <c r="E22" s="230">
        <f>E7/E6</f>
        <v>0.0850286492758427</v>
      </c>
      <c r="F22" s="230">
        <f t="shared" ref="E22:H22" si="9">F7/F6</f>
        <v>0.08425188444225</v>
      </c>
      <c r="G22" s="230">
        <f t="shared" si="9"/>
        <v>0.0884204102346473</v>
      </c>
      <c r="H22" s="230">
        <f t="shared" si="9"/>
        <v>0.0884204102346473</v>
      </c>
      <c r="I22" s="145" t="str">
        <f t="shared" ref="I22:I27" si="10">IFERROR(H22/D22,"-")</f>
        <v>-</v>
      </c>
      <c r="J22" s="211">
        <f t="shared" si="1"/>
        <v>0.00339176095880454</v>
      </c>
      <c r="K22" s="147">
        <f t="shared" ref="K22:K27" si="11">IFERROR(J22/E22,"-")</f>
        <v>0.03988962529325</v>
      </c>
      <c r="L22" s="211">
        <f t="shared" si="3"/>
        <v>0.00416852579239722</v>
      </c>
      <c r="M22" s="147">
        <f t="shared" ref="M22:M27" si="12">IFERROR(L22/F22,"-")</f>
        <v>0.0494769442843087</v>
      </c>
      <c r="N22" s="192"/>
    </row>
    <row r="23" s="187" customFormat="1" ht="21.95" customHeight="1" spans="1:14">
      <c r="A23" s="205"/>
      <c r="B23" s="203" t="s">
        <v>77</v>
      </c>
      <c r="C23" s="212" t="s">
        <v>78</v>
      </c>
      <c r="D23" s="230" t="e">
        <f t="shared" ref="D23:H23" si="13">D11*1000/D4</f>
        <v>#DIV/0!</v>
      </c>
      <c r="E23" s="230">
        <f t="shared" si="13"/>
        <v>10.9786595346206</v>
      </c>
      <c r="F23" s="230">
        <f t="shared" si="13"/>
        <v>13.189122782632</v>
      </c>
      <c r="G23" s="230">
        <f t="shared" si="13"/>
        <v>12.9011217182856</v>
      </c>
      <c r="H23" s="230">
        <f t="shared" si="13"/>
        <v>12.9011217182856</v>
      </c>
      <c r="I23" s="145" t="str">
        <f t="shared" si="10"/>
        <v>-</v>
      </c>
      <c r="J23" s="211">
        <f t="shared" si="1"/>
        <v>1.92246218366501</v>
      </c>
      <c r="K23" s="147">
        <f t="shared" si="11"/>
        <v>0.175109008308585</v>
      </c>
      <c r="L23" s="211">
        <f t="shared" si="3"/>
        <v>-0.288001064346387</v>
      </c>
      <c r="M23" s="147">
        <f t="shared" si="12"/>
        <v>-0.0218362562160418</v>
      </c>
    </row>
    <row r="24" s="187" customFormat="1" ht="21.95" customHeight="1" spans="1:14">
      <c r="A24" s="205"/>
      <c r="B24" s="203" t="s">
        <v>79</v>
      </c>
      <c r="C24" s="212" t="s">
        <v>80</v>
      </c>
      <c r="D24" s="231" t="e">
        <f t="shared" ref="D24:H24" si="14">D12*10000/D4</f>
        <v>#DIV/0!</v>
      </c>
      <c r="E24" s="231">
        <f t="shared" si="14"/>
        <v>0.929276791547991</v>
      </c>
      <c r="F24" s="231">
        <f t="shared" si="14"/>
        <v>0.978288225254299</v>
      </c>
      <c r="G24" s="231">
        <f t="shared" si="14"/>
        <v>1.01031703178533</v>
      </c>
      <c r="H24" s="231">
        <f t="shared" si="14"/>
        <v>1.01031703178533</v>
      </c>
      <c r="I24" s="145" t="str">
        <f t="shared" si="10"/>
        <v>-</v>
      </c>
      <c r="J24" s="211">
        <f t="shared" si="1"/>
        <v>0.081040240237337</v>
      </c>
      <c r="K24" s="147">
        <f t="shared" si="11"/>
        <v>0.0872078598910665</v>
      </c>
      <c r="L24" s="211">
        <f t="shared" si="3"/>
        <v>0.0320288065310289</v>
      </c>
      <c r="M24" s="147">
        <f t="shared" si="12"/>
        <v>0.0327396422692333</v>
      </c>
    </row>
    <row r="25" s="187" customFormat="1" ht="21.95" customHeight="1" spans="1:14">
      <c r="A25" s="205"/>
      <c r="B25" s="207" t="s">
        <v>195</v>
      </c>
      <c r="C25" s="143" t="s">
        <v>196</v>
      </c>
      <c r="D25" s="232" t="e">
        <f t="shared" ref="D25:H25" si="15">D10*1000/D6</f>
        <v>#DIV/0!</v>
      </c>
      <c r="E25" s="232">
        <f t="shared" si="15"/>
        <v>4.25984849942944</v>
      </c>
      <c r="F25" s="232">
        <f t="shared" si="15"/>
        <v>4.10672290560598</v>
      </c>
      <c r="G25" s="232">
        <f t="shared" si="15"/>
        <v>4.30990036081885</v>
      </c>
      <c r="H25" s="232">
        <f t="shared" si="15"/>
        <v>4.30990036081885</v>
      </c>
      <c r="I25" s="145" t="str">
        <f t="shared" si="10"/>
        <v>-</v>
      </c>
      <c r="J25" s="215">
        <f t="shared" si="1"/>
        <v>0.0500518613894148</v>
      </c>
      <c r="K25" s="147">
        <f t="shared" si="11"/>
        <v>0.0117496810969025</v>
      </c>
      <c r="L25" s="215">
        <f t="shared" si="3"/>
        <v>0.20317745521287</v>
      </c>
      <c r="M25" s="147">
        <f t="shared" si="12"/>
        <v>0.0494743521496222</v>
      </c>
    </row>
    <row r="26" s="187" customFormat="1" ht="21.95" customHeight="1" spans="1:14">
      <c r="A26" s="205"/>
      <c r="B26" s="207" t="s">
        <v>197</v>
      </c>
      <c r="C26" s="143" t="s">
        <v>198</v>
      </c>
      <c r="D26" s="232" t="e">
        <f t="shared" ref="D26:H26" si="16">D12*10000/D6</f>
        <v>#DIV/0!</v>
      </c>
      <c r="E26" s="232">
        <f t="shared" si="16"/>
        <v>0.929276791547991</v>
      </c>
      <c r="F26" s="232">
        <f t="shared" si="16"/>
        <v>0.978288225254299</v>
      </c>
      <c r="G26" s="232">
        <f t="shared" si="16"/>
        <v>1.01031703178533</v>
      </c>
      <c r="H26" s="232">
        <f t="shared" si="16"/>
        <v>1.01031703178533</v>
      </c>
      <c r="I26" s="145" t="str">
        <f t="shared" si="10"/>
        <v>-</v>
      </c>
      <c r="J26" s="215">
        <f t="shared" si="1"/>
        <v>0.081040240237337</v>
      </c>
      <c r="K26" s="147">
        <f t="shared" si="11"/>
        <v>0.0872078598910665</v>
      </c>
      <c r="L26" s="215">
        <f t="shared" si="3"/>
        <v>0.0320288065310289</v>
      </c>
      <c r="M26" s="147">
        <f t="shared" si="12"/>
        <v>0.0327396422692333</v>
      </c>
    </row>
    <row r="27" s="187" customFormat="1" ht="21.95" customHeight="1" spans="1:14">
      <c r="A27" s="216"/>
      <c r="B27" s="217" t="s">
        <v>199</v>
      </c>
      <c r="C27" s="184" t="s">
        <v>196</v>
      </c>
      <c r="D27" s="218" t="e">
        <f t="shared" ref="D27:H27" si="17">D11*1000/D6</f>
        <v>#DIV/0!</v>
      </c>
      <c r="E27" s="218">
        <f t="shared" si="17"/>
        <v>10.9786595346206</v>
      </c>
      <c r="F27" s="218">
        <f t="shared" si="17"/>
        <v>13.189122782632</v>
      </c>
      <c r="G27" s="218">
        <f t="shared" si="17"/>
        <v>12.9011217182856</v>
      </c>
      <c r="H27" s="218">
        <f t="shared" si="17"/>
        <v>12.9011217182856</v>
      </c>
      <c r="I27" s="168" t="str">
        <f t="shared" si="10"/>
        <v>-</v>
      </c>
      <c r="J27" s="219">
        <f t="shared" si="1"/>
        <v>1.92246218366501</v>
      </c>
      <c r="K27" s="170">
        <f t="shared" si="11"/>
        <v>0.175109008308585</v>
      </c>
      <c r="L27" s="219">
        <f t="shared" si="3"/>
        <v>-0.288001064346387</v>
      </c>
      <c r="M27" s="170">
        <f t="shared" si="12"/>
        <v>-0.0218362562160418</v>
      </c>
    </row>
    <row r="28" s="188" customFormat="1" ht="18.75" customHeight="1" spans="1:14">
      <c r="C28" s="220"/>
      <c r="D28" s="221"/>
      <c r="E28" s="221"/>
      <c r="G28" s="221"/>
      <c r="H28" s="221"/>
      <c r="I28" s="221"/>
      <c r="J28" s="221"/>
      <c r="K28" s="222"/>
      <c r="L28" s="221"/>
      <c r="M28" s="223"/>
    </row>
    <row r="29" spans="1:14">
      <c r="A29" s="233"/>
      <c r="D29" s="234"/>
      <c r="E29" s="234"/>
      <c r="F29" s="234"/>
      <c r="G29" s="234"/>
      <c r="H29" s="234"/>
      <c r="I29" s="234"/>
      <c r="J29" s="234"/>
      <c r="K29" s="234"/>
      <c r="L29" s="234"/>
    </row>
    <row r="30" spans="1:14">
      <c r="A30" s="233"/>
    </row>
  </sheetData>
  <mergeCells count="14">
    <mergeCell ref="J1:K1"/>
    <mergeCell ref="L1:M1"/>
    <mergeCell ref="A1:A2"/>
    <mergeCell ref="A3:A8"/>
    <mergeCell ref="A9:A14"/>
    <mergeCell ref="A15:A27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/>
  <pageMargins left="0.550694444444444" right="0.550694444444444" top="1.02361111111111" bottom="0.511805555555556" header="0.550694444444444" footer="0.393055555555556"/>
  <pageSetup paperSize="9" scale="97" fitToHeight="0" orientation="landscape" horizontalDpi="600" verticalDpi="600"/>
  <headerFooter alignWithMargins="0" scaleWithDoc="0">
    <oddHeader>&amp;C&amp;"黑体"&amp;16大连市金普热电有限公司2026年1月份主要经营指标统计表&amp;R表    号：     ZB011
制表单位：经济运行部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showGridLines="0" zoomScale="85" zoomScaleNormal="85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B5" sqref="$A4:$XFD5"/>
    </sheetView>
  </sheetViews>
  <sheetFormatPr defaultColWidth="8.66666666666667" defaultRowHeight="15"/>
  <cols>
    <col min="1" max="1" width="9.09166666666667" style="189" customWidth="1"/>
    <col min="2" max="2" width="19" style="190" customWidth="1"/>
    <col min="3" max="3" width="11.375" style="189" customWidth="1"/>
    <col min="4" max="8" width="9.625" style="191" customWidth="1"/>
    <col min="9" max="9" width="8.125" style="191" customWidth="1"/>
    <col min="10" max="13" width="8.625" style="191" customWidth="1"/>
    <col min="14" max="32" width="9" style="190"/>
    <col min="33" max="16384" width="8.66666666666667" style="190"/>
  </cols>
  <sheetData>
    <row r="1" s="187" customFormat="1" ht="18" customHeight="1" spans="1:14">
      <c r="A1" s="69" t="s">
        <v>84</v>
      </c>
      <c r="B1" s="70" t="s">
        <v>85</v>
      </c>
      <c r="C1" s="70" t="s">
        <v>2</v>
      </c>
      <c r="D1" s="137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132</v>
      </c>
      <c r="J1" s="8" t="s">
        <v>9</v>
      </c>
      <c r="K1" s="139"/>
      <c r="L1" s="8" t="s">
        <v>10</v>
      </c>
      <c r="M1" s="139"/>
    </row>
    <row r="2" s="187" customFormat="1" ht="19.5" customHeight="1" spans="1:14">
      <c r="A2" s="74"/>
      <c r="B2" s="75"/>
      <c r="C2" s="75"/>
      <c r="D2" s="140"/>
      <c r="E2" s="76"/>
      <c r="F2" s="76"/>
      <c r="G2" s="141"/>
      <c r="H2" s="76"/>
      <c r="I2" s="141"/>
      <c r="J2" s="15" t="s">
        <v>11</v>
      </c>
      <c r="K2" s="14" t="s">
        <v>12</v>
      </c>
      <c r="L2" s="14" t="s">
        <v>11</v>
      </c>
      <c r="M2" s="141" t="s">
        <v>12</v>
      </c>
    </row>
    <row r="3" s="187" customFormat="1" ht="21.95" customHeight="1" spans="1:14">
      <c r="A3" s="78" t="s">
        <v>87</v>
      </c>
      <c r="B3" s="142" t="s">
        <v>133</v>
      </c>
      <c r="C3" s="143" t="s">
        <v>134</v>
      </c>
      <c r="D3" s="175">
        <v>14</v>
      </c>
      <c r="E3" s="175">
        <f>'[2]14.庄河环海表'!$M$5</f>
        <v>14</v>
      </c>
      <c r="F3" s="175">
        <f>[3]庄河!$G$3</f>
        <v>263</v>
      </c>
      <c r="G3" s="175">
        <f>'[7]26.1'!$G$3</f>
        <v>14</v>
      </c>
      <c r="H3" s="175">
        <f>'[7]26.1'!$L$3</f>
        <v>14</v>
      </c>
      <c r="I3" s="145">
        <f t="shared" ref="I3:I26" si="0">IFERROR(H3/D3,"-")</f>
        <v>1</v>
      </c>
      <c r="J3" s="178">
        <f t="shared" ref="J3:J26" si="1">IFERROR(G3-E3,"-")</f>
        <v>0</v>
      </c>
      <c r="K3" s="147">
        <f t="shared" ref="K3:K18" si="2">IFERROR(J3/E3,"-")</f>
        <v>0</v>
      </c>
      <c r="L3" s="178">
        <f t="shared" ref="L3:L26" si="3">IFERROR(G3-F3,"-")</f>
        <v>-249</v>
      </c>
      <c r="M3" s="147">
        <f t="shared" ref="M3:M18" si="4">IFERROR(L3/F3,"-")</f>
        <v>-0.946768060836502</v>
      </c>
    </row>
    <row r="4" s="187" customFormat="1" ht="21.95" customHeight="1" spans="1:14">
      <c r="A4" s="95"/>
      <c r="B4" s="142" t="s">
        <v>189</v>
      </c>
      <c r="C4" s="143" t="s">
        <v>21</v>
      </c>
      <c r="D4" s="175"/>
      <c r="E4" s="175">
        <f>'[2]14.庄河环海表'!$M$19</f>
        <v>2350000</v>
      </c>
      <c r="F4" s="175">
        <f>[3]庄河!$G4</f>
        <v>2343648.97</v>
      </c>
      <c r="G4" s="175">
        <f>'[7]26.1'!$G$4</f>
        <v>2309228.93</v>
      </c>
      <c r="H4" s="175">
        <f>'[7]26.1'!$L$4</f>
        <v>2309228.93</v>
      </c>
      <c r="I4" s="145" t="str">
        <f t="shared" si="0"/>
        <v>-</v>
      </c>
      <c r="J4" s="23">
        <f t="shared" si="1"/>
        <v>-40771.0699999998</v>
      </c>
      <c r="K4" s="147">
        <f t="shared" si="2"/>
        <v>-0.0173493914893616</v>
      </c>
      <c r="L4" s="23">
        <f t="shared" si="3"/>
        <v>-34420.04</v>
      </c>
      <c r="M4" s="147">
        <f t="shared" si="4"/>
        <v>-0.0146865168122853</v>
      </c>
      <c r="N4" s="192"/>
    </row>
    <row r="5" s="187" customFormat="1" ht="21.95" customHeight="1" spans="1:14">
      <c r="A5" s="95"/>
      <c r="B5" s="142" t="s">
        <v>191</v>
      </c>
      <c r="C5" s="143" t="s">
        <v>21</v>
      </c>
      <c r="D5" s="175">
        <f>D4</f>
        <v>0</v>
      </c>
      <c r="E5" s="175">
        <f>E4</f>
        <v>2350000</v>
      </c>
      <c r="F5" s="175">
        <f>[3]庄河!$G5</f>
        <v>2343648.97</v>
      </c>
      <c r="G5" s="175">
        <f>'[7]26.1'!$G$6</f>
        <v>2309228.93</v>
      </c>
      <c r="H5" s="175">
        <f>'[7]26.1'!$L$6</f>
        <v>2309228.93</v>
      </c>
      <c r="I5" s="145" t="str">
        <f t="shared" si="0"/>
        <v>-</v>
      </c>
      <c r="J5" s="23">
        <f t="shared" si="1"/>
        <v>-40771.0699999998</v>
      </c>
      <c r="K5" s="147">
        <f t="shared" si="2"/>
        <v>-0.0173493914893616</v>
      </c>
      <c r="L5" s="23">
        <f t="shared" si="3"/>
        <v>-34420.04</v>
      </c>
      <c r="M5" s="147">
        <f t="shared" si="4"/>
        <v>-0.0146865168122853</v>
      </c>
      <c r="N5" s="192"/>
    </row>
    <row r="6" s="187" customFormat="1" ht="21.95" customHeight="1" spans="1:14">
      <c r="A6" s="193"/>
      <c r="B6" s="194" t="s">
        <v>24</v>
      </c>
      <c r="C6" s="195" t="s">
        <v>19</v>
      </c>
      <c r="D6" s="196"/>
      <c r="E6" s="196">
        <f>'[2]14.庄河环海表'!$M$8</f>
        <v>186430</v>
      </c>
      <c r="F6" s="196">
        <f>[3]庄河!$G6</f>
        <v>233098.960753643</v>
      </c>
      <c r="G6" s="196">
        <f>'[7]26.1'!$G$8</f>
        <v>255718.258551189</v>
      </c>
      <c r="H6" s="196">
        <f>'[7]26.1'!$L$8</f>
        <v>255718.258551189</v>
      </c>
      <c r="I6" s="153" t="str">
        <f t="shared" si="0"/>
        <v>-</v>
      </c>
      <c r="J6" s="197">
        <f t="shared" si="1"/>
        <v>69288.258551189</v>
      </c>
      <c r="K6" s="155">
        <f t="shared" si="2"/>
        <v>0.371658309023167</v>
      </c>
      <c r="L6" s="197">
        <f t="shared" si="3"/>
        <v>22619.2977975463</v>
      </c>
      <c r="M6" s="155">
        <f t="shared" si="4"/>
        <v>0.0970373172167513</v>
      </c>
      <c r="N6" s="192"/>
    </row>
    <row r="7" s="187" customFormat="1" ht="21.95" customHeight="1" spans="1:14">
      <c r="A7" s="95"/>
      <c r="B7" s="142" t="s">
        <v>61</v>
      </c>
      <c r="C7" s="143" t="s">
        <v>19</v>
      </c>
      <c r="D7" s="175"/>
      <c r="E7" s="175">
        <f>'[2]14.庄河环海表'!$M$40</f>
        <v>181300</v>
      </c>
      <c r="F7" s="175">
        <v>0</v>
      </c>
      <c r="G7" s="175">
        <f>'[7]26.1'!$G$36</f>
        <v>249708</v>
      </c>
      <c r="H7" s="175">
        <f>'[7]26.1'!$L$36</f>
        <v>249708</v>
      </c>
      <c r="I7" s="145" t="str">
        <f t="shared" si="0"/>
        <v>-</v>
      </c>
      <c r="J7" s="23">
        <f t="shared" si="1"/>
        <v>68408</v>
      </c>
      <c r="K7" s="147">
        <f t="shared" si="2"/>
        <v>0.377319360176503</v>
      </c>
      <c r="L7" s="23">
        <f t="shared" si="3"/>
        <v>249708</v>
      </c>
      <c r="M7" s="39" t="str">
        <f t="shared" si="4"/>
        <v>-</v>
      </c>
      <c r="N7" s="192"/>
    </row>
    <row r="8" s="187" customFormat="1" ht="21.95" customHeight="1" spans="1:14">
      <c r="A8" s="198" t="s">
        <v>90</v>
      </c>
      <c r="B8" s="142" t="s">
        <v>29</v>
      </c>
      <c r="C8" s="143" t="s">
        <v>17</v>
      </c>
      <c r="D8" s="175"/>
      <c r="E8" s="175">
        <f>'[2]14.庄河环海表'!$M$26</f>
        <v>446</v>
      </c>
      <c r="F8" s="175">
        <f>[3]庄河!$G7</f>
        <v>13706.4</v>
      </c>
      <c r="G8" s="175">
        <f>'[7]26.1'!$G$10</f>
        <v>513</v>
      </c>
      <c r="H8" s="175">
        <f>'[7]26.1'!$L$10</f>
        <v>513</v>
      </c>
      <c r="I8" s="145" t="str">
        <f t="shared" si="0"/>
        <v>-</v>
      </c>
      <c r="J8" s="23">
        <f t="shared" si="1"/>
        <v>67</v>
      </c>
      <c r="K8" s="147">
        <f t="shared" si="2"/>
        <v>0.150224215246637</v>
      </c>
      <c r="L8" s="23">
        <f t="shared" si="3"/>
        <v>-13193.4</v>
      </c>
      <c r="M8" s="147">
        <f t="shared" si="4"/>
        <v>-0.962572229031693</v>
      </c>
      <c r="N8" s="192"/>
    </row>
    <row r="9" s="187" customFormat="1" ht="21.95" customHeight="1" spans="1:14">
      <c r="A9" s="199"/>
      <c r="B9" s="142" t="s">
        <v>55</v>
      </c>
      <c r="C9" s="143" t="s">
        <v>17</v>
      </c>
      <c r="D9" s="200"/>
      <c r="E9" s="200">
        <f>'[2]14.庄河环海表'!$M$29</f>
        <v>291.747714285714</v>
      </c>
      <c r="F9" s="200">
        <f>[3]庄河!$G8</f>
        <v>9970.22900857143</v>
      </c>
      <c r="G9" s="200">
        <f>'[7]26.1'!$G$12</f>
        <v>341.787142941028</v>
      </c>
      <c r="H9" s="200">
        <f>'[7]26.1'!$L$12</f>
        <v>341.787142941028</v>
      </c>
      <c r="I9" s="145" t="str">
        <f t="shared" si="0"/>
        <v>-</v>
      </c>
      <c r="J9" s="23">
        <f t="shared" si="1"/>
        <v>50.039428655314</v>
      </c>
      <c r="K9" s="147">
        <f t="shared" si="2"/>
        <v>0.171516094917232</v>
      </c>
      <c r="L9" s="23">
        <f t="shared" si="3"/>
        <v>-9628.44186563041</v>
      </c>
      <c r="M9" s="147">
        <f t="shared" si="4"/>
        <v>-0.9657192284503</v>
      </c>
    </row>
    <row r="10" s="187" customFormat="1" ht="21.95" customHeight="1" spans="1:14">
      <c r="A10" s="199"/>
      <c r="B10" s="142" t="s">
        <v>31</v>
      </c>
      <c r="C10" s="143" t="s">
        <v>17</v>
      </c>
      <c r="D10" s="175"/>
      <c r="E10" s="175">
        <f>'[2]14.庄河环海表'!$M$41</f>
        <v>31000</v>
      </c>
      <c r="F10" s="175">
        <f>[3]庄河!$G9</f>
        <v>68972</v>
      </c>
      <c r="G10" s="175">
        <f>'[7]26.1'!$G$15</f>
        <v>48986</v>
      </c>
      <c r="H10" s="175">
        <f>'[7]26.1'!$L$15</f>
        <v>48986</v>
      </c>
      <c r="I10" s="145" t="str">
        <f t="shared" si="0"/>
        <v>-</v>
      </c>
      <c r="J10" s="23">
        <f t="shared" si="1"/>
        <v>17986</v>
      </c>
      <c r="K10" s="147">
        <f t="shared" si="2"/>
        <v>0.580193548387097</v>
      </c>
      <c r="L10" s="23">
        <f t="shared" si="3"/>
        <v>-19986</v>
      </c>
      <c r="M10" s="147">
        <f t="shared" si="4"/>
        <v>-0.289769761642406</v>
      </c>
    </row>
    <row r="11" s="187" customFormat="1" ht="21.95" customHeight="1" spans="1:14">
      <c r="A11" s="199"/>
      <c r="B11" s="142" t="s">
        <v>49</v>
      </c>
      <c r="C11" s="143" t="s">
        <v>15</v>
      </c>
      <c r="D11" s="175"/>
      <c r="E11" s="175">
        <f>'[2]14.庄河环海表'!$M$64</f>
        <v>133.79</v>
      </c>
      <c r="F11" s="175">
        <f>[3]庄河!$G10</f>
        <v>267.581198</v>
      </c>
      <c r="G11" s="175">
        <f>'[7]26.1'!$G$17/10000</f>
        <v>118.71915</v>
      </c>
      <c r="H11" s="175">
        <f>'[7]26.1'!$L$17/10000</f>
        <v>118.71915</v>
      </c>
      <c r="I11" s="145" t="str">
        <f t="shared" si="0"/>
        <v>-</v>
      </c>
      <c r="J11" s="23">
        <f t="shared" si="1"/>
        <v>-15.07085</v>
      </c>
      <c r="K11" s="147">
        <f t="shared" si="2"/>
        <v>-0.112645563943493</v>
      </c>
      <c r="L11" s="23">
        <f t="shared" si="3"/>
        <v>-148.862048</v>
      </c>
      <c r="M11" s="147">
        <f t="shared" si="4"/>
        <v>-0.556324768379279</v>
      </c>
    </row>
    <row r="12" s="187" customFormat="1" ht="21.95" customHeight="1" spans="1:14">
      <c r="A12" s="199"/>
      <c r="B12" s="142" t="s">
        <v>43</v>
      </c>
      <c r="C12" s="143" t="s">
        <v>17</v>
      </c>
      <c r="D12" s="175"/>
      <c r="E12" s="175">
        <f>'[2]14.庄河环海表'!$M$57</f>
        <v>6.375</v>
      </c>
      <c r="F12" s="175">
        <f>[3]庄河!$G11</f>
        <v>153.575</v>
      </c>
      <c r="G12" s="175">
        <f>'[7]26.1'!$G$22</f>
        <v>7.925</v>
      </c>
      <c r="H12" s="175">
        <f>'[7]26.1'!$L$22</f>
        <v>7.925</v>
      </c>
      <c r="I12" s="145" t="str">
        <f t="shared" si="0"/>
        <v>-</v>
      </c>
      <c r="J12" s="23">
        <f t="shared" si="1"/>
        <v>1.55</v>
      </c>
      <c r="K12" s="147">
        <f t="shared" si="2"/>
        <v>0.243137254901961</v>
      </c>
      <c r="L12" s="23">
        <f t="shared" si="3"/>
        <v>-145.65</v>
      </c>
      <c r="M12" s="147">
        <f t="shared" si="4"/>
        <v>-0.948396548917467</v>
      </c>
    </row>
    <row r="13" s="187" customFormat="1" ht="21.95" customHeight="1" spans="1:14">
      <c r="A13" s="201"/>
      <c r="B13" s="150" t="s">
        <v>192</v>
      </c>
      <c r="C13" s="151" t="s">
        <v>17</v>
      </c>
      <c r="D13" s="177"/>
      <c r="E13" s="177">
        <f>'[2]14.庄河环海表'!$M$58</f>
        <v>2.375</v>
      </c>
      <c r="F13" s="177">
        <f>[3]庄河!$G12</f>
        <v>24.725</v>
      </c>
      <c r="G13" s="177">
        <f>'[7]26.1'!$G$23</f>
        <v>1.925</v>
      </c>
      <c r="H13" s="177">
        <f>'[7]26.1'!$L$23</f>
        <v>1.925</v>
      </c>
      <c r="I13" s="153" t="str">
        <f t="shared" si="0"/>
        <v>-</v>
      </c>
      <c r="J13" s="156">
        <f t="shared" si="1"/>
        <v>-0.45</v>
      </c>
      <c r="K13" s="157">
        <f t="shared" si="2"/>
        <v>-0.189473684210526</v>
      </c>
      <c r="L13" s="156">
        <f t="shared" si="3"/>
        <v>-22.8</v>
      </c>
      <c r="M13" s="157">
        <f t="shared" si="4"/>
        <v>-0.922143579373104</v>
      </c>
    </row>
    <row r="14" s="187" customFormat="1" ht="21.95" customHeight="1" spans="1:14">
      <c r="A14" s="202" t="s">
        <v>193</v>
      </c>
      <c r="B14" s="203" t="s">
        <v>140</v>
      </c>
      <c r="C14" s="143" t="s">
        <v>125</v>
      </c>
      <c r="D14" s="204" t="e">
        <f>D11*10000/D6</f>
        <v>#DIV/0!</v>
      </c>
      <c r="E14" s="204">
        <f>E11*10000/E6</f>
        <v>7.17642010406051</v>
      </c>
      <c r="F14" s="204">
        <f>[3]庄河!$G13</f>
        <v>11.4792960524093</v>
      </c>
      <c r="G14" s="204">
        <f>'[7]26.1'!$G$24</f>
        <v>4.64257619587359</v>
      </c>
      <c r="H14" s="204">
        <f>'[7]26.1'!$L$24</f>
        <v>4.64257619587359</v>
      </c>
      <c r="I14" s="145" t="str">
        <f t="shared" si="0"/>
        <v>-</v>
      </c>
      <c r="J14" s="160">
        <f t="shared" si="1"/>
        <v>-2.53384390818691</v>
      </c>
      <c r="K14" s="147">
        <f t="shared" si="2"/>
        <v>-0.353079093955667</v>
      </c>
      <c r="L14" s="160">
        <f t="shared" si="3"/>
        <v>-6.8367198565357</v>
      </c>
      <c r="M14" s="147">
        <f t="shared" si="4"/>
        <v>-0.595569608565048</v>
      </c>
    </row>
    <row r="15" s="187" customFormat="1" ht="21.95" customHeight="1" spans="1:14">
      <c r="A15" s="205"/>
      <c r="B15" s="203" t="s">
        <v>69</v>
      </c>
      <c r="C15" s="143" t="s">
        <v>70</v>
      </c>
      <c r="D15" s="204" t="e">
        <f>D9*1000/D6</f>
        <v>#DIV/0!</v>
      </c>
      <c r="E15" s="204">
        <f>E9*1000/E6</f>
        <v>1.5649182764883</v>
      </c>
      <c r="F15" s="204">
        <f>[3]庄河!$G14</f>
        <v>42.7725159148554</v>
      </c>
      <c r="G15" s="204">
        <f>'[7]26.1'!$G$25</f>
        <v>1.33657700031853</v>
      </c>
      <c r="H15" s="204">
        <f>'[7]26.1'!$L$25</f>
        <v>1.33657700031853</v>
      </c>
      <c r="I15" s="145" t="str">
        <f t="shared" si="0"/>
        <v>-</v>
      </c>
      <c r="J15" s="160">
        <f t="shared" si="1"/>
        <v>-0.228341276169771</v>
      </c>
      <c r="K15" s="147">
        <f t="shared" si="2"/>
        <v>-0.145912588280439</v>
      </c>
      <c r="L15" s="160">
        <f t="shared" si="3"/>
        <v>-41.4359389145369</v>
      </c>
      <c r="M15" s="147">
        <f t="shared" si="4"/>
        <v>-0.968751499140729</v>
      </c>
    </row>
    <row r="16" s="187" customFormat="1" ht="21.95" customHeight="1" spans="1:14">
      <c r="A16" s="205"/>
      <c r="B16" s="203" t="s">
        <v>126</v>
      </c>
      <c r="C16" s="143" t="s">
        <v>17</v>
      </c>
      <c r="D16" s="36">
        <v>0</v>
      </c>
      <c r="E16" s="36">
        <v>0</v>
      </c>
      <c r="F16" s="36">
        <f>[3]庄河!$G15</f>
        <v>15836</v>
      </c>
      <c r="G16" s="36">
        <f>'[7]26.1'!$G$26</f>
        <v>119</v>
      </c>
      <c r="H16" s="36">
        <f>'[7]26.1'!$L$26</f>
        <v>119</v>
      </c>
      <c r="I16" s="145" t="str">
        <f t="shared" si="0"/>
        <v>-</v>
      </c>
      <c r="J16" s="38">
        <f t="shared" si="1"/>
        <v>119</v>
      </c>
      <c r="K16" s="38" t="str">
        <f t="shared" si="2"/>
        <v>-</v>
      </c>
      <c r="L16" s="23">
        <f t="shared" si="3"/>
        <v>-15717</v>
      </c>
      <c r="M16" s="147">
        <f t="shared" si="4"/>
        <v>-0.992485476130336</v>
      </c>
    </row>
    <row r="17" s="187" customFormat="1" ht="21.95" customHeight="1" spans="1:14">
      <c r="A17" s="205"/>
      <c r="B17" s="203" t="s">
        <v>127</v>
      </c>
      <c r="C17" s="143" t="s">
        <v>17</v>
      </c>
      <c r="D17" s="36">
        <v>0</v>
      </c>
      <c r="E17" s="36">
        <v>0</v>
      </c>
      <c r="F17" s="36">
        <f>[3]庄河!$G16</f>
        <v>6682.40000000003</v>
      </c>
      <c r="G17" s="36">
        <f>H17</f>
        <v>714.500000000023</v>
      </c>
      <c r="H17" s="36">
        <f>'[7]26.1'!$L$27</f>
        <v>714.500000000023</v>
      </c>
      <c r="I17" s="145" t="str">
        <f t="shared" si="0"/>
        <v>-</v>
      </c>
      <c r="J17" s="38">
        <f t="shared" si="1"/>
        <v>714.500000000023</v>
      </c>
      <c r="K17" s="38" t="str">
        <f t="shared" si="2"/>
        <v>-</v>
      </c>
      <c r="L17" s="23">
        <f t="shared" si="3"/>
        <v>-5967.9</v>
      </c>
      <c r="M17" s="147">
        <f t="shared" si="4"/>
        <v>-0.893077337483536</v>
      </c>
    </row>
    <row r="18" s="187" customFormat="1" ht="21.95" customHeight="1" spans="1:14">
      <c r="A18" s="205"/>
      <c r="B18" s="203" t="s">
        <v>97</v>
      </c>
      <c r="C18" s="143" t="s">
        <v>98</v>
      </c>
      <c r="D18" s="206" t="e">
        <f>D9/D8*29308</f>
        <v>#DIV/0!</v>
      </c>
      <c r="E18" s="206">
        <f>E9*29308/E8</f>
        <v>19171.6188571428</v>
      </c>
      <c r="F18" s="206">
        <f>[3]庄河!$G17</f>
        <v>21319.0532731579</v>
      </c>
      <c r="G18" s="206">
        <f>'[7]26.1'!$G$28</f>
        <v>19526.5060142605</v>
      </c>
      <c r="H18" s="206">
        <f>'[7]26.1'!$L$28</f>
        <v>19526.5060142605</v>
      </c>
      <c r="I18" s="145" t="str">
        <f t="shared" si="0"/>
        <v>-</v>
      </c>
      <c r="J18" s="23">
        <f t="shared" si="1"/>
        <v>354.887157117664</v>
      </c>
      <c r="K18" s="147">
        <f t="shared" si="2"/>
        <v>0.0185110688754092</v>
      </c>
      <c r="L18" s="23">
        <f t="shared" si="3"/>
        <v>-1792.54725889741</v>
      </c>
      <c r="M18" s="147">
        <f t="shared" si="4"/>
        <v>-0.0840819353434585</v>
      </c>
    </row>
    <row r="19" s="187" customFormat="1" ht="21.95" customHeight="1" spans="1:14">
      <c r="A19" s="205"/>
      <c r="B19" s="207" t="s">
        <v>141</v>
      </c>
      <c r="C19" s="143" t="s">
        <v>64</v>
      </c>
      <c r="D19" s="208" t="e">
        <f>D6/(D9*29.308)</f>
        <v>#DIV/0!</v>
      </c>
      <c r="E19" s="208">
        <f t="shared" ref="E19:H19" si="5">(E6-E7)/(E9*29.308)</f>
        <v>0.599961966601529</v>
      </c>
      <c r="F19" s="208">
        <f>[3]庄河!$G18</f>
        <v>0.797717318216211</v>
      </c>
      <c r="G19" s="208">
        <f t="shared" si="5"/>
        <v>0.599999999999962</v>
      </c>
      <c r="H19" s="208">
        <f t="shared" si="5"/>
        <v>0.599999999999962</v>
      </c>
      <c r="I19" s="145" t="str">
        <f t="shared" si="0"/>
        <v>-</v>
      </c>
      <c r="J19" s="145">
        <f t="shared" si="1"/>
        <v>3.80333984332237e-5</v>
      </c>
      <c r="K19" s="38" t="s">
        <v>65</v>
      </c>
      <c r="L19" s="145">
        <f t="shared" si="3"/>
        <v>-0.197717318216249</v>
      </c>
      <c r="M19" s="39" t="s">
        <v>65</v>
      </c>
      <c r="N19" s="192"/>
    </row>
    <row r="20" s="187" customFormat="1" ht="21.95" customHeight="1" spans="1:14">
      <c r="A20" s="205"/>
      <c r="B20" s="207" t="s">
        <v>142</v>
      </c>
      <c r="C20" s="143" t="s">
        <v>64</v>
      </c>
      <c r="D20" s="209">
        <f>D6/3.6/D3/8760</f>
        <v>0</v>
      </c>
      <c r="E20" s="209">
        <f>E6/3.6/E3/(DAY(DATE(2026,2,0))*24)</f>
        <v>4.97178486089776</v>
      </c>
      <c r="F20" s="209">
        <f>[3]庄河!$G19</f>
        <v>0.330909436814957</v>
      </c>
      <c r="G20" s="209">
        <f>'[7]26.1'!$G$31</f>
        <v>6.81959001512602</v>
      </c>
      <c r="H20" s="209">
        <f>'[7]26.1'!$L$31</f>
        <v>0.1602838195295</v>
      </c>
      <c r="I20" s="145" t="str">
        <f t="shared" si="0"/>
        <v>-</v>
      </c>
      <c r="J20" s="145">
        <f t="shared" si="1"/>
        <v>1.84780515422826</v>
      </c>
      <c r="K20" s="38" t="s">
        <v>65</v>
      </c>
      <c r="L20" s="145">
        <f t="shared" si="3"/>
        <v>6.48868057831106</v>
      </c>
      <c r="M20" s="39" t="s">
        <v>65</v>
      </c>
      <c r="N20" s="192"/>
    </row>
    <row r="21" s="187" customFormat="1" ht="21.95" customHeight="1" spans="1:14">
      <c r="A21" s="205"/>
      <c r="B21" s="207" t="s">
        <v>75</v>
      </c>
      <c r="C21" s="143" t="s">
        <v>194</v>
      </c>
      <c r="D21" s="210" t="e">
        <f>D6/D5</f>
        <v>#DIV/0!</v>
      </c>
      <c r="E21" s="210">
        <f>E6/E5</f>
        <v>0.079331914893617</v>
      </c>
      <c r="F21" s="210">
        <f>[3]庄河!$G20</f>
        <v>0.0994598439175141</v>
      </c>
      <c r="G21" s="210">
        <f>'[7]26.1'!$G$32</f>
        <v>0.110737508624227</v>
      </c>
      <c r="H21" s="210">
        <f>'[7]26.1'!$L$32</f>
        <v>0.110737508624227</v>
      </c>
      <c r="I21" s="145" t="str">
        <f t="shared" si="0"/>
        <v>-</v>
      </c>
      <c r="J21" s="211">
        <f t="shared" si="1"/>
        <v>0.03140559373061</v>
      </c>
      <c r="K21" s="147">
        <f t="shared" ref="K21:K26" si="6">IFERROR(J21/E21,"-")</f>
        <v>0.395875906597294</v>
      </c>
      <c r="L21" s="211">
        <f t="shared" si="3"/>
        <v>0.0112776647067129</v>
      </c>
      <c r="M21" s="147">
        <f t="shared" ref="M21:M26" si="7">IFERROR(L21/F21,"-")</f>
        <v>0.113389125324446</v>
      </c>
    </row>
    <row r="22" s="187" customFormat="1" ht="21.95" customHeight="1" spans="1:14">
      <c r="A22" s="205"/>
      <c r="B22" s="203" t="s">
        <v>77</v>
      </c>
      <c r="C22" s="212" t="s">
        <v>78</v>
      </c>
      <c r="D22" s="210" t="e">
        <f t="shared" ref="D22:H22" si="8">D10*1000/D4</f>
        <v>#DIV/0!</v>
      </c>
      <c r="E22" s="210">
        <f t="shared" si="8"/>
        <v>13.1914893617021</v>
      </c>
      <c r="F22" s="210">
        <f t="shared" si="8"/>
        <v>29.4293219176078</v>
      </c>
      <c r="G22" s="210">
        <f t="shared" si="8"/>
        <v>21.2131414792209</v>
      </c>
      <c r="H22" s="210">
        <f t="shared" si="8"/>
        <v>21.2131414792209</v>
      </c>
      <c r="I22" s="145" t="str">
        <f t="shared" si="0"/>
        <v>-</v>
      </c>
      <c r="J22" s="211">
        <f t="shared" si="1"/>
        <v>8.02165211751882</v>
      </c>
      <c r="K22" s="147">
        <f t="shared" si="6"/>
        <v>0.608092983102233</v>
      </c>
      <c r="L22" s="211">
        <f t="shared" si="3"/>
        <v>-8.21618043838688</v>
      </c>
      <c r="M22" s="147">
        <f t="shared" si="7"/>
        <v>-0.279183477668613</v>
      </c>
    </row>
    <row r="23" s="187" customFormat="1" ht="21.95" customHeight="1" spans="1:14">
      <c r="A23" s="205"/>
      <c r="B23" s="203" t="s">
        <v>79</v>
      </c>
      <c r="C23" s="212" t="s">
        <v>80</v>
      </c>
      <c r="D23" s="213" t="e">
        <f t="shared" ref="D23:H23" si="9">D11*10000/D4</f>
        <v>#DIV/0!</v>
      </c>
      <c r="E23" s="213">
        <f t="shared" si="9"/>
        <v>0.56931914893617</v>
      </c>
      <c r="F23" s="213">
        <f t="shared" si="9"/>
        <v>1.14172899365556</v>
      </c>
      <c r="G23" s="213">
        <f t="shared" si="9"/>
        <v>0.514107321529182</v>
      </c>
      <c r="H23" s="213">
        <f t="shared" si="9"/>
        <v>0.514107321529182</v>
      </c>
      <c r="I23" s="145" t="str">
        <f t="shared" si="0"/>
        <v>-</v>
      </c>
      <c r="J23" s="211">
        <f t="shared" si="1"/>
        <v>-0.0552118274069877</v>
      </c>
      <c r="K23" s="147">
        <f t="shared" si="6"/>
        <v>-0.0969786937786241</v>
      </c>
      <c r="L23" s="211">
        <f t="shared" si="3"/>
        <v>-0.627621672126381</v>
      </c>
      <c r="M23" s="147">
        <f t="shared" si="7"/>
        <v>-0.549711600225615</v>
      </c>
    </row>
    <row r="24" s="187" customFormat="1" ht="21.95" customHeight="1" spans="1:14">
      <c r="A24" s="205"/>
      <c r="B24" s="207" t="s">
        <v>195</v>
      </c>
      <c r="C24" s="143" t="s">
        <v>196</v>
      </c>
      <c r="D24" s="214" t="e">
        <f>D9*1000/D5</f>
        <v>#DIV/0!</v>
      </c>
      <c r="E24" s="214">
        <f>E9*1000/E5</f>
        <v>0.124147963525836</v>
      </c>
      <c r="F24" s="214">
        <f>[3]庄河!$G21</f>
        <v>4.25414775685091</v>
      </c>
      <c r="G24" s="214">
        <f>'[7]26.1'!$G$33</f>
        <v>0.148009207099717</v>
      </c>
      <c r="H24" s="214">
        <f>'[7]26.1'!$L$33</f>
        <v>0.148009207099717</v>
      </c>
      <c r="I24" s="145" t="str">
        <f t="shared" si="0"/>
        <v>-</v>
      </c>
      <c r="J24" s="215">
        <f t="shared" si="1"/>
        <v>0.0238612435738813</v>
      </c>
      <c r="K24" s="147">
        <f t="shared" si="6"/>
        <v>0.192200040147381</v>
      </c>
      <c r="L24" s="160">
        <f t="shared" si="3"/>
        <v>-4.10613854975119</v>
      </c>
      <c r="M24" s="147">
        <f t="shared" si="7"/>
        <v>-0.965208258960596</v>
      </c>
    </row>
    <row r="25" s="187" customFormat="1" ht="21.95" customHeight="1" spans="1:14">
      <c r="A25" s="205"/>
      <c r="B25" s="207" t="s">
        <v>197</v>
      </c>
      <c r="C25" s="143" t="s">
        <v>198</v>
      </c>
      <c r="D25" s="214" t="e">
        <f>D11*10000/D5</f>
        <v>#DIV/0!</v>
      </c>
      <c r="E25" s="214">
        <f>E11*10000/E5</f>
        <v>0.56931914893617</v>
      </c>
      <c r="F25" s="214">
        <f>[3]庄河!$G22</f>
        <v>1.14172899365556</v>
      </c>
      <c r="G25" s="214">
        <f>'[7]26.1'!$G$34</f>
        <v>0.514107321529182</v>
      </c>
      <c r="H25" s="214">
        <f>'[7]26.1'!$L$34</f>
        <v>0.514107321529182</v>
      </c>
      <c r="I25" s="145" t="str">
        <f t="shared" si="0"/>
        <v>-</v>
      </c>
      <c r="J25" s="215">
        <f t="shared" si="1"/>
        <v>-0.0552118274069882</v>
      </c>
      <c r="K25" s="147">
        <f t="shared" si="6"/>
        <v>-0.0969786937786248</v>
      </c>
      <c r="L25" s="160">
        <f t="shared" si="3"/>
        <v>-0.627621672126381</v>
      </c>
      <c r="M25" s="147">
        <f t="shared" si="7"/>
        <v>-0.549711600225615</v>
      </c>
    </row>
    <row r="26" s="187" customFormat="1" ht="21.95" customHeight="1" spans="1:14">
      <c r="A26" s="216"/>
      <c r="B26" s="217" t="s">
        <v>199</v>
      </c>
      <c r="C26" s="184" t="s">
        <v>196</v>
      </c>
      <c r="D26" s="218" t="e">
        <f>D10*1000/D5</f>
        <v>#DIV/0!</v>
      </c>
      <c r="E26" s="218">
        <f>E10*1000/E5</f>
        <v>13.1914893617021</v>
      </c>
      <c r="F26" s="218">
        <f>[3]庄河!$G23</f>
        <v>29.4293219176078</v>
      </c>
      <c r="G26" s="218">
        <f>'[7]26.1'!$G$35</f>
        <v>21.2131414792209</v>
      </c>
      <c r="H26" s="218">
        <f>'[7]26.1'!$L$35</f>
        <v>21.2131414792209</v>
      </c>
      <c r="I26" s="153" t="str">
        <f t="shared" si="0"/>
        <v>-</v>
      </c>
      <c r="J26" s="219">
        <f t="shared" si="1"/>
        <v>8.02165211751877</v>
      </c>
      <c r="K26" s="170">
        <f t="shared" si="6"/>
        <v>0.608092983102229</v>
      </c>
      <c r="L26" s="219">
        <f t="shared" si="3"/>
        <v>-8.21618043838692</v>
      </c>
      <c r="M26" s="170">
        <f t="shared" si="7"/>
        <v>-0.279183477668614</v>
      </c>
    </row>
    <row r="27" s="188" customFormat="1" ht="8" customHeight="1" spans="1:14">
      <c r="C27" s="220"/>
      <c r="D27" s="221"/>
      <c r="E27" s="221"/>
      <c r="G27" s="221"/>
      <c r="H27" s="221"/>
      <c r="I27" s="221"/>
      <c r="J27" s="221"/>
      <c r="K27" s="222"/>
      <c r="L27" s="221"/>
      <c r="M27" s="223"/>
    </row>
    <row r="28" ht="37" customHeight="1" spans="1:14">
      <c r="A28" s="224"/>
      <c r="B28" s="224"/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</row>
  </sheetData>
  <mergeCells count="15">
    <mergeCell ref="J1:K1"/>
    <mergeCell ref="L1:M1"/>
    <mergeCell ref="A28:M28"/>
    <mergeCell ref="A1:A2"/>
    <mergeCell ref="A3:A6"/>
    <mergeCell ref="A8:A13"/>
    <mergeCell ref="A14:A26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/>
  <pageMargins left="0.275" right="0.472222222222222" top="1.02361111111111" bottom="0.196527777777778" header="0.511805555555556" footer="0.0784722222222222"/>
  <pageSetup paperSize="9" scale="94" orientation="landscape" horizontalDpi="600" verticalDpi="600"/>
  <headerFooter alignWithMargins="0" scaleWithDoc="0">
    <oddHeader>&amp;C&amp;"黑体"&amp;18庄河环海热电有限公司2026年1月份主要经营指标统计表&amp;R表    号：     ZB013
制表单位：经济运行部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showGridLines="0" zoomScale="85" zoomScaleNormal="85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L3" sqref="J3 L3"/>
    </sheetView>
  </sheetViews>
  <sheetFormatPr defaultColWidth="8.66666666666667" defaultRowHeight="15"/>
  <cols>
    <col min="1" max="1" width="8.45" style="66" customWidth="1"/>
    <col min="2" max="2" width="16.75" style="67" customWidth="1"/>
    <col min="3" max="3" width="13.625" style="66" customWidth="1"/>
    <col min="4" max="5" width="10.125" style="2" customWidth="1"/>
    <col min="6" max="8" width="9.625" style="2" customWidth="1"/>
    <col min="9" max="13" width="8.125" style="2" customWidth="1"/>
    <col min="14" max="32" width="9" style="67"/>
    <col min="33" max="16384" width="8.66666666666667" style="67"/>
  </cols>
  <sheetData>
    <row r="1" s="64" customFormat="1" ht="18" customHeight="1" spans="1:14">
      <c r="A1" s="69" t="s">
        <v>84</v>
      </c>
      <c r="B1" s="70" t="s">
        <v>85</v>
      </c>
      <c r="C1" s="70" t="s">
        <v>2</v>
      </c>
      <c r="D1" s="137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132</v>
      </c>
      <c r="J1" s="8" t="s">
        <v>9</v>
      </c>
      <c r="K1" s="139"/>
      <c r="L1" s="8" t="s">
        <v>10</v>
      </c>
      <c r="M1" s="139"/>
    </row>
    <row r="2" s="64" customFormat="1" ht="19.5" customHeight="1" spans="1:14">
      <c r="A2" s="74"/>
      <c r="B2" s="75"/>
      <c r="C2" s="75"/>
      <c r="D2" s="140"/>
      <c r="E2" s="76"/>
      <c r="F2" s="76"/>
      <c r="G2" s="141"/>
      <c r="H2" s="76"/>
      <c r="I2" s="141"/>
      <c r="J2" s="15" t="s">
        <v>11</v>
      </c>
      <c r="K2" s="14" t="s">
        <v>12</v>
      </c>
      <c r="L2" s="14" t="s">
        <v>11</v>
      </c>
      <c r="M2" s="141" t="s">
        <v>12</v>
      </c>
    </row>
    <row r="3" s="64" customFormat="1" ht="27.95" customHeight="1" spans="1:14">
      <c r="A3" s="78" t="s">
        <v>87</v>
      </c>
      <c r="B3" s="142" t="s">
        <v>133</v>
      </c>
      <c r="C3" s="143" t="s">
        <v>134</v>
      </c>
      <c r="D3" s="144">
        <v>13.19</v>
      </c>
      <c r="E3" s="144">
        <f>'[2]15.研究院表'!$M$6</f>
        <v>13.19</v>
      </c>
      <c r="F3" s="144">
        <f>[3]研究院!$G$3</f>
        <v>13.1888</v>
      </c>
      <c r="G3" s="144">
        <f>'[7]26.1'!F87</f>
        <v>13.1888</v>
      </c>
      <c r="H3" s="144">
        <f>'[7]26.1'!G87</f>
        <v>13.1888</v>
      </c>
      <c r="I3" s="145">
        <f t="shared" ref="I3:I8" si="0">IFERROR(H3/D3,"-")</f>
        <v>0.999909021986353</v>
      </c>
      <c r="J3" s="146">
        <f t="shared" ref="J3:J14" si="1">IFERROR(G3-E3,"-")</f>
        <v>-0.00119999999999898</v>
      </c>
      <c r="K3" s="147">
        <f t="shared" ref="K3:K10" si="2">IFERROR(J3/E3,"-")</f>
        <v>-9.09780136466247e-5</v>
      </c>
      <c r="L3" s="146">
        <f t="shared" ref="L3:L14" si="3">IFERROR(G3-F3,"-")</f>
        <v>0</v>
      </c>
      <c r="M3" s="147">
        <f t="shared" ref="M3:M10" si="4">IFERROR(L3/F3,"-")</f>
        <v>0</v>
      </c>
    </row>
    <row r="4" s="64" customFormat="1" ht="27.95" customHeight="1" spans="1:14">
      <c r="A4" s="95"/>
      <c r="B4" s="142" t="s">
        <v>189</v>
      </c>
      <c r="C4" s="143" t="s">
        <v>21</v>
      </c>
      <c r="D4" s="175"/>
      <c r="E4" s="175">
        <f>'[2]15.研究院表'!$M$19</f>
        <v>83505</v>
      </c>
      <c r="F4" s="175">
        <f>[3]研究院!$G$4</f>
        <v>83505.38</v>
      </c>
      <c r="G4" s="175">
        <f>'[7]26.1'!F88</f>
        <v>75969.43</v>
      </c>
      <c r="H4" s="175">
        <f>'[7]26.1'!G88</f>
        <v>75969.43</v>
      </c>
      <c r="I4" s="145" t="str">
        <f t="shared" si="0"/>
        <v>-</v>
      </c>
      <c r="J4" s="23">
        <f t="shared" si="1"/>
        <v>-7535.57000000001</v>
      </c>
      <c r="K4" s="147">
        <f t="shared" si="2"/>
        <v>-0.0902409436560686</v>
      </c>
      <c r="L4" s="23">
        <f t="shared" si="3"/>
        <v>-7535.95</v>
      </c>
      <c r="M4" s="147">
        <f t="shared" si="4"/>
        <v>-0.0902450836101817</v>
      </c>
    </row>
    <row r="5" s="64" customFormat="1" ht="27.95" customHeight="1" spans="1:14">
      <c r="A5" s="95"/>
      <c r="B5" s="142" t="s">
        <v>191</v>
      </c>
      <c r="C5" s="143" t="s">
        <v>21</v>
      </c>
      <c r="D5" s="176">
        <f>D4</f>
        <v>0</v>
      </c>
      <c r="E5" s="176">
        <f>E4</f>
        <v>83505</v>
      </c>
      <c r="F5" s="176">
        <f>[3]研究院!$G$5</f>
        <v>83505.38</v>
      </c>
      <c r="G5" s="176">
        <f>'[7]26.1'!F89</f>
        <v>75969.43</v>
      </c>
      <c r="H5" s="176">
        <f>'[7]26.1'!G89</f>
        <v>75969.43</v>
      </c>
      <c r="I5" s="145" t="str">
        <f t="shared" si="0"/>
        <v>-</v>
      </c>
      <c r="J5" s="23">
        <f t="shared" si="1"/>
        <v>-7535.57000000001</v>
      </c>
      <c r="K5" s="147">
        <f t="shared" si="2"/>
        <v>-0.0902409436560686</v>
      </c>
      <c r="L5" s="23">
        <f t="shared" si="3"/>
        <v>-7535.95</v>
      </c>
      <c r="M5" s="147">
        <f t="shared" si="4"/>
        <v>-0.0902450836101817</v>
      </c>
    </row>
    <row r="6" s="64" customFormat="1" ht="27.95" customHeight="1" spans="1:14">
      <c r="A6" s="149"/>
      <c r="B6" s="150" t="s">
        <v>24</v>
      </c>
      <c r="C6" s="151" t="s">
        <v>19</v>
      </c>
      <c r="D6" s="177"/>
      <c r="E6" s="177">
        <f>'[2]15.研究院表'!$M$8</f>
        <v>8805</v>
      </c>
      <c r="F6" s="177">
        <f>[3]研究院!$G$6</f>
        <v>8426.249747</v>
      </c>
      <c r="G6" s="177">
        <f>'[7]26.1'!F90</f>
        <v>9785.66501600002</v>
      </c>
      <c r="H6" s="177">
        <f>'[7]26.1'!G90</f>
        <v>9785.66501600002</v>
      </c>
      <c r="I6" s="153" t="str">
        <f t="shared" si="0"/>
        <v>-</v>
      </c>
      <c r="J6" s="156">
        <f t="shared" si="1"/>
        <v>980.665016000021</v>
      </c>
      <c r="K6" s="157">
        <f t="shared" si="2"/>
        <v>0.111375924588304</v>
      </c>
      <c r="L6" s="156">
        <f t="shared" si="3"/>
        <v>1359.41526900002</v>
      </c>
      <c r="M6" s="157">
        <f t="shared" si="4"/>
        <v>0.161330996566297</v>
      </c>
    </row>
    <row r="7" s="64" customFormat="1" ht="27.95" customHeight="1" spans="1:14">
      <c r="A7" s="78" t="s">
        <v>90</v>
      </c>
      <c r="B7" s="142" t="s">
        <v>31</v>
      </c>
      <c r="C7" s="143" t="s">
        <v>17</v>
      </c>
      <c r="D7" s="178"/>
      <c r="E7" s="178">
        <f>'[2]15.研究院表'!$M$41</f>
        <v>600</v>
      </c>
      <c r="F7" s="178">
        <f>[3]研究院!$G$7</f>
        <v>721.4</v>
      </c>
      <c r="G7" s="178">
        <f>'[7]26.1'!F91</f>
        <v>442.01</v>
      </c>
      <c r="H7" s="178">
        <f>'[7]26.1'!G91</f>
        <v>442.01</v>
      </c>
      <c r="I7" s="145" t="str">
        <f t="shared" si="0"/>
        <v>-</v>
      </c>
      <c r="J7" s="23">
        <f t="shared" si="1"/>
        <v>-157.99</v>
      </c>
      <c r="K7" s="147">
        <f t="shared" si="2"/>
        <v>-0.263316666666667</v>
      </c>
      <c r="L7" s="23">
        <f t="shared" si="3"/>
        <v>-279.39</v>
      </c>
      <c r="M7" s="147">
        <f t="shared" si="4"/>
        <v>-0.387288605489326</v>
      </c>
    </row>
    <row r="8" s="64" customFormat="1" ht="27.95" customHeight="1" spans="1:14">
      <c r="A8" s="95"/>
      <c r="B8" s="142" t="s">
        <v>49</v>
      </c>
      <c r="C8" s="143" t="s">
        <v>15</v>
      </c>
      <c r="D8" s="178"/>
      <c r="E8" s="178">
        <f>'[2]15.研究院表'!$M$70</f>
        <v>201</v>
      </c>
      <c r="F8" s="178">
        <f>[3]研究院!$G$8</f>
        <v>195.035024</v>
      </c>
      <c r="G8" s="178">
        <f>'[7]26.1'!F92/10000</f>
        <v>230.732908</v>
      </c>
      <c r="H8" s="178">
        <f>'[7]26.1'!G92/10000</f>
        <v>230.732908</v>
      </c>
      <c r="I8" s="145" t="str">
        <f t="shared" si="0"/>
        <v>-</v>
      </c>
      <c r="J8" s="23">
        <f t="shared" si="1"/>
        <v>29.732908</v>
      </c>
      <c r="K8" s="147">
        <f t="shared" si="2"/>
        <v>0.147924915422886</v>
      </c>
      <c r="L8" s="23">
        <f t="shared" si="3"/>
        <v>35.697884</v>
      </c>
      <c r="M8" s="147">
        <f t="shared" si="4"/>
        <v>0.183033197155399</v>
      </c>
    </row>
    <row r="9" s="64" customFormat="1" ht="27.95" customHeight="1" spans="1:14">
      <c r="A9" s="149"/>
      <c r="B9" s="86" t="s">
        <v>200</v>
      </c>
      <c r="C9" s="151" t="s">
        <v>15</v>
      </c>
      <c r="D9" s="37">
        <v>0</v>
      </c>
      <c r="E9" s="37">
        <v>0</v>
      </c>
      <c r="F9" s="37">
        <f>[3]研究院!$G$9</f>
        <v>152.224</v>
      </c>
      <c r="G9" s="37">
        <f>'[7]26.1'!F93/10000</f>
        <v>184.452</v>
      </c>
      <c r="H9" s="37">
        <f>'[7]26.1'!G93/10000</f>
        <v>184.452</v>
      </c>
      <c r="I9" s="179">
        <v>0</v>
      </c>
      <c r="J9" s="179">
        <f t="shared" si="1"/>
        <v>184.452</v>
      </c>
      <c r="K9" s="179" t="str">
        <f t="shared" si="2"/>
        <v>-</v>
      </c>
      <c r="L9" s="156">
        <f t="shared" si="3"/>
        <v>32.228</v>
      </c>
      <c r="M9" s="157">
        <f t="shared" si="4"/>
        <v>0.211714315745218</v>
      </c>
    </row>
    <row r="10" s="64" customFormat="1" ht="27.95" customHeight="1" spans="1:14">
      <c r="A10" s="92" t="s">
        <v>193</v>
      </c>
      <c r="B10" s="142" t="s">
        <v>140</v>
      </c>
      <c r="C10" s="143" t="s">
        <v>125</v>
      </c>
      <c r="D10" s="180" t="e">
        <f>D8*10000/D6</f>
        <v>#DIV/0!</v>
      </c>
      <c r="E10" s="180">
        <f>E8*10000/E6</f>
        <v>228.279386712095</v>
      </c>
      <c r="F10" s="180">
        <f>[3]研究院!$G$10</f>
        <v>231.461242968069</v>
      </c>
      <c r="G10" s="180">
        <f>'[7]26.1'!F94</f>
        <v>235.786640583691</v>
      </c>
      <c r="H10" s="180">
        <f>'[7]26.1'!G94</f>
        <v>235.786640583691</v>
      </c>
      <c r="I10" s="145" t="str">
        <f t="shared" ref="I10:I14" si="5">IFERROR(H10/D10,"-")</f>
        <v>-</v>
      </c>
      <c r="J10" s="160">
        <f t="shared" si="1"/>
        <v>7.50725387159559</v>
      </c>
      <c r="K10" s="147">
        <f t="shared" si="2"/>
        <v>0.0328862539001986</v>
      </c>
      <c r="L10" s="160">
        <f t="shared" si="3"/>
        <v>4.32539761562163</v>
      </c>
      <c r="M10" s="147">
        <f t="shared" si="4"/>
        <v>0.0186873515416934</v>
      </c>
      <c r="N10" s="82"/>
    </row>
    <row r="11" s="64" customFormat="1" ht="27.95" customHeight="1" spans="1:14">
      <c r="A11" s="95"/>
      <c r="B11" s="161" t="s">
        <v>142</v>
      </c>
      <c r="C11" s="143" t="s">
        <v>64</v>
      </c>
      <c r="D11" s="181">
        <f>D6*1000/(D3*8760*3600)</f>
        <v>0</v>
      </c>
      <c r="E11" s="181">
        <f>E6/3.6/E3/(DAY(DATE(2026,2,0))*24)</f>
        <v>0.249235056426477</v>
      </c>
      <c r="F11" s="181">
        <f>[3]研究院!$G$11</f>
        <v>0.238535822032834</v>
      </c>
      <c r="G11" s="181">
        <f>'[7]26.1'!F95</f>
        <v>0.277019043918152</v>
      </c>
      <c r="H11" s="181">
        <f>'[7]26.1'!G95</f>
        <v>0.277019043918152</v>
      </c>
      <c r="I11" s="38" t="s">
        <v>65</v>
      </c>
      <c r="J11" s="145">
        <f t="shared" si="1"/>
        <v>0.0277839874916749</v>
      </c>
      <c r="K11" s="38" t="s">
        <v>65</v>
      </c>
      <c r="L11" s="145">
        <f t="shared" si="3"/>
        <v>0.0384832218853179</v>
      </c>
      <c r="M11" s="39" t="s">
        <v>65</v>
      </c>
      <c r="N11" s="82"/>
    </row>
    <row r="12" s="64" customFormat="1" ht="27.95" customHeight="1" spans="1:14">
      <c r="A12" s="95"/>
      <c r="B12" s="161" t="s">
        <v>75</v>
      </c>
      <c r="C12" s="143" t="s">
        <v>194</v>
      </c>
      <c r="D12" s="182" t="e">
        <f>D6/D4</f>
        <v>#DIV/0!</v>
      </c>
      <c r="E12" s="182">
        <f>E6/E4</f>
        <v>0.105442787857015</v>
      </c>
      <c r="F12" s="182">
        <f>[3]研究院!$G$12</f>
        <v>0.100906669091261</v>
      </c>
      <c r="G12" s="182">
        <f>'[7]26.1'!F96</f>
        <v>0.128810562564442</v>
      </c>
      <c r="H12" s="182">
        <f>'[7]26.1'!G96</f>
        <v>0.128810562564442</v>
      </c>
      <c r="I12" s="145" t="str">
        <f t="shared" si="5"/>
        <v>-</v>
      </c>
      <c r="J12" s="160">
        <f t="shared" si="1"/>
        <v>0.0233677747074275</v>
      </c>
      <c r="K12" s="145">
        <f t="shared" ref="K12:K14" si="6">IFERROR(J12/E12,"-")</f>
        <v>0.221615675973166</v>
      </c>
      <c r="L12" s="160">
        <f t="shared" si="3"/>
        <v>0.027903893473181</v>
      </c>
      <c r="M12" s="147">
        <f t="shared" ref="M12:M14" si="7">IFERROR(L12/F12,"-")</f>
        <v>0.276531707214956</v>
      </c>
      <c r="N12" s="82"/>
    </row>
    <row r="13" s="64" customFormat="1" ht="27.95" customHeight="1" spans="1:14">
      <c r="A13" s="95"/>
      <c r="B13" s="161" t="s">
        <v>197</v>
      </c>
      <c r="C13" s="143" t="s">
        <v>198</v>
      </c>
      <c r="D13" s="183" t="e">
        <f>D8*10000/D4</f>
        <v>#DIV/0!</v>
      </c>
      <c r="E13" s="183">
        <f>E8*10000/E5</f>
        <v>24.0704149452129</v>
      </c>
      <c r="F13" s="183">
        <f>[3]研究院!$G$13</f>
        <v>23.3559830516309</v>
      </c>
      <c r="G13" s="183">
        <f>'[7]26.1'!F97</f>
        <v>30.3718098187653</v>
      </c>
      <c r="H13" s="183">
        <f>'[7]26.1'!G97</f>
        <v>30.3718098187653</v>
      </c>
      <c r="I13" s="145" t="str">
        <f t="shared" si="5"/>
        <v>-</v>
      </c>
      <c r="J13" s="160">
        <f t="shared" si="1"/>
        <v>6.30139487355244</v>
      </c>
      <c r="K13" s="145">
        <f t="shared" si="6"/>
        <v>0.26179003926169</v>
      </c>
      <c r="L13" s="160">
        <f t="shared" si="3"/>
        <v>7.01582676713437</v>
      </c>
      <c r="M13" s="147">
        <f t="shared" si="7"/>
        <v>0.300386703981807</v>
      </c>
      <c r="N13" s="82"/>
    </row>
    <row r="14" s="64" customFormat="1" ht="27.95" customHeight="1" spans="1:14">
      <c r="A14" s="99"/>
      <c r="B14" s="165" t="s">
        <v>199</v>
      </c>
      <c r="C14" s="184" t="s">
        <v>196</v>
      </c>
      <c r="D14" s="185" t="e">
        <f>D7*1000/D4</f>
        <v>#DIV/0!</v>
      </c>
      <c r="E14" s="185">
        <f>E7*1000/E5</f>
        <v>7.18519849110832</v>
      </c>
      <c r="F14" s="185">
        <f>[3]研究院!$G$14</f>
        <v>8.63896433978266</v>
      </c>
      <c r="G14" s="185">
        <f>'[7]26.1'!F98</f>
        <v>5.81826137171228</v>
      </c>
      <c r="H14" s="185">
        <f>'[7]26.1'!G98</f>
        <v>5.81826137171228</v>
      </c>
      <c r="I14" s="168" t="str">
        <f t="shared" si="5"/>
        <v>-</v>
      </c>
      <c r="J14" s="171">
        <f t="shared" si="1"/>
        <v>-1.36693711939604</v>
      </c>
      <c r="K14" s="168">
        <f t="shared" si="6"/>
        <v>-0.190243473591943</v>
      </c>
      <c r="L14" s="171">
        <f t="shared" si="3"/>
        <v>-2.82070296807038</v>
      </c>
      <c r="M14" s="170">
        <f t="shared" si="7"/>
        <v>-0.326509388987864</v>
      </c>
      <c r="N14" s="82"/>
    </row>
    <row r="15" s="103" customFormat="1" ht="18.75" customHeight="1" spans="1:14">
      <c r="C15" s="104"/>
      <c r="D15" s="172"/>
      <c r="E15" s="172"/>
      <c r="G15" s="172"/>
      <c r="H15" s="172"/>
      <c r="I15" s="172"/>
      <c r="J15" s="172"/>
      <c r="K15" s="173"/>
      <c r="L15" s="172"/>
      <c r="M15" s="174"/>
    </row>
    <row r="16" spans="1:14">
      <c r="A16" s="186"/>
      <c r="D16" s="106"/>
      <c r="E16" s="106"/>
      <c r="F16" s="106"/>
      <c r="G16" s="106"/>
      <c r="H16" s="106"/>
      <c r="I16" s="106"/>
      <c r="J16" s="106"/>
      <c r="K16" s="106"/>
      <c r="L16" s="106"/>
    </row>
    <row r="17" spans="1:1">
      <c r="A17" s="186"/>
    </row>
  </sheetData>
  <mergeCells count="14">
    <mergeCell ref="J1:K1"/>
    <mergeCell ref="L1:M1"/>
    <mergeCell ref="A1:A2"/>
    <mergeCell ref="A3:A6"/>
    <mergeCell ref="A7:A9"/>
    <mergeCell ref="A10:A14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550694444444444" right="0.550694444444444" top="1.37777777777778" bottom="0.786805555555556" header="1.10208333333333" footer="0.393055555555556"/>
  <pageSetup paperSize="9" scale="95" orientation="landscape" horizontalDpi="600" verticalDpi="600"/>
  <headerFooter alignWithMargins="0" scaleWithDoc="0">
    <oddHeader>&amp;C&amp;"黑体"&amp;18大连热电新能源应用技术研究院有限公司2026年1月份                                            主要经营指标统计表&amp;R
表    号：     ZB014
制表单位：经济运行部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zoomScale="85" zoomScaleNormal="85" zoomScaleSheetLayoutView="60" workbookViewId="0">
      <selection activeCell="B4" sqref="$A4:$XFD5"/>
    </sheetView>
  </sheetViews>
  <sheetFormatPr defaultColWidth="8.66666666666667" defaultRowHeight="15"/>
  <cols>
    <col min="1" max="1" width="9.38333333333333" style="66" customWidth="1"/>
    <col min="2" max="2" width="16.75" style="67" customWidth="1"/>
    <col min="3" max="3" width="13.625" style="66" customWidth="1"/>
    <col min="4" max="5" width="10.125" style="2" customWidth="1"/>
    <col min="6" max="8" width="9.625" style="2" customWidth="1"/>
    <col min="9" max="13" width="8.125" style="2" customWidth="1"/>
    <col min="14" max="32" width="9" style="67"/>
    <col min="33" max="16384" width="8.66666666666667" style="67"/>
  </cols>
  <sheetData>
    <row r="1" s="64" customFormat="1" ht="18" customHeight="1" spans="1:14">
      <c r="A1" s="69" t="s">
        <v>84</v>
      </c>
      <c r="B1" s="70" t="s">
        <v>85</v>
      </c>
      <c r="C1" s="70" t="s">
        <v>2</v>
      </c>
      <c r="D1" s="137" t="s">
        <v>3</v>
      </c>
      <c r="E1" s="5" t="s">
        <v>4</v>
      </c>
      <c r="F1" s="5" t="s">
        <v>5</v>
      </c>
      <c r="G1" s="138" t="s">
        <v>6</v>
      </c>
      <c r="H1" s="5" t="s">
        <v>7</v>
      </c>
      <c r="I1" s="138" t="s">
        <v>132</v>
      </c>
      <c r="J1" s="8" t="s">
        <v>9</v>
      </c>
      <c r="K1" s="139"/>
      <c r="L1" s="8" t="s">
        <v>10</v>
      </c>
      <c r="M1" s="139"/>
    </row>
    <row r="2" s="64" customFormat="1" ht="19.5" customHeight="1" spans="1:14">
      <c r="A2" s="74"/>
      <c r="B2" s="75"/>
      <c r="C2" s="75"/>
      <c r="D2" s="140"/>
      <c r="E2" s="76"/>
      <c r="F2" s="76"/>
      <c r="G2" s="141"/>
      <c r="H2" s="76"/>
      <c r="I2" s="141"/>
      <c r="J2" s="15" t="s">
        <v>11</v>
      </c>
      <c r="K2" s="14" t="s">
        <v>12</v>
      </c>
      <c r="L2" s="14" t="s">
        <v>11</v>
      </c>
      <c r="M2" s="141" t="s">
        <v>12</v>
      </c>
    </row>
    <row r="3" s="64" customFormat="1" ht="27.95" customHeight="1" spans="1:14">
      <c r="A3" s="78" t="s">
        <v>87</v>
      </c>
      <c r="B3" s="142" t="s">
        <v>133</v>
      </c>
      <c r="C3" s="143" t="s">
        <v>134</v>
      </c>
      <c r="D3" s="144">
        <v>0.55</v>
      </c>
      <c r="E3" s="144">
        <v>0.55</v>
      </c>
      <c r="F3" s="144">
        <f>'[1]25.1'!D39</f>
        <v>0.55</v>
      </c>
      <c r="G3" s="144">
        <f>'[7]26.1'!$D$39</f>
        <v>0.55</v>
      </c>
      <c r="H3" s="144">
        <f>'[7]26.1'!$E$39</f>
        <v>0.55</v>
      </c>
      <c r="I3" s="145">
        <f t="shared" ref="I3:I10" si="0">IFERROR(H3/D3,"-")</f>
        <v>1</v>
      </c>
      <c r="J3" s="146">
        <f t="shared" ref="J3:J14" si="1">IFERROR(G3-E3,"-")</f>
        <v>0</v>
      </c>
      <c r="K3" s="147">
        <f t="shared" ref="K3:K10" si="2">IFERROR(J3/E3,"-")</f>
        <v>0</v>
      </c>
      <c r="L3" s="146">
        <f t="shared" ref="L3:L14" si="3">IFERROR(G3-F3,"-")</f>
        <v>0</v>
      </c>
      <c r="M3" s="147">
        <f t="shared" ref="M3:M10" si="4">IFERROR(L3/F3,"-")</f>
        <v>0</v>
      </c>
    </row>
    <row r="4" s="64" customFormat="1" ht="27.95" customHeight="1" spans="1:14">
      <c r="A4" s="95"/>
      <c r="B4" s="142" t="s">
        <v>189</v>
      </c>
      <c r="C4" s="143" t="s">
        <v>21</v>
      </c>
      <c r="D4" s="148"/>
      <c r="E4" s="148">
        <f>'[2]10.主城区电锅炉表'!$M$19</f>
        <v>7592.12</v>
      </c>
      <c r="F4" s="148">
        <f>'[1]25.1'!D40</f>
        <v>7592.12</v>
      </c>
      <c r="G4" s="148">
        <f>'[7]26.1'!$D$40</f>
        <v>7625.06</v>
      </c>
      <c r="H4" s="148">
        <f>'[7]26.1'!$E$40</f>
        <v>7625.06</v>
      </c>
      <c r="I4" s="145" t="str">
        <f t="shared" si="0"/>
        <v>-</v>
      </c>
      <c r="J4" s="146">
        <f t="shared" si="1"/>
        <v>32.9400000000005</v>
      </c>
      <c r="K4" s="147">
        <f t="shared" si="2"/>
        <v>0.00433870908257516</v>
      </c>
      <c r="L4" s="23">
        <f t="shared" si="3"/>
        <v>32.9400000000005</v>
      </c>
      <c r="M4" s="147">
        <f t="shared" si="4"/>
        <v>0.00433870908257516</v>
      </c>
    </row>
    <row r="5" s="64" customFormat="1" ht="27.95" customHeight="1" spans="1:14">
      <c r="A5" s="95"/>
      <c r="B5" s="142" t="s">
        <v>191</v>
      </c>
      <c r="C5" s="143" t="s">
        <v>21</v>
      </c>
      <c r="D5" s="148">
        <f>D4</f>
        <v>0</v>
      </c>
      <c r="E5" s="148">
        <f>E4</f>
        <v>7592.12</v>
      </c>
      <c r="F5" s="148">
        <f>'[1]25.1'!D41</f>
        <v>7592.12</v>
      </c>
      <c r="G5" s="148">
        <f>'[7]26.1'!$D$41</f>
        <v>7625.06</v>
      </c>
      <c r="H5" s="148">
        <f>'[7]26.1'!$E$41</f>
        <v>7625.06</v>
      </c>
      <c r="I5" s="145" t="str">
        <f t="shared" si="0"/>
        <v>-</v>
      </c>
      <c r="J5" s="146">
        <f t="shared" si="1"/>
        <v>32.9400000000005</v>
      </c>
      <c r="K5" s="147">
        <f t="shared" si="2"/>
        <v>0.00433870908257516</v>
      </c>
      <c r="L5" s="23">
        <f t="shared" si="3"/>
        <v>32.9400000000005</v>
      </c>
      <c r="M5" s="147">
        <f t="shared" si="4"/>
        <v>0.00433870908257516</v>
      </c>
    </row>
    <row r="6" s="64" customFormat="1" ht="27.95" customHeight="1" spans="1:14">
      <c r="A6" s="149"/>
      <c r="B6" s="150" t="s">
        <v>24</v>
      </c>
      <c r="C6" s="151" t="s">
        <v>19</v>
      </c>
      <c r="D6" s="152"/>
      <c r="E6" s="152">
        <f>'[2]10.主城区电锅炉表'!$M$8</f>
        <v>397</v>
      </c>
      <c r="F6" s="152">
        <f>'[1]25.1'!D42</f>
        <v>397</v>
      </c>
      <c r="G6" s="152">
        <f>'[7]26.1'!$D$42</f>
        <v>441</v>
      </c>
      <c r="H6" s="152">
        <f>'[7]26.1'!$E$42</f>
        <v>441</v>
      </c>
      <c r="I6" s="153" t="str">
        <f t="shared" si="0"/>
        <v>-</v>
      </c>
      <c r="J6" s="154">
        <f t="shared" si="1"/>
        <v>44</v>
      </c>
      <c r="K6" s="155">
        <f t="shared" si="2"/>
        <v>0.110831234256927</v>
      </c>
      <c r="L6" s="156">
        <f t="shared" si="3"/>
        <v>44</v>
      </c>
      <c r="M6" s="157">
        <f t="shared" si="4"/>
        <v>0.110831234256927</v>
      </c>
    </row>
    <row r="7" s="64" customFormat="1" ht="27.95" customHeight="1" spans="1:14">
      <c r="A7" s="78" t="s">
        <v>90</v>
      </c>
      <c r="B7" s="142" t="s">
        <v>31</v>
      </c>
      <c r="C7" s="143" t="s">
        <v>17</v>
      </c>
      <c r="D7" s="36"/>
      <c r="E7" s="36">
        <f>'[2]10.主城区电锅炉表'!$M$41</f>
        <v>42</v>
      </c>
      <c r="F7" s="36">
        <f>'[1]25.1'!D43</f>
        <v>42</v>
      </c>
      <c r="G7" s="36">
        <f>'[7]26.1'!$D$43</f>
        <v>3</v>
      </c>
      <c r="H7" s="36">
        <f>'[7]26.1'!$E$43</f>
        <v>3</v>
      </c>
      <c r="I7" s="145" t="str">
        <f t="shared" si="0"/>
        <v>-</v>
      </c>
      <c r="J7" s="146">
        <f t="shared" si="1"/>
        <v>-39</v>
      </c>
      <c r="K7" s="147">
        <f t="shared" si="2"/>
        <v>-0.928571428571429</v>
      </c>
      <c r="L7" s="23">
        <f t="shared" si="3"/>
        <v>-39</v>
      </c>
      <c r="M7" s="147">
        <f t="shared" si="4"/>
        <v>-0.928571428571429</v>
      </c>
    </row>
    <row r="8" s="64" customFormat="1" ht="27.95" customHeight="1" spans="1:14">
      <c r="A8" s="95"/>
      <c r="B8" s="142" t="s">
        <v>49</v>
      </c>
      <c r="C8" s="143" t="s">
        <v>15</v>
      </c>
      <c r="D8" s="148"/>
      <c r="E8" s="148">
        <f>'[2]10.主城区电锅炉表'!$M$64</f>
        <v>11.832</v>
      </c>
      <c r="F8" s="148">
        <f>'[1]25.1'!D44/10000</f>
        <v>11.832</v>
      </c>
      <c r="G8" s="148">
        <f>'[7]26.1'!$D$44/10000</f>
        <v>13.2840000000001</v>
      </c>
      <c r="H8" s="148">
        <f>'[7]26.1'!$E$44/10000</f>
        <v>13.2840000000001</v>
      </c>
      <c r="I8" s="145" t="str">
        <f t="shared" si="0"/>
        <v>-</v>
      </c>
      <c r="J8" s="146">
        <f t="shared" si="1"/>
        <v>1.4520000000001</v>
      </c>
      <c r="K8" s="147">
        <f t="shared" si="2"/>
        <v>0.122718052738345</v>
      </c>
      <c r="L8" s="23">
        <f t="shared" si="3"/>
        <v>1.4520000000001</v>
      </c>
      <c r="M8" s="147">
        <f t="shared" si="4"/>
        <v>0.122718052738345</v>
      </c>
    </row>
    <row r="9" s="64" customFormat="1" ht="27.95" customHeight="1" spans="1:14">
      <c r="A9" s="149"/>
      <c r="B9" s="86" t="s">
        <v>200</v>
      </c>
      <c r="C9" s="151" t="s">
        <v>15</v>
      </c>
      <c r="D9" s="148">
        <f>D8</f>
        <v>0</v>
      </c>
      <c r="E9" s="148">
        <f>E8</f>
        <v>11.832</v>
      </c>
      <c r="F9" s="148">
        <f>'[1]25.1'!D45/10000</f>
        <v>11.832</v>
      </c>
      <c r="G9" s="148">
        <f>'[7]26.1'!$D$45/10000</f>
        <v>13.2840000000001</v>
      </c>
      <c r="H9" s="148">
        <f>'[7]26.1'!$E$45/10000</f>
        <v>13.2840000000001</v>
      </c>
      <c r="I9" s="153" t="str">
        <f t="shared" si="0"/>
        <v>-</v>
      </c>
      <c r="J9" s="154">
        <f t="shared" si="1"/>
        <v>1.4520000000001</v>
      </c>
      <c r="K9" s="155">
        <f t="shared" si="2"/>
        <v>0.122718052738345</v>
      </c>
      <c r="L9" s="156">
        <f t="shared" si="3"/>
        <v>1.4520000000001</v>
      </c>
      <c r="M9" s="157">
        <f t="shared" si="4"/>
        <v>0.122718052738345</v>
      </c>
    </row>
    <row r="10" s="64" customFormat="1" ht="27.95" customHeight="1" spans="1:14">
      <c r="A10" s="92" t="s">
        <v>193</v>
      </c>
      <c r="B10" s="142" t="s">
        <v>140</v>
      </c>
      <c r="C10" s="158" t="s">
        <v>125</v>
      </c>
      <c r="D10" s="159" t="e">
        <f>D8*10000/D6</f>
        <v>#DIV/0!</v>
      </c>
      <c r="E10" s="159">
        <f>E8*10000/E6</f>
        <v>298.035264483627</v>
      </c>
      <c r="F10" s="159">
        <f>'[1]25.1'!D46</f>
        <v>298.035264483627</v>
      </c>
      <c r="G10" s="159">
        <f>'[7]26.1'!$D$46</f>
        <v>301.224489795921</v>
      </c>
      <c r="H10" s="159">
        <f>'[7]26.1'!$E$46</f>
        <v>301.224489795921</v>
      </c>
      <c r="I10" s="145" t="str">
        <f t="shared" si="0"/>
        <v>-</v>
      </c>
      <c r="J10" s="146">
        <f t="shared" si="1"/>
        <v>3.18922531229373</v>
      </c>
      <c r="K10" s="147">
        <f t="shared" si="2"/>
        <v>0.0107008320569693</v>
      </c>
      <c r="L10" s="160">
        <f t="shared" si="3"/>
        <v>3.18922531229379</v>
      </c>
      <c r="M10" s="147">
        <f t="shared" si="4"/>
        <v>0.0107008320569695</v>
      </c>
      <c r="N10" s="82"/>
    </row>
    <row r="11" s="64" customFormat="1" ht="27.95" customHeight="1" spans="1:14">
      <c r="A11" s="95"/>
      <c r="B11" s="161" t="s">
        <v>142</v>
      </c>
      <c r="C11" s="158" t="s">
        <v>64</v>
      </c>
      <c r="D11" s="162"/>
      <c r="E11" s="162">
        <v>0</v>
      </c>
      <c r="F11" s="162">
        <f>'[1]25.1'!D47</f>
        <v>0.269496035625068</v>
      </c>
      <c r="G11" s="162">
        <f>'[7]26.1'!$D$47</f>
        <v>0.299364613880743</v>
      </c>
      <c r="H11" s="162">
        <f>'[7]26.1'!$E$47</f>
        <v>0.299364613880743</v>
      </c>
      <c r="I11" s="38" t="s">
        <v>65</v>
      </c>
      <c r="J11" s="163">
        <f t="shared" si="1"/>
        <v>0.299364613880743</v>
      </c>
      <c r="K11" s="38" t="s">
        <v>65</v>
      </c>
      <c r="L11" s="145">
        <f t="shared" si="3"/>
        <v>0.0298685782556751</v>
      </c>
      <c r="M11" s="147" t="s">
        <v>65</v>
      </c>
      <c r="N11" s="82"/>
    </row>
    <row r="12" s="64" customFormat="1" ht="27.95" customHeight="1" spans="1:14">
      <c r="A12" s="95"/>
      <c r="B12" s="161" t="s">
        <v>75</v>
      </c>
      <c r="C12" s="158" t="s">
        <v>194</v>
      </c>
      <c r="D12" s="164" t="e">
        <f>D6/D4</f>
        <v>#DIV/0!</v>
      </c>
      <c r="E12" s="164">
        <f>E6/E4</f>
        <v>0.0522910596776658</v>
      </c>
      <c r="F12" s="164">
        <f>'[1]25.1'!D48</f>
        <v>0.0522910596776658</v>
      </c>
      <c r="G12" s="164">
        <f>'[7]26.1'!$D$48</f>
        <v>0.0578356104738848</v>
      </c>
      <c r="H12" s="164">
        <f>'[7]26.1'!$E$48</f>
        <v>0.0578356104738848</v>
      </c>
      <c r="I12" s="145" t="str">
        <f t="shared" ref="I12:I14" si="5">IFERROR(H12/D12,"-")</f>
        <v>-</v>
      </c>
      <c r="J12" s="146">
        <f t="shared" si="1"/>
        <v>0.00554455079621901</v>
      </c>
      <c r="K12" s="147">
        <f t="shared" ref="K12:K14" si="6">IFERROR(J12/E12,"-")</f>
        <v>0.106032481085618</v>
      </c>
      <c r="L12" s="160">
        <f t="shared" si="3"/>
        <v>0.00554455079621901</v>
      </c>
      <c r="M12" s="147">
        <f t="shared" ref="M12:M14" si="7">IFERROR(L12/F12,"-")</f>
        <v>0.106032481085618</v>
      </c>
      <c r="N12" s="82"/>
    </row>
    <row r="13" s="64" customFormat="1" ht="27.95" customHeight="1" spans="1:14">
      <c r="A13" s="95"/>
      <c r="B13" s="161" t="s">
        <v>197</v>
      </c>
      <c r="C13" s="158" t="s">
        <v>198</v>
      </c>
      <c r="D13" s="164" t="e">
        <f>D8*10000/D4</f>
        <v>#DIV/0!</v>
      </c>
      <c r="E13" s="164">
        <f>E8*10000/E4</f>
        <v>15.5845798011623</v>
      </c>
      <c r="F13" s="164">
        <f>'[1]25.1'!D49</f>
        <v>15.5845798011623</v>
      </c>
      <c r="G13" s="164">
        <f>'[7]26.1'!$D$49</f>
        <v>17.4215022570315</v>
      </c>
      <c r="H13" s="164">
        <f>'[7]26.1'!$E$49</f>
        <v>17.4215022570315</v>
      </c>
      <c r="I13" s="145" t="str">
        <f t="shared" si="5"/>
        <v>-</v>
      </c>
      <c r="J13" s="146">
        <f t="shared" si="1"/>
        <v>1.83692245586924</v>
      </c>
      <c r="K13" s="147">
        <f t="shared" si="6"/>
        <v>0.117867948915263</v>
      </c>
      <c r="L13" s="160">
        <f t="shared" si="3"/>
        <v>1.83692245586924</v>
      </c>
      <c r="M13" s="147">
        <f t="shared" si="7"/>
        <v>0.117867948915264</v>
      </c>
      <c r="N13" s="82"/>
    </row>
    <row r="14" s="64" customFormat="1" ht="27.95" customHeight="1" spans="1:14">
      <c r="A14" s="99"/>
      <c r="B14" s="165" t="s">
        <v>199</v>
      </c>
      <c r="C14" s="166" t="s">
        <v>196</v>
      </c>
      <c r="D14" s="167" t="e">
        <f>D7*1000/D4</f>
        <v>#DIV/0!</v>
      </c>
      <c r="E14" s="167">
        <f>E7*1000/E4</f>
        <v>5.53205165355658</v>
      </c>
      <c r="F14" s="167">
        <f>'[1]25.1'!D50</f>
        <v>5.53205165355658</v>
      </c>
      <c r="G14" s="167">
        <f>'[7]26.1'!$D$50</f>
        <v>0.39343952703323</v>
      </c>
      <c r="H14" s="167">
        <f>'[7]26.1'!$E$50</f>
        <v>0.39343952703323</v>
      </c>
      <c r="I14" s="168" t="str">
        <f t="shared" si="5"/>
        <v>-</v>
      </c>
      <c r="J14" s="169">
        <f t="shared" si="1"/>
        <v>-5.13861212652335</v>
      </c>
      <c r="K14" s="170">
        <f t="shared" si="6"/>
        <v>-0.928879997571916</v>
      </c>
      <c r="L14" s="171">
        <f t="shared" si="3"/>
        <v>-5.13861212652335</v>
      </c>
      <c r="M14" s="170">
        <f t="shared" si="7"/>
        <v>-0.928879997571916</v>
      </c>
      <c r="N14" s="82"/>
    </row>
    <row r="15" s="103" customFormat="1" ht="18.75" customHeight="1" spans="1:14">
      <c r="C15" s="104"/>
      <c r="D15" s="172"/>
      <c r="E15" s="172"/>
      <c r="G15" s="172"/>
      <c r="H15" s="172"/>
      <c r="I15" s="172"/>
      <c r="J15" s="172"/>
      <c r="K15" s="173"/>
      <c r="L15" s="172"/>
      <c r="M15" s="174"/>
    </row>
    <row r="16" spans="1:14">
      <c r="D16" s="106"/>
      <c r="E16" s="106"/>
      <c r="F16" s="106"/>
      <c r="G16" s="106"/>
      <c r="H16" s="106"/>
      <c r="I16" s="106"/>
      <c r="J16" s="106"/>
      <c r="K16" s="106"/>
      <c r="L16" s="106"/>
    </row>
  </sheetData>
  <mergeCells count="14">
    <mergeCell ref="J1:K1"/>
    <mergeCell ref="L1:M1"/>
    <mergeCell ref="A1:A2"/>
    <mergeCell ref="A3:A6"/>
    <mergeCell ref="A7:A9"/>
    <mergeCell ref="A10:A14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 verticalCentered="1"/>
  <pageMargins left="0.550694444444444" right="0.550694444444444" top="1.37777777777778" bottom="0.786805555555556" header="1.29861111111111" footer="0.393055555555556"/>
  <pageSetup paperSize="9" scale="95" orientation="landscape" horizontalDpi="600" verticalDpi="600"/>
  <headerFooter alignWithMargins="0" scaleWithDoc="0">
    <oddHeader>&amp;C&amp;"黑体"&amp;18主城区电锅炉房2026年1月份生产情况报表&amp;R表    号：     ZB016
制表单位：经济运行部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zoomScale="85" zoomScaleNormal="85" zoomScaleSheetLayoutView="60" workbookViewId="0">
      <selection activeCell="A33" sqref="A33:N33"/>
    </sheetView>
  </sheetViews>
  <sheetFormatPr defaultColWidth="8.66666666666667" defaultRowHeight="15.5"/>
  <cols>
    <col min="1" max="1" width="5" style="1" customWidth="1"/>
    <col min="2" max="2" width="11.875" style="1" customWidth="1"/>
    <col min="3" max="3" width="14.875" style="1" customWidth="1"/>
    <col min="4" max="4" width="7.875" style="1" customWidth="1"/>
    <col min="5" max="5" width="10.6666666666667" style="1" customWidth="1"/>
    <col min="6" max="6" width="9.20833333333333" style="1" customWidth="1"/>
    <col min="7" max="7" width="8.13333333333333" style="1" customWidth="1"/>
    <col min="8" max="8" width="9.625" style="1" customWidth="1"/>
    <col min="9" max="9" width="10.6666666666667" style="1" customWidth="1"/>
    <col min="10" max="10" width="7.625" style="1" customWidth="1"/>
    <col min="11" max="11" width="8.5" style="1" customWidth="1"/>
    <col min="12" max="12" width="7.625" style="1" customWidth="1"/>
    <col min="13" max="13" width="9.08333333333333" style="1" customWidth="1"/>
    <col min="14" max="14" width="8" style="1" customWidth="1"/>
    <col min="15" max="15" width="9" style="1"/>
    <col min="16" max="16" width="10.5" style="1"/>
    <col min="17" max="17" width="11.5833333333333" style="1"/>
    <col min="18" max="29" width="9" style="1"/>
    <col min="30" max="16384" width="8.66666666666667" style="1"/>
  </cols>
  <sheetData>
    <row r="1" spans="1:14">
      <c r="A1" s="108" t="s">
        <v>201</v>
      </c>
      <c r="B1" s="109" t="s">
        <v>202</v>
      </c>
      <c r="C1" s="109"/>
      <c r="D1" s="109" t="s">
        <v>2</v>
      </c>
      <c r="E1" s="109" t="s">
        <v>3</v>
      </c>
      <c r="F1" s="109" t="s">
        <v>4</v>
      </c>
      <c r="G1" s="109" t="s">
        <v>5</v>
      </c>
      <c r="H1" s="109" t="s">
        <v>6</v>
      </c>
      <c r="I1" s="109" t="s">
        <v>7</v>
      </c>
      <c r="J1" s="110" t="s">
        <v>203</v>
      </c>
      <c r="K1" s="111" t="s">
        <v>9</v>
      </c>
      <c r="L1" s="109"/>
      <c r="M1" s="111" t="s">
        <v>10</v>
      </c>
      <c r="N1" s="111"/>
    </row>
    <row r="2" spans="1:14">
      <c r="A2" s="112"/>
      <c r="B2" s="113"/>
      <c r="C2" s="113"/>
      <c r="D2" s="113"/>
      <c r="E2" s="113"/>
      <c r="F2" s="113"/>
      <c r="G2" s="113"/>
      <c r="H2" s="113"/>
      <c r="I2" s="113"/>
      <c r="J2" s="114"/>
      <c r="K2" s="113" t="s">
        <v>11</v>
      </c>
      <c r="L2" s="113" t="s">
        <v>12</v>
      </c>
      <c r="M2" s="113" t="s">
        <v>11</v>
      </c>
      <c r="N2" s="113" t="s">
        <v>12</v>
      </c>
    </row>
    <row r="3" ht="14.1" customHeight="1" spans="1:14">
      <c r="A3" s="112">
        <v>1</v>
      </c>
      <c r="B3" s="113" t="s">
        <v>204</v>
      </c>
      <c r="C3" s="113"/>
      <c r="D3" s="113" t="s">
        <v>64</v>
      </c>
      <c r="E3" s="115" t="s">
        <v>65</v>
      </c>
      <c r="F3" s="116" t="s">
        <v>65</v>
      </c>
      <c r="G3" s="117" t="s">
        <v>65</v>
      </c>
      <c r="H3" s="117">
        <v>0.1033</v>
      </c>
      <c r="I3" s="115" t="s">
        <v>65</v>
      </c>
      <c r="J3" s="115" t="s">
        <v>65</v>
      </c>
      <c r="K3" s="115" t="s">
        <v>65</v>
      </c>
      <c r="L3" s="115" t="s">
        <v>65</v>
      </c>
      <c r="M3" s="115" t="s">
        <v>65</v>
      </c>
      <c r="N3" s="115" t="s">
        <v>65</v>
      </c>
    </row>
    <row r="4" ht="14.1" customHeight="1" spans="1:14">
      <c r="A4" s="112">
        <v>2</v>
      </c>
      <c r="B4" s="113" t="s">
        <v>205</v>
      </c>
      <c r="C4" s="113"/>
      <c r="D4" s="113" t="s">
        <v>64</v>
      </c>
      <c r="E4" s="115" t="s">
        <v>65</v>
      </c>
      <c r="F4" s="116" t="s">
        <v>65</v>
      </c>
      <c r="G4" s="117" t="s">
        <v>65</v>
      </c>
      <c r="H4" s="117">
        <v>0.0737</v>
      </c>
      <c r="I4" s="115" t="s">
        <v>65</v>
      </c>
      <c r="J4" s="115" t="s">
        <v>65</v>
      </c>
      <c r="K4" s="115" t="s">
        <v>65</v>
      </c>
      <c r="L4" s="115" t="s">
        <v>65</v>
      </c>
      <c r="M4" s="115" t="s">
        <v>65</v>
      </c>
      <c r="N4" s="115" t="s">
        <v>65</v>
      </c>
    </row>
    <row r="5" ht="14.1" customHeight="1" spans="1:14">
      <c r="A5" s="112">
        <v>3</v>
      </c>
      <c r="B5" s="113" t="s">
        <v>206</v>
      </c>
      <c r="C5" s="113"/>
      <c r="D5" s="113" t="s">
        <v>177</v>
      </c>
      <c r="E5" s="118">
        <v>94</v>
      </c>
      <c r="F5" s="118">
        <v>6</v>
      </c>
      <c r="G5" s="119">
        <v>0</v>
      </c>
      <c r="H5" s="119">
        <v>16</v>
      </c>
      <c r="I5" s="119">
        <v>16</v>
      </c>
      <c r="J5" s="117">
        <v>0.170212765957447</v>
      </c>
      <c r="K5" s="120">
        <f t="shared" ref="K5:K31" si="0">H5-F5</f>
        <v>10</v>
      </c>
      <c r="L5" s="117">
        <f t="shared" ref="L5:L31" si="1">K5/F5</f>
        <v>1.66666666666667</v>
      </c>
      <c r="M5" s="120">
        <f t="shared" ref="M5:M31" si="2">H5-G5</f>
        <v>16</v>
      </c>
      <c r="N5" s="117" t="str">
        <f t="shared" ref="N5:N31" si="3">IFERROR(M5/G5,"-")</f>
        <v>-</v>
      </c>
    </row>
    <row r="6" ht="14.1" customHeight="1" spans="1:14">
      <c r="A6" s="112">
        <v>4</v>
      </c>
      <c r="B6" s="113" t="s">
        <v>207</v>
      </c>
      <c r="C6" s="113"/>
      <c r="D6" s="113" t="s">
        <v>177</v>
      </c>
      <c r="E6" s="118">
        <v>87</v>
      </c>
      <c r="F6" s="118">
        <v>6</v>
      </c>
      <c r="G6" s="119">
        <v>0</v>
      </c>
      <c r="H6" s="119">
        <v>14</v>
      </c>
      <c r="I6" s="119">
        <v>14</v>
      </c>
      <c r="J6" s="117">
        <v>0.160919540229885</v>
      </c>
      <c r="K6" s="120">
        <f t="shared" si="0"/>
        <v>8</v>
      </c>
      <c r="L6" s="117">
        <f t="shared" si="1"/>
        <v>1.33333333333333</v>
      </c>
      <c r="M6" s="120">
        <f t="shared" si="2"/>
        <v>14</v>
      </c>
      <c r="N6" s="117" t="str">
        <f t="shared" si="3"/>
        <v>-</v>
      </c>
    </row>
    <row r="7" ht="14.1" customHeight="1" spans="1:14">
      <c r="A7" s="112">
        <v>5</v>
      </c>
      <c r="B7" s="113" t="s">
        <v>208</v>
      </c>
      <c r="C7" s="113"/>
      <c r="D7" s="113" t="s">
        <v>46</v>
      </c>
      <c r="E7" s="118">
        <v>38910000</v>
      </c>
      <c r="F7" s="118">
        <v>2790000</v>
      </c>
      <c r="G7" s="119">
        <v>363000</v>
      </c>
      <c r="H7" s="119">
        <v>3630000</v>
      </c>
      <c r="I7" s="119">
        <v>3630000</v>
      </c>
      <c r="J7" s="117">
        <v>0.0932922127987664</v>
      </c>
      <c r="K7" s="120">
        <f t="shared" si="0"/>
        <v>840000</v>
      </c>
      <c r="L7" s="117">
        <f t="shared" si="1"/>
        <v>0.301075268817204</v>
      </c>
      <c r="M7" s="120">
        <f t="shared" si="2"/>
        <v>3267000</v>
      </c>
      <c r="N7" s="117">
        <f t="shared" si="3"/>
        <v>9</v>
      </c>
    </row>
    <row r="8" ht="14.1" customHeight="1" spans="1:14">
      <c r="A8" s="121">
        <v>6</v>
      </c>
      <c r="B8" s="122" t="s">
        <v>209</v>
      </c>
      <c r="C8" s="113" t="s">
        <v>210</v>
      </c>
      <c r="D8" s="113" t="s">
        <v>46</v>
      </c>
      <c r="E8" s="118">
        <v>34246615</v>
      </c>
      <c r="F8" s="118">
        <v>2455617</v>
      </c>
      <c r="G8" s="119">
        <v>169050</v>
      </c>
      <c r="H8" s="119">
        <v>3109748</v>
      </c>
      <c r="I8" s="119">
        <v>3109748</v>
      </c>
      <c r="J8" s="117">
        <v>0.0908045364483468</v>
      </c>
      <c r="K8" s="120">
        <f t="shared" si="0"/>
        <v>654131</v>
      </c>
      <c r="L8" s="117">
        <f t="shared" si="1"/>
        <v>0.266381524480406</v>
      </c>
      <c r="M8" s="120">
        <f t="shared" si="2"/>
        <v>2940698</v>
      </c>
      <c r="N8" s="117">
        <f t="shared" si="3"/>
        <v>17.3954333037563</v>
      </c>
    </row>
    <row r="9" ht="14.1" customHeight="1" spans="1:14">
      <c r="A9" s="123"/>
      <c r="B9" s="124"/>
      <c r="C9" s="113" t="s">
        <v>211</v>
      </c>
      <c r="D9" s="113" t="s">
        <v>46</v>
      </c>
      <c r="E9" s="118">
        <v>8219187</v>
      </c>
      <c r="F9" s="118">
        <v>589348</v>
      </c>
      <c r="G9" s="119">
        <v>43400</v>
      </c>
      <c r="H9" s="119">
        <v>1026550</v>
      </c>
      <c r="I9" s="119">
        <v>1026550</v>
      </c>
      <c r="J9" s="117">
        <v>0.124896781153659</v>
      </c>
      <c r="K9" s="120">
        <f t="shared" si="0"/>
        <v>437202</v>
      </c>
      <c r="L9" s="117">
        <f t="shared" si="1"/>
        <v>0.741840135200255</v>
      </c>
      <c r="M9" s="120">
        <f t="shared" si="2"/>
        <v>983150</v>
      </c>
      <c r="N9" s="117">
        <f t="shared" si="3"/>
        <v>22.6532258064516</v>
      </c>
    </row>
    <row r="10" ht="14.1" customHeight="1" spans="1:14">
      <c r="A10" s="123"/>
      <c r="B10" s="124"/>
      <c r="C10" s="113" t="s">
        <v>212</v>
      </c>
      <c r="D10" s="113" t="s">
        <v>46</v>
      </c>
      <c r="E10" s="118">
        <v>8219187</v>
      </c>
      <c r="F10" s="118">
        <v>589348</v>
      </c>
      <c r="G10" s="119">
        <v>43050</v>
      </c>
      <c r="H10" s="119">
        <v>922950</v>
      </c>
      <c r="I10" s="119">
        <v>922950</v>
      </c>
      <c r="J10" s="117">
        <v>0.112292128163041</v>
      </c>
      <c r="K10" s="120">
        <f t="shared" si="0"/>
        <v>333602</v>
      </c>
      <c r="L10" s="117">
        <f t="shared" si="1"/>
        <v>0.566052654798184</v>
      </c>
      <c r="M10" s="120">
        <f t="shared" si="2"/>
        <v>879900</v>
      </c>
      <c r="N10" s="117">
        <f t="shared" si="3"/>
        <v>20.4390243902439</v>
      </c>
    </row>
    <row r="11" ht="14.1" customHeight="1" spans="1:14">
      <c r="A11" s="123"/>
      <c r="B11" s="124"/>
      <c r="C11" s="113" t="s">
        <v>213</v>
      </c>
      <c r="D11" s="113" t="s">
        <v>46</v>
      </c>
      <c r="E11" s="118">
        <v>8219187</v>
      </c>
      <c r="F11" s="118">
        <v>589348</v>
      </c>
      <c r="G11" s="119">
        <v>43050</v>
      </c>
      <c r="H11" s="119">
        <v>326900</v>
      </c>
      <c r="I11" s="119">
        <v>326900</v>
      </c>
      <c r="J11" s="117">
        <v>0.039772790179856</v>
      </c>
      <c r="K11" s="120">
        <f t="shared" si="0"/>
        <v>-262448</v>
      </c>
      <c r="L11" s="117">
        <f t="shared" si="1"/>
        <v>-0.445319234136707</v>
      </c>
      <c r="M11" s="120">
        <f t="shared" si="2"/>
        <v>283850</v>
      </c>
      <c r="N11" s="117">
        <f t="shared" si="3"/>
        <v>6.59349593495935</v>
      </c>
    </row>
    <row r="12" ht="14.1" customHeight="1" spans="1:14">
      <c r="A12" s="125"/>
      <c r="B12" s="126"/>
      <c r="C12" s="113" t="s">
        <v>214</v>
      </c>
      <c r="D12" s="113" t="s">
        <v>46</v>
      </c>
      <c r="E12" s="118">
        <v>9589051</v>
      </c>
      <c r="F12" s="118">
        <v>687572</v>
      </c>
      <c r="G12" s="119">
        <v>39550</v>
      </c>
      <c r="H12" s="119">
        <v>833348</v>
      </c>
      <c r="I12" s="119">
        <v>833348</v>
      </c>
      <c r="J12" s="117">
        <v>0.0869062016668803</v>
      </c>
      <c r="K12" s="120">
        <f t="shared" si="0"/>
        <v>145776</v>
      </c>
      <c r="L12" s="117">
        <f t="shared" si="1"/>
        <v>0.21201561436475</v>
      </c>
      <c r="M12" s="120">
        <f t="shared" si="2"/>
        <v>793798</v>
      </c>
      <c r="N12" s="117">
        <f t="shared" si="3"/>
        <v>20.0707458912769</v>
      </c>
    </row>
    <row r="13" ht="14.1" customHeight="1" spans="1:14">
      <c r="A13" s="112">
        <v>7</v>
      </c>
      <c r="B13" s="113" t="s">
        <v>215</v>
      </c>
      <c r="C13" s="113"/>
      <c r="D13" s="113" t="s">
        <v>46</v>
      </c>
      <c r="E13" s="118">
        <v>21115000</v>
      </c>
      <c r="F13" s="118">
        <v>1430000</v>
      </c>
      <c r="G13" s="119">
        <v>0</v>
      </c>
      <c r="H13" s="119">
        <v>1848000</v>
      </c>
      <c r="I13" s="119">
        <v>1848000</v>
      </c>
      <c r="J13" s="117">
        <v>0.0875207198673928</v>
      </c>
      <c r="K13" s="120">
        <f t="shared" si="0"/>
        <v>418000</v>
      </c>
      <c r="L13" s="117">
        <f t="shared" si="1"/>
        <v>0.292307692307692</v>
      </c>
      <c r="M13" s="120">
        <f t="shared" si="2"/>
        <v>1848000</v>
      </c>
      <c r="N13" s="117" t="str">
        <f t="shared" si="3"/>
        <v>-</v>
      </c>
    </row>
    <row r="14" ht="14.1" customHeight="1" spans="1:14">
      <c r="A14" s="121">
        <v>8</v>
      </c>
      <c r="B14" s="122" t="s">
        <v>216</v>
      </c>
      <c r="C14" s="113" t="s">
        <v>217</v>
      </c>
      <c r="D14" s="113" t="s">
        <v>46</v>
      </c>
      <c r="E14" s="118">
        <v>23736170</v>
      </c>
      <c r="F14" s="118">
        <v>1607517</v>
      </c>
      <c r="G14" s="119">
        <v>0</v>
      </c>
      <c r="H14" s="119">
        <v>1976450</v>
      </c>
      <c r="I14" s="119">
        <v>1976450</v>
      </c>
      <c r="J14" s="117">
        <v>0.0832674353107515</v>
      </c>
      <c r="K14" s="120">
        <f t="shared" si="0"/>
        <v>368933</v>
      </c>
      <c r="L14" s="117">
        <f t="shared" si="1"/>
        <v>0.229504882374494</v>
      </c>
      <c r="M14" s="120">
        <f t="shared" si="2"/>
        <v>1976450</v>
      </c>
      <c r="N14" s="117" t="str">
        <f t="shared" si="3"/>
        <v>-</v>
      </c>
    </row>
    <row r="15" ht="14.1" customHeight="1" spans="1:14">
      <c r="A15" s="123"/>
      <c r="B15" s="124"/>
      <c r="C15" s="113" t="s">
        <v>211</v>
      </c>
      <c r="D15" s="113" t="s">
        <v>46</v>
      </c>
      <c r="E15" s="118">
        <v>5696680</v>
      </c>
      <c r="F15" s="118">
        <v>385804</v>
      </c>
      <c r="G15" s="119">
        <v>0</v>
      </c>
      <c r="H15" s="119">
        <v>663950</v>
      </c>
      <c r="I15" s="119">
        <v>663950</v>
      </c>
      <c r="J15" s="117">
        <v>0.116550341602477</v>
      </c>
      <c r="K15" s="120">
        <f t="shared" si="0"/>
        <v>278146</v>
      </c>
      <c r="L15" s="117">
        <f t="shared" si="1"/>
        <v>0.720951571264165</v>
      </c>
      <c r="M15" s="120">
        <f t="shared" si="2"/>
        <v>663950</v>
      </c>
      <c r="N15" s="117" t="str">
        <f t="shared" si="3"/>
        <v>-</v>
      </c>
    </row>
    <row r="16" ht="14.1" customHeight="1" spans="1:14">
      <c r="A16" s="123"/>
      <c r="B16" s="124"/>
      <c r="C16" s="113" t="s">
        <v>212</v>
      </c>
      <c r="D16" s="113" t="s">
        <v>46</v>
      </c>
      <c r="E16" s="118">
        <v>5696680</v>
      </c>
      <c r="F16" s="118">
        <v>385804</v>
      </c>
      <c r="G16" s="119">
        <v>0</v>
      </c>
      <c r="H16" s="119">
        <v>590100</v>
      </c>
      <c r="I16" s="119">
        <v>590100</v>
      </c>
      <c r="J16" s="117">
        <v>0.103586650470098</v>
      </c>
      <c r="K16" s="120">
        <f t="shared" si="0"/>
        <v>204296</v>
      </c>
      <c r="L16" s="117">
        <f t="shared" si="1"/>
        <v>0.529533130812537</v>
      </c>
      <c r="M16" s="120">
        <f t="shared" si="2"/>
        <v>590100</v>
      </c>
      <c r="N16" s="117" t="str">
        <f t="shared" si="3"/>
        <v>-</v>
      </c>
    </row>
    <row r="17" ht="14.1" customHeight="1" spans="1:14">
      <c r="A17" s="123"/>
      <c r="B17" s="124"/>
      <c r="C17" s="113" t="s">
        <v>213</v>
      </c>
      <c r="D17" s="113" t="s">
        <v>46</v>
      </c>
      <c r="E17" s="118">
        <v>5696680</v>
      </c>
      <c r="F17" s="118">
        <v>385804</v>
      </c>
      <c r="G17" s="119">
        <v>0</v>
      </c>
      <c r="H17" s="119">
        <v>210000</v>
      </c>
      <c r="I17" s="119">
        <v>210000</v>
      </c>
      <c r="J17" s="117">
        <v>0.0368635766797503</v>
      </c>
      <c r="K17" s="120">
        <f t="shared" si="0"/>
        <v>-175804</v>
      </c>
      <c r="L17" s="117">
        <f t="shared" si="1"/>
        <v>-0.45568215985319</v>
      </c>
      <c r="M17" s="120">
        <f t="shared" si="2"/>
        <v>210000</v>
      </c>
      <c r="N17" s="117" t="str">
        <f t="shared" si="3"/>
        <v>-</v>
      </c>
    </row>
    <row r="18" ht="14.1" customHeight="1" spans="1:14">
      <c r="A18" s="125"/>
      <c r="B18" s="126"/>
      <c r="C18" s="113" t="s">
        <v>214</v>
      </c>
      <c r="D18" s="113" t="s">
        <v>46</v>
      </c>
      <c r="E18" s="118">
        <v>6646129</v>
      </c>
      <c r="F18" s="118">
        <v>450105</v>
      </c>
      <c r="G18" s="119">
        <v>0</v>
      </c>
      <c r="H18" s="119">
        <v>512400</v>
      </c>
      <c r="I18" s="119">
        <v>512400</v>
      </c>
      <c r="J18" s="117">
        <v>0.0770975104455541</v>
      </c>
      <c r="K18" s="120">
        <f t="shared" si="0"/>
        <v>62295</v>
      </c>
      <c r="L18" s="117">
        <f t="shared" si="1"/>
        <v>0.13840103975739</v>
      </c>
      <c r="M18" s="120">
        <f t="shared" si="2"/>
        <v>512400</v>
      </c>
      <c r="N18" s="117" t="str">
        <f t="shared" si="3"/>
        <v>-</v>
      </c>
    </row>
    <row r="19" ht="14.1" customHeight="1" spans="1:14">
      <c r="A19" s="112">
        <v>9</v>
      </c>
      <c r="B19" s="113" t="s">
        <v>137</v>
      </c>
      <c r="C19" s="113" t="s">
        <v>218</v>
      </c>
      <c r="D19" s="113" t="s">
        <v>46</v>
      </c>
      <c r="E19" s="118">
        <v>6212227</v>
      </c>
      <c r="F19" s="118">
        <v>445441</v>
      </c>
      <c r="G19" s="119">
        <v>148365</v>
      </c>
      <c r="H19" s="119">
        <v>594160</v>
      </c>
      <c r="I19" s="119">
        <v>594160</v>
      </c>
      <c r="J19" s="117">
        <v>0.0956436395514845</v>
      </c>
      <c r="K19" s="120">
        <f t="shared" si="0"/>
        <v>148719</v>
      </c>
      <c r="L19" s="117">
        <f t="shared" si="1"/>
        <v>0.33386913193891</v>
      </c>
      <c r="M19" s="120">
        <f t="shared" si="2"/>
        <v>445795</v>
      </c>
      <c r="N19" s="117">
        <f t="shared" si="3"/>
        <v>3.00471809389007</v>
      </c>
    </row>
    <row r="20" ht="14.1" customHeight="1" spans="1:14">
      <c r="A20" s="112"/>
      <c r="B20" s="113"/>
      <c r="C20" s="113" t="s">
        <v>219</v>
      </c>
      <c r="D20" s="113" t="s">
        <v>46</v>
      </c>
      <c r="E20" s="118">
        <v>5406596</v>
      </c>
      <c r="F20" s="118">
        <v>387674</v>
      </c>
      <c r="G20" s="119">
        <v>67200</v>
      </c>
      <c r="H20" s="119">
        <v>480165</v>
      </c>
      <c r="I20" s="119">
        <v>480165</v>
      </c>
      <c r="J20" s="117">
        <v>0.0888109634971801</v>
      </c>
      <c r="K20" s="120">
        <f t="shared" si="0"/>
        <v>92491</v>
      </c>
      <c r="L20" s="117">
        <f t="shared" si="1"/>
        <v>0.238579321801307</v>
      </c>
      <c r="M20" s="120">
        <f t="shared" si="2"/>
        <v>412965</v>
      </c>
      <c r="N20" s="117">
        <f t="shared" si="3"/>
        <v>6.1453125</v>
      </c>
    </row>
    <row r="21" ht="14.1" customHeight="1" spans="1:14">
      <c r="A21" s="112"/>
      <c r="B21" s="113"/>
      <c r="C21" s="113" t="s">
        <v>220</v>
      </c>
      <c r="D21" s="113" t="s">
        <v>46</v>
      </c>
      <c r="E21" s="118">
        <v>1297583</v>
      </c>
      <c r="F21" s="118">
        <v>90910</v>
      </c>
      <c r="G21" s="119">
        <v>16695</v>
      </c>
      <c r="H21" s="119">
        <v>144830</v>
      </c>
      <c r="I21" s="119">
        <v>144830</v>
      </c>
      <c r="J21" s="117">
        <v>0.111615210741818</v>
      </c>
      <c r="K21" s="120">
        <f t="shared" si="0"/>
        <v>53920</v>
      </c>
      <c r="L21" s="117">
        <f t="shared" si="1"/>
        <v>0.593114068859311</v>
      </c>
      <c r="M21" s="120">
        <f t="shared" si="2"/>
        <v>128135</v>
      </c>
      <c r="N21" s="117">
        <f t="shared" si="3"/>
        <v>7.67505241090147</v>
      </c>
    </row>
    <row r="22" ht="14.1" customHeight="1" spans="1:14">
      <c r="A22" s="112"/>
      <c r="B22" s="113"/>
      <c r="C22" s="113" t="s">
        <v>221</v>
      </c>
      <c r="D22" s="113" t="s">
        <v>46</v>
      </c>
      <c r="E22" s="118">
        <v>1297583</v>
      </c>
      <c r="F22" s="118">
        <v>90910</v>
      </c>
      <c r="G22" s="119">
        <v>16765</v>
      </c>
      <c r="H22" s="119">
        <v>130095</v>
      </c>
      <c r="I22" s="119">
        <v>130095</v>
      </c>
      <c r="J22" s="117">
        <v>0.100259482437732</v>
      </c>
      <c r="K22" s="120">
        <f t="shared" si="0"/>
        <v>39185</v>
      </c>
      <c r="L22" s="117">
        <f t="shared" si="1"/>
        <v>0.431030689693103</v>
      </c>
      <c r="M22" s="120">
        <f t="shared" si="2"/>
        <v>113330</v>
      </c>
      <c r="N22" s="117">
        <f t="shared" si="3"/>
        <v>6.75991649269311</v>
      </c>
    </row>
    <row r="23" ht="14.1" customHeight="1" spans="1:14">
      <c r="A23" s="112"/>
      <c r="B23" s="113"/>
      <c r="C23" s="113" t="s">
        <v>222</v>
      </c>
      <c r="D23" s="113" t="s">
        <v>46</v>
      </c>
      <c r="E23" s="118">
        <v>1297583</v>
      </c>
      <c r="F23" s="118">
        <v>90910</v>
      </c>
      <c r="G23" s="119">
        <v>22470</v>
      </c>
      <c r="H23" s="119">
        <v>65800</v>
      </c>
      <c r="I23" s="119">
        <v>65800</v>
      </c>
      <c r="J23" s="117">
        <v>0.0507096655859394</v>
      </c>
      <c r="K23" s="120">
        <f t="shared" si="0"/>
        <v>-25110</v>
      </c>
      <c r="L23" s="117">
        <f t="shared" si="1"/>
        <v>-0.276207237927621</v>
      </c>
      <c r="M23" s="120">
        <f t="shared" si="2"/>
        <v>43330</v>
      </c>
      <c r="N23" s="117">
        <f t="shared" si="3"/>
        <v>1.92834890965732</v>
      </c>
    </row>
    <row r="24" ht="14.1" customHeight="1" spans="1:14">
      <c r="A24" s="112"/>
      <c r="B24" s="113"/>
      <c r="C24" s="113" t="s">
        <v>223</v>
      </c>
      <c r="D24" s="113" t="s">
        <v>46</v>
      </c>
      <c r="E24" s="118">
        <v>1513847</v>
      </c>
      <c r="F24" s="118">
        <v>114944</v>
      </c>
      <c r="G24" s="119">
        <v>11270</v>
      </c>
      <c r="H24" s="119">
        <v>139440</v>
      </c>
      <c r="I24" s="119">
        <v>139440</v>
      </c>
      <c r="J24" s="117">
        <v>0.0921097046134781</v>
      </c>
      <c r="K24" s="120">
        <f t="shared" si="0"/>
        <v>24496</v>
      </c>
      <c r="L24" s="117">
        <f t="shared" si="1"/>
        <v>0.213112472160356</v>
      </c>
      <c r="M24" s="120">
        <f t="shared" si="2"/>
        <v>128170</v>
      </c>
      <c r="N24" s="117">
        <f t="shared" si="3"/>
        <v>11.3726708074534</v>
      </c>
    </row>
    <row r="25" ht="14.1" customHeight="1" spans="1:14">
      <c r="A25" s="112"/>
      <c r="B25" s="113"/>
      <c r="C25" s="113" t="s">
        <v>224</v>
      </c>
      <c r="D25" s="113" t="s">
        <v>46</v>
      </c>
      <c r="E25" s="118">
        <v>801517</v>
      </c>
      <c r="F25" s="118">
        <v>57472</v>
      </c>
      <c r="G25" s="119">
        <v>80255</v>
      </c>
      <c r="H25" s="119">
        <v>112000</v>
      </c>
      <c r="I25" s="119">
        <v>112000</v>
      </c>
      <c r="J25" s="117">
        <v>0.13973502745419</v>
      </c>
      <c r="K25" s="120">
        <f t="shared" si="0"/>
        <v>54528</v>
      </c>
      <c r="L25" s="117">
        <f t="shared" si="1"/>
        <v>0.948775055679287</v>
      </c>
      <c r="M25" s="120">
        <f t="shared" si="2"/>
        <v>31745</v>
      </c>
      <c r="N25" s="117">
        <f t="shared" si="3"/>
        <v>0.395551679023114</v>
      </c>
    </row>
    <row r="26" ht="14.1" customHeight="1" spans="1:14">
      <c r="A26" s="112"/>
      <c r="B26" s="113"/>
      <c r="C26" s="113" t="s">
        <v>225</v>
      </c>
      <c r="D26" s="113" t="s">
        <v>46</v>
      </c>
      <c r="E26" s="118">
        <v>349753</v>
      </c>
      <c r="F26" s="118">
        <v>25079</v>
      </c>
      <c r="G26" s="119">
        <v>42665</v>
      </c>
      <c r="H26" s="119">
        <v>53515</v>
      </c>
      <c r="I26" s="119">
        <v>53515</v>
      </c>
      <c r="J26" s="117">
        <v>0.153007979917256</v>
      </c>
      <c r="K26" s="120">
        <f t="shared" si="0"/>
        <v>28436</v>
      </c>
      <c r="L26" s="117">
        <f t="shared" si="1"/>
        <v>1.13385701184258</v>
      </c>
      <c r="M26" s="120">
        <f t="shared" si="2"/>
        <v>10850</v>
      </c>
      <c r="N26" s="117">
        <f t="shared" si="3"/>
        <v>0.254306808859721</v>
      </c>
    </row>
    <row r="27" ht="14.1" customHeight="1" spans="1:14">
      <c r="A27" s="112"/>
      <c r="B27" s="113"/>
      <c r="C27" s="113" t="s">
        <v>226</v>
      </c>
      <c r="D27" s="113" t="s">
        <v>46</v>
      </c>
      <c r="E27" s="118">
        <v>451764</v>
      </c>
      <c r="F27" s="118">
        <v>32393</v>
      </c>
      <c r="G27" s="119">
        <v>37590</v>
      </c>
      <c r="H27" s="119">
        <v>58485</v>
      </c>
      <c r="I27" s="119">
        <v>58485</v>
      </c>
      <c r="J27" s="117">
        <v>0.129459186654979</v>
      </c>
      <c r="K27" s="120">
        <f t="shared" si="0"/>
        <v>26092</v>
      </c>
      <c r="L27" s="117">
        <f t="shared" si="1"/>
        <v>0.805482666008088</v>
      </c>
      <c r="M27" s="120">
        <f t="shared" si="2"/>
        <v>20895</v>
      </c>
      <c r="N27" s="117">
        <f t="shared" si="3"/>
        <v>0.55586592178771</v>
      </c>
    </row>
    <row r="28" ht="14.1" customHeight="1" spans="1:14">
      <c r="A28" s="112"/>
      <c r="B28" s="113"/>
      <c r="C28" s="113" t="s">
        <v>227</v>
      </c>
      <c r="D28" s="113" t="s">
        <v>46</v>
      </c>
      <c r="E28" s="118">
        <v>22800</v>
      </c>
      <c r="F28" s="118">
        <v>1900</v>
      </c>
      <c r="G28" s="119">
        <v>910</v>
      </c>
      <c r="H28" s="119">
        <v>1995</v>
      </c>
      <c r="I28" s="119">
        <v>1995</v>
      </c>
      <c r="J28" s="117">
        <v>0.0875</v>
      </c>
      <c r="K28" s="120">
        <f t="shared" si="0"/>
        <v>95</v>
      </c>
      <c r="L28" s="117">
        <f t="shared" si="1"/>
        <v>0.05</v>
      </c>
      <c r="M28" s="120">
        <f t="shared" si="2"/>
        <v>1085</v>
      </c>
      <c r="N28" s="117">
        <f t="shared" si="3"/>
        <v>1.19230769230769</v>
      </c>
    </row>
    <row r="29" ht="14.1" customHeight="1" spans="1:14">
      <c r="A29" s="112">
        <v>10</v>
      </c>
      <c r="B29" s="113" t="s">
        <v>31</v>
      </c>
      <c r="C29" s="113"/>
      <c r="D29" s="113" t="s">
        <v>17</v>
      </c>
      <c r="E29" s="118">
        <v>81500</v>
      </c>
      <c r="F29" s="118">
        <v>5000</v>
      </c>
      <c r="G29" s="119">
        <v>143</v>
      </c>
      <c r="H29" s="119">
        <v>8771</v>
      </c>
      <c r="I29" s="119">
        <v>8771</v>
      </c>
      <c r="J29" s="117">
        <v>0.10761963190184</v>
      </c>
      <c r="K29" s="120">
        <f t="shared" si="0"/>
        <v>3771</v>
      </c>
      <c r="L29" s="117">
        <f t="shared" si="1"/>
        <v>0.7542</v>
      </c>
      <c r="M29" s="120">
        <f t="shared" si="2"/>
        <v>8628</v>
      </c>
      <c r="N29" s="117">
        <f t="shared" si="3"/>
        <v>60.3356643356643</v>
      </c>
    </row>
    <row r="30" ht="14.1" customHeight="1" spans="1:14">
      <c r="A30" s="112">
        <v>11</v>
      </c>
      <c r="B30" s="127" t="s">
        <v>228</v>
      </c>
      <c r="C30" s="113"/>
      <c r="D30" s="113" t="s">
        <v>64</v>
      </c>
      <c r="E30" s="128">
        <v>0.57543883978982</v>
      </c>
      <c r="F30" s="128">
        <v>0.540300512450351</v>
      </c>
      <c r="G30" s="128">
        <v>0</v>
      </c>
      <c r="H30" s="128">
        <v>0.525151367910327</v>
      </c>
      <c r="I30" s="117">
        <v>0.525151367910327</v>
      </c>
      <c r="J30" s="117">
        <v>0.912610223011952</v>
      </c>
      <c r="K30" s="117">
        <f t="shared" si="0"/>
        <v>-0.015149144540024</v>
      </c>
      <c r="L30" s="117">
        <f t="shared" si="1"/>
        <v>-0.0280383678914539</v>
      </c>
      <c r="M30" s="117">
        <f t="shared" si="2"/>
        <v>0.525151367910327</v>
      </c>
      <c r="N30" s="117" t="str">
        <f t="shared" si="3"/>
        <v>-</v>
      </c>
    </row>
    <row r="31" ht="14.1" customHeight="1" spans="1:14">
      <c r="A31" s="129">
        <v>12</v>
      </c>
      <c r="B31" s="130" t="s">
        <v>229</v>
      </c>
      <c r="C31" s="130"/>
      <c r="D31" s="130" t="s">
        <v>64</v>
      </c>
      <c r="E31" s="131">
        <v>0.54266255461321</v>
      </c>
      <c r="F31" s="132">
        <v>0.512544802867383</v>
      </c>
      <c r="G31" s="133">
        <v>0</v>
      </c>
      <c r="H31" s="133">
        <v>0.509090909090909</v>
      </c>
      <c r="I31" s="133">
        <v>0.509090909090909</v>
      </c>
      <c r="J31" s="133">
        <v>0.938135319570318</v>
      </c>
      <c r="K31" s="133">
        <f t="shared" si="0"/>
        <v>-0.00345389377647398</v>
      </c>
      <c r="L31" s="133">
        <f t="shared" si="1"/>
        <v>-0.00673871582962407</v>
      </c>
      <c r="M31" s="134">
        <f t="shared" si="2"/>
        <v>0.509090909090909</v>
      </c>
      <c r="N31" s="117" t="str">
        <f t="shared" si="3"/>
        <v>-</v>
      </c>
    </row>
    <row r="33" s="107" customFormat="1" ht="31" customHeight="1" spans="1:14">
      <c r="A33" s="135" t="s">
        <v>230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</row>
    <row r="34" spans="1:14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</row>
  </sheetData>
  <mergeCells count="28">
    <mergeCell ref="K1:L1"/>
    <mergeCell ref="M1:N1"/>
    <mergeCell ref="B3:C3"/>
    <mergeCell ref="B4:C4"/>
    <mergeCell ref="B5:C5"/>
    <mergeCell ref="B6:C6"/>
    <mergeCell ref="B7:C7"/>
    <mergeCell ref="B13:C13"/>
    <mergeCell ref="B29:C29"/>
    <mergeCell ref="B30:C30"/>
    <mergeCell ref="B31:C31"/>
    <mergeCell ref="A33:N33"/>
    <mergeCell ref="A34:N34"/>
    <mergeCell ref="A1:A2"/>
    <mergeCell ref="A8:A12"/>
    <mergeCell ref="A14:A18"/>
    <mergeCell ref="A19:A28"/>
    <mergeCell ref="B8:B12"/>
    <mergeCell ref="B14:B18"/>
    <mergeCell ref="B19:B28"/>
    <mergeCell ref="D1:D2"/>
    <mergeCell ref="E1:E2"/>
    <mergeCell ref="F1:F2"/>
    <mergeCell ref="G1:G2"/>
    <mergeCell ref="H1:H2"/>
    <mergeCell ref="I1:I2"/>
    <mergeCell ref="J1:J2"/>
    <mergeCell ref="B1:C2"/>
  </mergeCells>
  <printOptions horizontalCentered="1" verticalCentered="1"/>
  <pageMargins left="0.393055555555556" right="0.472222222222222" top="1.22013888888889" bottom="0.432638888888889" header="0.708333333333333" footer="0.314583333333333"/>
  <pageSetup paperSize="9" scale="95" orientation="landscape" horizontalDpi="600"/>
  <headerFooter>
    <oddHeader>&amp;C&amp;"黑体"&amp;18大连恒流储能电站有限公司2026年1月份主要经营指标统计表&amp;R表    号：     ZB015
制表单位：经济运行部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showGridLines="0" zoomScale="85" zoomScaleNormal="85" zoomScaleSheetLayoutView="60" workbookViewId="0">
      <selection activeCell="D5" sqref="A1:G14"/>
    </sheetView>
  </sheetViews>
  <sheetFormatPr defaultColWidth="8.66666666666667" defaultRowHeight="13" outlineLevelCol="7"/>
  <cols>
    <col min="1" max="1" width="9.275" style="66" customWidth="1"/>
    <col min="2" max="2" width="16.875" style="67" customWidth="1"/>
    <col min="3" max="3" width="13.125" style="66" customWidth="1"/>
    <col min="4" max="7" width="21.125" style="68" customWidth="1"/>
    <col min="8" max="32" width="9" style="67"/>
    <col min="33" max="16384" width="8.66666666666667" style="67"/>
  </cols>
  <sheetData>
    <row r="1" s="63" customFormat="1" ht="27.95" customHeight="1" spans="1:8">
      <c r="A1" s="69" t="s">
        <v>84</v>
      </c>
      <c r="B1" s="70" t="s">
        <v>85</v>
      </c>
      <c r="C1" s="70" t="s">
        <v>2</v>
      </c>
      <c r="D1" s="71" t="s">
        <v>6</v>
      </c>
      <c r="E1" s="72"/>
      <c r="F1" s="71" t="s">
        <v>7</v>
      </c>
      <c r="G1" s="71"/>
      <c r="H1" s="73"/>
    </row>
    <row r="2" s="63" customFormat="1" ht="27.95" customHeight="1" spans="1:8">
      <c r="A2" s="74"/>
      <c r="B2" s="75"/>
      <c r="C2" s="75"/>
      <c r="D2" s="14" t="s">
        <v>231</v>
      </c>
      <c r="E2" s="76" t="s">
        <v>232</v>
      </c>
      <c r="F2" s="77" t="s">
        <v>231</v>
      </c>
      <c r="G2" s="15" t="s">
        <v>232</v>
      </c>
      <c r="H2" s="73"/>
    </row>
    <row r="3" s="64" customFormat="1" ht="30" customHeight="1" spans="1:8">
      <c r="A3" s="78" t="s">
        <v>87</v>
      </c>
      <c r="B3" s="79" t="s">
        <v>133</v>
      </c>
      <c r="C3" s="80" t="s">
        <v>134</v>
      </c>
      <c r="D3" s="81">
        <f>'[7]26.1'!$D$71</f>
        <v>217</v>
      </c>
      <c r="E3" s="81">
        <f>'[7]26.1'!$E$71</f>
        <v>1.4</v>
      </c>
      <c r="F3" s="81">
        <f>'[7]26.1'!$F$71</f>
        <v>217</v>
      </c>
      <c r="G3" s="81">
        <f>'[7]26.1'!$G$71</f>
        <v>1.4</v>
      </c>
      <c r="H3" s="82"/>
    </row>
    <row r="4" s="64" customFormat="1" ht="30" customHeight="1" spans="1:8">
      <c r="A4" s="78"/>
      <c r="B4" s="83" t="s">
        <v>27</v>
      </c>
      <c r="C4" s="84" t="s">
        <v>17</v>
      </c>
      <c r="D4" s="81">
        <f>'[7]26.1'!$D$72</f>
        <v>0</v>
      </c>
      <c r="E4" s="81">
        <f>'[7]26.1'!$E$72</f>
        <v>0</v>
      </c>
      <c r="F4" s="81">
        <f>'[7]26.1'!$F$72</f>
        <v>0</v>
      </c>
      <c r="G4" s="81">
        <f>'[7]26.1'!$G$72</f>
        <v>0</v>
      </c>
      <c r="H4" s="82"/>
    </row>
    <row r="5" s="64" customFormat="1" ht="30" customHeight="1" spans="1:8">
      <c r="A5" s="85"/>
      <c r="B5" s="86" t="s">
        <v>24</v>
      </c>
      <c r="C5" s="87" t="s">
        <v>19</v>
      </c>
      <c r="D5" s="88">
        <f>'[7]26.1'!$D$73</f>
        <v>0</v>
      </c>
      <c r="E5" s="88">
        <f>'[7]26.1'!$E$73</f>
        <v>0</v>
      </c>
      <c r="F5" s="88">
        <f>'[7]26.1'!$F$73</f>
        <v>0</v>
      </c>
      <c r="G5" s="88">
        <f>'[7]26.1'!$G$73</f>
        <v>0</v>
      </c>
      <c r="H5" s="82"/>
    </row>
    <row r="6" s="64" customFormat="1" ht="30" customHeight="1" spans="1:8">
      <c r="A6" s="78" t="s">
        <v>90</v>
      </c>
      <c r="B6" s="89" t="s">
        <v>233</v>
      </c>
      <c r="C6" s="84" t="s">
        <v>234</v>
      </c>
      <c r="D6" s="81">
        <f>'[7]26.1'!$D$74</f>
        <v>0</v>
      </c>
      <c r="E6" s="81">
        <f>'[7]26.1'!$E$74</f>
        <v>0</v>
      </c>
      <c r="F6" s="81">
        <f>'[7]26.1'!$F$74</f>
        <v>0</v>
      </c>
      <c r="G6" s="81">
        <f>'[7]26.1'!$G$74</f>
        <v>0</v>
      </c>
      <c r="H6" s="82"/>
    </row>
    <row r="7" s="64" customFormat="1" ht="30" customHeight="1" spans="1:8">
      <c r="A7" s="78"/>
      <c r="B7" s="83" t="s">
        <v>55</v>
      </c>
      <c r="C7" s="84" t="s">
        <v>17</v>
      </c>
      <c r="D7" s="81">
        <f>'[7]26.1'!$D$75</f>
        <v>0</v>
      </c>
      <c r="E7" s="81">
        <f>'[7]26.1'!$E$75</f>
        <v>0</v>
      </c>
      <c r="F7" s="81">
        <f>'[7]26.1'!$F$75</f>
        <v>0</v>
      </c>
      <c r="G7" s="81">
        <f>'[7]26.1'!$G$75</f>
        <v>0</v>
      </c>
      <c r="H7" s="82"/>
    </row>
    <row r="8" s="64" customFormat="1" ht="30" customHeight="1" spans="1:8">
      <c r="A8" s="78"/>
      <c r="B8" s="83" t="s">
        <v>31</v>
      </c>
      <c r="C8" s="84" t="s">
        <v>17</v>
      </c>
      <c r="D8" s="81">
        <f>'[7]26.1'!$D$76</f>
        <v>0</v>
      </c>
      <c r="E8" s="90">
        <f>'[7]26.1'!$E$76</f>
        <v>0</v>
      </c>
      <c r="F8" s="81">
        <f>'[7]26.1'!$F$76</f>
        <v>0</v>
      </c>
      <c r="G8" s="90">
        <f>'[7]26.1'!$G$76</f>
        <v>0</v>
      </c>
      <c r="H8" s="82"/>
    </row>
    <row r="9" s="64" customFormat="1" ht="30" customHeight="1" spans="1:8">
      <c r="A9" s="85"/>
      <c r="B9" s="86" t="s">
        <v>137</v>
      </c>
      <c r="C9" s="87" t="s">
        <v>46</v>
      </c>
      <c r="D9" s="88">
        <f>'[7]26.1'!$D$77</f>
        <v>0</v>
      </c>
      <c r="E9" s="91">
        <f>'[7]26.1'!$E$77</f>
        <v>0</v>
      </c>
      <c r="F9" s="88">
        <f>'[7]26.1'!$F$77</f>
        <v>0</v>
      </c>
      <c r="G9" s="91">
        <f>'[7]26.1'!$G$77</f>
        <v>0</v>
      </c>
      <c r="H9" s="82"/>
    </row>
    <row r="10" s="64" customFormat="1" ht="30" customHeight="1" spans="1:8">
      <c r="A10" s="92" t="s">
        <v>193</v>
      </c>
      <c r="B10" s="83" t="s">
        <v>140</v>
      </c>
      <c r="C10" s="84" t="s">
        <v>125</v>
      </c>
      <c r="D10" s="93" t="e">
        <f>'[7]26.1'!$D$78</f>
        <v>#DIV/0!</v>
      </c>
      <c r="E10" s="94">
        <f>'[7]26.1'!$E$78</f>
        <v>0</v>
      </c>
      <c r="F10" s="93" t="e">
        <f>'[7]26.1'!$F$78</f>
        <v>#DIV/0!</v>
      </c>
      <c r="G10" s="94">
        <f>'[7]26.1'!$G$78</f>
        <v>0</v>
      </c>
      <c r="H10" s="82"/>
    </row>
    <row r="11" s="64" customFormat="1" ht="30" customHeight="1" spans="1:8">
      <c r="A11" s="95"/>
      <c r="B11" s="83" t="s">
        <v>69</v>
      </c>
      <c r="C11" s="84" t="s">
        <v>70</v>
      </c>
      <c r="D11" s="96" t="e">
        <f>'[7]26.1'!$D$79</f>
        <v>#DIV/0!</v>
      </c>
      <c r="E11" s="96" t="e">
        <f>'[7]26.1'!$E$79</f>
        <v>#DIV/0!</v>
      </c>
      <c r="F11" s="96" t="e">
        <f>'[7]26.1'!$F$79</f>
        <v>#DIV/0!</v>
      </c>
      <c r="G11" s="96" t="e">
        <f>'[7]26.1'!$G$79</f>
        <v>#DIV/0!</v>
      </c>
      <c r="H11" s="82"/>
    </row>
    <row r="12" s="64" customFormat="1" ht="30" customHeight="1" spans="1:8">
      <c r="A12" s="95"/>
      <c r="B12" s="89" t="s">
        <v>235</v>
      </c>
      <c r="C12" s="84" t="s">
        <v>236</v>
      </c>
      <c r="D12" s="96">
        <f>'[7]26.1'!$D$80</f>
        <v>0</v>
      </c>
      <c r="E12" s="96">
        <f>'[7]26.1'!$E$80</f>
        <v>0</v>
      </c>
      <c r="F12" s="96" t="e">
        <f>'[7]26.1'!$F$80</f>
        <v>#DIV/0!</v>
      </c>
      <c r="G12" s="96" t="e">
        <f>'[7]26.1'!$G$80</f>
        <v>#DIV/0!</v>
      </c>
      <c r="H12" s="82"/>
    </row>
    <row r="13" s="64" customFormat="1" ht="30" customHeight="1" spans="1:8">
      <c r="A13" s="95"/>
      <c r="B13" s="83" t="s">
        <v>141</v>
      </c>
      <c r="C13" s="97" t="s">
        <v>64</v>
      </c>
      <c r="D13" s="98" t="e">
        <f>'[7]26.1'!$D$81</f>
        <v>#DIV/0!</v>
      </c>
      <c r="E13" s="98" t="e">
        <f>'[7]26.1'!$E$81</f>
        <v>#DIV/0!</v>
      </c>
      <c r="F13" s="98" t="e">
        <f>'[7]26.1'!$F$81</f>
        <v>#DIV/0!</v>
      </c>
      <c r="G13" s="98" t="e">
        <f>'[7]26.1'!$G$81</f>
        <v>#DIV/0!</v>
      </c>
      <c r="H13" s="82"/>
    </row>
    <row r="14" s="64" customFormat="1" ht="30" customHeight="1" spans="1:8">
      <c r="A14" s="99"/>
      <c r="B14" s="100" t="s">
        <v>142</v>
      </c>
      <c r="C14" s="101" t="s">
        <v>64</v>
      </c>
      <c r="D14" s="102">
        <f>'[7]26.1'!$D$82</f>
        <v>0</v>
      </c>
      <c r="E14" s="102">
        <f>'[7]26.1'!$E$82</f>
        <v>0</v>
      </c>
      <c r="F14" s="102">
        <f>'[7]26.1'!$F$82</f>
        <v>0</v>
      </c>
      <c r="G14" s="102">
        <f>'[7]26.1'!$G$82</f>
        <v>0</v>
      </c>
      <c r="H14" s="82"/>
    </row>
    <row r="15" s="65" customFormat="1" ht="25.5" customHeight="1" spans="1:8">
      <c r="A15" s="103"/>
      <c r="B15" s="103"/>
      <c r="C15" s="104"/>
      <c r="D15" s="103"/>
      <c r="F15" s="105"/>
      <c r="G15" s="105"/>
    </row>
    <row r="16" spans="1:8">
      <c r="D16" s="106"/>
      <c r="E16" s="106"/>
      <c r="F16" s="106"/>
      <c r="G16" s="106"/>
    </row>
  </sheetData>
  <mergeCells count="8">
    <mergeCell ref="D1:E1"/>
    <mergeCell ref="F1:G1"/>
    <mergeCell ref="A1:A2"/>
    <mergeCell ref="A3:A5"/>
    <mergeCell ref="A6:A9"/>
    <mergeCell ref="A10:A14"/>
    <mergeCell ref="B1:B2"/>
    <mergeCell ref="C1:C2"/>
  </mergeCells>
  <printOptions horizontalCentered="1" verticalCentered="1"/>
  <pageMargins left="0.747916666666667" right="0.747916666666667" top="1.33819444444444" bottom="0.984027777777778" header="0.865972222222222" footer="0.511805555555556"/>
  <pageSetup paperSize="9" scale="98" fitToHeight="0" orientation="landscape" horizontalDpi="600" verticalDpi="600"/>
  <headerFooter alignWithMargins="0" scaleWithDoc="0">
    <oddHeader>&amp;C&amp;"黑体"&amp;18集团天然气锅炉2026年1月份生产情况报表&amp;R表    号：     ZB017
制表单位：经济运行部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zoomScale="85" zoomScaleNormal="85" zoomScaleSheetLayoutView="60" workbookViewId="0">
      <selection activeCell="G6" sqref="G6"/>
    </sheetView>
  </sheetViews>
  <sheetFormatPr defaultColWidth="9" defaultRowHeight="15"/>
  <cols>
    <col min="1" max="1" width="6.625" style="2" customWidth="1"/>
    <col min="2" max="2" width="13.875" style="2" customWidth="1"/>
    <col min="3" max="3" width="14.25" style="2" customWidth="1"/>
    <col min="4" max="4" width="8.125" style="2" customWidth="1"/>
    <col min="5" max="5" width="11.125" style="2" customWidth="1"/>
    <col min="6" max="6" width="10.95" style="2" customWidth="1"/>
    <col min="7" max="8" width="11.125" style="2" customWidth="1"/>
    <col min="9" max="9" width="14.25" style="2" customWidth="1"/>
    <col min="10" max="11" width="10.125" style="2" customWidth="1"/>
    <col min="12" max="16384" width="9" style="2"/>
  </cols>
  <sheetData>
    <row r="1" ht="24.95" customHeight="1" spans="1:14">
      <c r="A1" s="3" t="s">
        <v>202</v>
      </c>
      <c r="B1" s="4"/>
      <c r="C1" s="5" t="s">
        <v>2</v>
      </c>
      <c r="D1" s="6" t="s">
        <v>237</v>
      </c>
      <c r="E1" s="6" t="s">
        <v>3</v>
      </c>
      <c r="F1" s="6" t="s">
        <v>5</v>
      </c>
      <c r="G1" s="6" t="s">
        <v>6</v>
      </c>
      <c r="H1" s="6" t="s">
        <v>7</v>
      </c>
      <c r="I1" s="7" t="s">
        <v>238</v>
      </c>
      <c r="J1" s="6" t="s">
        <v>10</v>
      </c>
      <c r="K1" s="8"/>
      <c r="L1" s="9"/>
      <c r="M1" s="9"/>
    </row>
    <row r="2" ht="24.95" customHeight="1" spans="1:14">
      <c r="A2" s="10"/>
      <c r="B2" s="11"/>
      <c r="C2" s="12"/>
      <c r="D2" s="11"/>
      <c r="E2" s="11"/>
      <c r="F2" s="13"/>
      <c r="G2" s="13"/>
      <c r="H2" s="13"/>
      <c r="I2" s="14"/>
      <c r="J2" s="14" t="s">
        <v>11</v>
      </c>
      <c r="K2" s="15" t="s">
        <v>12</v>
      </c>
      <c r="L2" s="9"/>
      <c r="M2" s="9"/>
    </row>
    <row r="3" s="1" customFormat="1" ht="26.45" customHeight="1" spans="1:14">
      <c r="A3" s="16" t="s">
        <v>239</v>
      </c>
      <c r="B3" s="17"/>
      <c r="C3" s="18" t="s">
        <v>17</v>
      </c>
      <c r="D3" s="19" t="s">
        <v>240</v>
      </c>
      <c r="E3" s="20">
        <v>0</v>
      </c>
      <c r="F3" s="21">
        <f>[3]中水!$G$3</f>
        <v>116709</v>
      </c>
      <c r="G3" s="22">
        <v>121513</v>
      </c>
      <c r="H3" s="21">
        <f>G3</f>
        <v>121513</v>
      </c>
      <c r="I3" s="20">
        <v>0</v>
      </c>
      <c r="J3" s="23">
        <f t="shared" ref="J3:J16" si="0">IFERROR(G3-F3,"-")</f>
        <v>4804</v>
      </c>
      <c r="K3" s="24">
        <f t="shared" ref="K3:K16" si="1">IFERROR(J3/F3,"-")</f>
        <v>0.0411622068563693</v>
      </c>
    </row>
    <row r="4" ht="26.45" customHeight="1" spans="1:14">
      <c r="A4" s="25" t="s">
        <v>241</v>
      </c>
      <c r="B4" s="26"/>
      <c r="C4" s="27" t="s">
        <v>17</v>
      </c>
      <c r="D4" s="28" t="s">
        <v>242</v>
      </c>
      <c r="E4" s="20">
        <v>0</v>
      </c>
      <c r="F4" s="29">
        <f>[3]中水!$G$4</f>
        <v>116709</v>
      </c>
      <c r="G4" s="22">
        <v>121513</v>
      </c>
      <c r="H4" s="21">
        <f>G4</f>
        <v>121513</v>
      </c>
      <c r="I4" s="20">
        <v>0</v>
      </c>
      <c r="J4" s="30">
        <f t="shared" si="0"/>
        <v>4804</v>
      </c>
      <c r="K4" s="31">
        <f t="shared" si="1"/>
        <v>0.0411622068563693</v>
      </c>
      <c r="L4" s="9"/>
      <c r="M4" s="9"/>
    </row>
    <row r="5" ht="26.45" customHeight="1" spans="1:14">
      <c r="A5" s="25" t="s">
        <v>243</v>
      </c>
      <c r="B5" s="26"/>
      <c r="C5" s="27" t="s">
        <v>17</v>
      </c>
      <c r="D5" s="28" t="s">
        <v>244</v>
      </c>
      <c r="E5" s="20">
        <v>0</v>
      </c>
      <c r="F5" s="29">
        <f>[3]中水!$G$5</f>
        <v>0</v>
      </c>
      <c r="G5" s="22">
        <v>0</v>
      </c>
      <c r="H5" s="21">
        <f>G5</f>
        <v>0</v>
      </c>
      <c r="I5" s="20">
        <v>0</v>
      </c>
      <c r="J5" s="30">
        <f t="shared" si="0"/>
        <v>0</v>
      </c>
      <c r="K5" s="31" t="str">
        <f t="shared" si="1"/>
        <v>-</v>
      </c>
      <c r="L5" s="9"/>
      <c r="M5" s="9"/>
      <c r="N5" s="32"/>
    </row>
    <row r="6" ht="26.45" customHeight="1" spans="1:14">
      <c r="A6" s="26" t="s">
        <v>245</v>
      </c>
      <c r="B6" s="33"/>
      <c r="C6" s="27" t="s">
        <v>17</v>
      </c>
      <c r="D6" s="28" t="s">
        <v>246</v>
      </c>
      <c r="E6" s="20">
        <v>0</v>
      </c>
      <c r="F6" s="29">
        <f>[3]中水!$G$6</f>
        <v>225994</v>
      </c>
      <c r="G6" s="22">
        <v>276525</v>
      </c>
      <c r="H6" s="21">
        <f>G6</f>
        <v>276525</v>
      </c>
      <c r="I6" s="20">
        <v>0</v>
      </c>
      <c r="J6" s="30">
        <f t="shared" si="0"/>
        <v>50531</v>
      </c>
      <c r="K6" s="31">
        <f t="shared" si="1"/>
        <v>0.223594431710576</v>
      </c>
      <c r="L6" s="34"/>
      <c r="M6" s="9"/>
    </row>
    <row r="7" ht="26.45" customHeight="1" spans="1:14">
      <c r="A7" s="25" t="s">
        <v>247</v>
      </c>
      <c r="B7" s="26"/>
      <c r="C7" s="35" t="s">
        <v>64</v>
      </c>
      <c r="D7" s="28" t="s">
        <v>248</v>
      </c>
      <c r="E7" s="20">
        <v>0</v>
      </c>
      <c r="F7" s="36">
        <v>0</v>
      </c>
      <c r="G7" s="37">
        <v>0</v>
      </c>
      <c r="H7" s="37">
        <v>0</v>
      </c>
      <c r="I7" s="20">
        <v>0</v>
      </c>
      <c r="J7" s="38">
        <f t="shared" si="0"/>
        <v>0</v>
      </c>
      <c r="K7" s="39" t="str">
        <f t="shared" si="1"/>
        <v>-</v>
      </c>
      <c r="L7" s="34"/>
      <c r="M7" s="9"/>
    </row>
    <row r="8" ht="26.45" customHeight="1" spans="1:14">
      <c r="A8" s="26" t="s">
        <v>137</v>
      </c>
      <c r="B8" s="33"/>
      <c r="C8" s="27" t="s">
        <v>15</v>
      </c>
      <c r="D8" s="28" t="s">
        <v>249</v>
      </c>
      <c r="E8" s="20">
        <v>0</v>
      </c>
      <c r="F8" s="29">
        <f>[3]中水!$G$8</f>
        <v>23.562</v>
      </c>
      <c r="G8" s="40">
        <f>214650/10000</f>
        <v>21.465</v>
      </c>
      <c r="H8" s="29">
        <f>G8</f>
        <v>21.465</v>
      </c>
      <c r="I8" s="20">
        <v>0</v>
      </c>
      <c r="J8" s="30">
        <f t="shared" si="0"/>
        <v>-2.097</v>
      </c>
      <c r="K8" s="31">
        <f t="shared" si="1"/>
        <v>-0.0889992360580596</v>
      </c>
      <c r="L8" s="34"/>
      <c r="M8" s="9"/>
    </row>
    <row r="9" ht="26.45" customHeight="1" spans="1:14">
      <c r="A9" s="25" t="s">
        <v>250</v>
      </c>
      <c r="B9" s="26"/>
      <c r="C9" s="35" t="s">
        <v>64</v>
      </c>
      <c r="D9" s="28" t="s">
        <v>251</v>
      </c>
      <c r="E9" s="20">
        <v>0</v>
      </c>
      <c r="F9" s="41">
        <f>[3]中水!$G$9</f>
        <v>0.00405967001612703</v>
      </c>
      <c r="G9" s="42">
        <f>G8/北海!G3</f>
        <v>0.00353312396302441</v>
      </c>
      <c r="H9" s="42">
        <f>H8/北海!H3</f>
        <v>0.00353312396302441</v>
      </c>
      <c r="I9" s="20">
        <v>0</v>
      </c>
      <c r="J9" s="41">
        <f t="shared" si="0"/>
        <v>-0.000526546053102616</v>
      </c>
      <c r="K9" s="39">
        <f t="shared" si="1"/>
        <v>-0.129701687824605</v>
      </c>
      <c r="L9" s="34"/>
      <c r="M9" s="9"/>
    </row>
    <row r="10" ht="26.45" customHeight="1" spans="1:14">
      <c r="A10" s="26" t="s">
        <v>252</v>
      </c>
      <c r="B10" s="33"/>
      <c r="C10" s="27" t="s">
        <v>17</v>
      </c>
      <c r="D10" s="28" t="s">
        <v>253</v>
      </c>
      <c r="E10" s="20">
        <v>0</v>
      </c>
      <c r="F10" s="29">
        <f>[3]中水!$G$10</f>
        <v>0</v>
      </c>
      <c r="G10" s="22">
        <v>0</v>
      </c>
      <c r="H10" s="21">
        <f t="shared" ref="H10:H16" si="2">G10</f>
        <v>0</v>
      </c>
      <c r="I10" s="20">
        <v>0</v>
      </c>
      <c r="J10" s="30">
        <f t="shared" si="0"/>
        <v>0</v>
      </c>
      <c r="K10" s="31" t="str">
        <f t="shared" si="1"/>
        <v>-</v>
      </c>
      <c r="L10" s="34"/>
      <c r="M10" s="9"/>
    </row>
    <row r="11" ht="26.45" customHeight="1" spans="1:14">
      <c r="A11" s="26" t="s">
        <v>254</v>
      </c>
      <c r="B11" s="33"/>
      <c r="C11" s="27" t="s">
        <v>17</v>
      </c>
      <c r="D11" s="28" t="s">
        <v>255</v>
      </c>
      <c r="E11" s="20">
        <v>0</v>
      </c>
      <c r="F11" s="29">
        <f>[3]中水!$G$11</f>
        <v>286</v>
      </c>
      <c r="G11" s="22">
        <v>265</v>
      </c>
      <c r="H11" s="21">
        <f t="shared" si="2"/>
        <v>265</v>
      </c>
      <c r="I11" s="20">
        <v>0</v>
      </c>
      <c r="J11" s="30">
        <f t="shared" si="0"/>
        <v>-21</v>
      </c>
      <c r="K11" s="31">
        <f t="shared" si="1"/>
        <v>-0.0734265734265734</v>
      </c>
      <c r="L11" s="9"/>
      <c r="M11" s="9"/>
    </row>
    <row r="12" ht="26.45" customHeight="1" spans="1:14">
      <c r="A12" s="43" t="s">
        <v>256</v>
      </c>
      <c r="B12" s="27" t="s">
        <v>257</v>
      </c>
      <c r="C12" s="27" t="s">
        <v>17</v>
      </c>
      <c r="D12" s="28" t="s">
        <v>258</v>
      </c>
      <c r="E12" s="20">
        <v>0</v>
      </c>
      <c r="F12" s="29">
        <f>[3]中水!$G$12</f>
        <v>7.37</v>
      </c>
      <c r="G12" s="40">
        <v>4.05</v>
      </c>
      <c r="H12" s="29">
        <f t="shared" si="2"/>
        <v>4.05</v>
      </c>
      <c r="I12" s="20">
        <v>0</v>
      </c>
      <c r="J12" s="44">
        <f t="shared" si="0"/>
        <v>-3.32</v>
      </c>
      <c r="K12" s="31">
        <f t="shared" si="1"/>
        <v>-0.450474898236092</v>
      </c>
      <c r="L12" s="9"/>
      <c r="M12" s="9"/>
    </row>
    <row r="13" ht="26.45" customHeight="1" spans="1:14">
      <c r="A13" s="43"/>
      <c r="B13" s="35" t="s">
        <v>259</v>
      </c>
      <c r="C13" s="27" t="s">
        <v>17</v>
      </c>
      <c r="D13" s="28" t="s">
        <v>260</v>
      </c>
      <c r="E13" s="20">
        <v>0</v>
      </c>
      <c r="F13" s="29">
        <f>[3]中水!$G$13</f>
        <v>3.22</v>
      </c>
      <c r="G13" s="40">
        <v>4</v>
      </c>
      <c r="H13" s="29">
        <f t="shared" si="2"/>
        <v>4</v>
      </c>
      <c r="I13" s="20">
        <v>0</v>
      </c>
      <c r="J13" s="44">
        <f t="shared" si="0"/>
        <v>0.78</v>
      </c>
      <c r="K13" s="31">
        <f t="shared" si="1"/>
        <v>0.24223602484472</v>
      </c>
      <c r="L13" s="9"/>
      <c r="M13" s="9"/>
    </row>
    <row r="14" ht="26.45" customHeight="1" spans="1:14">
      <c r="A14" s="43"/>
      <c r="B14" s="27" t="s">
        <v>261</v>
      </c>
      <c r="C14" s="27" t="s">
        <v>17</v>
      </c>
      <c r="D14" s="28" t="s">
        <v>262</v>
      </c>
      <c r="E14" s="20">
        <v>0</v>
      </c>
      <c r="F14" s="29">
        <f>[3]中水!$G$14</f>
        <v>0.05</v>
      </c>
      <c r="G14" s="40">
        <v>0.05</v>
      </c>
      <c r="H14" s="29">
        <f t="shared" si="2"/>
        <v>0.05</v>
      </c>
      <c r="I14" s="20">
        <v>0</v>
      </c>
      <c r="J14" s="44">
        <f t="shared" si="0"/>
        <v>0</v>
      </c>
      <c r="K14" s="31">
        <f t="shared" si="1"/>
        <v>0</v>
      </c>
      <c r="L14" s="9"/>
      <c r="M14" s="9"/>
    </row>
    <row r="15" ht="26.45" customHeight="1" spans="1:14">
      <c r="A15" s="43"/>
      <c r="B15" s="27" t="s">
        <v>263</v>
      </c>
      <c r="C15" s="27" t="s">
        <v>17</v>
      </c>
      <c r="D15" s="28" t="s">
        <v>264</v>
      </c>
      <c r="E15" s="20">
        <v>0</v>
      </c>
      <c r="F15" s="29">
        <f>[3]中水!$G$15</f>
        <v>0.65</v>
      </c>
      <c r="G15" s="40">
        <v>0.775</v>
      </c>
      <c r="H15" s="29">
        <f t="shared" si="2"/>
        <v>0.775</v>
      </c>
      <c r="I15" s="20">
        <v>0</v>
      </c>
      <c r="J15" s="44">
        <f t="shared" si="0"/>
        <v>0.125</v>
      </c>
      <c r="K15" s="31">
        <f t="shared" si="1"/>
        <v>0.192307692307692</v>
      </c>
      <c r="L15" s="9"/>
      <c r="M15" s="9"/>
    </row>
    <row r="16" ht="26.45" customHeight="1" spans="1:14">
      <c r="A16" s="45"/>
      <c r="B16" s="46" t="s">
        <v>265</v>
      </c>
      <c r="C16" s="46" t="s">
        <v>17</v>
      </c>
      <c r="D16" s="47" t="s">
        <v>266</v>
      </c>
      <c r="E16" s="48">
        <v>0</v>
      </c>
      <c r="F16" s="49">
        <f>[3]中水!$G$16</f>
        <v>0</v>
      </c>
      <c r="G16" s="50">
        <v>0</v>
      </c>
      <c r="H16" s="51">
        <f t="shared" si="2"/>
        <v>0</v>
      </c>
      <c r="I16" s="48">
        <v>0</v>
      </c>
      <c r="J16" s="52">
        <f t="shared" si="0"/>
        <v>0</v>
      </c>
      <c r="K16" s="53" t="str">
        <f t="shared" si="1"/>
        <v>-</v>
      </c>
      <c r="L16" s="9"/>
      <c r="M16" s="9"/>
    </row>
    <row r="17" ht="21" hidden="1" customHeight="1" spans="1:13">
      <c r="A17" s="54" t="s">
        <v>267</v>
      </c>
      <c r="B17" s="55"/>
      <c r="C17" s="55"/>
      <c r="D17" s="55"/>
      <c r="E17" s="55"/>
      <c r="F17" s="55"/>
      <c r="G17" s="55"/>
      <c r="H17" s="55"/>
      <c r="I17" s="56"/>
      <c r="J17" s="57"/>
      <c r="K17" s="58"/>
      <c r="L17" s="59"/>
      <c r="M17" s="59"/>
    </row>
    <row r="18" ht="21" hidden="1" customHeight="1" spans="1:13">
      <c r="A18" s="60" t="s">
        <v>268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</row>
    <row r="19" spans="1:13">
      <c r="A19" s="61"/>
      <c r="B19" s="61"/>
      <c r="C19" s="62"/>
      <c r="D19" s="62"/>
      <c r="E19" s="61"/>
      <c r="F19" s="61"/>
      <c r="G19" s="61"/>
      <c r="H19" s="61"/>
      <c r="I19" s="61"/>
    </row>
    <row r="20" spans="1:13">
      <c r="A20" s="61"/>
      <c r="B20" s="61"/>
      <c r="C20" s="62"/>
      <c r="D20" s="62"/>
      <c r="E20" s="61"/>
      <c r="F20" s="61"/>
      <c r="G20" s="61"/>
      <c r="H20" s="61"/>
      <c r="I20" s="61"/>
    </row>
    <row r="21" spans="1:13">
      <c r="A21" s="61"/>
      <c r="B21" s="61"/>
      <c r="C21" s="62"/>
      <c r="D21" s="62"/>
      <c r="E21" s="61"/>
      <c r="F21" s="61"/>
      <c r="G21" s="61"/>
      <c r="H21" s="61"/>
      <c r="I21" s="61"/>
    </row>
    <row r="22" spans="1:13">
      <c r="A22" s="61"/>
      <c r="B22" s="61"/>
      <c r="C22" s="61"/>
      <c r="D22" s="61"/>
      <c r="E22" s="61"/>
      <c r="I22" s="61"/>
    </row>
  </sheetData>
  <mergeCells count="21">
    <mergeCell ref="J1:K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7:H17"/>
    <mergeCell ref="A18:M18"/>
    <mergeCell ref="A12:A16"/>
    <mergeCell ref="C1:C2"/>
    <mergeCell ref="D1:D2"/>
    <mergeCell ref="E1:E2"/>
    <mergeCell ref="F1:F2"/>
    <mergeCell ref="G1:G2"/>
    <mergeCell ref="H1:H2"/>
    <mergeCell ref="I1:I2"/>
    <mergeCell ref="A1:B2"/>
  </mergeCells>
  <printOptions horizontalCentered="1" verticalCentered="1"/>
  <pageMargins left="0.747916666666667" right="0.747916666666667" top="1.18055555555556" bottom="0.865972222222222" header="0.865972222222222" footer="0.511805555555556"/>
  <pageSetup paperSize="9" orientation="landscape" horizontalDpi="600" verticalDpi="600"/>
  <headerFooter alignWithMargins="0" scaleWithDoc="0">
    <oddHeader>&amp;C&amp;"黑体"&amp;20北海热电厂中水装置2026年1月份生产月报表&amp;R表    号：     ZB018
制表单位：经济运行部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太空有限公司</Company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全口径</vt:lpstr>
      <vt:lpstr>主城区</vt:lpstr>
      <vt:lpstr>集团本部</vt:lpstr>
      <vt:lpstr>股份本部</vt:lpstr>
      <vt:lpstr>北海</vt:lpstr>
      <vt:lpstr>北海水炉</vt:lpstr>
      <vt:lpstr>香海</vt:lpstr>
      <vt:lpstr>供热公司</vt:lpstr>
      <vt:lpstr>金州</vt:lpstr>
      <vt:lpstr>北方</vt:lpstr>
      <vt:lpstr>金普</vt:lpstr>
      <vt:lpstr>庄河</vt:lpstr>
      <vt:lpstr>研究院</vt:lpstr>
      <vt:lpstr>主城区电锅炉</vt:lpstr>
      <vt:lpstr>恒流</vt:lpstr>
      <vt:lpstr>天然气炉</vt:lpstr>
      <vt:lpstr>中水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jhb6341</dc:creator>
  <cp:lastModifiedBy>王巍</cp:lastModifiedBy>
  <dcterms:created xsi:type="dcterms:W3CDTF">2003-03-03T01:18:00Z</dcterms:created>
  <cp:lastPrinted>2023-03-02T05:53:00Z</cp:lastPrinted>
  <dcterms:modified xsi:type="dcterms:W3CDTF">2026-02-28T13:47:32Z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66C189ADAE674028AF11ABA9F2E8B048_13</vt:lpwstr>
  </property>
  <property fmtid="{D5CDD505-2E9C-101B-9397-08002B2CF9AE}" pid="4" name="CalculationRule">
    <vt:i4>0</vt:i4>
  </property>
</Properties>
</file>