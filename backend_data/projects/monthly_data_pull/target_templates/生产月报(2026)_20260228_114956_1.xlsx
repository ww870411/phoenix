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/>
  </bookViews>
  <sheets>
    <sheet name="26.1" sheetId="6" r:id="rId1"/>
    <sheet name="26.2" sheetId="8" r:id="rId2"/>
    <sheet name="26.3" sheetId="10" r:id="rId3"/>
    <sheet name="26.4" sheetId="7" r:id="rId4"/>
    <sheet name="26.5" sheetId="11" r:id="rId5"/>
    <sheet name="26.6" sheetId="12" r:id="rId6"/>
    <sheet name="26.7" sheetId="18" r:id="rId7"/>
    <sheet name="26.8" sheetId="17" r:id="rId8"/>
    <sheet name="26.9" sheetId="16" r:id="rId9"/>
    <sheet name="26.10" sheetId="14" r:id="rId10"/>
    <sheet name="26.11" sheetId="15" r:id="rId11"/>
    <sheet name="26.12" sheetId="1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  <author>zqb8182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  <comment ref="N38" authorId="1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联动改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3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4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5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6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7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8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9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10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11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comments12.xml><?xml version="1.0" encoding="utf-8"?>
<comments xmlns="http://schemas.openxmlformats.org/spreadsheetml/2006/main">
  <authors>
    <author>微软用户</author>
  </authors>
  <commentList>
    <comment ref="E20" authorId="0">
      <text>
        <r>
          <rPr>
            <b/>
            <sz val="10"/>
            <rFont val="宋体"/>
            <charset val="134"/>
          </rPr>
          <t>扣除天然气炉耗水量</t>
        </r>
      </text>
    </comment>
  </commentList>
</comments>
</file>

<file path=xl/sharedStrings.xml><?xml version="1.0" encoding="utf-8"?>
<sst xmlns="http://schemas.openxmlformats.org/spreadsheetml/2006/main" count="2628" uniqueCount="170">
  <si>
    <t>大连市热电集团所属热电厂生产月报表</t>
  </si>
  <si>
    <t>2026  年  1  月</t>
  </si>
  <si>
    <r>
      <rPr>
        <sz val="10"/>
        <rFont val="宋体"/>
        <charset val="134"/>
      </rPr>
      <t>指</t>
    </r>
    <r>
      <rPr>
        <sz val="10"/>
        <rFont val="Times New Roman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</si>
  <si>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</si>
  <si>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</si>
  <si>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r>
      <rPr>
        <sz val="10"/>
        <rFont val="宋体"/>
        <charset val="134"/>
      </rPr>
      <t>本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月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实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际</t>
    </r>
  </si>
  <si>
    <r>
      <rPr>
        <sz val="10"/>
        <rFont val="宋体"/>
        <charset val="134"/>
      </rPr>
      <t>本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年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累</t>
    </r>
    <r>
      <rPr>
        <sz val="10"/>
        <rFont val="Times New Roman"/>
        <charset val="0"/>
      </rPr>
      <t xml:space="preserve">        </t>
    </r>
    <r>
      <rPr>
        <sz val="10"/>
        <rFont val="宋体"/>
        <charset val="134"/>
      </rPr>
      <t>计</t>
    </r>
  </si>
  <si>
    <r>
      <rPr>
        <sz val="10"/>
        <rFont val="宋体"/>
        <charset val="134"/>
      </rPr>
      <t>合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计</t>
    </r>
  </si>
  <si>
    <r>
      <rPr>
        <sz val="10"/>
        <rFont val="宋体"/>
        <charset val="134"/>
      </rPr>
      <t>其</t>
    </r>
    <r>
      <rPr>
        <sz val="10"/>
        <rFont val="Times New Roman"/>
        <charset val="0"/>
      </rPr>
      <t xml:space="preserve">                      </t>
    </r>
    <r>
      <rPr>
        <sz val="10"/>
        <rFont val="宋体"/>
        <charset val="134"/>
      </rPr>
      <t>中</t>
    </r>
  </si>
  <si>
    <t>北海热电厂</t>
  </si>
  <si>
    <t>香海热电厂</t>
  </si>
  <si>
    <t>主城区小计</t>
  </si>
  <si>
    <t>金州热电厂</t>
  </si>
  <si>
    <t>瓦房店热电厂</t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</si>
  <si>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</si>
  <si>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</si>
  <si>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</si>
  <si>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</si>
  <si>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</si>
  <si>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</si>
  <si>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</si>
  <si>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</si>
  <si>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供热量</t>
  </si>
  <si>
    <t>吉焦</t>
  </si>
  <si>
    <t>004</t>
  </si>
  <si>
    <t>其中：低真空、热泵供热量</t>
  </si>
  <si>
    <t>005</t>
  </si>
  <si>
    <t xml:space="preserve">      高温水网供热量</t>
  </si>
  <si>
    <t>006</t>
  </si>
  <si>
    <t>供汽量</t>
  </si>
  <si>
    <t>吨</t>
  </si>
  <si>
    <t>007</t>
  </si>
  <si>
    <t>期末供暖收费面积</t>
  </si>
  <si>
    <t>平方米</t>
  </si>
  <si>
    <t>008</t>
  </si>
  <si>
    <t>生产耗原煤量</t>
  </si>
  <si>
    <t>009</t>
  </si>
  <si>
    <t>发电耗原煤量</t>
  </si>
  <si>
    <t>010</t>
  </si>
  <si>
    <t>供热耗原煤量</t>
  </si>
  <si>
    <t>011</t>
  </si>
  <si>
    <t>锅炉耗油量</t>
  </si>
  <si>
    <t>012</t>
  </si>
  <si>
    <t>发电耗油量</t>
  </si>
  <si>
    <t>013</t>
  </si>
  <si>
    <t>供热耗油量</t>
  </si>
  <si>
    <t>014</t>
  </si>
  <si>
    <t>耗水量</t>
  </si>
  <si>
    <t>015</t>
  </si>
  <si>
    <t>其中：耗再生水量(或井水)</t>
  </si>
  <si>
    <t>016</t>
  </si>
  <si>
    <t>耗酸量</t>
  </si>
  <si>
    <t>017</t>
  </si>
  <si>
    <t>耗碱量</t>
  </si>
  <si>
    <t>018</t>
  </si>
  <si>
    <t>耗石灰石量</t>
  </si>
  <si>
    <t>019</t>
  </si>
  <si>
    <t>耗石灰石粉量</t>
  </si>
  <si>
    <t>020</t>
  </si>
  <si>
    <t>耗氨水量</t>
  </si>
  <si>
    <t>021</t>
  </si>
  <si>
    <t>耗阻垢剂量(水质稳定剂)</t>
  </si>
  <si>
    <t>022</t>
  </si>
  <si>
    <t>耗杀菌剂量</t>
  </si>
  <si>
    <t>023</t>
  </si>
  <si>
    <t>耗钢球量</t>
  </si>
  <si>
    <t>024</t>
  </si>
  <si>
    <t>综合厂用电量</t>
  </si>
  <si>
    <t>025</t>
  </si>
  <si>
    <t>非生产厂用电量</t>
  </si>
  <si>
    <t>026</t>
  </si>
  <si>
    <t>生产厂用电量</t>
  </si>
  <si>
    <t>027</t>
  </si>
  <si>
    <t>其中：发电厂用电量</t>
  </si>
  <si>
    <t>028</t>
  </si>
  <si>
    <r>
      <rPr>
        <sz val="10"/>
        <rFont val="Times New Roman"/>
        <charset val="0"/>
      </rPr>
      <t xml:space="preserve">            </t>
    </r>
    <r>
      <rPr>
        <sz val="10"/>
        <rFont val="宋体"/>
        <charset val="134"/>
      </rPr>
      <t>供热厂用电量</t>
    </r>
  </si>
  <si>
    <t>029</t>
  </si>
  <si>
    <t>综合厂用电率</t>
  </si>
  <si>
    <t>%</t>
  </si>
  <si>
    <t>030</t>
  </si>
  <si>
    <t>发电厂用电率</t>
  </si>
  <si>
    <t>031</t>
  </si>
  <si>
    <t>供热厂用电率</t>
  </si>
  <si>
    <r>
      <rPr>
        <i/>
        <sz val="10"/>
        <rFont val="宋体"/>
        <charset val="134"/>
      </rPr>
      <t>千瓦时</t>
    </r>
    <r>
      <rPr>
        <i/>
        <sz val="10"/>
        <rFont val="Times New Roman"/>
        <charset val="0"/>
      </rPr>
      <t>/</t>
    </r>
    <r>
      <rPr>
        <i/>
        <sz val="10"/>
        <rFont val="宋体"/>
        <charset val="134"/>
      </rPr>
      <t>吉焦</t>
    </r>
  </si>
  <si>
    <t>032</t>
  </si>
  <si>
    <t>耗标煤总量</t>
  </si>
  <si>
    <t>033</t>
  </si>
  <si>
    <t>发电标准煤耗量</t>
  </si>
  <si>
    <t>034</t>
  </si>
  <si>
    <t>其中：煤折标准煤量</t>
  </si>
  <si>
    <t>035</t>
  </si>
  <si>
    <r>
      <rPr>
        <sz val="10"/>
        <rFont val="Times New Roman"/>
        <charset val="0"/>
      </rPr>
      <t xml:space="preserve">             </t>
    </r>
    <r>
      <rPr>
        <sz val="10"/>
        <rFont val="宋体"/>
        <charset val="134"/>
      </rPr>
      <t>油折标准煤量</t>
    </r>
  </si>
  <si>
    <t>036</t>
  </si>
  <si>
    <t>供热标准煤耗量</t>
  </si>
  <si>
    <t>037</t>
  </si>
  <si>
    <t>038</t>
  </si>
  <si>
    <t>039</t>
  </si>
  <si>
    <t>发电标准煤耗率</t>
  </si>
  <si>
    <r>
      <rPr>
        <i/>
        <sz val="10"/>
        <rFont val="宋体"/>
        <charset val="134"/>
      </rPr>
      <t>克</t>
    </r>
    <r>
      <rPr>
        <i/>
        <sz val="10"/>
        <rFont val="Times New Roman"/>
        <charset val="0"/>
      </rPr>
      <t>/</t>
    </r>
    <r>
      <rPr>
        <i/>
        <sz val="10"/>
        <rFont val="宋体"/>
        <charset val="134"/>
      </rPr>
      <t>千瓦时</t>
    </r>
  </si>
  <si>
    <t>040</t>
  </si>
  <si>
    <t>供电标准煤耗率</t>
  </si>
  <si>
    <t>041</t>
  </si>
  <si>
    <t>供热标准煤耗率</t>
  </si>
  <si>
    <r>
      <rPr>
        <i/>
        <sz val="10"/>
        <rFont val="宋体"/>
        <charset val="134"/>
      </rPr>
      <t>千克</t>
    </r>
    <r>
      <rPr>
        <i/>
        <sz val="10"/>
        <rFont val="Times New Roman"/>
        <charset val="0"/>
      </rPr>
      <t>/</t>
    </r>
    <r>
      <rPr>
        <i/>
        <sz val="10"/>
        <rFont val="宋体"/>
        <charset val="134"/>
      </rPr>
      <t>吉焦</t>
    </r>
  </si>
  <si>
    <t>042</t>
  </si>
  <si>
    <t>入炉煤低位发热量</t>
  </si>
  <si>
    <r>
      <rPr>
        <i/>
        <sz val="10"/>
        <rFont val="宋体"/>
        <charset val="134"/>
      </rPr>
      <t>千焦</t>
    </r>
    <r>
      <rPr>
        <i/>
        <sz val="10"/>
        <rFont val="Times New Roman"/>
        <charset val="0"/>
      </rPr>
      <t>/</t>
    </r>
    <r>
      <rPr>
        <i/>
        <sz val="10"/>
        <rFont val="宋体"/>
        <charset val="134"/>
      </rPr>
      <t>千克</t>
    </r>
  </si>
  <si>
    <t>043</t>
  </si>
  <si>
    <t>入厂煤低位发热量</t>
  </si>
  <si>
    <t>044</t>
  </si>
  <si>
    <t>发电最高负荷</t>
  </si>
  <si>
    <t>千瓦</t>
  </si>
  <si>
    <t>045</t>
  </si>
  <si>
    <t>供热最高负荷</t>
  </si>
  <si>
    <r>
      <rPr>
        <i/>
        <sz val="10"/>
        <rFont val="宋体"/>
        <charset val="134"/>
      </rPr>
      <t>吨</t>
    </r>
    <r>
      <rPr>
        <i/>
        <sz val="10"/>
        <rFont val="Times New Roman"/>
        <charset val="0"/>
      </rPr>
      <t>/</t>
    </r>
    <r>
      <rPr>
        <i/>
        <sz val="10"/>
        <rFont val="宋体"/>
        <charset val="134"/>
      </rPr>
      <t>时</t>
    </r>
  </si>
  <si>
    <t>046</t>
  </si>
  <si>
    <t>发电设备利用率</t>
  </si>
  <si>
    <t>047</t>
  </si>
  <si>
    <t>供热设备利用率</t>
  </si>
  <si>
    <t>048</t>
  </si>
  <si>
    <t>热分摊比</t>
  </si>
  <si>
    <t>049</t>
  </si>
  <si>
    <t>热电比</t>
  </si>
  <si>
    <t>050</t>
  </si>
  <si>
    <t>全厂热效率</t>
  </si>
  <si>
    <t>051</t>
  </si>
  <si>
    <t>入厂煤量</t>
  </si>
  <si>
    <t>052</t>
  </si>
  <si>
    <t>非生产耗煤量</t>
  </si>
  <si>
    <t>053</t>
  </si>
  <si>
    <t>期末库存煤量</t>
  </si>
  <si>
    <t>054</t>
  </si>
  <si>
    <t>外购电量</t>
  </si>
  <si>
    <t>055</t>
  </si>
  <si>
    <t>其中：热网耗电量</t>
  </si>
  <si>
    <t>056</t>
  </si>
  <si>
    <t>热网耗水量</t>
  </si>
  <si>
    <t>057</t>
  </si>
  <si>
    <t>主城区电厂低温水网补水量</t>
  </si>
  <si>
    <t>058</t>
  </si>
  <si>
    <t>高温水网补水量</t>
  </si>
  <si>
    <t>059</t>
  </si>
  <si>
    <t>脱硫脱硝耗水量</t>
  </si>
  <si>
    <t>060</t>
  </si>
  <si>
    <t>脱硫脱硝耗电量</t>
  </si>
  <si>
    <t>061</t>
  </si>
  <si>
    <t>发电耗水量</t>
  </si>
  <si>
    <t>062</t>
  </si>
  <si>
    <t>供热耗水量</t>
  </si>
  <si>
    <t>063</t>
  </si>
  <si>
    <t>发电水耗率</t>
  </si>
  <si>
    <t>吨/万千瓦时</t>
  </si>
  <si>
    <t>064</t>
  </si>
  <si>
    <t>供热水耗率</t>
  </si>
  <si>
    <t>吨/吉焦</t>
  </si>
  <si>
    <t>065</t>
  </si>
  <si>
    <t>低真空补水量</t>
  </si>
  <si>
    <t>首站电量</t>
  </si>
  <si>
    <t>首站补水量</t>
  </si>
  <si>
    <t>2026  年  2  月</t>
  </si>
  <si>
    <t>2026  年  3  月</t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</si>
  <si>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4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</si>
  <si>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5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</si>
  <si>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6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</si>
  <si>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7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</si>
  <si>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8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</si>
  <si>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9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</si>
  <si>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10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</si>
  <si>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11 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</si>
  <si>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2026 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 xml:space="preserve"> 12 </t>
    </r>
    <r>
      <rPr>
        <sz val="11"/>
        <rFont val="宋体"/>
        <charset val="0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</si>
</sst>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#,##0.00_ "/>
    <numFmt numFmtId="178" formatCode="#,##0_ "/>
    <numFmt numFmtId="179" formatCode="0.00_ "/>
    <numFmt numFmtId="180" formatCode="0_ "/>
    <numFmt numFmtId="181" formatCode="0.00_);[Red]\(0.00\)"/>
    <numFmt numFmtId="182" formatCode="0.0_);[Red]\(0.0\)"/>
    <numFmt numFmtId="183" formatCode="0.0%"/>
    <numFmt numFmtId="184" formatCode="0_);[Red]\(0\)"/>
  </numFmts>
  <fonts count="31">
    <font>
      <sz val="12"/>
      <name val="宋体"/>
      <charset val="134"/>
    </font>
    <font>
      <sz val="12"/>
      <name val="Times New Roman"/>
      <charset val="0"/>
    </font>
    <font>
      <sz val="10"/>
      <name val="Times New Roman"/>
      <charset val="0"/>
    </font>
    <font>
      <b/>
      <sz val="18"/>
      <name val="宋体"/>
      <charset val="134"/>
    </font>
    <font>
      <sz val="11"/>
      <name val="Times New Roman"/>
      <charset val="0"/>
    </font>
    <font>
      <sz val="10"/>
      <name val="宋体"/>
      <charset val="134"/>
    </font>
    <font>
      <i/>
      <sz val="10"/>
      <name val="宋体"/>
      <charset val="134"/>
    </font>
    <font>
      <i/>
      <sz val="10"/>
      <name val="Times New Roman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name val="宋体"/>
      <charset val="0"/>
    </font>
    <font>
      <sz val="9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6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9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" fillId="0" borderId="0"/>
  </cellStyleXfs>
  <cellXfs count="136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/>
    <xf numFmtId="49" fontId="3" fillId="0" borderId="0" xfId="0" applyNumberFormat="1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vertical="center"/>
    </xf>
    <xf numFmtId="177" fontId="2" fillId="0" borderId="8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178" fontId="2" fillId="0" borderId="7" xfId="0" applyNumberFormat="1" applyFont="1" applyFill="1" applyBorder="1" applyAlignment="1">
      <alignment vertical="center"/>
    </xf>
    <xf numFmtId="178" fontId="2" fillId="2" borderId="7" xfId="0" applyNumberFormat="1" applyFont="1" applyFill="1" applyBorder="1" applyAlignment="1">
      <alignment vertical="center"/>
    </xf>
    <xf numFmtId="178" fontId="2" fillId="0" borderId="8" xfId="0" applyNumberFormat="1" applyFont="1" applyFill="1" applyBorder="1" applyAlignment="1">
      <alignment vertical="center"/>
    </xf>
    <xf numFmtId="179" fontId="2" fillId="2" borderId="7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0" borderId="9" xfId="0" applyFont="1" applyFill="1" applyBorder="1"/>
    <xf numFmtId="0" fontId="6" fillId="0" borderId="10" xfId="0" applyFont="1" applyFill="1" applyBorder="1" applyAlignment="1">
      <alignment horizontal="center"/>
    </xf>
    <xf numFmtId="49" fontId="2" fillId="0" borderId="10" xfId="0" applyNumberFormat="1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right" vertical="center"/>
    </xf>
    <xf numFmtId="178" fontId="2" fillId="0" borderId="11" xfId="0" applyNumberFormat="1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178" fontId="2" fillId="0" borderId="13" xfId="0" applyNumberFormat="1" applyFont="1" applyFill="1" applyBorder="1" applyAlignment="1">
      <alignment vertical="center"/>
    </xf>
    <xf numFmtId="178" fontId="2" fillId="0" borderId="14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horizontal="right" vertical="center"/>
    </xf>
    <xf numFmtId="178" fontId="2" fillId="3" borderId="7" xfId="0" applyNumberFormat="1" applyFont="1" applyFill="1" applyBorder="1" applyAlignment="1">
      <alignment vertical="center"/>
    </xf>
    <xf numFmtId="179" fontId="2" fillId="3" borderId="7" xfId="0" applyNumberFormat="1" applyFont="1" applyFill="1" applyBorder="1" applyAlignment="1">
      <alignment vertical="center"/>
    </xf>
    <xf numFmtId="178" fontId="2" fillId="0" borderId="7" xfId="0" applyNumberFormat="1" applyFont="1" applyFill="1" applyBorder="1" applyAlignment="1">
      <alignment horizontal="right" vertical="center"/>
    </xf>
    <xf numFmtId="180" fontId="2" fillId="0" borderId="7" xfId="50" applyNumberFormat="1" applyFont="1" applyFill="1" applyBorder="1" applyAlignment="1">
      <alignment vertical="center"/>
    </xf>
    <xf numFmtId="176" fontId="5" fillId="0" borderId="6" xfId="0" applyNumberFormat="1" applyFont="1" applyFill="1" applyBorder="1" applyAlignment="1">
      <alignment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vertical="center"/>
    </xf>
    <xf numFmtId="176" fontId="2" fillId="0" borderId="7" xfId="0" applyNumberFormat="1" applyFont="1" applyFill="1" applyBorder="1" applyAlignment="1">
      <alignment horizontal="right" vertical="center"/>
    </xf>
    <xf numFmtId="0" fontId="2" fillId="0" borderId="7" xfId="50" applyFont="1" applyFill="1" applyBorder="1" applyAlignment="1">
      <alignment vertical="center"/>
    </xf>
    <xf numFmtId="176" fontId="2" fillId="0" borderId="5" xfId="0" applyNumberFormat="1" applyFont="1" applyFill="1" applyBorder="1" applyAlignment="1">
      <alignment vertical="center"/>
    </xf>
    <xf numFmtId="176" fontId="2" fillId="0" borderId="7" xfId="50" applyNumberFormat="1" applyFont="1" applyFill="1" applyBorder="1" applyAlignment="1">
      <alignment vertical="center"/>
    </xf>
    <xf numFmtId="179" fontId="2" fillId="0" borderId="7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181" fontId="2" fillId="0" borderId="7" xfId="0" applyNumberFormat="1" applyFont="1" applyFill="1" applyBorder="1" applyAlignment="1">
      <alignment vertical="center"/>
    </xf>
    <xf numFmtId="181" fontId="2" fillId="0" borderId="8" xfId="0" applyNumberFormat="1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177" fontId="2" fillId="0" borderId="16" xfId="0" applyNumberFormat="1" applyFont="1" applyFill="1" applyBorder="1" applyAlignment="1">
      <alignment vertical="center"/>
    </xf>
    <xf numFmtId="177" fontId="2" fillId="0" borderId="17" xfId="0" applyNumberFormat="1" applyFont="1" applyFill="1" applyBorder="1" applyAlignment="1">
      <alignment vertical="center"/>
    </xf>
    <xf numFmtId="177" fontId="2" fillId="0" borderId="10" xfId="0" applyNumberFormat="1" applyFont="1" applyFill="1" applyBorder="1" applyAlignment="1">
      <alignment vertical="center"/>
    </xf>
    <xf numFmtId="177" fontId="2" fillId="0" borderId="11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vertical="center"/>
    </xf>
    <xf numFmtId="182" fontId="5" fillId="0" borderId="6" xfId="0" applyNumberFormat="1" applyFont="1" applyFill="1" applyBorder="1" applyAlignment="1">
      <alignment vertical="center"/>
    </xf>
    <xf numFmtId="182" fontId="7" fillId="0" borderId="7" xfId="0" applyNumberFormat="1" applyFont="1" applyFill="1" applyBorder="1" applyAlignment="1">
      <alignment horizontal="center" vertical="center"/>
    </xf>
    <xf numFmtId="179" fontId="2" fillId="4" borderId="7" xfId="0" applyNumberFormat="1" applyFont="1" applyFill="1" applyBorder="1" applyAlignment="1">
      <alignment vertical="center"/>
    </xf>
    <xf numFmtId="179" fontId="2" fillId="4" borderId="8" xfId="0" applyNumberFormat="1" applyFont="1" applyFill="1" applyBorder="1" applyAlignment="1">
      <alignment vertical="center"/>
    </xf>
    <xf numFmtId="182" fontId="5" fillId="0" borderId="15" xfId="0" applyNumberFormat="1" applyFont="1" applyFill="1" applyBorder="1" applyAlignment="1">
      <alignment vertical="center"/>
    </xf>
    <xf numFmtId="182" fontId="7" fillId="0" borderId="16" xfId="0" applyNumberFormat="1" applyFont="1" applyFill="1" applyBorder="1" applyAlignment="1">
      <alignment horizontal="center" vertical="center"/>
    </xf>
    <xf numFmtId="179" fontId="2" fillId="4" borderId="16" xfId="0" applyNumberFormat="1" applyFont="1" applyFill="1" applyBorder="1" applyAlignment="1">
      <alignment vertical="center"/>
    </xf>
    <xf numFmtId="10" fontId="2" fillId="0" borderId="16" xfId="0" applyNumberFormat="1" applyFont="1" applyFill="1" applyBorder="1" applyAlignment="1">
      <alignment vertical="center"/>
    </xf>
    <xf numFmtId="10" fontId="2" fillId="0" borderId="17" xfId="0" applyNumberFormat="1" applyFont="1" applyFill="1" applyBorder="1" applyAlignment="1">
      <alignment vertical="center"/>
    </xf>
    <xf numFmtId="10" fontId="2" fillId="0" borderId="7" xfId="0" applyNumberFormat="1" applyFont="1" applyFill="1" applyBorder="1" applyAlignment="1">
      <alignment vertical="center"/>
    </xf>
    <xf numFmtId="10" fontId="2" fillId="0" borderId="8" xfId="0" applyNumberFormat="1" applyFont="1" applyFill="1" applyBorder="1" applyAlignment="1">
      <alignment vertical="center"/>
    </xf>
    <xf numFmtId="183" fontId="2" fillId="0" borderId="16" xfId="0" applyNumberFormat="1" applyFont="1" applyFill="1" applyBorder="1" applyAlignment="1">
      <alignment vertical="center"/>
    </xf>
    <xf numFmtId="183" fontId="2" fillId="0" borderId="17" xfId="0" applyNumberFormat="1" applyFont="1" applyFill="1" applyBorder="1" applyAlignment="1">
      <alignment vertical="center"/>
    </xf>
    <xf numFmtId="183" fontId="2" fillId="0" borderId="7" xfId="0" applyNumberFormat="1" applyFont="1" applyFill="1" applyBorder="1" applyAlignment="1">
      <alignment vertical="center"/>
    </xf>
    <xf numFmtId="183" fontId="2" fillId="0" borderId="8" xfId="0" applyNumberFormat="1" applyFont="1" applyFill="1" applyBorder="1" applyAlignment="1">
      <alignment vertical="center"/>
    </xf>
    <xf numFmtId="184" fontId="5" fillId="0" borderId="9" xfId="0" applyNumberFormat="1" applyFont="1" applyFill="1" applyBorder="1" applyAlignment="1">
      <alignment vertical="center"/>
    </xf>
    <xf numFmtId="184" fontId="7" fillId="0" borderId="10" xfId="0" applyNumberFormat="1" applyFont="1" applyFill="1" applyBorder="1" applyAlignment="1">
      <alignment horizontal="center" vertical="center"/>
    </xf>
    <xf numFmtId="10" fontId="2" fillId="0" borderId="10" xfId="0" applyNumberFormat="1" applyFont="1" applyFill="1" applyBorder="1" applyAlignment="1">
      <alignment vertical="center"/>
    </xf>
    <xf numFmtId="10" fontId="2" fillId="0" borderId="11" xfId="0" applyNumberFormat="1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vertical="center"/>
    </xf>
    <xf numFmtId="179" fontId="2" fillId="0" borderId="10" xfId="0" applyNumberFormat="1" applyFont="1" applyFill="1" applyBorder="1" applyAlignment="1">
      <alignment horizontal="right" vertical="center"/>
    </xf>
    <xf numFmtId="179" fontId="2" fillId="2" borderId="10" xfId="0" applyNumberFormat="1" applyFont="1" applyFill="1" applyBorder="1" applyAlignment="1">
      <alignment vertical="center"/>
    </xf>
    <xf numFmtId="0" fontId="5" fillId="0" borderId="2" xfId="0" applyFont="1" applyFill="1" applyBorder="1"/>
    <xf numFmtId="0" fontId="6" fillId="0" borderId="3" xfId="0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178" fontId="2" fillId="0" borderId="3" xfId="0" applyNumberFormat="1" applyFont="1" applyFill="1" applyBorder="1"/>
    <xf numFmtId="178" fontId="2" fillId="0" borderId="4" xfId="0" applyNumberFormat="1" applyFont="1" applyFill="1" applyBorder="1"/>
    <xf numFmtId="0" fontId="2" fillId="0" borderId="5" xfId="0" applyFont="1" applyFill="1" applyBorder="1"/>
    <xf numFmtId="0" fontId="5" fillId="0" borderId="6" xfId="0" applyFont="1" applyFill="1" applyBorder="1"/>
    <xf numFmtId="0" fontId="6" fillId="0" borderId="7" xfId="0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/>
    </xf>
    <xf numFmtId="0" fontId="2" fillId="0" borderId="7" xfId="0" applyFont="1" applyFill="1" applyBorder="1"/>
    <xf numFmtId="178" fontId="2" fillId="0" borderId="7" xfId="0" applyNumberFormat="1" applyFont="1" applyFill="1" applyBorder="1"/>
    <xf numFmtId="178" fontId="2" fillId="0" borderId="8" xfId="0" applyNumberFormat="1" applyFont="1" applyFill="1" applyBorder="1"/>
    <xf numFmtId="0" fontId="1" fillId="0" borderId="5" xfId="0" applyFont="1" applyFill="1" applyBorder="1"/>
    <xf numFmtId="49" fontId="2" fillId="0" borderId="10" xfId="0" applyNumberFormat="1" applyFont="1" applyFill="1" applyBorder="1" applyAlignment="1">
      <alignment horizontal="center"/>
    </xf>
    <xf numFmtId="178" fontId="2" fillId="0" borderId="10" xfId="0" applyNumberFormat="1" applyFont="1" applyFill="1" applyBorder="1"/>
    <xf numFmtId="178" fontId="2" fillId="0" borderId="11" xfId="0" applyNumberFormat="1" applyFont="1" applyFill="1" applyBorder="1"/>
    <xf numFmtId="178" fontId="2" fillId="0" borderId="3" xfId="0" applyNumberFormat="1" applyFont="1" applyBorder="1"/>
    <xf numFmtId="178" fontId="2" fillId="0" borderId="7" xfId="0" applyNumberFormat="1" applyFont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/>
    <xf numFmtId="177" fontId="2" fillId="0" borderId="0" xfId="0" applyNumberFormat="1" applyFont="1" applyFill="1" applyBorder="1"/>
    <xf numFmtId="178" fontId="5" fillId="0" borderId="0" xfId="0" applyNumberFormat="1" applyFont="1" applyFill="1" applyBorder="1"/>
    <xf numFmtId="178" fontId="2" fillId="0" borderId="0" xfId="0" applyNumberFormat="1" applyFont="1" applyFill="1"/>
    <xf numFmtId="178" fontId="5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center"/>
    </xf>
    <xf numFmtId="178" fontId="2" fillId="0" borderId="0" xfId="0" applyNumberFormat="1" applyFont="1" applyFill="1" applyAlignment="1">
      <alignment vertical="center"/>
    </xf>
    <xf numFmtId="178" fontId="1" fillId="0" borderId="0" xfId="0" applyNumberFormat="1" applyFont="1" applyFill="1"/>
    <xf numFmtId="10" fontId="1" fillId="0" borderId="0" xfId="0" applyNumberFormat="1" applyFont="1" applyFill="1"/>
    <xf numFmtId="178" fontId="2" fillId="5" borderId="8" xfId="0" applyNumberFormat="1" applyFont="1" applyFill="1" applyBorder="1" applyAlignment="1">
      <alignment vertical="center"/>
    </xf>
    <xf numFmtId="179" fontId="2" fillId="3" borderId="10" xfId="0" applyNumberFormat="1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179" fontId="2" fillId="3" borderId="8" xfId="0" applyNumberFormat="1" applyFont="1" applyFill="1" applyBorder="1" applyAlignment="1">
      <alignment vertical="center"/>
    </xf>
    <xf numFmtId="179" fontId="2" fillId="3" borderId="16" xfId="0" applyNumberFormat="1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179" fontId="2" fillId="3" borderId="10" xfId="0" applyNumberFormat="1" applyFont="1" applyFill="1" applyBorder="1" applyAlignment="1">
      <alignment horizontal="right" vertical="center"/>
    </xf>
    <xf numFmtId="179" fontId="2" fillId="4" borderId="10" xfId="0" applyNumberFormat="1" applyFont="1" applyFill="1" applyBorder="1" applyAlignment="1">
      <alignment vertical="center"/>
    </xf>
    <xf numFmtId="179" fontId="2" fillId="3" borderId="7" xfId="0" applyNumberFormat="1" applyFont="1" applyFill="1" applyBorder="1"/>
    <xf numFmtId="179" fontId="2" fillId="3" borderId="3" xfId="0" applyNumberFormat="1" applyFont="1" applyFill="1" applyBorder="1"/>
    <xf numFmtId="179" fontId="2" fillId="3" borderId="4" xfId="0" applyNumberFormat="1" applyFont="1" applyFill="1" applyBorder="1"/>
    <xf numFmtId="179" fontId="2" fillId="3" borderId="8" xfId="0" applyNumberFormat="1" applyFont="1" applyFill="1" applyBorder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FFFF00"/>
      <color rgb="00FFC000"/>
      <color rgb="0000B0F0"/>
      <color rgb="00000000"/>
      <color rgb="00A76D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/>
      <selection pane="topRight"/>
      <selection pane="bottomLeft"/>
      <selection pane="bottomRight" activeCell="A71" sqref="A71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156424420</v>
      </c>
      <c r="E7" s="40">
        <f>[1]产量!$C$15</f>
        <v>60753600</v>
      </c>
      <c r="F7" s="40">
        <f>[1]产量!$C$19</f>
        <v>57676320</v>
      </c>
      <c r="G7" s="23">
        <f t="shared" si="1"/>
        <v>118429920</v>
      </c>
      <c r="H7" s="23">
        <v>22641600</v>
      </c>
      <c r="I7" s="25">
        <v>15352900</v>
      </c>
      <c r="J7" s="23">
        <f t="shared" si="2"/>
        <v>156424420</v>
      </c>
      <c r="K7" s="41">
        <f t="shared" ref="K7:K12" si="4">E7</f>
        <v>60753600</v>
      </c>
      <c r="L7" s="41">
        <f t="shared" ref="L7:L12" si="5">F7</f>
        <v>57676320</v>
      </c>
      <c r="M7" s="23">
        <f t="shared" si="3"/>
        <v>118429920</v>
      </c>
      <c r="N7" s="41">
        <f t="shared" ref="N7:N10" si="6">H7</f>
        <v>22641600</v>
      </c>
      <c r="O7" s="41">
        <f t="shared" ref="O7:O13" si="7">I7</f>
        <v>15352900</v>
      </c>
      <c r="P7" s="12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105076944</v>
      </c>
      <c r="E8" s="40">
        <f>[1]产量!$E$15</f>
        <v>37145916</v>
      </c>
      <c r="F8" s="40">
        <f>[1]产量!$E$19</f>
        <v>41137272</v>
      </c>
      <c r="G8" s="23">
        <f t="shared" si="1"/>
        <v>78283188</v>
      </c>
      <c r="H8" s="23">
        <v>15642792</v>
      </c>
      <c r="I8" s="25">
        <v>11150964</v>
      </c>
      <c r="J8" s="23">
        <f t="shared" si="2"/>
        <v>105076944</v>
      </c>
      <c r="K8" s="41">
        <f t="shared" si="4"/>
        <v>37145916</v>
      </c>
      <c r="L8" s="41">
        <f t="shared" si="5"/>
        <v>41137272</v>
      </c>
      <c r="M8" s="23">
        <f t="shared" si="3"/>
        <v>78283188</v>
      </c>
      <c r="N8" s="41">
        <f t="shared" si="6"/>
        <v>15642792</v>
      </c>
      <c r="O8" s="41">
        <f t="shared" si="7"/>
        <v>11150964</v>
      </c>
      <c r="P8" s="12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2809586.056102</v>
      </c>
      <c r="E9" s="40">
        <f>[1]产量!$G$6</f>
        <v>980229.19383</v>
      </c>
      <c r="F9" s="40">
        <f>[1]产量!$G$7</f>
        <v>967138.542272</v>
      </c>
      <c r="G9" s="23">
        <f t="shared" si="1"/>
        <v>1947367.736102</v>
      </c>
      <c r="H9" s="23">
        <v>570124</v>
      </c>
      <c r="I9" s="25">
        <v>292094.32</v>
      </c>
      <c r="J9" s="23">
        <f t="shared" si="2"/>
        <v>2809586.056102</v>
      </c>
      <c r="K9" s="41">
        <f t="shared" si="4"/>
        <v>980229.19383</v>
      </c>
      <c r="L9" s="41">
        <f t="shared" si="5"/>
        <v>967138.542272</v>
      </c>
      <c r="M9" s="23">
        <f t="shared" si="3"/>
        <v>1947367.736102</v>
      </c>
      <c r="N9" s="41">
        <f t="shared" si="6"/>
        <v>570124</v>
      </c>
      <c r="O9" s="41">
        <f t="shared" si="7"/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377963</v>
      </c>
      <c r="E10" s="23"/>
      <c r="F10" s="40">
        <f>[1]产量!$G$29</f>
        <v>264848</v>
      </c>
      <c r="G10" s="23">
        <f t="shared" si="1"/>
        <v>264848</v>
      </c>
      <c r="H10" s="23">
        <v>113115</v>
      </c>
      <c r="I10" s="124"/>
      <c r="J10" s="23">
        <f t="shared" si="2"/>
        <v>377963</v>
      </c>
      <c r="K10" s="41">
        <f t="shared" si="4"/>
        <v>0</v>
      </c>
      <c r="L10" s="41">
        <f t="shared" si="5"/>
        <v>264848</v>
      </c>
      <c r="M10" s="23">
        <f t="shared" si="3"/>
        <v>264848</v>
      </c>
      <c r="N10" s="41">
        <f t="shared" si="6"/>
        <v>113115</v>
      </c>
      <c r="O10" s="41">
        <f t="shared" si="7"/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2097098.72</v>
      </c>
      <c r="E11" s="40">
        <f>[1]产量!$G$28</f>
        <v>875606.4</v>
      </c>
      <c r="F11" s="40">
        <f>[1]产量!$G$30</f>
        <v>472389</v>
      </c>
      <c r="G11" s="23">
        <f t="shared" si="1"/>
        <v>1347995.4</v>
      </c>
      <c r="H11" s="23">
        <f>H9-H10</f>
        <v>457009</v>
      </c>
      <c r="I11" s="25">
        <v>292094.32</v>
      </c>
      <c r="J11" s="23">
        <f t="shared" si="2"/>
        <v>2097098.72</v>
      </c>
      <c r="K11" s="41">
        <f t="shared" si="4"/>
        <v>875606.4</v>
      </c>
      <c r="L11" s="41">
        <f t="shared" si="5"/>
        <v>472389</v>
      </c>
      <c r="M11" s="23">
        <f t="shared" si="3"/>
        <v>1347995.4</v>
      </c>
      <c r="N11" s="41">
        <f t="shared" ref="N11:N13" si="8">H11</f>
        <v>457009</v>
      </c>
      <c r="O11" s="41">
        <f t="shared" si="7"/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113333</v>
      </c>
      <c r="E12" s="40">
        <f>[1]产量!$G$15</f>
        <v>35445</v>
      </c>
      <c r="F12" s="40">
        <f>[1]产量!$G$19</f>
        <v>77888</v>
      </c>
      <c r="G12" s="23">
        <f t="shared" si="1"/>
        <v>113333</v>
      </c>
      <c r="H12" s="23">
        <v>0</v>
      </c>
      <c r="I12" s="25">
        <v>0</v>
      </c>
      <c r="J12" s="23">
        <f t="shared" si="2"/>
        <v>113333</v>
      </c>
      <c r="K12" s="41">
        <f t="shared" si="4"/>
        <v>35445</v>
      </c>
      <c r="L12" s="41">
        <f t="shared" si="5"/>
        <v>77888</v>
      </c>
      <c r="M12" s="23">
        <f t="shared" si="3"/>
        <v>113333</v>
      </c>
      <c r="N12" s="41">
        <f t="shared" si="8"/>
        <v>0</v>
      </c>
      <c r="O12" s="41">
        <f t="shared" si="7"/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>
        <v>6337791.65</v>
      </c>
      <c r="I13" s="33">
        <v>2993404</v>
      </c>
      <c r="J13" s="32"/>
      <c r="K13" s="32"/>
      <c r="L13" s="32"/>
      <c r="M13" s="32"/>
      <c r="N13" s="41">
        <f t="shared" si="8"/>
        <v>6337791.65</v>
      </c>
      <c r="O13" s="41">
        <f t="shared" si="7"/>
        <v>2993404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9">D15+D16</f>
        <v>201466.19</v>
      </c>
      <c r="E14" s="37">
        <f t="shared" si="9"/>
        <v>68272</v>
      </c>
      <c r="F14" s="37">
        <f t="shared" si="9"/>
        <v>73239</v>
      </c>
      <c r="G14" s="37">
        <f t="shared" si="9"/>
        <v>141511</v>
      </c>
      <c r="H14" s="37">
        <f t="shared" si="9"/>
        <v>39301</v>
      </c>
      <c r="I14" s="38">
        <f t="shared" si="9"/>
        <v>20654.19</v>
      </c>
      <c r="J14" s="37">
        <f t="shared" si="9"/>
        <v>201466.19</v>
      </c>
      <c r="K14" s="37">
        <f t="shared" si="9"/>
        <v>68272</v>
      </c>
      <c r="L14" s="37">
        <f t="shared" si="9"/>
        <v>73239</v>
      </c>
      <c r="M14" s="37">
        <f t="shared" si="9"/>
        <v>141511</v>
      </c>
      <c r="N14" s="37">
        <f t="shared" si="9"/>
        <v>39301</v>
      </c>
      <c r="O14" s="38">
        <f t="shared" si="9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10">G15+H15+I15</f>
        <v>40206.7719342742</v>
      </c>
      <c r="E15" s="23">
        <v>14337.393088</v>
      </c>
      <c r="F15" s="23">
        <v>13051.1898</v>
      </c>
      <c r="G15" s="23">
        <f t="shared" ref="G15:G20" si="11">SUM(E15:F15)</f>
        <v>27388.582888</v>
      </c>
      <c r="H15" s="23">
        <v>7865</v>
      </c>
      <c r="I15" s="25">
        <v>4953.18904627418</v>
      </c>
      <c r="J15" s="23">
        <f t="shared" ref="J15:J31" si="12">M15+N15+O15</f>
        <v>40206.7719342742</v>
      </c>
      <c r="K15" s="41">
        <f t="shared" ref="K15:O15" si="13">E15</f>
        <v>14337.393088</v>
      </c>
      <c r="L15" s="41">
        <f t="shared" si="13"/>
        <v>13051.1898</v>
      </c>
      <c r="M15" s="23">
        <f t="shared" ref="M15:M29" si="14">SUM(K15:L15)</f>
        <v>27388.582888</v>
      </c>
      <c r="N15" s="41">
        <f t="shared" si="13"/>
        <v>7865</v>
      </c>
      <c r="O15" s="41">
        <f t="shared" si="13"/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10"/>
        <v>161259.418065726</v>
      </c>
      <c r="E16" s="23">
        <v>53934.606912</v>
      </c>
      <c r="F16" s="23">
        <v>60187.8102</v>
      </c>
      <c r="G16" s="23">
        <f t="shared" si="11"/>
        <v>114122.417112</v>
      </c>
      <c r="H16" s="23">
        <v>31436</v>
      </c>
      <c r="I16" s="25">
        <v>15701.0009537258</v>
      </c>
      <c r="J16" s="23">
        <f t="shared" si="12"/>
        <v>161259.418065726</v>
      </c>
      <c r="K16" s="41">
        <f t="shared" ref="K16:O16" si="15">E16</f>
        <v>53934.606912</v>
      </c>
      <c r="L16" s="41">
        <f t="shared" si="15"/>
        <v>60187.8102</v>
      </c>
      <c r="M16" s="23">
        <f t="shared" si="14"/>
        <v>114122.417112</v>
      </c>
      <c r="N16" s="41">
        <f t="shared" si="15"/>
        <v>31436</v>
      </c>
      <c r="O16" s="41">
        <f t="shared" si="15"/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16">D18+D19</f>
        <v>108.5</v>
      </c>
      <c r="E17" s="23">
        <f t="shared" si="16"/>
        <v>69.3</v>
      </c>
      <c r="F17" s="23">
        <f t="shared" si="16"/>
        <v>25</v>
      </c>
      <c r="G17" s="23">
        <f t="shared" si="16"/>
        <v>94.3</v>
      </c>
      <c r="H17" s="23">
        <f t="shared" si="16"/>
        <v>14</v>
      </c>
      <c r="I17" s="25">
        <f t="shared" si="16"/>
        <v>0.2</v>
      </c>
      <c r="J17" s="23">
        <f t="shared" si="16"/>
        <v>108.5</v>
      </c>
      <c r="K17" s="23">
        <f t="shared" si="16"/>
        <v>69.3</v>
      </c>
      <c r="L17" s="23">
        <f t="shared" si="16"/>
        <v>25</v>
      </c>
      <c r="M17" s="23">
        <f t="shared" si="16"/>
        <v>94.3</v>
      </c>
      <c r="N17" s="23">
        <f t="shared" si="16"/>
        <v>14</v>
      </c>
      <c r="O17" s="25">
        <f t="shared" si="16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10"/>
        <v>22.056240243298</v>
      </c>
      <c r="E18" s="23">
        <v>14.5532772</v>
      </c>
      <c r="F18" s="23">
        <v>4.455</v>
      </c>
      <c r="G18" s="23">
        <f t="shared" si="11"/>
        <v>19.0082772</v>
      </c>
      <c r="H18" s="23">
        <v>3</v>
      </c>
      <c r="I18" s="25">
        <v>0.0479630432979863</v>
      </c>
      <c r="J18" s="23">
        <f t="shared" si="12"/>
        <v>22.056240243298</v>
      </c>
      <c r="K18" s="41">
        <f t="shared" ref="K18:K31" si="17">E18</f>
        <v>14.5532772</v>
      </c>
      <c r="L18" s="41">
        <f t="shared" ref="L18:L31" si="18">F18</f>
        <v>4.455</v>
      </c>
      <c r="M18" s="23">
        <f t="shared" si="14"/>
        <v>19.0082772</v>
      </c>
      <c r="N18" s="41">
        <f t="shared" ref="N18:N31" si="19">H18</f>
        <v>3</v>
      </c>
      <c r="O18" s="41">
        <f t="shared" ref="O18:O31" si="20">I18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10"/>
        <v>86.443759756702</v>
      </c>
      <c r="E19" s="23">
        <v>54.7467228</v>
      </c>
      <c r="F19" s="23">
        <v>20.545</v>
      </c>
      <c r="G19" s="23">
        <f t="shared" si="11"/>
        <v>75.2917228</v>
      </c>
      <c r="H19" s="23">
        <v>11</v>
      </c>
      <c r="I19" s="25">
        <v>0.152036956702014</v>
      </c>
      <c r="J19" s="23">
        <f t="shared" si="12"/>
        <v>86.443759756702</v>
      </c>
      <c r="K19" s="41">
        <f t="shared" si="17"/>
        <v>54.7467228</v>
      </c>
      <c r="L19" s="41">
        <f t="shared" si="18"/>
        <v>20.545</v>
      </c>
      <c r="M19" s="23">
        <f t="shared" si="14"/>
        <v>75.2917228</v>
      </c>
      <c r="N19" s="41">
        <f t="shared" si="19"/>
        <v>11</v>
      </c>
      <c r="O19" s="41">
        <f t="shared" si="20"/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10"/>
        <v>501831</v>
      </c>
      <c r="E20" s="23">
        <v>177610</v>
      </c>
      <c r="F20" s="23">
        <v>194774</v>
      </c>
      <c r="G20" s="23">
        <f t="shared" si="11"/>
        <v>372384</v>
      </c>
      <c r="H20" s="23">
        <v>94794</v>
      </c>
      <c r="I20" s="25">
        <v>34653</v>
      </c>
      <c r="J20" s="23">
        <f t="shared" si="12"/>
        <v>501831</v>
      </c>
      <c r="K20" s="41">
        <f t="shared" si="17"/>
        <v>177610</v>
      </c>
      <c r="L20" s="41">
        <f t="shared" si="18"/>
        <v>194774</v>
      </c>
      <c r="M20" s="23">
        <f t="shared" si="14"/>
        <v>372384</v>
      </c>
      <c r="N20" s="41">
        <f t="shared" si="19"/>
        <v>94794</v>
      </c>
      <c r="O20" s="41">
        <f t="shared" si="20"/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10"/>
        <v>132751</v>
      </c>
      <c r="E21" s="23">
        <v>121213</v>
      </c>
      <c r="F21" s="23"/>
      <c r="G21" s="23">
        <f t="shared" ref="G21:G29" si="21">SUM(E21:F21)</f>
        <v>121213</v>
      </c>
      <c r="H21" s="23"/>
      <c r="I21" s="25">
        <v>11538</v>
      </c>
      <c r="J21" s="23">
        <f t="shared" si="12"/>
        <v>132751</v>
      </c>
      <c r="K21" s="41">
        <f t="shared" si="17"/>
        <v>121213</v>
      </c>
      <c r="L21" s="41">
        <f t="shared" si="18"/>
        <v>0</v>
      </c>
      <c r="M21" s="23">
        <f t="shared" si="14"/>
        <v>121213</v>
      </c>
      <c r="N21" s="41">
        <f t="shared" si="19"/>
        <v>0</v>
      </c>
      <c r="O21" s="41">
        <f t="shared" si="20"/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10"/>
        <v>63.71</v>
      </c>
      <c r="E22" s="23">
        <v>6.4</v>
      </c>
      <c r="F22" s="23">
        <v>40</v>
      </c>
      <c r="G22" s="23">
        <f t="shared" si="21"/>
        <v>46.4</v>
      </c>
      <c r="H22" s="23">
        <v>15</v>
      </c>
      <c r="I22" s="25">
        <v>2.31</v>
      </c>
      <c r="J22" s="23">
        <f t="shared" si="12"/>
        <v>63.71</v>
      </c>
      <c r="K22" s="41">
        <f t="shared" si="17"/>
        <v>6.4</v>
      </c>
      <c r="L22" s="41">
        <f t="shared" si="18"/>
        <v>40</v>
      </c>
      <c r="M22" s="23">
        <f t="shared" si="14"/>
        <v>46.4</v>
      </c>
      <c r="N22" s="41">
        <f t="shared" si="19"/>
        <v>15</v>
      </c>
      <c r="O22" s="41">
        <f t="shared" si="20"/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10"/>
        <v>54</v>
      </c>
      <c r="E23" s="23">
        <v>9.7</v>
      </c>
      <c r="F23" s="23">
        <v>32</v>
      </c>
      <c r="G23" s="23">
        <f t="shared" si="21"/>
        <v>41.7</v>
      </c>
      <c r="H23" s="23">
        <v>10</v>
      </c>
      <c r="I23" s="25">
        <v>2.3</v>
      </c>
      <c r="J23" s="23">
        <f t="shared" si="12"/>
        <v>54</v>
      </c>
      <c r="K23" s="41">
        <f t="shared" si="17"/>
        <v>9.7</v>
      </c>
      <c r="L23" s="41">
        <f t="shared" si="18"/>
        <v>32</v>
      </c>
      <c r="M23" s="23">
        <f t="shared" si="14"/>
        <v>41.7</v>
      </c>
      <c r="N23" s="41">
        <f t="shared" si="19"/>
        <v>10</v>
      </c>
      <c r="O23" s="41">
        <f t="shared" si="20"/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10"/>
        <v>601.88</v>
      </c>
      <c r="E24" s="23"/>
      <c r="F24" s="2"/>
      <c r="G24" s="23">
        <f t="shared" si="21"/>
        <v>0</v>
      </c>
      <c r="H24" s="23"/>
      <c r="I24" s="25">
        <v>601.88</v>
      </c>
      <c r="J24" s="23">
        <f t="shared" si="12"/>
        <v>601.88</v>
      </c>
      <c r="K24" s="41">
        <f t="shared" si="17"/>
        <v>0</v>
      </c>
      <c r="L24" s="41">
        <f t="shared" si="18"/>
        <v>0</v>
      </c>
      <c r="M24" s="23">
        <f t="shared" si="14"/>
        <v>0</v>
      </c>
      <c r="N24" s="41">
        <f t="shared" si="19"/>
        <v>0</v>
      </c>
      <c r="O24" s="41">
        <f t="shared" si="20"/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10"/>
        <v>3965.38</v>
      </c>
      <c r="E25" s="42">
        <v>2045</v>
      </c>
      <c r="F25" s="23">
        <v>854</v>
      </c>
      <c r="G25" s="23">
        <f t="shared" si="21"/>
        <v>2899</v>
      </c>
      <c r="H25" s="23">
        <v>702</v>
      </c>
      <c r="I25" s="25">
        <v>364.38</v>
      </c>
      <c r="J25" s="23">
        <f t="shared" si="12"/>
        <v>3965.38</v>
      </c>
      <c r="K25" s="41">
        <f t="shared" si="17"/>
        <v>2045</v>
      </c>
      <c r="L25" s="41">
        <f t="shared" si="18"/>
        <v>854</v>
      </c>
      <c r="M25" s="23">
        <f t="shared" si="14"/>
        <v>2899</v>
      </c>
      <c r="N25" s="41">
        <f t="shared" si="19"/>
        <v>702</v>
      </c>
      <c r="O25" s="41">
        <f t="shared" si="20"/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10"/>
        <v>972.013</v>
      </c>
      <c r="E26" s="42">
        <v>377.74</v>
      </c>
      <c r="F26" s="23">
        <v>201</v>
      </c>
      <c r="G26" s="23">
        <f t="shared" si="21"/>
        <v>578.74</v>
      </c>
      <c r="H26" s="23">
        <v>319</v>
      </c>
      <c r="I26" s="43">
        <v>74.273</v>
      </c>
      <c r="J26" s="23">
        <f t="shared" si="12"/>
        <v>972.013</v>
      </c>
      <c r="K26" s="41">
        <f t="shared" si="17"/>
        <v>377.74</v>
      </c>
      <c r="L26" s="41">
        <f t="shared" si="18"/>
        <v>201</v>
      </c>
      <c r="M26" s="23">
        <f t="shared" si="14"/>
        <v>578.74</v>
      </c>
      <c r="N26" s="41">
        <f t="shared" si="19"/>
        <v>319</v>
      </c>
      <c r="O26" s="41">
        <f t="shared" si="20"/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10"/>
        <v>3.125</v>
      </c>
      <c r="E27" s="47">
        <v>1.075</v>
      </c>
      <c r="F27" s="46">
        <v>1</v>
      </c>
      <c r="G27" s="46">
        <f t="shared" si="21"/>
        <v>2.075</v>
      </c>
      <c r="H27" s="46">
        <v>1</v>
      </c>
      <c r="I27" s="48">
        <v>0.05</v>
      </c>
      <c r="J27" s="46">
        <f t="shared" si="12"/>
        <v>3.125</v>
      </c>
      <c r="K27" s="41">
        <f t="shared" si="17"/>
        <v>1.075</v>
      </c>
      <c r="L27" s="41">
        <f t="shared" si="18"/>
        <v>1</v>
      </c>
      <c r="M27" s="46">
        <f t="shared" si="14"/>
        <v>2.075</v>
      </c>
      <c r="N27" s="41">
        <f t="shared" si="19"/>
        <v>1</v>
      </c>
      <c r="O27" s="41">
        <f t="shared" si="20"/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10"/>
        <v>0</v>
      </c>
      <c r="E28" s="47">
        <v>0</v>
      </c>
      <c r="F28" s="46">
        <v>0</v>
      </c>
      <c r="G28" s="46">
        <f t="shared" si="21"/>
        <v>0</v>
      </c>
      <c r="H28" s="46">
        <v>0</v>
      </c>
      <c r="I28" s="50">
        <v>0</v>
      </c>
      <c r="J28" s="46">
        <f t="shared" si="12"/>
        <v>0</v>
      </c>
      <c r="K28" s="41">
        <f t="shared" si="17"/>
        <v>0</v>
      </c>
      <c r="L28" s="41">
        <f t="shared" si="18"/>
        <v>0</v>
      </c>
      <c r="M28" s="46">
        <f t="shared" si="14"/>
        <v>0</v>
      </c>
      <c r="N28" s="41">
        <f t="shared" si="19"/>
        <v>0</v>
      </c>
      <c r="O28" s="41">
        <f t="shared" si="20"/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10"/>
        <v>28</v>
      </c>
      <c r="E29" s="42">
        <v>28</v>
      </c>
      <c r="F29" s="23"/>
      <c r="G29" s="23">
        <f t="shared" si="21"/>
        <v>28</v>
      </c>
      <c r="H29" s="23"/>
      <c r="I29" s="25"/>
      <c r="J29" s="23">
        <f t="shared" si="12"/>
        <v>28</v>
      </c>
      <c r="K29" s="41">
        <f t="shared" si="17"/>
        <v>28</v>
      </c>
      <c r="L29" s="41">
        <f t="shared" si="18"/>
        <v>0</v>
      </c>
      <c r="M29" s="23">
        <f t="shared" si="14"/>
        <v>28</v>
      </c>
      <c r="N29" s="41">
        <f t="shared" si="19"/>
        <v>0</v>
      </c>
      <c r="O29" s="41">
        <f t="shared" si="20"/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10"/>
        <v>51347476</v>
      </c>
      <c r="E30" s="23">
        <f t="shared" ref="E30:I30" si="22">E7-E8</f>
        <v>23607684</v>
      </c>
      <c r="F30" s="23">
        <f t="shared" si="22"/>
        <v>16539048</v>
      </c>
      <c r="G30" s="23">
        <f t="shared" si="22"/>
        <v>40146732</v>
      </c>
      <c r="H30" s="23">
        <f t="shared" si="22"/>
        <v>6998808</v>
      </c>
      <c r="I30" s="25">
        <f t="shared" si="22"/>
        <v>4201936</v>
      </c>
      <c r="J30" s="23">
        <f t="shared" si="12"/>
        <v>51347476</v>
      </c>
      <c r="K30" s="41">
        <f t="shared" si="17"/>
        <v>23607684</v>
      </c>
      <c r="L30" s="41">
        <f t="shared" si="18"/>
        <v>16539048</v>
      </c>
      <c r="M30" s="23">
        <f>M7-M8</f>
        <v>40146732</v>
      </c>
      <c r="N30" s="41">
        <f t="shared" si="19"/>
        <v>6998808</v>
      </c>
      <c r="O30" s="41">
        <f t="shared" si="20"/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10"/>
        <v>7167192.5</v>
      </c>
      <c r="E31" s="23">
        <v>6593264.5</v>
      </c>
      <c r="F31" s="23">
        <v>573928</v>
      </c>
      <c r="G31" s="23">
        <f t="shared" ref="G31:G34" si="23">SUM(E31:F31)</f>
        <v>7167192.5</v>
      </c>
      <c r="H31" s="23">
        <v>0</v>
      </c>
      <c r="I31" s="25">
        <v>0</v>
      </c>
      <c r="J31" s="23">
        <f t="shared" si="12"/>
        <v>7167192.5</v>
      </c>
      <c r="K31" s="41">
        <f t="shared" si="17"/>
        <v>6593264.5</v>
      </c>
      <c r="L31" s="41">
        <f t="shared" si="18"/>
        <v>573928</v>
      </c>
      <c r="M31" s="23">
        <f t="shared" ref="M31:M34" si="24">SUM(K31:L31)</f>
        <v>7167192.5</v>
      </c>
      <c r="N31" s="41">
        <f t="shared" si="19"/>
        <v>0</v>
      </c>
      <c r="O31" s="41">
        <f t="shared" si="20"/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M32" si="25">D33+D34</f>
        <v>44180282.7800001</v>
      </c>
      <c r="E32" s="23">
        <f t="shared" si="25"/>
        <v>17014418.7800001</v>
      </c>
      <c r="F32" s="23">
        <f t="shared" si="25"/>
        <v>15965120</v>
      </c>
      <c r="G32" s="23">
        <f t="shared" si="25"/>
        <v>32979538.7800001</v>
      </c>
      <c r="H32" s="23">
        <f t="shared" si="25"/>
        <v>6998808</v>
      </c>
      <c r="I32" s="25">
        <f t="shared" si="25"/>
        <v>4201936</v>
      </c>
      <c r="J32" s="23">
        <f t="shared" si="25"/>
        <v>44180282.7800001</v>
      </c>
      <c r="K32" s="23">
        <f t="shared" si="25"/>
        <v>17014418.7800001</v>
      </c>
      <c r="L32" s="23">
        <f t="shared" si="25"/>
        <v>15965120</v>
      </c>
      <c r="M32" s="23">
        <f t="shared" si="25"/>
        <v>32979538.7800001</v>
      </c>
      <c r="N32" s="41">
        <f>H32</f>
        <v>6998808</v>
      </c>
      <c r="O32" s="127">
        <f>I32</f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8826323.57699198</v>
      </c>
      <c r="E33" s="23">
        <v>3573096.00147514</v>
      </c>
      <c r="F33" s="23">
        <v>2844984.384</v>
      </c>
      <c r="G33" s="23">
        <f t="shared" si="23"/>
        <v>6418080.38547514</v>
      </c>
      <c r="H33" s="23">
        <v>1400555</v>
      </c>
      <c r="I33" s="25">
        <v>1007688.19151684</v>
      </c>
      <c r="J33" s="23">
        <f>M33+N33+O33</f>
        <v>8826323.57699198</v>
      </c>
      <c r="K33" s="41">
        <f t="shared" ref="K33:O33" si="26">E33</f>
        <v>3573096.00147514</v>
      </c>
      <c r="L33" s="41">
        <f t="shared" si="26"/>
        <v>2844984.384</v>
      </c>
      <c r="M33" s="23">
        <f t="shared" si="24"/>
        <v>6418080.38547514</v>
      </c>
      <c r="N33" s="41">
        <f t="shared" si="26"/>
        <v>1400555</v>
      </c>
      <c r="O33" s="41">
        <f t="shared" si="26"/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35353959.2030082</v>
      </c>
      <c r="E34" s="23">
        <v>13441322.778525</v>
      </c>
      <c r="F34" s="23">
        <v>13120135.616</v>
      </c>
      <c r="G34" s="23">
        <f t="shared" si="23"/>
        <v>26561458.394525</v>
      </c>
      <c r="H34" s="23">
        <v>5598253</v>
      </c>
      <c r="I34" s="25">
        <v>3194247.80848316</v>
      </c>
      <c r="J34" s="23">
        <f>M34+N34+O34</f>
        <v>35353959.2030082</v>
      </c>
      <c r="K34" s="41">
        <f t="shared" ref="K34:O34" si="27">E34</f>
        <v>13441322.778525</v>
      </c>
      <c r="L34" s="41">
        <f t="shared" si="27"/>
        <v>13120135.616</v>
      </c>
      <c r="M34" s="23">
        <f t="shared" si="24"/>
        <v>26561458.394525</v>
      </c>
      <c r="N34" s="41">
        <f t="shared" si="27"/>
        <v>5598253</v>
      </c>
      <c r="O34" s="41">
        <f t="shared" si="27"/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>
        <f t="shared" ref="D35:O35" si="28">D30*100/D7</f>
        <v>32.8257416584955</v>
      </c>
      <c r="E35" s="54">
        <f t="shared" si="28"/>
        <v>38.8580824840009</v>
      </c>
      <c r="F35" s="54">
        <f t="shared" si="28"/>
        <v>28.6756297905276</v>
      </c>
      <c r="G35" s="54">
        <f t="shared" si="28"/>
        <v>33.8991464319152</v>
      </c>
      <c r="H35" s="54">
        <f t="shared" si="28"/>
        <v>30.9112783548866</v>
      </c>
      <c r="I35" s="55">
        <f t="shared" si="28"/>
        <v>27.3690052042285</v>
      </c>
      <c r="J35" s="54">
        <f t="shared" si="28"/>
        <v>32.8257416584955</v>
      </c>
      <c r="K35" s="54">
        <f t="shared" si="28"/>
        <v>38.8580824840009</v>
      </c>
      <c r="L35" s="54">
        <f t="shared" si="28"/>
        <v>28.6756297905276</v>
      </c>
      <c r="M35" s="54">
        <f t="shared" si="28"/>
        <v>33.8991464319152</v>
      </c>
      <c r="N35" s="54">
        <f t="shared" si="28"/>
        <v>30.9112783548866</v>
      </c>
      <c r="O35" s="55">
        <f t="shared" si="28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>
        <f t="shared" ref="D36:O36" si="29">D33*100/D7</f>
        <v>5.6425483802286</v>
      </c>
      <c r="E36" s="54">
        <f t="shared" si="29"/>
        <v>5.88129098765364</v>
      </c>
      <c r="F36" s="54">
        <f t="shared" si="29"/>
        <v>4.9326732079994</v>
      </c>
      <c r="G36" s="54">
        <f t="shared" si="29"/>
        <v>5.41930652783954</v>
      </c>
      <c r="H36" s="54">
        <f t="shared" si="29"/>
        <v>6.18575984029397</v>
      </c>
      <c r="I36" s="55">
        <f t="shared" si="29"/>
        <v>6.56350390816614</v>
      </c>
      <c r="J36" s="54">
        <f t="shared" si="29"/>
        <v>5.6425483802286</v>
      </c>
      <c r="K36" s="54">
        <f t="shared" si="29"/>
        <v>5.88129098765364</v>
      </c>
      <c r="L36" s="54">
        <f t="shared" si="29"/>
        <v>4.9326732079994</v>
      </c>
      <c r="M36" s="54">
        <f t="shared" si="29"/>
        <v>5.41930652783954</v>
      </c>
      <c r="N36" s="54">
        <f t="shared" si="29"/>
        <v>6.18575984029397</v>
      </c>
      <c r="O36" s="55">
        <f t="shared" si="29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>
        <f t="shared" ref="D37:O37" si="30">D34/D9</f>
        <v>12.583333806852</v>
      </c>
      <c r="E37" s="54">
        <f t="shared" si="30"/>
        <v>13.7124285454164</v>
      </c>
      <c r="F37" s="54">
        <f t="shared" si="30"/>
        <v>13.5659319141374</v>
      </c>
      <c r="G37" s="54">
        <f t="shared" si="30"/>
        <v>13.6396726217168</v>
      </c>
      <c r="H37" s="54">
        <f t="shared" si="30"/>
        <v>9.81936034967832</v>
      </c>
      <c r="I37" s="55">
        <f t="shared" si="30"/>
        <v>10.9356724515669</v>
      </c>
      <c r="J37" s="54">
        <f t="shared" si="30"/>
        <v>12.583333806852</v>
      </c>
      <c r="K37" s="54">
        <f t="shared" si="30"/>
        <v>13.7124285454164</v>
      </c>
      <c r="L37" s="54">
        <f t="shared" si="30"/>
        <v>13.5659319141374</v>
      </c>
      <c r="M37" s="54">
        <f t="shared" si="30"/>
        <v>13.6396726217168</v>
      </c>
      <c r="N37" s="54">
        <f t="shared" si="30"/>
        <v>9.81936034967832</v>
      </c>
      <c r="O37" s="55">
        <f t="shared" si="30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31">D39+D42</f>
        <v>137897.360709346</v>
      </c>
      <c r="E38" s="23">
        <f t="shared" si="31"/>
        <v>46848.8813564637</v>
      </c>
      <c r="F38" s="23">
        <f t="shared" si="31"/>
        <v>47986.1317445748</v>
      </c>
      <c r="G38" s="23">
        <f t="shared" si="31"/>
        <v>94835.0131010385</v>
      </c>
      <c r="H38" s="23">
        <f t="shared" si="31"/>
        <v>28210</v>
      </c>
      <c r="I38" s="25">
        <f t="shared" si="31"/>
        <v>14852.3476083078</v>
      </c>
      <c r="J38" s="23">
        <f t="shared" si="31"/>
        <v>137897.360709346</v>
      </c>
      <c r="K38" s="23">
        <f t="shared" si="31"/>
        <v>46848.8813564637</v>
      </c>
      <c r="L38" s="23">
        <f t="shared" si="31"/>
        <v>47986.1317445748</v>
      </c>
      <c r="M38" s="23">
        <f t="shared" si="31"/>
        <v>94835.0131010386</v>
      </c>
      <c r="N38" s="23">
        <f t="shared" si="31"/>
        <v>28210</v>
      </c>
      <c r="O38" s="25">
        <f t="shared" si="31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32">D40+D41</f>
        <v>27596.4001143361</v>
      </c>
      <c r="E39" s="23">
        <f t="shared" si="32"/>
        <v>9838.45248038282</v>
      </c>
      <c r="F39" s="23">
        <f t="shared" si="32"/>
        <v>8551.12867688324</v>
      </c>
      <c r="G39" s="23">
        <f t="shared" si="32"/>
        <v>18389.581157266</v>
      </c>
      <c r="H39" s="23">
        <f t="shared" si="32"/>
        <v>5645</v>
      </c>
      <c r="I39" s="25">
        <f t="shared" si="32"/>
        <v>3561.81895707005</v>
      </c>
      <c r="J39" s="23">
        <f t="shared" si="32"/>
        <v>27596.4001143361</v>
      </c>
      <c r="K39" s="23">
        <f t="shared" si="32"/>
        <v>9838.45248038282</v>
      </c>
      <c r="L39" s="23">
        <f t="shared" si="32"/>
        <v>8551.12867688324</v>
      </c>
      <c r="M39" s="23">
        <f t="shared" si="32"/>
        <v>18389.5811572661</v>
      </c>
      <c r="N39" s="23">
        <f t="shared" si="32"/>
        <v>5645</v>
      </c>
      <c r="O39" s="25">
        <f t="shared" si="32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33">G40+H40+I40</f>
        <v>27564.6346349947</v>
      </c>
      <c r="E40" s="23">
        <v>9817.2469001747</v>
      </c>
      <c r="F40" s="23">
        <v>8544.63729638324</v>
      </c>
      <c r="G40" s="23">
        <f t="shared" ref="G40:G44" si="34">SUM(E40:F40)</f>
        <v>18361.8841965579</v>
      </c>
      <c r="H40" s="23">
        <v>5641</v>
      </c>
      <c r="I40" s="25">
        <v>3561.75043843677</v>
      </c>
      <c r="J40" s="23">
        <f t="shared" ref="J40:J44" si="35">M40+N40+O40</f>
        <v>27564.6346349947</v>
      </c>
      <c r="K40" s="41">
        <f t="shared" ref="K40:O40" si="36">E40</f>
        <v>9817.2469001747</v>
      </c>
      <c r="L40" s="41">
        <f t="shared" si="36"/>
        <v>8544.63729638324</v>
      </c>
      <c r="M40" s="23">
        <f t="shared" ref="M40:M44" si="37">SUM(K40:L40)</f>
        <v>18361.8841965579</v>
      </c>
      <c r="N40" s="41">
        <f t="shared" si="36"/>
        <v>5641</v>
      </c>
      <c r="O40" s="41">
        <f t="shared" si="36"/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33"/>
        <v>31.7654793414028</v>
      </c>
      <c r="E41" s="23">
        <v>21.20558020812</v>
      </c>
      <c r="F41" s="23">
        <v>6.4913805</v>
      </c>
      <c r="G41" s="23">
        <f t="shared" si="34"/>
        <v>27.69696070812</v>
      </c>
      <c r="H41" s="23">
        <v>4</v>
      </c>
      <c r="I41" s="25">
        <v>0.0685186332828376</v>
      </c>
      <c r="J41" s="23">
        <f t="shared" si="35"/>
        <v>31.7654793414028</v>
      </c>
      <c r="K41" s="41">
        <f t="shared" ref="K41:O41" si="38">E41</f>
        <v>21.20558020812</v>
      </c>
      <c r="L41" s="41">
        <f t="shared" si="38"/>
        <v>6.4913805</v>
      </c>
      <c r="M41" s="23">
        <f t="shared" si="37"/>
        <v>27.69696070812</v>
      </c>
      <c r="N41" s="41">
        <f t="shared" si="38"/>
        <v>4</v>
      </c>
      <c r="O41" s="41">
        <f t="shared" si="38"/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39">D43+D44</f>
        <v>110300.96059501</v>
      </c>
      <c r="E42" s="23">
        <f t="shared" si="39"/>
        <v>37010.4288760809</v>
      </c>
      <c r="F42" s="23">
        <f t="shared" si="39"/>
        <v>39435.0030676916</v>
      </c>
      <c r="G42" s="23">
        <f t="shared" si="39"/>
        <v>76445.4319437725</v>
      </c>
      <c r="H42" s="23">
        <f t="shared" si="39"/>
        <v>22565</v>
      </c>
      <c r="I42" s="23">
        <f t="shared" si="39"/>
        <v>11290.5286512377</v>
      </c>
      <c r="J42" s="23">
        <f t="shared" si="39"/>
        <v>110300.96059501</v>
      </c>
      <c r="K42" s="23">
        <f t="shared" si="39"/>
        <v>37010.4288760809</v>
      </c>
      <c r="L42" s="23">
        <f t="shared" si="39"/>
        <v>39435.0030676916</v>
      </c>
      <c r="M42" s="23">
        <f t="shared" si="39"/>
        <v>76445.4319437725</v>
      </c>
      <c r="N42" s="23">
        <f t="shared" si="39"/>
        <v>22565</v>
      </c>
      <c r="O42" s="25">
        <f t="shared" si="39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33"/>
        <v>110175.033483778</v>
      </c>
      <c r="E43" s="23">
        <v>36930.6550800009</v>
      </c>
      <c r="F43" s="23">
        <v>39405.0669481916</v>
      </c>
      <c r="G43" s="23">
        <f t="shared" si="34"/>
        <v>76335.7220281925</v>
      </c>
      <c r="H43" s="23">
        <v>22549</v>
      </c>
      <c r="I43" s="25">
        <v>11290.3114555853</v>
      </c>
      <c r="J43" s="23">
        <f t="shared" si="35"/>
        <v>110175.033483778</v>
      </c>
      <c r="K43" s="41">
        <f t="shared" ref="K43:O43" si="40">E43</f>
        <v>36930.6550800009</v>
      </c>
      <c r="L43" s="41">
        <f t="shared" si="40"/>
        <v>39405.0669481916</v>
      </c>
      <c r="M43" s="23">
        <f t="shared" si="37"/>
        <v>76335.7220281925</v>
      </c>
      <c r="N43" s="41">
        <f t="shared" si="40"/>
        <v>22549</v>
      </c>
      <c r="O43" s="41">
        <f t="shared" si="40"/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33"/>
        <v>125.927111232431</v>
      </c>
      <c r="E44" s="23">
        <v>79.77379608</v>
      </c>
      <c r="F44" s="23">
        <v>29.9361195</v>
      </c>
      <c r="G44" s="23">
        <f t="shared" si="34"/>
        <v>109.70991558</v>
      </c>
      <c r="H44" s="23">
        <v>16</v>
      </c>
      <c r="I44" s="25">
        <v>0.217195652431448</v>
      </c>
      <c r="J44" s="23">
        <f t="shared" si="35"/>
        <v>125.927111232431</v>
      </c>
      <c r="K44" s="41">
        <f t="shared" ref="K44:O44" si="41">E44</f>
        <v>79.77379608</v>
      </c>
      <c r="L44" s="41">
        <f t="shared" si="41"/>
        <v>29.9361195</v>
      </c>
      <c r="M44" s="23">
        <f t="shared" si="37"/>
        <v>109.70991558</v>
      </c>
      <c r="N44" s="41">
        <f t="shared" si="41"/>
        <v>16</v>
      </c>
      <c r="O44" s="41">
        <f t="shared" si="41"/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>
        <f t="shared" ref="D45:O45" si="42">D39*1000000/D7</f>
        <v>176.420025174689</v>
      </c>
      <c r="E45" s="23">
        <f t="shared" si="42"/>
        <v>161.940238609446</v>
      </c>
      <c r="F45" s="23">
        <f t="shared" si="42"/>
        <v>148.260649723894</v>
      </c>
      <c r="G45" s="23">
        <f t="shared" si="42"/>
        <v>155.278169209825</v>
      </c>
      <c r="H45" s="23">
        <f t="shared" si="42"/>
        <v>249.319836053989</v>
      </c>
      <c r="I45" s="23">
        <f t="shared" si="42"/>
        <v>231.996492979831</v>
      </c>
      <c r="J45" s="23">
        <f t="shared" si="42"/>
        <v>176.420025174689</v>
      </c>
      <c r="K45" s="23">
        <f t="shared" si="42"/>
        <v>161.940238609446</v>
      </c>
      <c r="L45" s="23">
        <f t="shared" si="42"/>
        <v>148.260649723894</v>
      </c>
      <c r="M45" s="23">
        <f t="shared" si="42"/>
        <v>155.278169209825</v>
      </c>
      <c r="N45" s="23">
        <f t="shared" si="42"/>
        <v>249.319836053989</v>
      </c>
      <c r="O45" s="25">
        <f t="shared" si="42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>
        <f t="shared" ref="D46:O46" si="43">D39*1000000/(D7-D33)</f>
        <v>186.969891774527</v>
      </c>
      <c r="E46" s="23">
        <f t="shared" si="43"/>
        <v>172.059562130418</v>
      </c>
      <c r="F46" s="23">
        <f t="shared" si="43"/>
        <v>155.95331721936</v>
      </c>
      <c r="G46" s="23">
        <f t="shared" si="43"/>
        <v>164.175333791066</v>
      </c>
      <c r="H46" s="23">
        <f t="shared" si="43"/>
        <v>265.759052814963</v>
      </c>
      <c r="I46" s="23">
        <f t="shared" si="43"/>
        <v>248.293228752729</v>
      </c>
      <c r="J46" s="23">
        <f t="shared" si="43"/>
        <v>186.969891774528</v>
      </c>
      <c r="K46" s="23">
        <f t="shared" si="43"/>
        <v>172.059562130418</v>
      </c>
      <c r="L46" s="23">
        <f t="shared" si="43"/>
        <v>155.95331721936</v>
      </c>
      <c r="M46" s="23">
        <f t="shared" si="43"/>
        <v>164.175333791067</v>
      </c>
      <c r="N46" s="23">
        <f t="shared" si="43"/>
        <v>265.759052814963</v>
      </c>
      <c r="O46" s="25">
        <f t="shared" si="43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>
        <f t="shared" ref="D47:O47" si="44">D42*1000/D9</f>
        <v>39.2587941399599</v>
      </c>
      <c r="E47" s="60">
        <f t="shared" si="44"/>
        <v>37.7569134943553</v>
      </c>
      <c r="F47" s="60">
        <f t="shared" si="44"/>
        <v>40.7749265943336</v>
      </c>
      <c r="G47" s="60">
        <f t="shared" si="44"/>
        <v>39.2557761569941</v>
      </c>
      <c r="H47" s="60">
        <f t="shared" si="44"/>
        <v>39.5791091060892</v>
      </c>
      <c r="I47" s="60">
        <f t="shared" si="44"/>
        <v>38.6537083337935</v>
      </c>
      <c r="J47" s="62">
        <f t="shared" si="44"/>
        <v>39.2587941399599</v>
      </c>
      <c r="K47" s="62">
        <f t="shared" si="44"/>
        <v>37.7569134943553</v>
      </c>
      <c r="L47" s="62">
        <f t="shared" si="44"/>
        <v>40.7749265943336</v>
      </c>
      <c r="M47" s="62">
        <f t="shared" si="44"/>
        <v>39.2557761569941</v>
      </c>
      <c r="N47" s="62">
        <f t="shared" si="44"/>
        <v>39.5791091060892</v>
      </c>
      <c r="O47" s="63">
        <f t="shared" si="44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>
        <f t="shared" ref="D48:O48" si="45">(D40+D43)*29308/D14</f>
        <v>20037.4772224808</v>
      </c>
      <c r="E48" s="67">
        <f t="shared" si="45"/>
        <v>20068.0734596172</v>
      </c>
      <c r="F48" s="67">
        <f t="shared" si="45"/>
        <v>19188</v>
      </c>
      <c r="G48" s="67">
        <f t="shared" si="45"/>
        <v>19612.5915528474</v>
      </c>
      <c r="H48" s="68">
        <f t="shared" si="45"/>
        <v>21022.1755171624</v>
      </c>
      <c r="I48" s="68">
        <f t="shared" si="45"/>
        <v>21074.8632597066</v>
      </c>
      <c r="J48" s="37">
        <f t="shared" si="45"/>
        <v>20037.4772224808</v>
      </c>
      <c r="K48" s="37">
        <f t="shared" si="45"/>
        <v>20068.0734596172</v>
      </c>
      <c r="L48" s="37">
        <f t="shared" si="45"/>
        <v>19188</v>
      </c>
      <c r="M48" s="37">
        <f t="shared" si="45"/>
        <v>19612.5915528474</v>
      </c>
      <c r="N48" s="37">
        <f t="shared" si="45"/>
        <v>21022.1755171624</v>
      </c>
      <c r="O48" s="68">
        <f t="shared" si="45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>
        <v>20159.4936</v>
      </c>
      <c r="F49" s="23">
        <v>19277</v>
      </c>
      <c r="G49" s="42"/>
      <c r="H49" s="23">
        <v>20991.6</v>
      </c>
      <c r="I49" s="25">
        <v>20480</v>
      </c>
      <c r="J49" s="42"/>
      <c r="K49" s="23">
        <v>20159.4936</v>
      </c>
      <c r="L49" s="23">
        <v>19277</v>
      </c>
      <c r="M49" s="42">
        <v>0</v>
      </c>
      <c r="N49" s="23">
        <v>20991.6</v>
      </c>
      <c r="O49" s="25">
        <v>20480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258920</v>
      </c>
      <c r="E50" s="23">
        <v>99360</v>
      </c>
      <c r="F50" s="23">
        <v>99840</v>
      </c>
      <c r="G50" s="23">
        <f>SUM(E50:F50)</f>
        <v>199200</v>
      </c>
      <c r="H50" s="23">
        <v>36720</v>
      </c>
      <c r="I50" s="25">
        <v>23000</v>
      </c>
      <c r="J50" s="23">
        <f>M50+N50+O50</f>
        <v>258920</v>
      </c>
      <c r="K50" s="23">
        <v>99360</v>
      </c>
      <c r="L50" s="23">
        <v>99840</v>
      </c>
      <c r="M50" s="23">
        <f>SUM(K50:L50)</f>
        <v>199200</v>
      </c>
      <c r="N50" s="23">
        <v>36720</v>
      </c>
      <c r="O50" s="25">
        <v>23000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668.833333333333</v>
      </c>
      <c r="E51" s="23">
        <v>58.8333333333333</v>
      </c>
      <c r="F51" s="23">
        <v>120</v>
      </c>
      <c r="G51" s="23">
        <f>SUM(E51:F51)</f>
        <v>178.833333333333</v>
      </c>
      <c r="H51" s="23">
        <v>350</v>
      </c>
      <c r="I51" s="25">
        <v>140</v>
      </c>
      <c r="J51" s="23">
        <f>M51+N51+O51</f>
        <v>668.833333333333</v>
      </c>
      <c r="K51" s="23">
        <v>58.8333333333333</v>
      </c>
      <c r="L51" s="23">
        <v>120</v>
      </c>
      <c r="M51" s="23">
        <f>SUM(K51:L51)</f>
        <v>178.833333333333</v>
      </c>
      <c r="N51" s="23">
        <v>350</v>
      </c>
      <c r="O51" s="25">
        <v>140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46">D7/10000/D6/(DAY(DATE(2026,2,0))*24)</f>
        <v>0.782172159018177</v>
      </c>
      <c r="E52" s="71">
        <f t="shared" si="46"/>
        <v>0.81658064516129</v>
      </c>
      <c r="F52" s="71">
        <f t="shared" si="46"/>
        <v>0.77521935483871</v>
      </c>
      <c r="G52" s="71">
        <f t="shared" si="46"/>
        <v>0.7959</v>
      </c>
      <c r="H52" s="71">
        <f t="shared" si="46"/>
        <v>0.845340501792115</v>
      </c>
      <c r="I52" s="72">
        <f t="shared" si="46"/>
        <v>0.629134703645424</v>
      </c>
      <c r="J52" s="71">
        <f t="shared" ref="J52:O52" si="47">J7/10000/J6/(DATEDIF(DATE(2026,1,1),DATE(2026,2,1),"D")*24)</f>
        <v>0.782172159018177</v>
      </c>
      <c r="K52" s="71">
        <f t="shared" si="47"/>
        <v>0.81658064516129</v>
      </c>
      <c r="L52" s="71">
        <f t="shared" si="47"/>
        <v>0.77521935483871</v>
      </c>
      <c r="M52" s="71">
        <f t="shared" si="47"/>
        <v>0.7959</v>
      </c>
      <c r="N52" s="71">
        <f t="shared" si="47"/>
        <v>0.845340501792115</v>
      </c>
      <c r="O52" s="72">
        <f t="shared" si="47"/>
        <v>0.629134703645424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D9*1000/1986/((DAY(DATE(2026,2,0))*24)*3600)</f>
        <v>0.528186939720141</v>
      </c>
      <c r="E53" s="75">
        <f>E9*1000/577/((DAY(DATE(2026,2,0))*24)*3600)</f>
        <v>0.634273231897933</v>
      </c>
      <c r="F53" s="72">
        <f>F9*1000/528/((DAY(DATE(2026,2,0))*24)*3600)</f>
        <v>0.683879101182072</v>
      </c>
      <c r="G53" s="75">
        <f>G9*1000/1442/((DAY(DATE(2026,2,0))*24)*3600)</f>
        <v>0.504205145790042</v>
      </c>
      <c r="H53" s="72">
        <f>H9*1000/414/((DAY(DATE(2026,2,0))*24)*3600)</f>
        <v>0.514154387362273</v>
      </c>
      <c r="I53" s="72">
        <f>I9*1000/130/((DAY(DATE(2026,2,0))*24)*3600)</f>
        <v>0.838888659130595</v>
      </c>
      <c r="J53" s="71">
        <f>J9*1000/1986/((DATEDIF(DATE(2026,1,1),DATE(2026,2,1),"D")*24)*3600)</f>
        <v>0.528186939720141</v>
      </c>
      <c r="K53" s="75">
        <f>K9*1000/577/((DATEDIF(DATE(2026,1,1),DATE(2026,2,1),"D")*24)*3600)</f>
        <v>0.634273231897933</v>
      </c>
      <c r="L53" s="72">
        <f>L9*1000/528/((DATEDIF(DATE(2026,1,1),DATE(2026,2,1),"D")*24)*3600)</f>
        <v>0.683879101182072</v>
      </c>
      <c r="M53" s="75">
        <f>M9*1000/1442/((DATEDIF(DATE(2026,1,1),DATE(2026,2,1),"D")*24)*3600)</f>
        <v>0.504205145790042</v>
      </c>
      <c r="N53" s="72">
        <f>N9*1000/414/((DATEDIF(DATE(2026,1,1),DATE(2026,2,1),"D")*24)*3600)</f>
        <v>0.514154387362273</v>
      </c>
      <c r="O53" s="72">
        <f>O9*1000/130/((DATEDIF(DATE(2026,1,1),DATE(2026,2,1),"D")*24)*3600)</f>
        <v>0.838888659130595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>
        <f t="shared" ref="D54:O54" si="48">D42/D38</f>
        <v>0.799877242230165</v>
      </c>
      <c r="E54" s="76">
        <f t="shared" si="48"/>
        <v>0.789996</v>
      </c>
      <c r="F54" s="76">
        <f t="shared" si="48"/>
        <v>0.8218</v>
      </c>
      <c r="G54" s="76">
        <f t="shared" si="48"/>
        <v>0.80608869492459</v>
      </c>
      <c r="H54" s="76">
        <f t="shared" si="48"/>
        <v>0.799893654732364</v>
      </c>
      <c r="I54" s="77">
        <f t="shared" si="48"/>
        <v>0.760184783510068</v>
      </c>
      <c r="J54" s="78">
        <f t="shared" si="48"/>
        <v>0.799877242230165</v>
      </c>
      <c r="K54" s="78">
        <f t="shared" si="48"/>
        <v>0.789996</v>
      </c>
      <c r="L54" s="78">
        <f t="shared" si="48"/>
        <v>0.8218</v>
      </c>
      <c r="M54" s="78">
        <f t="shared" si="48"/>
        <v>0.806088694924589</v>
      </c>
      <c r="N54" s="78">
        <f t="shared" si="48"/>
        <v>0.799893654732364</v>
      </c>
      <c r="O54" s="79">
        <f t="shared" si="48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>
        <f t="shared" ref="D55:O55" si="49">D9*1000000/(D8*3600)</f>
        <v>7.42732460071778</v>
      </c>
      <c r="E55" s="80">
        <f t="shared" si="49"/>
        <v>7.33017021777037</v>
      </c>
      <c r="F55" s="80">
        <f t="shared" si="49"/>
        <v>6.53056418217415</v>
      </c>
      <c r="G55" s="80">
        <f t="shared" si="49"/>
        <v>6.90998279541906</v>
      </c>
      <c r="H55" s="80">
        <f t="shared" si="49"/>
        <v>10.1240096894325</v>
      </c>
      <c r="I55" s="81">
        <f t="shared" si="49"/>
        <v>7.27625980239118</v>
      </c>
      <c r="J55" s="82">
        <f t="shared" si="49"/>
        <v>7.42732460071778</v>
      </c>
      <c r="K55" s="82">
        <f t="shared" si="49"/>
        <v>7.33017021777037</v>
      </c>
      <c r="L55" s="82">
        <f t="shared" si="49"/>
        <v>6.53056418217415</v>
      </c>
      <c r="M55" s="82">
        <f t="shared" si="49"/>
        <v>6.90998279541906</v>
      </c>
      <c r="N55" s="82">
        <f t="shared" si="49"/>
        <v>10.1240096894325</v>
      </c>
      <c r="O55" s="83">
        <f t="shared" si="49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>
        <f t="shared" ref="D56:O56" si="50">(D9*1000+D8*3600/1000)/(D38*7000*4.1868)</f>
        <v>0.78879372482082</v>
      </c>
      <c r="E56" s="76">
        <f t="shared" si="50"/>
        <v>0.811312127736844</v>
      </c>
      <c r="F56" s="76">
        <f t="shared" si="50"/>
        <v>0.792993277802355</v>
      </c>
      <c r="G56" s="76">
        <f t="shared" si="50"/>
        <v>0.802042864016398</v>
      </c>
      <c r="H56" s="76">
        <f t="shared" si="50"/>
        <v>0.757695639947563</v>
      </c>
      <c r="I56" s="77">
        <f t="shared" si="50"/>
        <v>0.763262049632755</v>
      </c>
      <c r="J56" s="86">
        <f t="shared" si="50"/>
        <v>0.78879372482082</v>
      </c>
      <c r="K56" s="86">
        <f t="shared" si="50"/>
        <v>0.811312127736844</v>
      </c>
      <c r="L56" s="86">
        <f t="shared" si="50"/>
        <v>0.792993277802355</v>
      </c>
      <c r="M56" s="86">
        <f t="shared" si="50"/>
        <v>0.802042864016398</v>
      </c>
      <c r="N56" s="86">
        <f t="shared" si="50"/>
        <v>0.757695639947563</v>
      </c>
      <c r="O56" s="87">
        <f t="shared" si="50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21905.92</v>
      </c>
      <c r="E57" s="67">
        <v>26761</v>
      </c>
      <c r="F57" s="67">
        <v>66608</v>
      </c>
      <c r="G57" s="67"/>
      <c r="H57" s="67">
        <v>4890.18</v>
      </c>
      <c r="I57" s="68">
        <v>17015.74</v>
      </c>
      <c r="J57" s="37">
        <f t="shared" ref="J57:J68" si="51">M57+N57+O57</f>
        <v>115274.92</v>
      </c>
      <c r="K57" s="41">
        <f t="shared" ref="K57:O57" si="52">E57</f>
        <v>26761</v>
      </c>
      <c r="L57" s="41">
        <f t="shared" si="52"/>
        <v>66608</v>
      </c>
      <c r="M57" s="23">
        <f t="shared" ref="M57:M68" si="53">SUM(K57:L57)</f>
        <v>93369</v>
      </c>
      <c r="N57" s="41">
        <f t="shared" si="52"/>
        <v>4890.18</v>
      </c>
      <c r="O57" s="41">
        <f t="shared" si="52"/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54">SUM(G58:I58)</f>
        <v>42844</v>
      </c>
      <c r="E58" s="23">
        <v>42844</v>
      </c>
      <c r="F58" s="23"/>
      <c r="G58" s="23">
        <f t="shared" ref="G58:G66" si="55">SUM(E58:F58)</f>
        <v>42844</v>
      </c>
      <c r="H58" s="42"/>
      <c r="I58" s="25"/>
      <c r="J58" s="23">
        <f>SUM(M58:O58)</f>
        <v>42844</v>
      </c>
      <c r="K58" s="41">
        <f>E58</f>
        <v>42844</v>
      </c>
      <c r="L58" s="41">
        <f>F58</f>
        <v>0</v>
      </c>
      <c r="M58" s="23">
        <f t="shared" si="53"/>
        <v>42844</v>
      </c>
      <c r="N58" s="41">
        <f t="shared" ref="N58:N66" si="56">H58</f>
        <v>0</v>
      </c>
      <c r="O58" s="127">
        <f t="shared" ref="O58:O66" si="57">I58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54"/>
        <v>103499.609997925</v>
      </c>
      <c r="E59" s="130">
        <f>K59</f>
        <v>42846</v>
      </c>
      <c r="F59" s="130">
        <f t="shared" ref="E59:I59" si="58">L59</f>
        <v>11815</v>
      </c>
      <c r="G59" s="90">
        <f t="shared" si="55"/>
        <v>54661</v>
      </c>
      <c r="H59" s="130">
        <f>N59</f>
        <v>28612.66</v>
      </c>
      <c r="I59" s="130">
        <f t="shared" si="58"/>
        <v>20225.9499979253</v>
      </c>
      <c r="J59" s="90">
        <f t="shared" si="51"/>
        <v>103499.609997925</v>
      </c>
      <c r="K59" s="131">
        <f>'[13]25.12'!$K$59+E57-E14-E58</f>
        <v>42846</v>
      </c>
      <c r="L59" s="131">
        <f>'[13]25.12'!$L$59+F57-F14-F58</f>
        <v>11815</v>
      </c>
      <c r="M59" s="32">
        <f t="shared" si="53"/>
        <v>54661</v>
      </c>
      <c r="N59" s="131">
        <f>'[13]25.12'!$H$59+H57-H14-H58</f>
        <v>28612.66</v>
      </c>
      <c r="O59" s="131">
        <f>'[13]25.12'!$I$59+I57-I14-I58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54"/>
        <v>2855811</v>
      </c>
      <c r="E60" s="96">
        <v>0</v>
      </c>
      <c r="F60" s="96">
        <v>0</v>
      </c>
      <c r="G60" s="67"/>
      <c r="H60" s="96">
        <v>1828619</v>
      </c>
      <c r="I60" s="97">
        <v>1027192</v>
      </c>
      <c r="J60" s="67">
        <f t="shared" si="51"/>
        <v>2855811</v>
      </c>
      <c r="K60" s="41">
        <f t="shared" ref="K60:O60" si="59">E60</f>
        <v>0</v>
      </c>
      <c r="L60" s="41">
        <f t="shared" si="59"/>
        <v>0</v>
      </c>
      <c r="M60" s="67">
        <f t="shared" si="53"/>
        <v>0</v>
      </c>
      <c r="N60" s="41">
        <f t="shared" si="59"/>
        <v>1828619</v>
      </c>
      <c r="O60" s="41">
        <f t="shared" si="59"/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54"/>
        <v>2855811</v>
      </c>
      <c r="E61" s="102"/>
      <c r="F61" s="102"/>
      <c r="G61" s="23">
        <f t="shared" si="55"/>
        <v>0</v>
      </c>
      <c r="H61" s="103">
        <v>1828619</v>
      </c>
      <c r="I61" s="104">
        <v>1027192</v>
      </c>
      <c r="J61" s="23">
        <f t="shared" si="51"/>
        <v>2855811</v>
      </c>
      <c r="K61" s="132">
        <f t="shared" ref="K60:K68" si="60">E61</f>
        <v>0</v>
      </c>
      <c r="L61" s="132">
        <f t="shared" ref="L60:L68" si="61">F61</f>
        <v>0</v>
      </c>
      <c r="M61" s="23">
        <f t="shared" si="53"/>
        <v>0</v>
      </c>
      <c r="N61" s="41">
        <f t="shared" si="56"/>
        <v>1828619</v>
      </c>
      <c r="O61" s="41">
        <f t="shared" si="57"/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54"/>
        <v>63546</v>
      </c>
      <c r="E62" s="102"/>
      <c r="F62" s="102"/>
      <c r="G62" s="23">
        <f t="shared" si="55"/>
        <v>0</v>
      </c>
      <c r="H62" s="103">
        <v>40661</v>
      </c>
      <c r="I62" s="104">
        <v>22885</v>
      </c>
      <c r="J62" s="23">
        <f t="shared" si="51"/>
        <v>63546</v>
      </c>
      <c r="K62" s="132">
        <f t="shared" si="60"/>
        <v>0</v>
      </c>
      <c r="L62" s="132">
        <f t="shared" si="61"/>
        <v>0</v>
      </c>
      <c r="M62" s="23">
        <f t="shared" si="53"/>
        <v>0</v>
      </c>
      <c r="N62" s="41">
        <f t="shared" si="56"/>
        <v>40661</v>
      </c>
      <c r="O62" s="41">
        <f t="shared" si="57"/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54"/>
        <v>25920</v>
      </c>
      <c r="E63" s="103"/>
      <c r="F63" s="103">
        <v>25920</v>
      </c>
      <c r="G63" s="23">
        <f t="shared" si="55"/>
        <v>25920</v>
      </c>
      <c r="H63" s="103"/>
      <c r="I63" s="104"/>
      <c r="J63" s="23">
        <f t="shared" si="51"/>
        <v>25920</v>
      </c>
      <c r="K63" s="132">
        <f t="shared" si="60"/>
        <v>0</v>
      </c>
      <c r="L63" s="132">
        <v>25920</v>
      </c>
      <c r="M63" s="23">
        <f t="shared" si="53"/>
        <v>25920</v>
      </c>
      <c r="N63" s="41">
        <f t="shared" si="56"/>
        <v>0</v>
      </c>
      <c r="O63" s="41">
        <f t="shared" si="57"/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54"/>
        <v>73699</v>
      </c>
      <c r="E64" s="103">
        <v>73699</v>
      </c>
      <c r="F64" s="103">
        <v>0</v>
      </c>
      <c r="G64" s="23">
        <f t="shared" si="55"/>
        <v>73699</v>
      </c>
      <c r="H64" s="103"/>
      <c r="I64" s="104"/>
      <c r="J64" s="23">
        <f t="shared" si="51"/>
        <v>73699</v>
      </c>
      <c r="K64" s="41">
        <f t="shared" si="60"/>
        <v>73699</v>
      </c>
      <c r="L64" s="41">
        <f t="shared" ref="L64:L66" si="62">F64</f>
        <v>0</v>
      </c>
      <c r="M64" s="23">
        <f t="shared" si="53"/>
        <v>73699</v>
      </c>
      <c r="N64" s="41">
        <f t="shared" si="56"/>
        <v>0</v>
      </c>
      <c r="O64" s="41">
        <f t="shared" si="57"/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54"/>
        <v>70369</v>
      </c>
      <c r="E65" s="103">
        <v>6302</v>
      </c>
      <c r="F65" s="103">
        <v>32849</v>
      </c>
      <c r="G65" s="103">
        <f t="shared" si="55"/>
        <v>39151</v>
      </c>
      <c r="H65" s="103">
        <v>23814</v>
      </c>
      <c r="I65" s="104">
        <v>7404</v>
      </c>
      <c r="J65" s="103">
        <f t="shared" si="51"/>
        <v>70369</v>
      </c>
      <c r="K65" s="41">
        <f t="shared" si="60"/>
        <v>6302</v>
      </c>
      <c r="L65" s="41">
        <f t="shared" si="62"/>
        <v>32849</v>
      </c>
      <c r="M65" s="103">
        <f t="shared" si="53"/>
        <v>39151</v>
      </c>
      <c r="N65" s="41">
        <f t="shared" si="56"/>
        <v>23814</v>
      </c>
      <c r="O65" s="41">
        <f t="shared" si="57"/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54"/>
        <v>3730739</v>
      </c>
      <c r="E66" s="107">
        <v>1072980</v>
      </c>
      <c r="F66" s="107">
        <v>1283190</v>
      </c>
      <c r="G66" s="107">
        <f t="shared" si="55"/>
        <v>2356170</v>
      </c>
      <c r="H66" s="107">
        <v>754606</v>
      </c>
      <c r="I66" s="108">
        <v>619963</v>
      </c>
      <c r="J66" s="107">
        <f t="shared" si="51"/>
        <v>3730739</v>
      </c>
      <c r="K66" s="41">
        <f t="shared" si="60"/>
        <v>1072980</v>
      </c>
      <c r="L66" s="41">
        <f t="shared" si="62"/>
        <v>1283190</v>
      </c>
      <c r="M66" s="107">
        <f t="shared" si="53"/>
        <v>2356170</v>
      </c>
      <c r="N66" s="41">
        <f t="shared" si="56"/>
        <v>754606</v>
      </c>
      <c r="O66" s="41">
        <f t="shared" si="57"/>
        <v>619963</v>
      </c>
      <c r="P66" s="98"/>
    </row>
    <row r="67" s="5" customFormat="1" ht="13.75" spans="1:32">
      <c r="A67" s="93" t="s">
        <v>146</v>
      </c>
      <c r="B67" s="94" t="s">
        <v>30</v>
      </c>
      <c r="C67" s="95" t="s">
        <v>147</v>
      </c>
      <c r="D67" s="67">
        <f t="shared" si="54"/>
        <v>58861.2387195619</v>
      </c>
      <c r="E67" s="109">
        <f>(E20-E63-E64-E12)*(1-E54)</f>
        <v>14378.133864</v>
      </c>
      <c r="F67" s="96">
        <f t="shared" ref="F67:I67" si="63">(F20-F63-F12)*(1-F54)</f>
        <v>16210.1412</v>
      </c>
      <c r="G67" s="96">
        <f t="shared" si="63"/>
        <v>45206.7364635355</v>
      </c>
      <c r="H67" s="96">
        <f>(H20-H62-H12)*(1-H54)</f>
        <v>10832.3567883729</v>
      </c>
      <c r="I67" s="96">
        <f>(I20-I62-I12)*(1-I54)</f>
        <v>2822.14546765352</v>
      </c>
      <c r="J67" s="96">
        <f t="shared" si="51"/>
        <v>44242.7773200265</v>
      </c>
      <c r="K67" s="133">
        <f t="shared" si="60"/>
        <v>14378.133864</v>
      </c>
      <c r="L67" s="133">
        <f t="shared" si="61"/>
        <v>16210.1412</v>
      </c>
      <c r="M67" s="96">
        <f t="shared" si="53"/>
        <v>30588.275064</v>
      </c>
      <c r="N67" s="133">
        <f>H67</f>
        <v>10832.3567883729</v>
      </c>
      <c r="O67" s="134">
        <f>I67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>
        <f t="shared" si="54"/>
        <v>115792.497743974</v>
      </c>
      <c r="E68" s="110">
        <f>(E20-E63-E64-E12)*E54+E12</f>
        <v>89532.866136</v>
      </c>
      <c r="F68" s="103">
        <f>(F20-F63-F12)*F54+F12</f>
        <v>152643.8588</v>
      </c>
      <c r="G68" s="96">
        <v>0</v>
      </c>
      <c r="H68" s="103">
        <f>(H20-H62-H12)*H54+H12+H62</f>
        <v>83961.6432116271</v>
      </c>
      <c r="I68" s="103">
        <f>(I20-I62-I12)*I54+I12+I62</f>
        <v>31830.8545323465</v>
      </c>
      <c r="J68" s="103">
        <f t="shared" si="51"/>
        <v>357969.222679974</v>
      </c>
      <c r="K68" s="132">
        <f t="shared" si="60"/>
        <v>89532.866136</v>
      </c>
      <c r="L68" s="132">
        <f t="shared" si="61"/>
        <v>152643.8588</v>
      </c>
      <c r="M68" s="103">
        <f t="shared" si="53"/>
        <v>242176.724936</v>
      </c>
      <c r="N68" s="132">
        <f>H68</f>
        <v>83961.6432116271</v>
      </c>
      <c r="O68" s="135">
        <f>I68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>
        <f t="shared" ref="D69:O69" si="64">D67/(D7/10000)</f>
        <v>3.76291877697625</v>
      </c>
      <c r="E69" s="20">
        <f t="shared" si="64"/>
        <v>2.36663076163388</v>
      </c>
      <c r="F69" s="20">
        <f t="shared" si="64"/>
        <v>2.81053666392031</v>
      </c>
      <c r="G69" s="20">
        <f t="shared" si="64"/>
        <v>3.81717191597659</v>
      </c>
      <c r="H69" s="20">
        <f t="shared" si="64"/>
        <v>4.78427177777759</v>
      </c>
      <c r="I69" s="20">
        <f t="shared" si="64"/>
        <v>1.83818397022941</v>
      </c>
      <c r="J69" s="20">
        <f t="shared" si="64"/>
        <v>2.8283804613133</v>
      </c>
      <c r="K69" s="20">
        <f t="shared" si="64"/>
        <v>2.36663076163388</v>
      </c>
      <c r="L69" s="20">
        <f t="shared" si="64"/>
        <v>2.81053666392031</v>
      </c>
      <c r="M69" s="20">
        <f t="shared" si="64"/>
        <v>2.58281649299434</v>
      </c>
      <c r="N69" s="20">
        <f t="shared" si="64"/>
        <v>4.78427177777759</v>
      </c>
      <c r="O69" s="21">
        <f t="shared" si="64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>
        <f t="shared" ref="D70:O70" si="65">D68/D9</f>
        <v>0.0412133657527555</v>
      </c>
      <c r="E70" s="62">
        <f t="shared" si="65"/>
        <v>0.0913387059879055</v>
      </c>
      <c r="F70" s="62">
        <f t="shared" si="65"/>
        <v>0.15783039567569</v>
      </c>
      <c r="G70" s="62">
        <f t="shared" si="65"/>
        <v>0</v>
      </c>
      <c r="H70" s="62">
        <f t="shared" si="65"/>
        <v>0.147269090954998</v>
      </c>
      <c r="I70" s="62">
        <f t="shared" si="65"/>
        <v>0.108974575515013</v>
      </c>
      <c r="J70" s="62">
        <f t="shared" si="65"/>
        <v>0.127409951335186</v>
      </c>
      <c r="K70" s="62">
        <f t="shared" si="65"/>
        <v>0.0913387059879055</v>
      </c>
      <c r="L70" s="62">
        <f t="shared" si="65"/>
        <v>0.15783039567569</v>
      </c>
      <c r="M70" s="62">
        <f t="shared" si="65"/>
        <v>0.124361064654773</v>
      </c>
      <c r="N70" s="62">
        <f t="shared" si="65"/>
        <v>0.147269090954998</v>
      </c>
      <c r="O70" s="63">
        <f t="shared" si="65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" right="0" top="0.47244094488189" bottom="0.47244094488189" header="0.511811023622047" footer="0.511811023622047"/>
  <pageSetup paperSize="8" orientation="landscape" horizontalDpi="180" verticalDpi="18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L48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40">
        <f>[2]产量!$C$15</f>
        <v>0</v>
      </c>
      <c r="F7" s="40">
        <f>[2]产量!$C$19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41">
        <f>E7+'26.1'!K7</f>
        <v>60753600</v>
      </c>
      <c r="L7" s="41">
        <f>F7+'26.1'!L7</f>
        <v>57676320</v>
      </c>
      <c r="M7" s="23">
        <f t="shared" si="3"/>
        <v>118429920</v>
      </c>
      <c r="N7" s="41">
        <f>H7+'26.1'!N7</f>
        <v>22641600</v>
      </c>
      <c r="O7" s="41">
        <f>I7+'26.1'!O7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40">
        <f>[2]产量!$E$15</f>
        <v>0</v>
      </c>
      <c r="F8" s="40">
        <f>[2]产量!$E$19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41">
        <f>E8+'26.1'!K8</f>
        <v>37145916</v>
      </c>
      <c r="L8" s="41">
        <f>F8+'26.1'!L8</f>
        <v>41137272</v>
      </c>
      <c r="M8" s="23">
        <f t="shared" si="3"/>
        <v>78283188</v>
      </c>
      <c r="N8" s="41">
        <f>H8+'26.1'!N8</f>
        <v>15642792</v>
      </c>
      <c r="O8" s="41">
        <f>I8+'26.1'!O8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40">
        <f>[2]产量!$G$6</f>
        <v>0</v>
      </c>
      <c r="F9" s="40">
        <f>[2]产量!$G$7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41">
        <f>E9+'26.1'!K9</f>
        <v>980229.19383</v>
      </c>
      <c r="L9" s="41">
        <f>F9+'26.1'!L9</f>
        <v>967138.542272</v>
      </c>
      <c r="M9" s="23">
        <f t="shared" si="3"/>
        <v>1947367.736102</v>
      </c>
      <c r="N9" s="41">
        <f>H9+'26.1'!N9</f>
        <v>570124</v>
      </c>
      <c r="O9" s="41">
        <f>I9+'26.1'!O9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40">
        <f>[2]产量!$G$29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41">
        <f>E10+'26.1'!K10</f>
        <v>0</v>
      </c>
      <c r="L10" s="41">
        <f>F10+'26.1'!L10</f>
        <v>264848</v>
      </c>
      <c r="M10" s="23">
        <f t="shared" si="3"/>
        <v>264848</v>
      </c>
      <c r="N10" s="41">
        <f>H10+'26.1'!N10</f>
        <v>113115</v>
      </c>
      <c r="O10" s="41">
        <f>I10+'26.1'!O10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40">
        <f>[2]产量!$G$28</f>
        <v>0</v>
      </c>
      <c r="F11" s="40">
        <f>[2]产量!$G$30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41">
        <f>E11+'26.1'!K11</f>
        <v>875606.4</v>
      </c>
      <c r="L11" s="41">
        <f>F11+'26.1'!L11</f>
        <v>472389</v>
      </c>
      <c r="M11" s="23">
        <f t="shared" si="3"/>
        <v>1347995.4</v>
      </c>
      <c r="N11" s="41">
        <f>H11+'26.1'!N11</f>
        <v>457009</v>
      </c>
      <c r="O11" s="41">
        <f>I11+'26.1'!O11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40">
        <f>[2]产量!$G$15</f>
        <v>0</v>
      </c>
      <c r="F12" s="40">
        <f>[2]产量!$G$19</f>
        <v>0</v>
      </c>
      <c r="G12" s="23">
        <f t="shared" si="1"/>
        <v>0</v>
      </c>
      <c r="H12" s="23">
        <v>0</v>
      </c>
      <c r="I12" s="25"/>
      <c r="J12" s="23">
        <f t="shared" si="2"/>
        <v>113333</v>
      </c>
      <c r="K12" s="41">
        <f>E12+'26.1'!K12</f>
        <v>35445</v>
      </c>
      <c r="L12" s="41">
        <f>F12+'26.1'!L12</f>
        <v>77888</v>
      </c>
      <c r="M12" s="23">
        <f t="shared" si="3"/>
        <v>113333</v>
      </c>
      <c r="N12" s="41">
        <f>H12+'26.1'!N12</f>
        <v>0</v>
      </c>
      <c r="O12" s="41">
        <f>I12+'26.1'!O12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41">
        <f>E15+'26.1'!K15</f>
        <v>14337.393088</v>
      </c>
      <c r="L15" s="41">
        <f>F15+'26.1'!L15</f>
        <v>13051.1898</v>
      </c>
      <c r="M15" s="23">
        <f t="shared" ref="M15:M29" si="8">SUM(K15:L15)</f>
        <v>27388.582888</v>
      </c>
      <c r="N15" s="41">
        <f>H15+'26.1'!N15</f>
        <v>7865</v>
      </c>
      <c r="O15" s="41">
        <f>I15+'26.1'!O15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41">
        <f>E16+'26.1'!K16</f>
        <v>53934.606912</v>
      </c>
      <c r="L16" s="41">
        <f>F16+'26.1'!L16</f>
        <v>60187.8102</v>
      </c>
      <c r="M16" s="23">
        <f t="shared" si="8"/>
        <v>114122.417112</v>
      </c>
      <c r="N16" s="41">
        <f>H16+'26.1'!N16</f>
        <v>31436</v>
      </c>
      <c r="O16" s="41">
        <f>I16+'26.1'!O16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41">
        <f>E18+'26.1'!K18</f>
        <v>14.5532772</v>
      </c>
      <c r="L18" s="41">
        <f>F18+'26.1'!L18</f>
        <v>4.455</v>
      </c>
      <c r="M18" s="23">
        <f t="shared" si="8"/>
        <v>19.0082772</v>
      </c>
      <c r="N18" s="41">
        <f>H18+'26.1'!N18</f>
        <v>3</v>
      </c>
      <c r="O18" s="41">
        <f>I18+'26.1'!O18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41">
        <f>E19+'26.1'!K19</f>
        <v>54.7467228</v>
      </c>
      <c r="L19" s="41">
        <f>F19+'26.1'!L19</f>
        <v>20.545</v>
      </c>
      <c r="M19" s="23">
        <f t="shared" si="8"/>
        <v>75.2917228</v>
      </c>
      <c r="N19" s="41">
        <f>H19+'26.1'!N19</f>
        <v>11</v>
      </c>
      <c r="O19" s="41">
        <f>I19+'26.1'!O19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41">
        <f>E20+'26.1'!K20</f>
        <v>177610</v>
      </c>
      <c r="L20" s="41">
        <f>F20+'26.1'!L20</f>
        <v>194774</v>
      </c>
      <c r="M20" s="23">
        <f t="shared" si="8"/>
        <v>372384</v>
      </c>
      <c r="N20" s="41">
        <f>H20+'26.1'!N20</f>
        <v>94794</v>
      </c>
      <c r="O20" s="41">
        <f>I20+'26.1'!O20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41">
        <f>E21+'26.1'!K21</f>
        <v>121213</v>
      </c>
      <c r="L21" s="41">
        <f>F21+'26.1'!L21</f>
        <v>0</v>
      </c>
      <c r="M21" s="23">
        <f t="shared" si="8"/>
        <v>121213</v>
      </c>
      <c r="N21" s="41">
        <f>H21+'26.1'!N21</f>
        <v>0</v>
      </c>
      <c r="O21" s="41">
        <f>I21+'26.1'!O21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41">
        <f>E22+'26.1'!K22</f>
        <v>6.4</v>
      </c>
      <c r="L22" s="41">
        <f>F22+'26.1'!L22</f>
        <v>40</v>
      </c>
      <c r="M22" s="23">
        <f t="shared" si="8"/>
        <v>46.4</v>
      </c>
      <c r="N22" s="41">
        <f>H22+'26.1'!N22</f>
        <v>15</v>
      </c>
      <c r="O22" s="41">
        <f>I22+'26.1'!O22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41">
        <f>E23+'26.1'!K23</f>
        <v>9.7</v>
      </c>
      <c r="L23" s="41">
        <f>F23+'26.1'!L23</f>
        <v>32</v>
      </c>
      <c r="M23" s="23">
        <f t="shared" si="8"/>
        <v>41.7</v>
      </c>
      <c r="N23" s="41">
        <f>H23+'26.1'!N23</f>
        <v>10</v>
      </c>
      <c r="O23" s="41">
        <f>I23+'26.1'!O23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F24" s="2"/>
      <c r="G24" s="23">
        <f t="shared" si="6"/>
        <v>0</v>
      </c>
      <c r="H24" s="129"/>
      <c r="I24" s="25"/>
      <c r="J24" s="23">
        <f t="shared" si="7"/>
        <v>601.88</v>
      </c>
      <c r="K24" s="41">
        <f>E24+'26.1'!K24</f>
        <v>0</v>
      </c>
      <c r="L24" s="41">
        <f>F24+'26.1'!L24</f>
        <v>0</v>
      </c>
      <c r="M24" s="23">
        <f t="shared" si="8"/>
        <v>0</v>
      </c>
      <c r="N24" s="41">
        <f>H24+'26.1'!N24</f>
        <v>0</v>
      </c>
      <c r="O24" s="41">
        <f>I24+'26.1'!O24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41">
        <f>E25+'26.1'!K25</f>
        <v>2045</v>
      </c>
      <c r="L25" s="41">
        <f>F25+'26.1'!L25</f>
        <v>854</v>
      </c>
      <c r="M25" s="23">
        <f t="shared" si="8"/>
        <v>2899</v>
      </c>
      <c r="N25" s="41">
        <f>H25+'26.1'!N25</f>
        <v>702</v>
      </c>
      <c r="O25" s="41">
        <f>I25+'26.1'!O25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41">
        <f>E26+'26.1'!K26</f>
        <v>377.74</v>
      </c>
      <c r="L26" s="41">
        <f>F26+'26.1'!L26</f>
        <v>201</v>
      </c>
      <c r="M26" s="23">
        <f t="shared" si="8"/>
        <v>578.74</v>
      </c>
      <c r="N26" s="41">
        <f>H26+'26.1'!N26</f>
        <v>319</v>
      </c>
      <c r="O26" s="41">
        <f>I26+'26.1'!O26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41">
        <f>E27+'26.1'!K27</f>
        <v>1.075</v>
      </c>
      <c r="L27" s="41">
        <f>F27+'26.1'!L27</f>
        <v>1</v>
      </c>
      <c r="M27" s="46">
        <f t="shared" si="8"/>
        <v>2.075</v>
      </c>
      <c r="N27" s="41">
        <f>H27+'26.1'!N27</f>
        <v>1</v>
      </c>
      <c r="O27" s="41">
        <f>I27+'26.1'!O27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41">
        <f>E28+'26.1'!K28</f>
        <v>0</v>
      </c>
      <c r="L28" s="41">
        <f>F28+'26.1'!L28</f>
        <v>0</v>
      </c>
      <c r="M28" s="46">
        <f t="shared" si="8"/>
        <v>0</v>
      </c>
      <c r="N28" s="41">
        <f>H28+'26.1'!N28</f>
        <v>0</v>
      </c>
      <c r="O28" s="41">
        <f>I28+'26.1'!O28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41">
        <f>E29+'26.1'!K29</f>
        <v>28</v>
      </c>
      <c r="L29" s="41">
        <f>F29+'26.1'!L29</f>
        <v>0</v>
      </c>
      <c r="M29" s="23">
        <f t="shared" si="8"/>
        <v>28</v>
      </c>
      <c r="N29" s="41">
        <f>H29+'26.1'!N29</f>
        <v>0</v>
      </c>
      <c r="O29" s="41">
        <f>I29+'26.1'!O29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41">
        <f>E30+'26.1'!K30</f>
        <v>23607684</v>
      </c>
      <c r="L30" s="41">
        <f>F30+'26.1'!L30</f>
        <v>16539048</v>
      </c>
      <c r="M30" s="23">
        <f>M7-M8</f>
        <v>40146732</v>
      </c>
      <c r="N30" s="41">
        <f>H30+'26.1'!N30</f>
        <v>6998808</v>
      </c>
      <c r="O30" s="41">
        <f>I30+'26.1'!O30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41">
        <f>E31+'26.1'!K31</f>
        <v>6593264.5</v>
      </c>
      <c r="L31" s="41">
        <f>F31+'26.1'!L31</f>
        <v>573928</v>
      </c>
      <c r="M31" s="23">
        <f t="shared" ref="M31:M34" si="12">SUM(K31:L31)</f>
        <v>7167192.5</v>
      </c>
      <c r="N31" s="41">
        <f>H31+'26.1'!N31</f>
        <v>0</v>
      </c>
      <c r="O31" s="41">
        <f>I31+'26.1'!O31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41">
        <f>E33+'26.1'!K33</f>
        <v>3573096.00147514</v>
      </c>
      <c r="L33" s="41">
        <f>F33+'26.1'!L33</f>
        <v>2844984.384</v>
      </c>
      <c r="M33" s="23">
        <f t="shared" si="12"/>
        <v>6418080.38547514</v>
      </c>
      <c r="N33" s="41">
        <f>H33+'26.1'!N33</f>
        <v>1400555</v>
      </c>
      <c r="O33" s="41">
        <f>I33+'26.1'!O33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41">
        <f>E34+'26.1'!K34</f>
        <v>13441322.778525</v>
      </c>
      <c r="L34" s="41">
        <f>F34+'26.1'!L34</f>
        <v>13120135.616</v>
      </c>
      <c r="M34" s="23">
        <f t="shared" si="12"/>
        <v>26561458.394525</v>
      </c>
      <c r="N34" s="41">
        <f>H34+'26.1'!N34</f>
        <v>5598253</v>
      </c>
      <c r="O34" s="41">
        <f>I34+'26.1'!O34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23"/>
      <c r="I40" s="25"/>
      <c r="J40" s="23">
        <f t="shared" ref="J40:J44" si="21">M40+N40+O40</f>
        <v>27564.6346349947</v>
      </c>
      <c r="K40" s="41">
        <f>E40+'26.1'!K40</f>
        <v>9817.2469001747</v>
      </c>
      <c r="L40" s="41">
        <f>F40+'26.1'!L40</f>
        <v>8544.63729638324</v>
      </c>
      <c r="M40" s="23">
        <f t="shared" ref="M40:M44" si="22">SUM(K40:L40)</f>
        <v>18361.8841965579</v>
      </c>
      <c r="N40" s="41">
        <f>H40+'26.1'!N40</f>
        <v>5641</v>
      </c>
      <c r="O40" s="41">
        <f>I40+'26.1'!O40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23"/>
      <c r="I41" s="25"/>
      <c r="J41" s="23">
        <f t="shared" si="21"/>
        <v>31.7654793414028</v>
      </c>
      <c r="K41" s="41">
        <f>E41+'26.1'!K41</f>
        <v>21.20558020812</v>
      </c>
      <c r="L41" s="41">
        <f>F41+'26.1'!L41</f>
        <v>6.4913805</v>
      </c>
      <c r="M41" s="23">
        <f t="shared" si="22"/>
        <v>27.69696070812</v>
      </c>
      <c r="N41" s="41">
        <f>H41+'26.1'!N41</f>
        <v>4</v>
      </c>
      <c r="O41" s="41">
        <f>I41+'26.1'!O41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41">
        <f>E43+'26.1'!K43</f>
        <v>36930.6550800009</v>
      </c>
      <c r="L43" s="41">
        <f>F43+'26.1'!L43</f>
        <v>39405.0669481916</v>
      </c>
      <c r="M43" s="23">
        <f t="shared" si="22"/>
        <v>76335.7220281925</v>
      </c>
      <c r="N43" s="41">
        <f>H43+'26.1'!N43</f>
        <v>22549</v>
      </c>
      <c r="O43" s="41">
        <f>I43+'26.1'!O43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41">
        <f>E44+'26.1'!K44</f>
        <v>79.77379608</v>
      </c>
      <c r="L44" s="41">
        <f>F44+'26.1'!L44</f>
        <v>29.9361195</v>
      </c>
      <c r="M44" s="23">
        <f t="shared" si="22"/>
        <v>109.70991558</v>
      </c>
      <c r="N44" s="41">
        <f>H44+'26.1'!N44</f>
        <v>16</v>
      </c>
      <c r="O44" s="41">
        <f>I44+'26.1'!O44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20120</v>
      </c>
      <c r="L49" s="23">
        <v>18454</v>
      </c>
      <c r="M49" s="42">
        <v>0</v>
      </c>
      <c r="N49" s="23">
        <v>19711</v>
      </c>
      <c r="O49" s="25">
        <v>21171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D7/10000/D6/(DAY(DATE(2026,3,0))*24)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J7/10000/J6/(DATEDIF(DATE(2026,1,1),DATE(2026,3,1),"D")*24)</f>
        <v>0.410971812365483</v>
      </c>
      <c r="K52" s="71">
        <f t="shared" si="29"/>
        <v>0.429050847457627</v>
      </c>
      <c r="L52" s="71">
        <f t="shared" si="29"/>
        <v>0.407318644067797</v>
      </c>
      <c r="M52" s="71">
        <f t="shared" si="29"/>
        <v>0.418184745762712</v>
      </c>
      <c r="N52" s="71">
        <f t="shared" si="29"/>
        <v>0.444161958568738</v>
      </c>
      <c r="O52" s="72">
        <f t="shared" si="29"/>
        <v>0.330562301915392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D9*1000/1986/((DAY(DATE(2026,3,0))*24)*3600)</f>
        <v>0</v>
      </c>
      <c r="E53" s="75">
        <f>E9*1000/577/((DAY(DATE(2026,3,0))*24)*3600)</f>
        <v>0</v>
      </c>
      <c r="F53" s="72">
        <f>F9*1000/528/((DAY(DATE(2026,3,0))*24)*3600)</f>
        <v>0</v>
      </c>
      <c r="G53" s="75">
        <f>G9*1000/1442/((DAY(DATE(2026,3,0))*24)*3600)</f>
        <v>0</v>
      </c>
      <c r="H53" s="72">
        <f>H9*1000/414/((DAY(DATE(2026,3,0))*24)*3600)</f>
        <v>0</v>
      </c>
      <c r="I53" s="72">
        <f>I9*1000/130/((DAY(DATE(2026,3,0))*24)*3600)</f>
        <v>0</v>
      </c>
      <c r="J53" s="71">
        <f>J9*1000/1986/((DATEDIF(DATE(2026,1,1),DATE(2026,3,1),"D")*24)*3600)</f>
        <v>0.277521951378379</v>
      </c>
      <c r="K53" s="75">
        <f>K9*1000/577/((DATEDIF(DATE(2026,1,1),DATE(2026,3,1),"D")*24)*3600)</f>
        <v>0.33326220659044</v>
      </c>
      <c r="L53" s="72">
        <f>L9*1000/528/((DATEDIF(DATE(2026,1,1),DATE(2026,3,1),"D")*24)*3600)</f>
        <v>0.359326307400749</v>
      </c>
      <c r="M53" s="75">
        <f>M9*1000/1442/((DATEDIF(DATE(2026,1,1),DATE(2026,3,1),"D")*24)*3600)</f>
        <v>0.264921347787988</v>
      </c>
      <c r="N53" s="72">
        <f>N9*1000/414/((DATEDIF(DATE(2026,1,1),DATE(2026,3,1),"D")*24)*3600)</f>
        <v>0.270148915393736</v>
      </c>
      <c r="O53" s="72">
        <f>O9*1000/130/((DATEDIF(DATE(2026,1,1),DATE(2026,3,1),"D")*24)*3600)</f>
        <v>0.440772007339804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41">
        <f>E57+'26.1'!K57</f>
        <v>26761</v>
      </c>
      <c r="L57" s="41">
        <f>F57+'26.1'!L57</f>
        <v>66608</v>
      </c>
      <c r="M57" s="23">
        <f t="shared" ref="M57:M68" si="34">SUM(K57:L57)</f>
        <v>93369</v>
      </c>
      <c r="N57" s="41">
        <f>H57+'26.1'!N57</f>
        <v>4890.18</v>
      </c>
      <c r="O57" s="41">
        <f>I57+'26.1'!O57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41">
        <f>E58+'26.1'!K58</f>
        <v>42844</v>
      </c>
      <c r="L58" s="41">
        <f>F58+'26.1'!L58</f>
        <v>0</v>
      </c>
      <c r="M58" s="23">
        <f t="shared" si="34"/>
        <v>42844</v>
      </c>
      <c r="N58" s="41">
        <f>H58+'26.1'!N58</f>
        <v>0</v>
      </c>
      <c r="O58" s="41">
        <f>I58+'26.1'!O58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125">
        <f>'26.1'!K59+E57-E14-E58</f>
        <v>42846</v>
      </c>
      <c r="L59" s="125">
        <f>'26.1'!L59+F57-F14-F58</f>
        <v>11815</v>
      </c>
      <c r="M59" s="32">
        <f t="shared" si="34"/>
        <v>54661</v>
      </c>
      <c r="N59" s="125">
        <f>'26.1'!N59+H57-H14-H58</f>
        <v>28612.66</v>
      </c>
      <c r="O59" s="125">
        <f>'26.1'!O59+I57-I14-I58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41">
        <f>E60+'26.1'!K60</f>
        <v>0</v>
      </c>
      <c r="L60" s="41">
        <f>F60+'26.1'!L60</f>
        <v>0</v>
      </c>
      <c r="M60" s="67">
        <f t="shared" si="34"/>
        <v>0</v>
      </c>
      <c r="N60" s="41">
        <f>H60+'26.1'!N60</f>
        <v>1828619</v>
      </c>
      <c r="O60" s="41">
        <f>I60+'26.1'!O60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41">
        <f>E61+'26.1'!K61</f>
        <v>0</v>
      </c>
      <c r="L61" s="41">
        <f>F61+'26.1'!L61</f>
        <v>0</v>
      </c>
      <c r="M61" s="23">
        <f t="shared" si="34"/>
        <v>0</v>
      </c>
      <c r="N61" s="41">
        <f>H61+'26.1'!N61</f>
        <v>1828619</v>
      </c>
      <c r="O61" s="41">
        <f>I61+'26.1'!O61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41">
        <f>E62+'26.1'!K62</f>
        <v>0</v>
      </c>
      <c r="L62" s="41">
        <f>F62+'26.1'!L62</f>
        <v>0</v>
      </c>
      <c r="M62" s="23">
        <f t="shared" si="34"/>
        <v>0</v>
      </c>
      <c r="N62" s="41">
        <f>H62+'26.1'!N62</f>
        <v>40661</v>
      </c>
      <c r="O62" s="41">
        <f>I62+'26.1'!O62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41">
        <f>E63+'26.1'!K63</f>
        <v>0</v>
      </c>
      <c r="L63" s="41">
        <f>F63+'26.1'!L63</f>
        <v>25920</v>
      </c>
      <c r="M63" s="23">
        <f t="shared" si="34"/>
        <v>25920</v>
      </c>
      <c r="N63" s="41">
        <f>H63+'26.1'!N63</f>
        <v>0</v>
      </c>
      <c r="O63" s="41">
        <f>I63+'26.1'!O63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41">
        <f>E64+'26.1'!K64</f>
        <v>73699</v>
      </c>
      <c r="L64" s="41">
        <f>F64+'26.1'!L64</f>
        <v>0</v>
      </c>
      <c r="M64" s="23">
        <f t="shared" si="34"/>
        <v>73699</v>
      </c>
      <c r="N64" s="41">
        <f>H64+'26.1'!N64</f>
        <v>0</v>
      </c>
      <c r="O64" s="41">
        <f>I64+'26.1'!O64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41">
        <f>E65+'26.1'!K65</f>
        <v>6302</v>
      </c>
      <c r="L65" s="41">
        <f>F65+'26.1'!L65</f>
        <v>32849</v>
      </c>
      <c r="M65" s="103">
        <f t="shared" si="34"/>
        <v>39151</v>
      </c>
      <c r="N65" s="41">
        <f>H65+'26.1'!N65</f>
        <v>23814</v>
      </c>
      <c r="O65" s="41">
        <f>I65+'26.1'!O65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41">
        <f>E66+'26.1'!K66</f>
        <v>1072980</v>
      </c>
      <c r="L66" s="41">
        <f>F66+'26.1'!L66</f>
        <v>1283190</v>
      </c>
      <c r="M66" s="107">
        <f t="shared" si="34"/>
        <v>2356170</v>
      </c>
      <c r="N66" s="41">
        <f>H66+'26.1'!N66</f>
        <v>754606</v>
      </c>
      <c r="O66" s="41">
        <f>I66+'26.1'!O66</f>
        <v>619963</v>
      </c>
      <c r="P66" s="98"/>
    </row>
    <row r="67" s="5" customFormat="1" ht="13.75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96" t="e">
        <f t="shared" ref="F67:I67" si="38">(F20-F63-F12)*(1-F54)</f>
        <v>#DIV/0!</v>
      </c>
      <c r="G67" s="96" t="e">
        <f t="shared" si="38"/>
        <v>#DIV/0!</v>
      </c>
      <c r="H67" s="96" t="e">
        <f>(H20-H62-H12)*(1-H54)</f>
        <v>#DIV/0!</v>
      </c>
      <c r="I67" s="96" t="e">
        <f>(I20-I62-I12)*(1-I54)</f>
        <v>#DIV/0!</v>
      </c>
      <c r="J67" s="96" t="e">
        <f t="shared" si="33"/>
        <v>#DIV/0!</v>
      </c>
      <c r="K67" s="41" t="e">
        <f>E67+'26.1'!K67</f>
        <v>#DIV/0!</v>
      </c>
      <c r="L67" s="41" t="e">
        <f>F67+'26.1'!L67</f>
        <v>#DIV/0!</v>
      </c>
      <c r="M67" s="96" t="e">
        <f t="shared" si="34"/>
        <v>#DIV/0!</v>
      </c>
      <c r="N67" s="41" t="e">
        <f>H67+'26.1'!N67</f>
        <v>#DIV/0!</v>
      </c>
      <c r="O67" s="41" t="e">
        <f>I67+'26.1'!O67</f>
        <v>#DIV/0!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03" t="e">
        <f>(F20-F63-F12)*F54+F12</f>
        <v>#DIV/0!</v>
      </c>
      <c r="G68" s="96">
        <v>0</v>
      </c>
      <c r="H68" s="103" t="e">
        <f>(H20-H62-H12)*H54+H12+H62</f>
        <v>#DIV/0!</v>
      </c>
      <c r="I68" s="103" t="e">
        <f>(I20-I62-I12)*I54+I12+I62</f>
        <v>#DIV/0!</v>
      </c>
      <c r="J68" s="103" t="e">
        <f t="shared" si="33"/>
        <v>#DIV/0!</v>
      </c>
      <c r="K68" s="41" t="e">
        <f>E68+'26.1'!K68</f>
        <v>#DIV/0!</v>
      </c>
      <c r="L68" s="41" t="e">
        <f>F68+'26.1'!L68</f>
        <v>#DIV/0!</v>
      </c>
      <c r="M68" s="103" t="e">
        <f t="shared" si="34"/>
        <v>#DIV/0!</v>
      </c>
      <c r="N68" s="41" t="e">
        <f>H68+'26.1'!N68</f>
        <v>#DIV/0!</v>
      </c>
      <c r="O68" s="41" t="e">
        <f>I68+'26.1'!O68</f>
        <v>#DIV/0!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9">D67/(D7/10000)</f>
        <v>#DIV/0!</v>
      </c>
      <c r="E69" s="20" t="e">
        <f t="shared" si="39"/>
        <v>#DIV/0!</v>
      </c>
      <c r="F69" s="20" t="e">
        <f t="shared" si="39"/>
        <v>#DIV/0!</v>
      </c>
      <c r="G69" s="20" t="e">
        <f t="shared" si="39"/>
        <v>#DIV/0!</v>
      </c>
      <c r="H69" s="20" t="e">
        <f t="shared" si="39"/>
        <v>#DIV/0!</v>
      </c>
      <c r="I69" s="20" t="e">
        <f t="shared" si="39"/>
        <v>#DIV/0!</v>
      </c>
      <c r="J69" s="20" t="e">
        <f t="shared" si="39"/>
        <v>#DIV/0!</v>
      </c>
      <c r="K69" s="20" t="e">
        <f t="shared" si="39"/>
        <v>#DIV/0!</v>
      </c>
      <c r="L69" s="20" t="e">
        <f t="shared" si="39"/>
        <v>#DIV/0!</v>
      </c>
      <c r="M69" s="20" t="e">
        <f t="shared" si="39"/>
        <v>#DIV/0!</v>
      </c>
      <c r="N69" s="20" t="e">
        <f t="shared" si="39"/>
        <v>#DIV/0!</v>
      </c>
      <c r="O69" s="21" t="e">
        <f t="shared" si="39"/>
        <v>#DIV/0!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40">D68/D9</f>
        <v>#DIV/0!</v>
      </c>
      <c r="E70" s="62" t="e">
        <f t="shared" si="40"/>
        <v>#DIV/0!</v>
      </c>
      <c r="F70" s="62" t="e">
        <f t="shared" si="40"/>
        <v>#DIV/0!</v>
      </c>
      <c r="G70" s="62" t="e">
        <f t="shared" si="40"/>
        <v>#DIV/0!</v>
      </c>
      <c r="H70" s="62" t="e">
        <f t="shared" si="40"/>
        <v>#DIV/0!</v>
      </c>
      <c r="I70" s="62" t="e">
        <f t="shared" si="40"/>
        <v>#DIV/0!</v>
      </c>
      <c r="J70" s="62" t="e">
        <f t="shared" si="40"/>
        <v>#DIV/0!</v>
      </c>
      <c r="K70" s="62" t="e">
        <f t="shared" si="40"/>
        <v>#DIV/0!</v>
      </c>
      <c r="L70" s="62" t="e">
        <f t="shared" si="40"/>
        <v>#DIV/0!</v>
      </c>
      <c r="M70" s="62" t="e">
        <f t="shared" si="40"/>
        <v>#DIV/0!</v>
      </c>
      <c r="N70" s="62" t="e">
        <f t="shared" si="40"/>
        <v>#DIV/0!</v>
      </c>
      <c r="O70" s="63" t="e">
        <f t="shared" si="40"/>
        <v>#DIV/0!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  <c r="H78" s="1">
        <v>34235</v>
      </c>
    </row>
    <row r="79" s="1" customFormat="1" spans="1:32">
      <c r="F79" s="122"/>
      <c r="G79" s="122"/>
      <c r="H79" s="1">
        <v>36462</v>
      </c>
    </row>
    <row r="80" s="1" customFormat="1" spans="1:32">
      <c r="F80" s="122"/>
      <c r="G80" s="122"/>
      <c r="H80" s="1">
        <v>17500</v>
      </c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verticalDpi="180"/>
  <headerFooter alignWithMargins="0" scaleWithDoc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[3]产量!$C$15</f>
        <v>0</v>
      </c>
      <c r="F7" s="24">
        <f>[3]产量!$C$19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E7+'26.2'!K7</f>
        <v>60753600</v>
      </c>
      <c r="L7" s="26">
        <f>F7+'26.2'!L7</f>
        <v>57676320</v>
      </c>
      <c r="M7" s="23">
        <f t="shared" si="3"/>
        <v>118429920</v>
      </c>
      <c r="N7" s="26">
        <f>H7+'26.2'!N7</f>
        <v>22641600</v>
      </c>
      <c r="O7" s="26">
        <f>I7+'26.2'!O7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[3]产量!$E$15</f>
        <v>0</v>
      </c>
      <c r="F8" s="24">
        <f>[3]产量!$E$19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E8+'26.2'!K8</f>
        <v>37145916</v>
      </c>
      <c r="L8" s="26">
        <f>F8+'26.2'!L8</f>
        <v>41137272</v>
      </c>
      <c r="M8" s="23">
        <f t="shared" si="3"/>
        <v>78283188</v>
      </c>
      <c r="N8" s="26">
        <f>H8+'26.2'!N8</f>
        <v>15642792</v>
      </c>
      <c r="O8" s="26">
        <f>I8+'26.2'!O8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[3]产量!$G$6</f>
        <v>0</v>
      </c>
      <c r="F9" s="24">
        <f>[3]产量!$G$7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E9+'26.2'!K9</f>
        <v>980229.19383</v>
      </c>
      <c r="L9" s="26">
        <f>F9+'26.2'!L9</f>
        <v>967138.542272</v>
      </c>
      <c r="M9" s="23">
        <f t="shared" si="3"/>
        <v>1947367.736102</v>
      </c>
      <c r="N9" s="26">
        <f>H9+'26.2'!N9</f>
        <v>570124</v>
      </c>
      <c r="O9" s="26">
        <f>I9+'26.2'!O9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[3]产量!$G$29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26">
        <f>E10+'26.2'!K10</f>
        <v>0</v>
      </c>
      <c r="L10" s="26">
        <f>F10+'26.2'!L10</f>
        <v>264848</v>
      </c>
      <c r="M10" s="23">
        <f t="shared" si="3"/>
        <v>264848</v>
      </c>
      <c r="N10" s="26">
        <f>H10+'26.2'!N10</f>
        <v>113115</v>
      </c>
      <c r="O10" s="26">
        <f>I10+'26.2'!O10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[3]产量!$G$28</f>
        <v>0</v>
      </c>
      <c r="F11" s="24">
        <f>[3]产量!$G$30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E11+'26.2'!K11</f>
        <v>875606.4</v>
      </c>
      <c r="L11" s="26">
        <f>F11+'26.2'!L11</f>
        <v>472389</v>
      </c>
      <c r="M11" s="23">
        <f t="shared" si="3"/>
        <v>1347995.4</v>
      </c>
      <c r="N11" s="26">
        <f>H11+'26.2'!N11</f>
        <v>457009</v>
      </c>
      <c r="O11" s="26">
        <f>I11+'26.2'!O11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[3]产量!$G$15</f>
        <v>0</v>
      </c>
      <c r="F12" s="24">
        <f>[3]产量!$G$19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E12+'26.2'!K12</f>
        <v>35445</v>
      </c>
      <c r="L12" s="26">
        <f>F12+'26.2'!L12</f>
        <v>77888</v>
      </c>
      <c r="M12" s="23">
        <f t="shared" si="3"/>
        <v>113333</v>
      </c>
      <c r="N12" s="26">
        <f>H12+'26.2'!N12</f>
        <v>0</v>
      </c>
      <c r="O12" s="26">
        <f>I12+'26.2'!O12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E15+'26.2'!K15</f>
        <v>14337.393088</v>
      </c>
      <c r="L15" s="26">
        <f>F15+'26.2'!L15</f>
        <v>13051.1898</v>
      </c>
      <c r="M15" s="23">
        <f t="shared" ref="M15:M29" si="8">SUM(K15:L15)</f>
        <v>27388.582888</v>
      </c>
      <c r="N15" s="26">
        <f>H15+'26.2'!N15</f>
        <v>7865</v>
      </c>
      <c r="O15" s="26">
        <f>I15+'26.2'!O15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E16+'26.2'!K16</f>
        <v>53934.606912</v>
      </c>
      <c r="L16" s="26">
        <f>F16+'26.2'!L16</f>
        <v>60187.8102</v>
      </c>
      <c r="M16" s="23">
        <f t="shared" si="8"/>
        <v>114122.417112</v>
      </c>
      <c r="N16" s="26">
        <f>H16+'26.2'!N16</f>
        <v>31436</v>
      </c>
      <c r="O16" s="26">
        <f>I16+'26.2'!O16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26">
        <f>E18+'26.2'!K18</f>
        <v>14.5532772</v>
      </c>
      <c r="L18" s="26">
        <f>F18+'26.2'!L18</f>
        <v>4.455</v>
      </c>
      <c r="M18" s="23">
        <f t="shared" si="8"/>
        <v>19.0082772</v>
      </c>
      <c r="N18" s="26">
        <f>H18+'26.2'!N18</f>
        <v>3</v>
      </c>
      <c r="O18" s="26">
        <f>I18+'26.2'!O18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26">
        <f>E19+'26.2'!K19</f>
        <v>54.7467228</v>
      </c>
      <c r="L19" s="26">
        <f>F19+'26.2'!L19</f>
        <v>20.545</v>
      </c>
      <c r="M19" s="23">
        <f t="shared" si="8"/>
        <v>75.2917228</v>
      </c>
      <c r="N19" s="26">
        <f>H19+'26.2'!N19</f>
        <v>11</v>
      </c>
      <c r="O19" s="26">
        <f>I19+'26.2'!O19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E20+'26.2'!K20</f>
        <v>177610</v>
      </c>
      <c r="L20" s="26">
        <f>F20+'26.2'!L20</f>
        <v>194774</v>
      </c>
      <c r="M20" s="23">
        <f t="shared" si="8"/>
        <v>372384</v>
      </c>
      <c r="N20" s="26">
        <f>H20+'26.2'!N20</f>
        <v>94794</v>
      </c>
      <c r="O20" s="26">
        <f>I20+'26.2'!O20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E21+'26.2'!K21</f>
        <v>121213</v>
      </c>
      <c r="L21" s="26">
        <f>F21+'26.2'!L21</f>
        <v>0</v>
      </c>
      <c r="M21" s="23">
        <f t="shared" si="8"/>
        <v>121213</v>
      </c>
      <c r="N21" s="26">
        <f>H21+'26.2'!N21</f>
        <v>0</v>
      </c>
      <c r="O21" s="26">
        <f>I21+'26.2'!O21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E22+'26.2'!K22</f>
        <v>6.4</v>
      </c>
      <c r="L22" s="26">
        <f>F22+'26.2'!L22</f>
        <v>40</v>
      </c>
      <c r="M22" s="23">
        <f t="shared" si="8"/>
        <v>46.4</v>
      </c>
      <c r="N22" s="26">
        <f>H22+'26.2'!N22</f>
        <v>15</v>
      </c>
      <c r="O22" s="26">
        <f>I22+'26.2'!O22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E23+'26.2'!K23</f>
        <v>9.7</v>
      </c>
      <c r="L23" s="26">
        <f>F23+'26.2'!L23</f>
        <v>32</v>
      </c>
      <c r="M23" s="23">
        <f t="shared" si="8"/>
        <v>41.7</v>
      </c>
      <c r="N23" s="26">
        <f>H23+'26.2'!N23</f>
        <v>10</v>
      </c>
      <c r="O23" s="26">
        <f>I23+'26.2'!O23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129"/>
      <c r="I24" s="25"/>
      <c r="J24" s="23">
        <f t="shared" si="7"/>
        <v>601.88</v>
      </c>
      <c r="K24" s="26">
        <f>E24+'26.2'!K24</f>
        <v>0</v>
      </c>
      <c r="L24" s="26">
        <f>F24+'26.2'!L24</f>
        <v>0</v>
      </c>
      <c r="M24" s="23">
        <f t="shared" si="8"/>
        <v>0</v>
      </c>
      <c r="N24" s="26">
        <f>H24+'26.2'!N24</f>
        <v>0</v>
      </c>
      <c r="O24" s="26">
        <f>I24+'26.2'!O24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129"/>
      <c r="I25" s="25"/>
      <c r="J25" s="23">
        <f t="shared" si="7"/>
        <v>3965.38</v>
      </c>
      <c r="K25" s="26">
        <f>E25+'26.2'!K25</f>
        <v>2045</v>
      </c>
      <c r="L25" s="26">
        <f>F25+'26.2'!L25</f>
        <v>854</v>
      </c>
      <c r="M25" s="23">
        <f t="shared" si="8"/>
        <v>2899</v>
      </c>
      <c r="N25" s="26">
        <f>H25+'26.2'!N25</f>
        <v>702</v>
      </c>
      <c r="O25" s="26">
        <f>I25+'26.2'!O25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E26+'26.2'!K26</f>
        <v>377.74</v>
      </c>
      <c r="L26" s="26">
        <f>F26+'26.2'!L26</f>
        <v>201</v>
      </c>
      <c r="M26" s="23">
        <f t="shared" si="8"/>
        <v>578.74</v>
      </c>
      <c r="N26" s="26">
        <f>H26+'26.2'!N26</f>
        <v>319</v>
      </c>
      <c r="O26" s="26">
        <f>I26+'26.2'!O26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E27+'26.2'!K27</f>
        <v>1.075</v>
      </c>
      <c r="L27" s="26">
        <f>F27+'26.2'!L27</f>
        <v>1</v>
      </c>
      <c r="M27" s="46">
        <f t="shared" si="8"/>
        <v>2.075</v>
      </c>
      <c r="N27" s="26">
        <f>H27+'26.2'!N27</f>
        <v>1</v>
      </c>
      <c r="O27" s="26">
        <f>I27+'26.2'!O27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E28+'26.2'!K28</f>
        <v>0</v>
      </c>
      <c r="L28" s="26">
        <f>F28+'26.2'!L28</f>
        <v>0</v>
      </c>
      <c r="M28" s="46">
        <f t="shared" si="8"/>
        <v>0</v>
      </c>
      <c r="N28" s="26">
        <f>H28+'26.2'!N28</f>
        <v>0</v>
      </c>
      <c r="O28" s="26">
        <f>I28+'26.2'!O28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E29+'26.2'!K29</f>
        <v>28</v>
      </c>
      <c r="L29" s="26">
        <f>F29+'26.2'!L29</f>
        <v>0</v>
      </c>
      <c r="M29" s="23">
        <f t="shared" si="8"/>
        <v>28</v>
      </c>
      <c r="N29" s="26">
        <f>H29+'26.2'!N29</f>
        <v>0</v>
      </c>
      <c r="O29" s="26">
        <f>I29+'26.2'!O29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E30+'26.2'!K30</f>
        <v>23607684</v>
      </c>
      <c r="L30" s="26">
        <f>F30+'26.2'!L30</f>
        <v>16539048</v>
      </c>
      <c r="M30" s="23">
        <f>M7-M8</f>
        <v>40146732</v>
      </c>
      <c r="N30" s="26">
        <f>H30+'26.2'!N30</f>
        <v>6998808</v>
      </c>
      <c r="O30" s="26">
        <f>I30+'26.2'!O30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>
        <v>0</v>
      </c>
      <c r="I31" s="25"/>
      <c r="J31" s="23">
        <f t="shared" si="7"/>
        <v>7167192.5</v>
      </c>
      <c r="K31" s="26">
        <f>E31+'26.2'!K31</f>
        <v>6593264.5</v>
      </c>
      <c r="L31" s="26">
        <f>F31+'26.2'!L31</f>
        <v>573928</v>
      </c>
      <c r="M31" s="23">
        <f t="shared" ref="M31:M34" si="12">SUM(K31:L31)</f>
        <v>7167192.5</v>
      </c>
      <c r="N31" s="26">
        <f>H31+'26.2'!N31</f>
        <v>0</v>
      </c>
      <c r="O31" s="26">
        <f>I31+'26.2'!O31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E33+'26.2'!K33</f>
        <v>3573096.00147514</v>
      </c>
      <c r="L33" s="26">
        <f>F33+'26.2'!L33</f>
        <v>2844984.384</v>
      </c>
      <c r="M33" s="23">
        <f t="shared" si="12"/>
        <v>6418080.38547514</v>
      </c>
      <c r="N33" s="26">
        <f>H33+'26.2'!N33</f>
        <v>1400555</v>
      </c>
      <c r="O33" s="26">
        <f>I33+'26.2'!O33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E34+'26.2'!K34</f>
        <v>13441322.778525</v>
      </c>
      <c r="L34" s="26">
        <f>F34+'26.2'!L34</f>
        <v>13120135.616</v>
      </c>
      <c r="M34" s="23">
        <f t="shared" si="12"/>
        <v>26561458.394525</v>
      </c>
      <c r="N34" s="26">
        <f>H34+'26.2'!N34</f>
        <v>5598253</v>
      </c>
      <c r="O34" s="26">
        <f>I34+'26.2'!O34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23"/>
      <c r="I40" s="25"/>
      <c r="J40" s="23">
        <f t="shared" ref="J40:J44" si="21">M40+N40+O40</f>
        <v>27564.6346349947</v>
      </c>
      <c r="K40" s="26">
        <f>E40+'26.2'!K40</f>
        <v>9817.2469001747</v>
      </c>
      <c r="L40" s="26">
        <f>F40+'26.2'!L40</f>
        <v>8544.63729638324</v>
      </c>
      <c r="M40" s="23">
        <f t="shared" ref="M40:M44" si="22">SUM(K40:L40)</f>
        <v>18361.8841965579</v>
      </c>
      <c r="N40" s="26">
        <f>H40+'26.2'!N40</f>
        <v>5641</v>
      </c>
      <c r="O40" s="26">
        <f>I40+'26.2'!O40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23"/>
      <c r="I41" s="25"/>
      <c r="J41" s="23">
        <f t="shared" si="21"/>
        <v>31.7654793414028</v>
      </c>
      <c r="K41" s="26">
        <f>E41+'26.2'!K41</f>
        <v>21.20558020812</v>
      </c>
      <c r="L41" s="26">
        <f>F41+'26.2'!L41</f>
        <v>6.4913805</v>
      </c>
      <c r="M41" s="23">
        <f t="shared" si="22"/>
        <v>27.69696070812</v>
      </c>
      <c r="N41" s="26">
        <f>H41+'26.2'!N41</f>
        <v>4</v>
      </c>
      <c r="O41" s="26">
        <f>I41+'26.2'!O41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E43+'26.2'!K43</f>
        <v>36930.6550800009</v>
      </c>
      <c r="L43" s="26">
        <f>F43+'26.2'!L43</f>
        <v>39405.0669481916</v>
      </c>
      <c r="M43" s="23">
        <f t="shared" si="22"/>
        <v>76335.7220281925</v>
      </c>
      <c r="N43" s="26">
        <f>H43+'26.2'!N43</f>
        <v>22549</v>
      </c>
      <c r="O43" s="26">
        <f>I43+'26.2'!O43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E44+'26.2'!K44</f>
        <v>79.77379608</v>
      </c>
      <c r="L44" s="26">
        <f>F44+'26.2'!L44</f>
        <v>29.9361195</v>
      </c>
      <c r="M44" s="23">
        <f t="shared" si="22"/>
        <v>109.70991558</v>
      </c>
      <c r="N44" s="26">
        <f>H44+'26.2'!N44</f>
        <v>16</v>
      </c>
      <c r="O44" s="26">
        <f>I44+'26.2'!O44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20227</v>
      </c>
      <c r="L49" s="23">
        <v>18454</v>
      </c>
      <c r="M49" s="42">
        <v>0</v>
      </c>
      <c r="N49" s="23">
        <v>19867.98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D7/10000/D6/(DAY(DATE(2026,4,0))*24)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J7/10000/J6/(DATEDIF(DATE(2026,1,1),DATE(2026,4,1),"D")*24)</f>
        <v>0.269414854772928</v>
      </c>
      <c r="K52" s="71">
        <f t="shared" si="29"/>
        <v>0.281266666666667</v>
      </c>
      <c r="L52" s="71">
        <f t="shared" si="29"/>
        <v>0.26702</v>
      </c>
      <c r="M52" s="71">
        <f t="shared" si="29"/>
        <v>0.274143333333333</v>
      </c>
      <c r="N52" s="71">
        <f t="shared" si="29"/>
        <v>0.291172839506173</v>
      </c>
      <c r="O52" s="72">
        <f t="shared" si="29"/>
        <v>0.216701953477868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D9*1000/1986/((DAY(DATE(2026,4,0))*24)*3600)</f>
        <v>0</v>
      </c>
      <c r="E53" s="75">
        <f>E9*1000/577/((DAY(DATE(2026,4,0))*24)*3600)</f>
        <v>0</v>
      </c>
      <c r="F53" s="72">
        <f>F9*1000/528/((DAY(DATE(2026,4,0))*24)*3600)</f>
        <v>0</v>
      </c>
      <c r="G53" s="75">
        <f>G9*1000/1442/((DAY(DATE(2026,4,0))*24)*3600)</f>
        <v>0</v>
      </c>
      <c r="H53" s="72">
        <f>H9*1000/414/((DAY(DATE(2026,4,0))*24)*3600)</f>
        <v>0</v>
      </c>
      <c r="I53" s="72">
        <f>I9*1000/130/((DAY(DATE(2026,4,0))*24)*3600)</f>
        <v>0</v>
      </c>
      <c r="J53" s="71">
        <f>J9*1000/1986/((DATEDIF(DATE(2026,1,1),DATE(2026,4,1),"D")*24)*3600)</f>
        <v>0.181931057014715</v>
      </c>
      <c r="K53" s="75">
        <f>K9*1000/577/((DATEDIF(DATE(2026,1,1),DATE(2026,4,1),"D")*24)*3600)</f>
        <v>0.218471890987066</v>
      </c>
      <c r="L53" s="72">
        <f>L9*1000/528/((DATEDIF(DATE(2026,1,1),DATE(2026,4,1),"D")*24)*3600)</f>
        <v>0.235558357073825</v>
      </c>
      <c r="M53" s="75">
        <f>M9*1000/1442/((DATEDIF(DATE(2026,1,1),DATE(2026,4,1),"D")*24)*3600)</f>
        <v>0.173670661327681</v>
      </c>
      <c r="N53" s="72">
        <f>N9*1000/414/((DATEDIF(DATE(2026,1,1),DATE(2026,4,1),"D")*24)*3600)</f>
        <v>0.177097622313672</v>
      </c>
      <c r="O53" s="72">
        <f>O9*1000/130/((DATEDIF(DATE(2026,1,1),DATE(2026,4,1),"D")*24)*3600)</f>
        <v>0.288950538144983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E57+'26.2'!K57</f>
        <v>26761</v>
      </c>
      <c r="L57" s="26">
        <f>F57+'26.2'!L57</f>
        <v>66608</v>
      </c>
      <c r="M57" s="23">
        <f t="shared" ref="M57:M68" si="34">SUM(K57:L57)</f>
        <v>93369</v>
      </c>
      <c r="N57" s="26">
        <f>H57+'26.2'!N57</f>
        <v>4890.18</v>
      </c>
      <c r="O57" s="26">
        <f>I57+'26.2'!O57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E58+'26.2'!K58</f>
        <v>42844</v>
      </c>
      <c r="L58" s="26">
        <f>F58+'26.2'!L58</f>
        <v>0</v>
      </c>
      <c r="M58" s="23">
        <f t="shared" si="34"/>
        <v>42844</v>
      </c>
      <c r="N58" s="26">
        <f>H58+'26.2'!N58</f>
        <v>0</v>
      </c>
      <c r="O58" s="26">
        <f>I58+'26.2'!O58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'26.2'!K59+E57-E14-E58</f>
        <v>42846</v>
      </c>
      <c r="L59" s="92">
        <f>'26.2'!L59+F57-F14-F58</f>
        <v>11815</v>
      </c>
      <c r="M59" s="32">
        <f t="shared" si="34"/>
        <v>54661</v>
      </c>
      <c r="N59" s="92">
        <f>'26.2'!N59+H57-H14-H58</f>
        <v>28612.66</v>
      </c>
      <c r="O59" s="92">
        <f>'26.2'!O59+I57-I14-I58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E60+'26.2'!K60</f>
        <v>0</v>
      </c>
      <c r="L60" s="26">
        <f>F60+'26.2'!L60</f>
        <v>0</v>
      </c>
      <c r="M60" s="67">
        <f t="shared" si="34"/>
        <v>0</v>
      </c>
      <c r="N60" s="26">
        <f>H60+'26.2'!N60</f>
        <v>1828619</v>
      </c>
      <c r="O60" s="26">
        <f>I60+'26.2'!O60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E61+'26.2'!K61</f>
        <v>0</v>
      </c>
      <c r="L61" s="26">
        <f>F61+'26.2'!L61</f>
        <v>0</v>
      </c>
      <c r="M61" s="23">
        <f t="shared" si="34"/>
        <v>0</v>
      </c>
      <c r="N61" s="26">
        <f>H61+'26.2'!N61</f>
        <v>1828619</v>
      </c>
      <c r="O61" s="26">
        <f>I61+'26.2'!O61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E62+'26.2'!K62</f>
        <v>0</v>
      </c>
      <c r="L62" s="26">
        <f>F62+'26.2'!L62</f>
        <v>0</v>
      </c>
      <c r="M62" s="23">
        <f t="shared" si="34"/>
        <v>0</v>
      </c>
      <c r="N62" s="26">
        <f>H62+'26.2'!N62</f>
        <v>40661</v>
      </c>
      <c r="O62" s="26">
        <f>I62+'26.2'!O62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E63+'26.2'!K63</f>
        <v>0</v>
      </c>
      <c r="L63" s="26">
        <f>F63+'26.2'!L63</f>
        <v>25920</v>
      </c>
      <c r="M63" s="23">
        <f t="shared" si="34"/>
        <v>25920</v>
      </c>
      <c r="N63" s="26">
        <f>H63+'26.2'!N63</f>
        <v>0</v>
      </c>
      <c r="O63" s="26">
        <f>I63+'26.2'!O63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E64+'26.2'!K64</f>
        <v>73699</v>
      </c>
      <c r="L64" s="26">
        <f>F64+'26.2'!L64</f>
        <v>0</v>
      </c>
      <c r="M64" s="23">
        <f t="shared" si="34"/>
        <v>73699</v>
      </c>
      <c r="N64" s="26">
        <f>H64+'26.2'!N64</f>
        <v>0</v>
      </c>
      <c r="O64" s="26">
        <f>I64+'26.2'!O64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E65+'26.2'!K65</f>
        <v>6302</v>
      </c>
      <c r="L65" s="26">
        <f>F65+'26.2'!L65</f>
        <v>32849</v>
      </c>
      <c r="M65" s="103">
        <f t="shared" si="34"/>
        <v>39151</v>
      </c>
      <c r="N65" s="26">
        <f>H65+'26.2'!N65</f>
        <v>23814</v>
      </c>
      <c r="O65" s="26">
        <f>I65+'26.2'!O65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E66+'26.2'!K66</f>
        <v>1072980</v>
      </c>
      <c r="L66" s="26">
        <f>F66+'26.2'!L66</f>
        <v>1283190</v>
      </c>
      <c r="M66" s="107">
        <f t="shared" si="34"/>
        <v>2356170</v>
      </c>
      <c r="N66" s="26">
        <f>H66+'26.2'!N66</f>
        <v>754606</v>
      </c>
      <c r="O66" s="26">
        <f>I66+'26.2'!O66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96" t="e">
        <f t="shared" ref="F67:I67" si="38">(F20-F63-F12)*(1-F54)</f>
        <v>#DIV/0!</v>
      </c>
      <c r="G67" s="96" t="e">
        <f t="shared" si="38"/>
        <v>#DIV/0!</v>
      </c>
      <c r="H67" s="96" t="e">
        <f>(H20-H62-H12)*(1-H54)</f>
        <v>#DIV/0!</v>
      </c>
      <c r="I67" s="96" t="e">
        <f>(I20-I62-I12)*(1-I54)</f>
        <v>#DIV/0!</v>
      </c>
      <c r="J67" s="96" t="e">
        <f t="shared" si="33"/>
        <v>#DIV/0!</v>
      </c>
      <c r="K67" s="26" t="e">
        <f>E67+'26.2'!K67</f>
        <v>#DIV/0!</v>
      </c>
      <c r="L67" s="26" t="e">
        <f>F67+'26.2'!L67</f>
        <v>#DIV/0!</v>
      </c>
      <c r="M67" s="96" t="e">
        <f t="shared" si="34"/>
        <v>#DIV/0!</v>
      </c>
      <c r="N67" s="26" t="e">
        <f>H67+'26.2'!N67</f>
        <v>#DIV/0!</v>
      </c>
      <c r="O67" s="26" t="e">
        <f>I67+'26.2'!O67</f>
        <v>#DIV/0!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03" t="e">
        <f t="shared" ref="F68:I68" si="39">(F20-F63-F12)*F54+F12</f>
        <v>#DIV/0!</v>
      </c>
      <c r="G68" s="103" t="e">
        <f t="shared" si="39"/>
        <v>#DIV/0!</v>
      </c>
      <c r="H68" s="103" t="e">
        <f>(H20-H62-H12)*H54+H12+H62</f>
        <v>#DIV/0!</v>
      </c>
      <c r="I68" s="103" t="e">
        <f>(I20-I62-I12)*I54+I12+I62</f>
        <v>#DIV/0!</v>
      </c>
      <c r="J68" s="103" t="e">
        <f t="shared" si="33"/>
        <v>#DIV/0!</v>
      </c>
      <c r="K68" s="26" t="e">
        <f>E68+'26.2'!K68</f>
        <v>#DIV/0!</v>
      </c>
      <c r="L68" s="26" t="e">
        <f>F68+'26.2'!L68</f>
        <v>#DIV/0!</v>
      </c>
      <c r="M68" s="103" t="e">
        <f t="shared" si="34"/>
        <v>#DIV/0!</v>
      </c>
      <c r="N68" s="26" t="e">
        <f>H68+'26.2'!N68</f>
        <v>#DIV/0!</v>
      </c>
      <c r="O68" s="26" t="e">
        <f>I68+'26.2'!O68</f>
        <v>#DIV/0!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40">D67/(D7/10000)</f>
        <v>#DIV/0!</v>
      </c>
      <c r="E69" s="20" t="e">
        <f t="shared" si="40"/>
        <v>#DIV/0!</v>
      </c>
      <c r="F69" s="20" t="e">
        <f t="shared" si="40"/>
        <v>#DIV/0!</v>
      </c>
      <c r="G69" s="20" t="e">
        <f t="shared" si="40"/>
        <v>#DIV/0!</v>
      </c>
      <c r="H69" s="20" t="e">
        <f t="shared" si="40"/>
        <v>#DIV/0!</v>
      </c>
      <c r="I69" s="20" t="e">
        <f t="shared" si="40"/>
        <v>#DIV/0!</v>
      </c>
      <c r="J69" s="20" t="e">
        <f t="shared" si="40"/>
        <v>#DIV/0!</v>
      </c>
      <c r="K69" s="20" t="e">
        <f t="shared" si="40"/>
        <v>#DIV/0!</v>
      </c>
      <c r="L69" s="20" t="e">
        <f t="shared" si="40"/>
        <v>#DIV/0!</v>
      </c>
      <c r="M69" s="20" t="e">
        <f t="shared" si="40"/>
        <v>#DIV/0!</v>
      </c>
      <c r="N69" s="20" t="e">
        <f t="shared" si="40"/>
        <v>#DIV/0!</v>
      </c>
      <c r="O69" s="21" t="e">
        <f t="shared" si="40"/>
        <v>#DIV/0!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41">D68/D9</f>
        <v>#DIV/0!</v>
      </c>
      <c r="E70" s="62" t="e">
        <f t="shared" si="41"/>
        <v>#DIV/0!</v>
      </c>
      <c r="F70" s="62" t="e">
        <f t="shared" si="41"/>
        <v>#DIV/0!</v>
      </c>
      <c r="G70" s="62" t="e">
        <f t="shared" si="41"/>
        <v>#DIV/0!</v>
      </c>
      <c r="H70" s="62" t="e">
        <f t="shared" si="41"/>
        <v>#DIV/0!</v>
      </c>
      <c r="I70" s="62" t="e">
        <f t="shared" si="41"/>
        <v>#DIV/0!</v>
      </c>
      <c r="J70" s="62" t="e">
        <f t="shared" si="41"/>
        <v>#DIV/0!</v>
      </c>
      <c r="K70" s="62" t="e">
        <f t="shared" si="41"/>
        <v>#DIV/0!</v>
      </c>
      <c r="L70" s="62" t="e">
        <f t="shared" si="41"/>
        <v>#DIV/0!</v>
      </c>
      <c r="M70" s="62" t="e">
        <f t="shared" si="41"/>
        <v>#DIV/0!</v>
      </c>
      <c r="N70" s="62" t="e">
        <f t="shared" si="41"/>
        <v>#DIV/0!</v>
      </c>
      <c r="O70" s="63" t="e">
        <f t="shared" si="41"/>
        <v>#DIV/0!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180" verticalDpi="180"/>
  <headerFooter alignWithMargins="0" scaleWithDoc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2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40">
        <f>[4]产量!$C$15</f>
        <v>0</v>
      </c>
      <c r="F7" s="40">
        <f>[4]产量!$C$19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41">
        <f>E7+'26.3'!K7</f>
        <v>60753600</v>
      </c>
      <c r="L7" s="41">
        <f>F7+'26.3'!L7</f>
        <v>57676320</v>
      </c>
      <c r="M7" s="23">
        <f t="shared" si="3"/>
        <v>118429920</v>
      </c>
      <c r="N7" s="41">
        <f>H7+'26.3'!N7</f>
        <v>22641600</v>
      </c>
      <c r="O7" s="41">
        <f>I7+'26.3'!O7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40">
        <f>[4]产量!$E$15</f>
        <v>0</v>
      </c>
      <c r="F8" s="40">
        <f>[4]产量!$E$19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41">
        <f>E8+'26.3'!K8</f>
        <v>37145916</v>
      </c>
      <c r="L8" s="41">
        <f>F8+'26.3'!L8</f>
        <v>41137272</v>
      </c>
      <c r="M8" s="23">
        <f t="shared" si="3"/>
        <v>78283188</v>
      </c>
      <c r="N8" s="41">
        <f>H8+'26.3'!N8</f>
        <v>15642792</v>
      </c>
      <c r="O8" s="41">
        <f>I8+'26.3'!O8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40">
        <f>[4]产量!$G$6</f>
        <v>0</v>
      </c>
      <c r="F9" s="40">
        <f>[4]产量!$G$7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41">
        <f>E9+'26.3'!K9</f>
        <v>980229.19383</v>
      </c>
      <c r="L9" s="41">
        <f>F9+'26.3'!L9</f>
        <v>967138.542272</v>
      </c>
      <c r="M9" s="23">
        <f t="shared" si="3"/>
        <v>1947367.736102</v>
      </c>
      <c r="N9" s="41">
        <f>H9+'26.3'!N9</f>
        <v>570124</v>
      </c>
      <c r="O9" s="41">
        <f>I9+'26.3'!O9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40">
        <f>[4]产量!$G$29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41">
        <f>E10+'26.3'!K10</f>
        <v>0</v>
      </c>
      <c r="L10" s="41">
        <f>F10+'26.3'!L10</f>
        <v>264848</v>
      </c>
      <c r="M10" s="23">
        <f t="shared" si="3"/>
        <v>264848</v>
      </c>
      <c r="N10" s="41">
        <f>H10+'26.3'!N10</f>
        <v>113115</v>
      </c>
      <c r="O10" s="41">
        <f>I10+'26.3'!O10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40">
        <f>[4]产量!$G$28</f>
        <v>0</v>
      </c>
      <c r="F11" s="40">
        <f>[4]产量!$G$30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41">
        <f>E11+'26.3'!K11</f>
        <v>875606.4</v>
      </c>
      <c r="L11" s="41">
        <f>F11+'26.3'!L11</f>
        <v>472389</v>
      </c>
      <c r="M11" s="23">
        <f t="shared" si="3"/>
        <v>1347995.4</v>
      </c>
      <c r="N11" s="41">
        <f>H11+'26.3'!N11</f>
        <v>457009</v>
      </c>
      <c r="O11" s="41">
        <f>I11+'26.3'!O11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40">
        <f>[4]产量!$G$15</f>
        <v>0</v>
      </c>
      <c r="F12" s="40">
        <f>[4]产量!$G$19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41">
        <f>E12+'26.3'!K12</f>
        <v>35445</v>
      </c>
      <c r="L12" s="41">
        <f>F12+'26.3'!L12</f>
        <v>77888</v>
      </c>
      <c r="M12" s="23">
        <f t="shared" si="3"/>
        <v>113333</v>
      </c>
      <c r="N12" s="41">
        <f>H12+'26.3'!N12</f>
        <v>0</v>
      </c>
      <c r="O12" s="41">
        <f>I12+'26.3'!O12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41">
        <f>E15+'26.3'!K15</f>
        <v>14337.393088</v>
      </c>
      <c r="L15" s="41">
        <f>F15+'26.3'!L15</f>
        <v>13051.1898</v>
      </c>
      <c r="M15" s="23">
        <f t="shared" ref="M15:M29" si="8">SUM(K15:L15)</f>
        <v>27388.582888</v>
      </c>
      <c r="N15" s="41">
        <f>H15+'26.3'!N15</f>
        <v>7865</v>
      </c>
      <c r="O15" s="41">
        <f>I15+'26.3'!O15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41">
        <f>E16+'26.3'!K16</f>
        <v>53934.606912</v>
      </c>
      <c r="L16" s="41">
        <f>F16+'26.3'!L16</f>
        <v>60187.8102</v>
      </c>
      <c r="M16" s="23">
        <f t="shared" si="8"/>
        <v>114122.417112</v>
      </c>
      <c r="N16" s="41">
        <f>H16+'26.3'!N16</f>
        <v>31436</v>
      </c>
      <c r="O16" s="41">
        <f>I16+'26.3'!O16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41">
        <f>E18+'26.3'!K18</f>
        <v>14.5532772</v>
      </c>
      <c r="L18" s="41">
        <f>F18+'26.3'!L18</f>
        <v>4.455</v>
      </c>
      <c r="M18" s="23">
        <f t="shared" si="8"/>
        <v>19.0082772</v>
      </c>
      <c r="N18" s="41">
        <f>H18+'26.3'!N18</f>
        <v>3</v>
      </c>
      <c r="O18" s="41">
        <f>I18+'26.3'!O18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41">
        <f>E19+'26.3'!K19</f>
        <v>54.7467228</v>
      </c>
      <c r="L19" s="41">
        <f>F19+'26.3'!L19</f>
        <v>20.545</v>
      </c>
      <c r="M19" s="23">
        <f t="shared" si="8"/>
        <v>75.2917228</v>
      </c>
      <c r="N19" s="41">
        <f>H19+'26.3'!N19</f>
        <v>11</v>
      </c>
      <c r="O19" s="41">
        <f>I19+'26.3'!O19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41">
        <f>E20+'26.3'!K20</f>
        <v>177610</v>
      </c>
      <c r="L20" s="41">
        <f>F20+'26.3'!L20</f>
        <v>194774</v>
      </c>
      <c r="M20" s="23">
        <f t="shared" si="8"/>
        <v>372384</v>
      </c>
      <c r="N20" s="41">
        <f>H20+'26.3'!N20</f>
        <v>94794</v>
      </c>
      <c r="O20" s="41">
        <f>I20+'26.3'!O20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41">
        <f>E21+'26.3'!K21</f>
        <v>121213</v>
      </c>
      <c r="L21" s="41">
        <f>F21+'26.3'!L21</f>
        <v>0</v>
      </c>
      <c r="M21" s="23">
        <f t="shared" si="8"/>
        <v>121213</v>
      </c>
      <c r="N21" s="41">
        <f>H21+'26.3'!N21</f>
        <v>0</v>
      </c>
      <c r="O21" s="41">
        <f>I21+'26.3'!O21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41">
        <f>E22+'26.3'!K22</f>
        <v>6.4</v>
      </c>
      <c r="L22" s="41">
        <f>F22+'26.3'!L22</f>
        <v>40</v>
      </c>
      <c r="M22" s="23">
        <f t="shared" si="8"/>
        <v>46.4</v>
      </c>
      <c r="N22" s="41">
        <f>H22+'26.3'!N22</f>
        <v>15</v>
      </c>
      <c r="O22" s="41">
        <f>I22+'26.3'!O22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41">
        <f>E23+'26.3'!K23</f>
        <v>9.7</v>
      </c>
      <c r="L23" s="41">
        <f>F23+'26.3'!L23</f>
        <v>32</v>
      </c>
      <c r="M23" s="23">
        <f t="shared" si="8"/>
        <v>41.7</v>
      </c>
      <c r="N23" s="41">
        <f>H23+'26.3'!N23</f>
        <v>10</v>
      </c>
      <c r="O23" s="41">
        <f>I23+'26.3'!O23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F24" s="2"/>
      <c r="G24" s="23">
        <f t="shared" si="6"/>
        <v>0</v>
      </c>
      <c r="H24" s="23"/>
      <c r="I24" s="25"/>
      <c r="J24" s="23">
        <f t="shared" si="7"/>
        <v>601.88</v>
      </c>
      <c r="K24" s="41">
        <f>E24+'26.3'!K24</f>
        <v>0</v>
      </c>
      <c r="L24" s="41">
        <f>F24+'26.3'!L24</f>
        <v>0</v>
      </c>
      <c r="M24" s="23">
        <f t="shared" si="8"/>
        <v>0</v>
      </c>
      <c r="N24" s="41">
        <f>H24+'26.3'!N24</f>
        <v>0</v>
      </c>
      <c r="O24" s="41">
        <f>I24+'26.3'!O24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41">
        <f>E25+'26.3'!K25</f>
        <v>2045</v>
      </c>
      <c r="L25" s="41">
        <f>F25+'26.3'!L25</f>
        <v>854</v>
      </c>
      <c r="M25" s="23">
        <f t="shared" si="8"/>
        <v>2899</v>
      </c>
      <c r="N25" s="41">
        <f>H25+'26.3'!N25</f>
        <v>702</v>
      </c>
      <c r="O25" s="41">
        <f>I25+'26.3'!O25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41">
        <f>E26+'26.3'!K26</f>
        <v>377.74</v>
      </c>
      <c r="L26" s="41">
        <f>F26+'26.3'!L26</f>
        <v>201</v>
      </c>
      <c r="M26" s="23">
        <f t="shared" si="8"/>
        <v>578.74</v>
      </c>
      <c r="N26" s="41">
        <f>H26+'26.3'!N26</f>
        <v>319</v>
      </c>
      <c r="O26" s="41">
        <f>I26+'26.3'!O26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41">
        <f>E27+'26.3'!K27</f>
        <v>1.075</v>
      </c>
      <c r="L27" s="41">
        <f>F27+'26.3'!L27</f>
        <v>1</v>
      </c>
      <c r="M27" s="46">
        <f t="shared" si="8"/>
        <v>2.075</v>
      </c>
      <c r="N27" s="41">
        <f>H27+'26.3'!N27</f>
        <v>1</v>
      </c>
      <c r="O27" s="41">
        <f>I27+'26.3'!O27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41">
        <f>E28+'26.3'!K28</f>
        <v>0</v>
      </c>
      <c r="L28" s="41">
        <f>F28+'26.3'!L28</f>
        <v>0</v>
      </c>
      <c r="M28" s="46">
        <f t="shared" si="8"/>
        <v>0</v>
      </c>
      <c r="N28" s="41">
        <f>H28+'26.3'!N28</f>
        <v>0</v>
      </c>
      <c r="O28" s="41">
        <f>I28+'26.3'!O28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41">
        <f>E29+'26.3'!K29</f>
        <v>28</v>
      </c>
      <c r="L29" s="41">
        <f>F29+'26.3'!L29</f>
        <v>0</v>
      </c>
      <c r="M29" s="23">
        <f t="shared" si="8"/>
        <v>28</v>
      </c>
      <c r="N29" s="41">
        <f>H29+'26.3'!N29</f>
        <v>0</v>
      </c>
      <c r="O29" s="41">
        <f>I29+'26.3'!O29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41">
        <f>E30+'26.3'!K30</f>
        <v>23607684</v>
      </c>
      <c r="L30" s="41">
        <f>F30+'26.3'!L30</f>
        <v>16539048</v>
      </c>
      <c r="M30" s="23">
        <f>M7-M8</f>
        <v>40146732</v>
      </c>
      <c r="N30" s="41">
        <f>H30+'26.3'!N30</f>
        <v>6998808</v>
      </c>
      <c r="O30" s="41">
        <f>I30+'26.3'!O30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41">
        <f>E31+'26.3'!K31</f>
        <v>6593264.5</v>
      </c>
      <c r="L31" s="41">
        <f>F31+'26.3'!L31</f>
        <v>573928</v>
      </c>
      <c r="M31" s="23">
        <f t="shared" ref="M31:M34" si="12">SUM(K31:L31)</f>
        <v>7167192.5</v>
      </c>
      <c r="N31" s="41">
        <f>H31+'26.3'!N31</f>
        <v>0</v>
      </c>
      <c r="O31" s="41">
        <f>I31+'26.3'!O31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41">
        <f>E33+'26.3'!K33</f>
        <v>3573096.00147514</v>
      </c>
      <c r="L33" s="41">
        <f>F33+'26.3'!L33</f>
        <v>2844984.384</v>
      </c>
      <c r="M33" s="23">
        <f t="shared" si="12"/>
        <v>6418080.38547514</v>
      </c>
      <c r="N33" s="41">
        <f>H33+'26.3'!N33</f>
        <v>1400555</v>
      </c>
      <c r="O33" s="41">
        <f>I33+'26.3'!O33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41">
        <f>E34+'26.3'!K34</f>
        <v>13441322.778525</v>
      </c>
      <c r="L34" s="41">
        <f>F34+'26.3'!L34</f>
        <v>13120135.616</v>
      </c>
      <c r="M34" s="23">
        <f t="shared" si="12"/>
        <v>26561458.394525</v>
      </c>
      <c r="N34" s="41">
        <f>H34+'26.3'!N34</f>
        <v>5598253</v>
      </c>
      <c r="O34" s="41">
        <f>I34+'26.3'!O34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126"/>
      <c r="I40" s="25"/>
      <c r="J40" s="23">
        <f t="shared" ref="J40:J44" si="21">M40+N40+O40</f>
        <v>27564.6346349947</v>
      </c>
      <c r="K40" s="41">
        <f>E40+'26.3'!K40</f>
        <v>9817.2469001747</v>
      </c>
      <c r="L40" s="41">
        <f>F40+'26.3'!L40</f>
        <v>8544.63729638324</v>
      </c>
      <c r="M40" s="23">
        <f t="shared" ref="M40:M44" si="22">SUM(K40:L40)</f>
        <v>18361.8841965579</v>
      </c>
      <c r="N40" s="41">
        <f>H40+'26.3'!N40</f>
        <v>5641</v>
      </c>
      <c r="O40" s="41">
        <f>I40+'26.3'!O40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126"/>
      <c r="I41" s="25"/>
      <c r="J41" s="23">
        <f t="shared" si="21"/>
        <v>31.7654793414028</v>
      </c>
      <c r="K41" s="41">
        <f>E41+'26.3'!K41</f>
        <v>21.20558020812</v>
      </c>
      <c r="L41" s="41">
        <f>F41+'26.3'!L41</f>
        <v>6.4913805</v>
      </c>
      <c r="M41" s="23">
        <f t="shared" si="22"/>
        <v>27.69696070812</v>
      </c>
      <c r="N41" s="41">
        <f>H41+'26.3'!N41</f>
        <v>4</v>
      </c>
      <c r="O41" s="41">
        <f>I41+'26.3'!O41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41">
        <f>E43+'26.3'!K43</f>
        <v>36930.6550800009</v>
      </c>
      <c r="L43" s="41">
        <f>F43+'26.3'!L43</f>
        <v>39405.0669481916</v>
      </c>
      <c r="M43" s="23">
        <f t="shared" si="22"/>
        <v>76335.7220281925</v>
      </c>
      <c r="N43" s="41">
        <f>H43+'26.3'!N43</f>
        <v>22549</v>
      </c>
      <c r="O43" s="41">
        <f>I43+'26.3'!O43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41">
        <f>E44+'26.3'!K44</f>
        <v>79.77379608</v>
      </c>
      <c r="L44" s="41">
        <f>F44+'26.3'!L44</f>
        <v>29.9361195</v>
      </c>
      <c r="M44" s="23">
        <f t="shared" si="22"/>
        <v>109.70991558</v>
      </c>
      <c r="N44" s="41">
        <f>H44+'26.3'!N44</f>
        <v>16</v>
      </c>
      <c r="O44" s="41">
        <f>I44+'26.3'!O44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20235.4246194425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41">
        <f t="shared" ref="D52:I52" si="28">D7/10000/D6/(5*24)</f>
        <v>0</v>
      </c>
      <c r="E52" s="41">
        <f t="shared" si="28"/>
        <v>0</v>
      </c>
      <c r="F52" s="41">
        <f t="shared" si="28"/>
        <v>0</v>
      </c>
      <c r="G52" s="41">
        <f t="shared" si="28"/>
        <v>0</v>
      </c>
      <c r="H52" s="41">
        <f t="shared" si="28"/>
        <v>0</v>
      </c>
      <c r="I52" s="127">
        <f t="shared" si="28"/>
        <v>0</v>
      </c>
      <c r="J52" s="71">
        <f t="shared" ref="J52:O52" si="29">J7/10000/J6/(DATEDIF(DATE(2026,1,1),DATE(2026,5,1),"D")*24)</f>
        <v>0.202061141079696</v>
      </c>
      <c r="K52" s="71">
        <f t="shared" si="29"/>
        <v>0.21095</v>
      </c>
      <c r="L52" s="71">
        <f t="shared" si="29"/>
        <v>0.200265</v>
      </c>
      <c r="M52" s="71">
        <f t="shared" si="29"/>
        <v>0.2056075</v>
      </c>
      <c r="N52" s="71">
        <f t="shared" si="29"/>
        <v>0.21837962962963</v>
      </c>
      <c r="O52" s="72">
        <f t="shared" si="29"/>
        <v>0.162526465108401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128">
        <f>D9*1000/1986/((5*24)*3600)</f>
        <v>0</v>
      </c>
      <c r="E53" s="128">
        <f>E9*1000/577/((5*24)*3600)</f>
        <v>0</v>
      </c>
      <c r="F53" s="127">
        <f>F9*1000/528/((5*24)*3600)</f>
        <v>0</v>
      </c>
      <c r="G53" s="128">
        <f>G9*1000/1442/((5*24)*3600)</f>
        <v>0</v>
      </c>
      <c r="H53" s="127">
        <f>H9*1000/414/((5*24)*3600)</f>
        <v>0</v>
      </c>
      <c r="I53" s="127">
        <f>I9*1000/130/((5*24)*3600)</f>
        <v>0</v>
      </c>
      <c r="J53" s="71">
        <f>J9*1000/1986/((DATEDIF(DATE(2026,1,1),DATE(2026,5,1),"D")*24)*3600)</f>
        <v>0.136448292761036</v>
      </c>
      <c r="K53" s="75">
        <f>K9*1000/577/((DATEDIF(DATE(2026,1,1),DATE(2026,5,1),"D")*24)*3600)</f>
        <v>0.163853918240299</v>
      </c>
      <c r="L53" s="72">
        <f>L9*1000/528/((DATEDIF(DATE(2026,1,1),DATE(2026,5,1),"D")*24)*3600)</f>
        <v>0.176668767805368</v>
      </c>
      <c r="M53" s="75">
        <f>M9*1000/1442/((DATEDIF(DATE(2026,1,1),DATE(2026,5,1),"D")*24)*3600)</f>
        <v>0.130252995995761</v>
      </c>
      <c r="N53" s="72">
        <f>N9*1000/414/((DATEDIF(DATE(2026,1,1),DATE(2026,5,1),"D")*24)*3600)</f>
        <v>0.132823216735254</v>
      </c>
      <c r="O53" s="72">
        <f>O9*1000/130/((DATEDIF(DATE(2026,1,1),DATE(2026,5,1),"D")*24)*3600)</f>
        <v>0.216712903608737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41">
        <f>E57+'26.3'!K57</f>
        <v>26761</v>
      </c>
      <c r="L57" s="41">
        <f>F57+'26.3'!L57</f>
        <v>66608</v>
      </c>
      <c r="M57" s="23">
        <f t="shared" ref="M57:M68" si="34">SUM(K57:L57)</f>
        <v>93369</v>
      </c>
      <c r="N57" s="41">
        <f>H57+'26.3'!N57</f>
        <v>4890.18</v>
      </c>
      <c r="O57" s="41">
        <f>I57+'26.3'!O57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41">
        <f>E58+'26.3'!K58</f>
        <v>42844</v>
      </c>
      <c r="L58" s="41">
        <f>F58+'26.3'!L58</f>
        <v>0</v>
      </c>
      <c r="M58" s="23">
        <f t="shared" si="34"/>
        <v>42844</v>
      </c>
      <c r="N58" s="41">
        <f>H58+'26.3'!N58</f>
        <v>0</v>
      </c>
      <c r="O58" s="41">
        <f>I58+'26.3'!O58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125">
        <f>'26.3'!K59+E57-E14-E58</f>
        <v>42846</v>
      </c>
      <c r="L59" s="125">
        <f>'26.3'!L59+F57-F14-F58</f>
        <v>11815</v>
      </c>
      <c r="M59" s="32">
        <f t="shared" si="34"/>
        <v>54661</v>
      </c>
      <c r="N59" s="125">
        <f>'26.3'!N59+H57-H14-H58</f>
        <v>28612.66</v>
      </c>
      <c r="O59" s="125">
        <f>'26.3'!O59+I57-I14-I58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41">
        <f>E60+'26.3'!K60</f>
        <v>0</v>
      </c>
      <c r="L60" s="41">
        <f>F60+'26.3'!L60</f>
        <v>0</v>
      </c>
      <c r="M60" s="67">
        <f t="shared" si="34"/>
        <v>0</v>
      </c>
      <c r="N60" s="41">
        <f>H60+'26.3'!N60</f>
        <v>1828619</v>
      </c>
      <c r="O60" s="41">
        <f>I60+'26.3'!O60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41">
        <f>E61+'26.3'!K61</f>
        <v>0</v>
      </c>
      <c r="L61" s="41">
        <f>F61+'26.3'!L61</f>
        <v>0</v>
      </c>
      <c r="M61" s="23">
        <f t="shared" si="34"/>
        <v>0</v>
      </c>
      <c r="N61" s="41">
        <f>H61+'26.3'!N61</f>
        <v>1828619</v>
      </c>
      <c r="O61" s="41">
        <f>I61+'26.3'!O61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41">
        <f>E62+'26.3'!K62</f>
        <v>0</v>
      </c>
      <c r="L62" s="41">
        <f>F62+'26.3'!L62</f>
        <v>0</v>
      </c>
      <c r="M62" s="23">
        <f t="shared" si="34"/>
        <v>0</v>
      </c>
      <c r="N62" s="41">
        <f>H62+'26.3'!N62</f>
        <v>40661</v>
      </c>
      <c r="O62" s="41">
        <f>I62+'26.3'!O62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41">
        <f>E63+'26.3'!K63</f>
        <v>0</v>
      </c>
      <c r="L63" s="41">
        <f>F63+'26.3'!L63</f>
        <v>25920</v>
      </c>
      <c r="M63" s="23">
        <f t="shared" si="34"/>
        <v>25920</v>
      </c>
      <c r="N63" s="41">
        <f>H63+'26.3'!N63</f>
        <v>0</v>
      </c>
      <c r="O63" s="41">
        <f>I63+'26.3'!O63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41">
        <f>E64+'26.3'!K64</f>
        <v>73699</v>
      </c>
      <c r="L64" s="41">
        <f>F64+'26.3'!L64</f>
        <v>0</v>
      </c>
      <c r="M64" s="23">
        <f t="shared" si="34"/>
        <v>73699</v>
      </c>
      <c r="N64" s="41">
        <f>H64+'26.3'!N64</f>
        <v>0</v>
      </c>
      <c r="O64" s="41">
        <f>I64+'26.3'!O64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41">
        <f>E65+'26.3'!K65</f>
        <v>6302</v>
      </c>
      <c r="L65" s="41">
        <f>F65+'26.3'!L65</f>
        <v>32849</v>
      </c>
      <c r="M65" s="103">
        <f t="shared" si="34"/>
        <v>39151</v>
      </c>
      <c r="N65" s="41">
        <f>H65+'26.3'!N65</f>
        <v>23814</v>
      </c>
      <c r="O65" s="41">
        <f>I65+'26.3'!O65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41">
        <f>E66+'26.3'!K66</f>
        <v>1072980</v>
      </c>
      <c r="L66" s="41">
        <f>F66+'26.3'!L66</f>
        <v>1283190</v>
      </c>
      <c r="M66" s="107">
        <f t="shared" si="34"/>
        <v>2356170</v>
      </c>
      <c r="N66" s="41">
        <f>H66+'26.3'!N66</f>
        <v>754606</v>
      </c>
      <c r="O66" s="41">
        <f>I66+'26.3'!O66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96" t="e">
        <f t="shared" ref="F67:I67" si="38">(F20-F63-F12)*(1-F54)</f>
        <v>#DIV/0!</v>
      </c>
      <c r="G67" s="96" t="e">
        <f t="shared" si="38"/>
        <v>#DIV/0!</v>
      </c>
      <c r="H67" s="96" t="e">
        <f>(H20-H62-H12)*(1-H54)</f>
        <v>#DIV/0!</v>
      </c>
      <c r="I67" s="96" t="e">
        <f>(I20-I62-I12)*(1-I54)</f>
        <v>#DIV/0!</v>
      </c>
      <c r="J67" s="96" t="e">
        <f t="shared" si="33"/>
        <v>#DIV/0!</v>
      </c>
      <c r="K67" s="41" t="e">
        <f>E67+'26.3'!K67</f>
        <v>#DIV/0!</v>
      </c>
      <c r="L67" s="41" t="e">
        <f>F67+'26.3'!L67</f>
        <v>#DIV/0!</v>
      </c>
      <c r="M67" s="96" t="e">
        <f t="shared" si="34"/>
        <v>#DIV/0!</v>
      </c>
      <c r="N67" s="41" t="e">
        <f>H67+'26.3'!N67</f>
        <v>#DIV/0!</v>
      </c>
      <c r="O67" s="41" t="e">
        <f>I67+'26.3'!O67</f>
        <v>#DIV/0!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03" t="e">
        <f t="shared" ref="F68:I68" si="39">(F20-F63-F12)*F54+F12</f>
        <v>#DIV/0!</v>
      </c>
      <c r="G68" s="103" t="e">
        <f t="shared" si="39"/>
        <v>#DIV/0!</v>
      </c>
      <c r="H68" s="103" t="e">
        <f>(H20-H62-H12)*H54+H12+H62</f>
        <v>#DIV/0!</v>
      </c>
      <c r="I68" s="103" t="e">
        <f>(I20-I62-I12)*I54+I12+I62</f>
        <v>#DIV/0!</v>
      </c>
      <c r="J68" s="103" t="e">
        <f t="shared" si="33"/>
        <v>#DIV/0!</v>
      </c>
      <c r="K68" s="41" t="e">
        <f>E68+'26.3'!K68</f>
        <v>#DIV/0!</v>
      </c>
      <c r="L68" s="41" t="e">
        <f>F68+'26.3'!L68</f>
        <v>#DIV/0!</v>
      </c>
      <c r="M68" s="103" t="e">
        <f t="shared" si="34"/>
        <v>#DIV/0!</v>
      </c>
      <c r="N68" s="41" t="e">
        <f>H68+'26.3'!N68</f>
        <v>#DIV/0!</v>
      </c>
      <c r="O68" s="41" t="e">
        <f>I68+'26.3'!O68</f>
        <v>#DIV/0!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40">D67/(D7/10000)</f>
        <v>#DIV/0!</v>
      </c>
      <c r="E69" s="20" t="e">
        <f t="shared" si="40"/>
        <v>#DIV/0!</v>
      </c>
      <c r="F69" s="20" t="e">
        <f t="shared" si="40"/>
        <v>#DIV/0!</v>
      </c>
      <c r="G69" s="20" t="e">
        <f t="shared" si="40"/>
        <v>#DIV/0!</v>
      </c>
      <c r="H69" s="20" t="e">
        <f t="shared" si="40"/>
        <v>#DIV/0!</v>
      </c>
      <c r="I69" s="20" t="e">
        <f t="shared" si="40"/>
        <v>#DIV/0!</v>
      </c>
      <c r="J69" s="20" t="e">
        <f t="shared" si="40"/>
        <v>#DIV/0!</v>
      </c>
      <c r="K69" s="20" t="e">
        <f t="shared" si="40"/>
        <v>#DIV/0!</v>
      </c>
      <c r="L69" s="20" t="e">
        <f t="shared" si="40"/>
        <v>#DIV/0!</v>
      </c>
      <c r="M69" s="20" t="e">
        <f t="shared" si="40"/>
        <v>#DIV/0!</v>
      </c>
      <c r="N69" s="20" t="e">
        <f t="shared" si="40"/>
        <v>#DIV/0!</v>
      </c>
      <c r="O69" s="21" t="e">
        <f t="shared" si="40"/>
        <v>#DIV/0!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41">D68/D9</f>
        <v>#DIV/0!</v>
      </c>
      <c r="E70" s="62" t="e">
        <f t="shared" si="41"/>
        <v>#DIV/0!</v>
      </c>
      <c r="F70" s="62" t="e">
        <f t="shared" si="41"/>
        <v>#DIV/0!</v>
      </c>
      <c r="G70" s="62" t="e">
        <f t="shared" si="41"/>
        <v>#DIV/0!</v>
      </c>
      <c r="H70" s="62" t="e">
        <f t="shared" si="41"/>
        <v>#DIV/0!</v>
      </c>
      <c r="I70" s="62" t="e">
        <f t="shared" si="41"/>
        <v>#DIV/0!</v>
      </c>
      <c r="J70" s="62" t="e">
        <f t="shared" si="41"/>
        <v>#DIV/0!</v>
      </c>
      <c r="K70" s="62" t="e">
        <f t="shared" si="41"/>
        <v>#DIV/0!</v>
      </c>
      <c r="L70" s="62" t="e">
        <f t="shared" si="41"/>
        <v>#DIV/0!</v>
      </c>
      <c r="M70" s="62" t="e">
        <f t="shared" si="41"/>
        <v>#DIV/0!</v>
      </c>
      <c r="N70" s="62" t="e">
        <f t="shared" si="41"/>
        <v>#DIV/0!</v>
      </c>
      <c r="O70" s="63" t="e">
        <f t="shared" si="41"/>
        <v>#DIV/0!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>
        <v>37296</v>
      </c>
      <c r="G73" s="120"/>
      <c r="H73" s="1"/>
      <c r="J73" s="118"/>
      <c r="K73" s="118"/>
      <c r="L73" s="121">
        <v>1827232</v>
      </c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180" verticalDpi="180"/>
  <headerFooter alignWithMargins="0" scaleWithDoc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[5]产量!$C$15</f>
        <v>0</v>
      </c>
      <c r="F7" s="24">
        <f>[5]产量!$C$19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E7+'26.4'!K7</f>
        <v>60753600</v>
      </c>
      <c r="L7" s="26">
        <f>F7+'26.4'!L7</f>
        <v>57676320</v>
      </c>
      <c r="M7" s="23">
        <f t="shared" si="3"/>
        <v>118429920</v>
      </c>
      <c r="N7" s="26">
        <f>H7+'26.4'!N7</f>
        <v>22641600</v>
      </c>
      <c r="O7" s="26">
        <f>I7+'26.4'!O7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[5]产量!$E$15</f>
        <v>0</v>
      </c>
      <c r="F8" s="24">
        <f>[5]产量!$E$19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E8+'26.4'!K8</f>
        <v>37145916</v>
      </c>
      <c r="L8" s="26">
        <f>F8+'26.4'!L8</f>
        <v>41137272</v>
      </c>
      <c r="M8" s="23">
        <f t="shared" si="3"/>
        <v>78283188</v>
      </c>
      <c r="N8" s="26">
        <f>H8+'26.4'!N8</f>
        <v>15642792</v>
      </c>
      <c r="O8" s="26">
        <f>I8+'26.4'!O8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[5]产量!$G$6</f>
        <v>0</v>
      </c>
      <c r="F9" s="24">
        <f>[5]产量!$G$7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E9+'26.4'!K9</f>
        <v>980229.19383</v>
      </c>
      <c r="L9" s="26">
        <f>F9+'26.4'!L9</f>
        <v>967138.542272</v>
      </c>
      <c r="M9" s="23">
        <f t="shared" si="3"/>
        <v>1947367.736102</v>
      </c>
      <c r="N9" s="26">
        <f>H9+'26.4'!N9</f>
        <v>570124</v>
      </c>
      <c r="O9" s="26">
        <f>I9+'26.4'!O9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[5]产量!$G$29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26">
        <f>E10+'26.4'!K10</f>
        <v>0</v>
      </c>
      <c r="L10" s="26">
        <f>F10+'26.4'!L10</f>
        <v>264848</v>
      </c>
      <c r="M10" s="23">
        <f t="shared" si="3"/>
        <v>264848</v>
      </c>
      <c r="N10" s="26">
        <f>H10+'26.4'!N10</f>
        <v>113115</v>
      </c>
      <c r="O10" s="26">
        <f>I10+'26.4'!O10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[5]产量!$G$28</f>
        <v>0</v>
      </c>
      <c r="F11" s="24">
        <f>[5]产量!$G$30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E11+'26.4'!K11</f>
        <v>875606.4</v>
      </c>
      <c r="L11" s="26">
        <f>F11+'26.4'!L11</f>
        <v>472389</v>
      </c>
      <c r="M11" s="23">
        <f t="shared" si="3"/>
        <v>1347995.4</v>
      </c>
      <c r="N11" s="26">
        <f>H11+'26.4'!N11</f>
        <v>457009</v>
      </c>
      <c r="O11" s="26">
        <f>I11+'26.4'!O11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[5]产量!$G$15</f>
        <v>0</v>
      </c>
      <c r="F12" s="24">
        <f>[5]产量!$G$19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E12+'26.4'!K12</f>
        <v>35445</v>
      </c>
      <c r="L12" s="26">
        <f>F12+'26.4'!L12</f>
        <v>77888</v>
      </c>
      <c r="M12" s="23">
        <f t="shared" si="3"/>
        <v>113333</v>
      </c>
      <c r="N12" s="26">
        <f>H12+'26.4'!N12</f>
        <v>0</v>
      </c>
      <c r="O12" s="26">
        <f>I12+'26.4'!O12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E15+'26.4'!K15</f>
        <v>14337.393088</v>
      </c>
      <c r="L15" s="26">
        <f>F15+'26.4'!L15</f>
        <v>13051.1898</v>
      </c>
      <c r="M15" s="23">
        <f t="shared" ref="M15:M29" si="8">SUM(K15:L15)</f>
        <v>27388.582888</v>
      </c>
      <c r="N15" s="26">
        <f>H15+'26.4'!N15</f>
        <v>7865</v>
      </c>
      <c r="O15" s="26">
        <f>I15+'26.4'!O15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E16+'26.4'!K16</f>
        <v>53934.606912</v>
      </c>
      <c r="L16" s="26">
        <f>F16+'26.4'!L16</f>
        <v>60187.8102</v>
      </c>
      <c r="M16" s="23">
        <f t="shared" si="8"/>
        <v>114122.417112</v>
      </c>
      <c r="N16" s="26">
        <f>H16+'26.4'!N16</f>
        <v>31436</v>
      </c>
      <c r="O16" s="26">
        <f>I16+'26.4'!O16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26">
        <f>E18+'26.4'!K18</f>
        <v>14.5532772</v>
      </c>
      <c r="L18" s="26">
        <f>F18+'26.4'!L18</f>
        <v>4.455</v>
      </c>
      <c r="M18" s="23">
        <f t="shared" si="8"/>
        <v>19.0082772</v>
      </c>
      <c r="N18" s="26">
        <f>H18+'26.4'!N18</f>
        <v>3</v>
      </c>
      <c r="O18" s="26">
        <f>I18+'26.4'!O18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26">
        <f>E19+'26.4'!K19</f>
        <v>54.7467228</v>
      </c>
      <c r="L19" s="26">
        <f>F19+'26.4'!L19</f>
        <v>20.545</v>
      </c>
      <c r="M19" s="23">
        <f t="shared" si="8"/>
        <v>75.2917228</v>
      </c>
      <c r="N19" s="26">
        <f>H19+'26.4'!N19</f>
        <v>11</v>
      </c>
      <c r="O19" s="26">
        <f>I19+'26.4'!O19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E20+'26.4'!K20</f>
        <v>177610</v>
      </c>
      <c r="L20" s="26">
        <f>F20+'26.4'!L20</f>
        <v>194774</v>
      </c>
      <c r="M20" s="23">
        <f t="shared" si="8"/>
        <v>372384</v>
      </c>
      <c r="N20" s="26">
        <f>H20+'26.4'!N20</f>
        <v>94794</v>
      </c>
      <c r="O20" s="26">
        <f>I20+'26.4'!O20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E21+'26.4'!K21</f>
        <v>121213</v>
      </c>
      <c r="L21" s="26">
        <f>F21+'26.4'!L21</f>
        <v>0</v>
      </c>
      <c r="M21" s="23">
        <f t="shared" si="8"/>
        <v>121213</v>
      </c>
      <c r="N21" s="26">
        <f>H21+'26.4'!N21</f>
        <v>0</v>
      </c>
      <c r="O21" s="26">
        <f>I21+'26.4'!O21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E22+'26.4'!K22</f>
        <v>6.4</v>
      </c>
      <c r="L22" s="26">
        <f>F22+'26.4'!L22</f>
        <v>40</v>
      </c>
      <c r="M22" s="23">
        <f t="shared" si="8"/>
        <v>46.4</v>
      </c>
      <c r="N22" s="26">
        <f>H22+'26.4'!N22</f>
        <v>15</v>
      </c>
      <c r="O22" s="26">
        <f>I22+'26.4'!O22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E23+'26.4'!K23</f>
        <v>9.7</v>
      </c>
      <c r="L23" s="26">
        <f>F23+'26.4'!L23</f>
        <v>32</v>
      </c>
      <c r="M23" s="23">
        <f t="shared" si="8"/>
        <v>41.7</v>
      </c>
      <c r="N23" s="26">
        <f>H23+'26.4'!N23</f>
        <v>10</v>
      </c>
      <c r="O23" s="26">
        <f>I23+'26.4'!O23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26">
        <f>E24+'26.4'!K24</f>
        <v>0</v>
      </c>
      <c r="L24" s="26">
        <f>F24+'26.4'!L24</f>
        <v>0</v>
      </c>
      <c r="M24" s="23">
        <f t="shared" si="8"/>
        <v>0</v>
      </c>
      <c r="N24" s="26">
        <f>H24+'26.4'!N24</f>
        <v>0</v>
      </c>
      <c r="O24" s="26">
        <f>I24+'26.4'!O24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26">
        <f>E25+'26.4'!K25</f>
        <v>2045</v>
      </c>
      <c r="L25" s="26">
        <f>F25+'26.4'!L25</f>
        <v>854</v>
      </c>
      <c r="M25" s="23">
        <f t="shared" si="8"/>
        <v>2899</v>
      </c>
      <c r="N25" s="26">
        <f>H25+'26.4'!N25</f>
        <v>702</v>
      </c>
      <c r="O25" s="26">
        <f>I25+'26.4'!O25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E26+'26.4'!K26</f>
        <v>377.74</v>
      </c>
      <c r="L26" s="26">
        <f>F26+'26.4'!L26</f>
        <v>201</v>
      </c>
      <c r="M26" s="23">
        <f t="shared" si="8"/>
        <v>578.74</v>
      </c>
      <c r="N26" s="26">
        <f>H26+'26.4'!N26</f>
        <v>319</v>
      </c>
      <c r="O26" s="26">
        <f>I26+'26.4'!O26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E27+'26.4'!K27</f>
        <v>1.075</v>
      </c>
      <c r="L27" s="26">
        <f>F27+'26.4'!L27</f>
        <v>1</v>
      </c>
      <c r="M27" s="46">
        <f t="shared" si="8"/>
        <v>2.075</v>
      </c>
      <c r="N27" s="26">
        <f>H27+'26.4'!N27</f>
        <v>1</v>
      </c>
      <c r="O27" s="26">
        <f>I27+'26.4'!O27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E28+'26.4'!K28</f>
        <v>0</v>
      </c>
      <c r="L28" s="26">
        <f>F28+'26.4'!L28</f>
        <v>0</v>
      </c>
      <c r="M28" s="46">
        <f t="shared" si="8"/>
        <v>0</v>
      </c>
      <c r="N28" s="26">
        <f>H28+'26.4'!N28</f>
        <v>0</v>
      </c>
      <c r="O28" s="26">
        <f>I28+'26.4'!O28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E29+'26.4'!K29</f>
        <v>28</v>
      </c>
      <c r="L29" s="26">
        <f>F29+'26.4'!L29</f>
        <v>0</v>
      </c>
      <c r="M29" s="23">
        <f t="shared" si="8"/>
        <v>28</v>
      </c>
      <c r="N29" s="26">
        <f>H29+'26.4'!N29</f>
        <v>0</v>
      </c>
      <c r="O29" s="26">
        <f>I29+'26.4'!O29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E30+'26.4'!K30</f>
        <v>23607684</v>
      </c>
      <c r="L30" s="26">
        <f>F30+'26.4'!L30</f>
        <v>16539048</v>
      </c>
      <c r="M30" s="23">
        <f>M7-M8</f>
        <v>40146732</v>
      </c>
      <c r="N30" s="26">
        <f>H30+'26.4'!N30</f>
        <v>6998808</v>
      </c>
      <c r="O30" s="26">
        <f>I30+'26.4'!O30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26">
        <f>E31+'26.4'!K31</f>
        <v>6593264.5</v>
      </c>
      <c r="L31" s="26">
        <f>F31+'26.4'!L31</f>
        <v>573928</v>
      </c>
      <c r="M31" s="23">
        <f t="shared" ref="M31:M34" si="12">SUM(K31:L31)</f>
        <v>7167192.5</v>
      </c>
      <c r="N31" s="26">
        <f>H31+'26.4'!N31</f>
        <v>0</v>
      </c>
      <c r="O31" s="26">
        <f>I31+'26.4'!O31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E33+'26.4'!K33</f>
        <v>3573096.00147514</v>
      </c>
      <c r="L33" s="26">
        <f>F33+'26.4'!L33</f>
        <v>2844984.384</v>
      </c>
      <c r="M33" s="23">
        <f t="shared" si="12"/>
        <v>6418080.38547514</v>
      </c>
      <c r="N33" s="26">
        <f>H33+'26.4'!N33</f>
        <v>1400555</v>
      </c>
      <c r="O33" s="26">
        <f>I33+'26.4'!O33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E34+'26.4'!K34</f>
        <v>13441322.778525</v>
      </c>
      <c r="L34" s="26">
        <f>F34+'26.4'!L34</f>
        <v>13120135.616</v>
      </c>
      <c r="M34" s="23">
        <f t="shared" si="12"/>
        <v>26561458.394525</v>
      </c>
      <c r="N34" s="26">
        <f>H34+'26.4'!N34</f>
        <v>5598253</v>
      </c>
      <c r="O34" s="26">
        <f>I34+'26.4'!O34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26">
        <f>E40+'26.4'!K40</f>
        <v>9817.2469001747</v>
      </c>
      <c r="L40" s="26">
        <f>F40+'26.4'!L40</f>
        <v>8544.63729638324</v>
      </c>
      <c r="M40" s="23">
        <f t="shared" ref="M40:M44" si="22">SUM(K40:L40)</f>
        <v>18361.8841965579</v>
      </c>
      <c r="N40" s="26">
        <f>H40+'26.4'!N40</f>
        <v>5641</v>
      </c>
      <c r="O40" s="26">
        <f>I40+'26.4'!O40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26">
        <f>E41+'26.4'!K41</f>
        <v>21.20558020812</v>
      </c>
      <c r="L41" s="26">
        <f>F41+'26.4'!L41</f>
        <v>6.4913805</v>
      </c>
      <c r="M41" s="23">
        <f t="shared" si="22"/>
        <v>27.69696070812</v>
      </c>
      <c r="N41" s="26">
        <f>H41+'26.4'!N41</f>
        <v>4</v>
      </c>
      <c r="O41" s="26">
        <f>I41+'26.4'!O41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E43+'26.4'!K43</f>
        <v>36930.6550800009</v>
      </c>
      <c r="L43" s="26">
        <f>F43+'26.4'!L43</f>
        <v>39405.0669481916</v>
      </c>
      <c r="M43" s="23">
        <f t="shared" si="22"/>
        <v>76335.7220281925</v>
      </c>
      <c r="N43" s="26">
        <f>H43+'26.4'!N43</f>
        <v>22549</v>
      </c>
      <c r="O43" s="26">
        <f>I43+'26.4'!O43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E44+'26.4'!K44</f>
        <v>79.77379608</v>
      </c>
      <c r="L44" s="26">
        <f>F44+'26.4'!L44</f>
        <v>29.9361195</v>
      </c>
      <c r="M44" s="23">
        <f t="shared" si="22"/>
        <v>109.70991558</v>
      </c>
      <c r="N44" s="26">
        <f>H44+'26.4'!N44</f>
        <v>16</v>
      </c>
      <c r="O44" s="26">
        <f>I44+'26.4'!O44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20235.4246194425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D7/10000/D6/(DAY(DATE(2026,6,0))*24)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J7/10000/J6/(DATEDIF(DATE(2026,1,1),DATE(2026,6,1),"D")*24)</f>
        <v>0.16057839026201</v>
      </c>
      <c r="K52" s="71">
        <f t="shared" si="29"/>
        <v>0.16764238410596</v>
      </c>
      <c r="L52" s="71">
        <f t="shared" si="29"/>
        <v>0.159150993377483</v>
      </c>
      <c r="M52" s="71">
        <f t="shared" si="29"/>
        <v>0.163396688741722</v>
      </c>
      <c r="N52" s="71">
        <f t="shared" si="29"/>
        <v>0.17354672553348</v>
      </c>
      <c r="O52" s="72">
        <f t="shared" si="29"/>
        <v>0.129160104721908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D9*1000/1986/((DAY(DATE(2026,6,0))*24)*3600)</f>
        <v>0</v>
      </c>
      <c r="E53" s="75">
        <f>E9*1000/577/((DAY(DATE(2026,6,0))*24)*3600)</f>
        <v>0</v>
      </c>
      <c r="F53" s="72">
        <f>F9*1000/528/((DAY(DATE(2026,6,0))*24)*3600)</f>
        <v>0</v>
      </c>
      <c r="G53" s="75">
        <f>G9*1000/1442/((DAY(DATE(2026,6,0))*24)*3600)</f>
        <v>0</v>
      </c>
      <c r="H53" s="72">
        <f>H9*1000/414/((DAY(DATE(2026,6,0))*24)*3600)</f>
        <v>0</v>
      </c>
      <c r="I53" s="72">
        <f>I9*1000/130/((DAY(DATE(2026,6,0))*24)*3600)</f>
        <v>0</v>
      </c>
      <c r="J53" s="71">
        <f>J9*1000/1986/((DATEDIF(DATE(2026,1,1),DATE(2026,6,1),"D")*24)*3600)</f>
        <v>0.108435729346519</v>
      </c>
      <c r="K53" s="75">
        <f>K9*1000/577/((DATEDIF(DATE(2026,1,1),DATE(2026,6,1),"D")*24)*3600)</f>
        <v>0.130215034363152</v>
      </c>
      <c r="L53" s="72">
        <f>L9*1000/528/((DATEDIF(DATE(2026,1,1),DATE(2026,6,1),"D")*24)*3600)</f>
        <v>0.140399020772478</v>
      </c>
      <c r="M53" s="75">
        <f>M9*1000/1442/((DATEDIF(DATE(2026,1,1),DATE(2026,6,1),"D")*24)*3600)</f>
        <v>0.103512314698618</v>
      </c>
      <c r="N53" s="72">
        <f>N9*1000/414/((DATEDIF(DATE(2026,1,1),DATE(2026,6,1),"D")*24)*3600)</f>
        <v>0.105554874226692</v>
      </c>
      <c r="O53" s="72">
        <f>O9*1000/130/((DATEDIF(DATE(2026,1,1),DATE(2026,6,1),"D")*24)*3600)</f>
        <v>0.172222175053301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E57+'26.4'!K57</f>
        <v>26761</v>
      </c>
      <c r="L57" s="26">
        <f>F57+'26.4'!L57</f>
        <v>66608</v>
      </c>
      <c r="M57" s="23">
        <f t="shared" ref="M57:M68" si="34">SUM(K57:L57)</f>
        <v>93369</v>
      </c>
      <c r="N57" s="26">
        <f>H57+'26.4'!N57</f>
        <v>4890.18</v>
      </c>
      <c r="O57" s="26">
        <f>I57+'26.4'!O57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E58+'26.4'!K58</f>
        <v>42844</v>
      </c>
      <c r="L58" s="26">
        <f>F58+'26.4'!L58</f>
        <v>0</v>
      </c>
      <c r="M58" s="23">
        <f t="shared" si="34"/>
        <v>42844</v>
      </c>
      <c r="N58" s="26">
        <f>H58+'26.4'!N58</f>
        <v>0</v>
      </c>
      <c r="O58" s="26">
        <f>I58+'26.4'!O58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'26.4'!K59+E57-E14-E58</f>
        <v>42846</v>
      </c>
      <c r="L59" s="92">
        <f>'26.4'!L59+F57-F14-F58</f>
        <v>11815</v>
      </c>
      <c r="M59" s="32">
        <f t="shared" si="34"/>
        <v>54661</v>
      </c>
      <c r="N59" s="92">
        <f>'26.4'!N59+H57-H14-H58</f>
        <v>28612.66</v>
      </c>
      <c r="O59" s="92">
        <f>'26.4'!O59+I57-I14-I58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E60+'26.4'!K60</f>
        <v>0</v>
      </c>
      <c r="L60" s="26">
        <f>F60+'26.4'!L60</f>
        <v>0</v>
      </c>
      <c r="M60" s="67">
        <f t="shared" si="34"/>
        <v>0</v>
      </c>
      <c r="N60" s="26">
        <f>H60+'26.4'!N60</f>
        <v>1828619</v>
      </c>
      <c r="O60" s="26">
        <f>I60+'26.4'!O60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E61+'26.4'!K61</f>
        <v>0</v>
      </c>
      <c r="L61" s="26">
        <f>F61+'26.4'!L61</f>
        <v>0</v>
      </c>
      <c r="M61" s="23">
        <f t="shared" si="34"/>
        <v>0</v>
      </c>
      <c r="N61" s="26">
        <f>H61+'26.4'!N61</f>
        <v>1828619</v>
      </c>
      <c r="O61" s="26">
        <f>I61+'26.4'!O61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E62+'26.4'!K62</f>
        <v>0</v>
      </c>
      <c r="L62" s="26">
        <f>F62+'26.4'!L62</f>
        <v>0</v>
      </c>
      <c r="M62" s="23">
        <f t="shared" si="34"/>
        <v>0</v>
      </c>
      <c r="N62" s="26">
        <f>H62+'26.4'!N62</f>
        <v>40661</v>
      </c>
      <c r="O62" s="26">
        <f>I62+'26.4'!O62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E63+'26.4'!K63</f>
        <v>0</v>
      </c>
      <c r="L63" s="26">
        <f>F63+'26.4'!L63</f>
        <v>25920</v>
      </c>
      <c r="M63" s="23">
        <f t="shared" si="34"/>
        <v>25920</v>
      </c>
      <c r="N63" s="26">
        <f>H63+'26.4'!N63</f>
        <v>0</v>
      </c>
      <c r="O63" s="26">
        <f>I63+'26.4'!O63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E64+'26.4'!K64</f>
        <v>73699</v>
      </c>
      <c r="L64" s="26">
        <f>F64+'26.4'!L64</f>
        <v>0</v>
      </c>
      <c r="M64" s="23">
        <f t="shared" si="34"/>
        <v>73699</v>
      </c>
      <c r="N64" s="26">
        <f>H64+'26.4'!N64</f>
        <v>0</v>
      </c>
      <c r="O64" s="26">
        <f>I64+'26.4'!O64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E65+'26.4'!K65</f>
        <v>6302</v>
      </c>
      <c r="L65" s="26">
        <f>F65+'26.4'!L65</f>
        <v>32849</v>
      </c>
      <c r="M65" s="103">
        <f t="shared" si="34"/>
        <v>39151</v>
      </c>
      <c r="N65" s="26">
        <f>H65+'26.4'!N65</f>
        <v>23814</v>
      </c>
      <c r="O65" s="26">
        <f>I65+'26.4'!O65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E66+'26.4'!K66</f>
        <v>1072980</v>
      </c>
      <c r="L66" s="26">
        <f>F66+'26.4'!L66</f>
        <v>1283190</v>
      </c>
      <c r="M66" s="107">
        <f t="shared" si="34"/>
        <v>2356170</v>
      </c>
      <c r="N66" s="26">
        <f>H66+'26.4'!N66</f>
        <v>754606</v>
      </c>
      <c r="O66" s="26">
        <f>I66+'26.4'!O66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96" t="e">
        <f t="shared" ref="F67:I67" si="38">(F20-F63-F12)*(1-F54)</f>
        <v>#DIV/0!</v>
      </c>
      <c r="G67" s="96" t="e">
        <f t="shared" si="38"/>
        <v>#DIV/0!</v>
      </c>
      <c r="H67" s="96" t="e">
        <f>(H20-H62-H12)*(1-H54)</f>
        <v>#DIV/0!</v>
      </c>
      <c r="I67" s="96" t="e">
        <f>(I20-I62-I12)*(1-I54)</f>
        <v>#DIV/0!</v>
      </c>
      <c r="J67" s="96" t="e">
        <f t="shared" si="33"/>
        <v>#DIV/0!</v>
      </c>
      <c r="K67" s="26" t="e">
        <f>E67+'26.4'!K67</f>
        <v>#DIV/0!</v>
      </c>
      <c r="L67" s="26" t="e">
        <f>F67+'26.4'!L67</f>
        <v>#DIV/0!</v>
      </c>
      <c r="M67" s="96" t="e">
        <f t="shared" si="34"/>
        <v>#DIV/0!</v>
      </c>
      <c r="N67" s="26" t="e">
        <f>H67+'26.4'!N67</f>
        <v>#DIV/0!</v>
      </c>
      <c r="O67" s="26" t="e">
        <f>I67+'26.4'!O67</f>
        <v>#DIV/0!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03" t="e">
        <f t="shared" ref="F68:I68" si="39">(F20-F63-F12)*F54+F12</f>
        <v>#DIV/0!</v>
      </c>
      <c r="G68" s="103" t="e">
        <f t="shared" si="39"/>
        <v>#DIV/0!</v>
      </c>
      <c r="H68" s="103" t="e">
        <f>(H20-H62-H12)*H54+H12+H62</f>
        <v>#DIV/0!</v>
      </c>
      <c r="I68" s="103" t="e">
        <f>(I20-I62-I12)*I54+I12+I62</f>
        <v>#DIV/0!</v>
      </c>
      <c r="J68" s="103" t="e">
        <f t="shared" si="33"/>
        <v>#DIV/0!</v>
      </c>
      <c r="K68" s="26" t="e">
        <f>E68+'26.4'!K68</f>
        <v>#DIV/0!</v>
      </c>
      <c r="L68" s="26" t="e">
        <f>F68+'26.4'!L68</f>
        <v>#DIV/0!</v>
      </c>
      <c r="M68" s="103" t="e">
        <f t="shared" si="34"/>
        <v>#DIV/0!</v>
      </c>
      <c r="N68" s="26" t="e">
        <f>H68+'26.4'!N68</f>
        <v>#DIV/0!</v>
      </c>
      <c r="O68" s="26" t="e">
        <f>I68+'26.4'!O68</f>
        <v>#DIV/0!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40">D67/(D7/10000)</f>
        <v>#DIV/0!</v>
      </c>
      <c r="E69" s="20" t="e">
        <f t="shared" si="40"/>
        <v>#DIV/0!</v>
      </c>
      <c r="F69" s="20" t="e">
        <f t="shared" si="40"/>
        <v>#DIV/0!</v>
      </c>
      <c r="G69" s="20" t="e">
        <f t="shared" si="40"/>
        <v>#DIV/0!</v>
      </c>
      <c r="H69" s="20" t="e">
        <f t="shared" si="40"/>
        <v>#DIV/0!</v>
      </c>
      <c r="I69" s="20" t="e">
        <f t="shared" si="40"/>
        <v>#DIV/0!</v>
      </c>
      <c r="J69" s="20" t="e">
        <f t="shared" si="40"/>
        <v>#DIV/0!</v>
      </c>
      <c r="K69" s="20" t="e">
        <f t="shared" si="40"/>
        <v>#DIV/0!</v>
      </c>
      <c r="L69" s="20" t="e">
        <f t="shared" si="40"/>
        <v>#DIV/0!</v>
      </c>
      <c r="M69" s="20" t="e">
        <f t="shared" si="40"/>
        <v>#DIV/0!</v>
      </c>
      <c r="N69" s="20" t="e">
        <f t="shared" si="40"/>
        <v>#DIV/0!</v>
      </c>
      <c r="O69" s="21" t="e">
        <f t="shared" si="40"/>
        <v>#DIV/0!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41">D68/D9</f>
        <v>#DIV/0!</v>
      </c>
      <c r="E70" s="62" t="e">
        <f t="shared" si="41"/>
        <v>#DIV/0!</v>
      </c>
      <c r="F70" s="62" t="e">
        <f t="shared" si="41"/>
        <v>#DIV/0!</v>
      </c>
      <c r="G70" s="62" t="e">
        <f t="shared" si="41"/>
        <v>#DIV/0!</v>
      </c>
      <c r="H70" s="62" t="e">
        <f t="shared" si="41"/>
        <v>#DIV/0!</v>
      </c>
      <c r="I70" s="62" t="e">
        <f t="shared" si="41"/>
        <v>#DIV/0!</v>
      </c>
      <c r="J70" s="62" t="e">
        <f t="shared" si="41"/>
        <v>#DIV/0!</v>
      </c>
      <c r="K70" s="62" t="e">
        <f t="shared" si="41"/>
        <v>#DIV/0!</v>
      </c>
      <c r="L70" s="62" t="e">
        <f t="shared" si="41"/>
        <v>#DIV/0!</v>
      </c>
      <c r="M70" s="62" t="e">
        <f t="shared" si="41"/>
        <v>#DIV/0!</v>
      </c>
      <c r="N70" s="62" t="e">
        <f t="shared" si="41"/>
        <v>#DIV/0!</v>
      </c>
      <c r="O70" s="63" t="e">
        <f t="shared" si="41"/>
        <v>#DIV/0!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180" verticalDpi="180"/>
  <headerFooter alignWithMargins="0" scaleWithDoc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4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40">
        <f>[6]产量!$C$15</f>
        <v>0</v>
      </c>
      <c r="F7" s="40">
        <f>[6]产量!$C$19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41">
        <f>E7+'26.5'!K7</f>
        <v>60753600</v>
      </c>
      <c r="L7" s="41">
        <f>F7+'26.5'!L7</f>
        <v>57676320</v>
      </c>
      <c r="M7" s="23">
        <f t="shared" si="3"/>
        <v>118429920</v>
      </c>
      <c r="N7" s="41">
        <f>H7+'26.5'!N7</f>
        <v>22641600</v>
      </c>
      <c r="O7" s="41">
        <f>I7+'26.5'!O7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40">
        <f>[6]产量!$E$15</f>
        <v>0</v>
      </c>
      <c r="F8" s="40">
        <f>[6]产量!$E$19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41">
        <f>E8+'26.5'!K8</f>
        <v>37145916</v>
      </c>
      <c r="L8" s="41">
        <f>F8+'26.5'!L8</f>
        <v>41137272</v>
      </c>
      <c r="M8" s="23">
        <f t="shared" si="3"/>
        <v>78283188</v>
      </c>
      <c r="N8" s="41">
        <f>H8+'26.5'!N8</f>
        <v>15642792</v>
      </c>
      <c r="O8" s="41">
        <f>I8+'26.5'!O8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40">
        <f>[6]产量!$G$6</f>
        <v>0</v>
      </c>
      <c r="F9" s="40">
        <f>[6]产量!$G$7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41">
        <f>E9+'26.5'!K9</f>
        <v>980229.19383</v>
      </c>
      <c r="L9" s="41">
        <f>F9+'26.5'!L9</f>
        <v>967138.542272</v>
      </c>
      <c r="M9" s="23">
        <f t="shared" si="3"/>
        <v>1947367.736102</v>
      </c>
      <c r="N9" s="41">
        <f>H9+'26.5'!N9</f>
        <v>570124</v>
      </c>
      <c r="O9" s="41">
        <f>I9+'26.5'!O9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40">
        <f>[6]产量!$G$29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41">
        <f>E10+'26.5'!K10</f>
        <v>0</v>
      </c>
      <c r="L10" s="41">
        <f>F10+'26.5'!L10</f>
        <v>264848</v>
      </c>
      <c r="M10" s="23">
        <f t="shared" si="3"/>
        <v>264848</v>
      </c>
      <c r="N10" s="41">
        <f>H10+'26.5'!N10</f>
        <v>113115</v>
      </c>
      <c r="O10" s="41">
        <f>I10+'26.5'!O10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40">
        <f>[6]产量!$G$28</f>
        <v>0</v>
      </c>
      <c r="F11" s="40">
        <f>[6]产量!$G$30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41">
        <f>E11+'26.5'!K11</f>
        <v>875606.4</v>
      </c>
      <c r="L11" s="41">
        <f>F11+'26.5'!L11</f>
        <v>472389</v>
      </c>
      <c r="M11" s="23">
        <f t="shared" si="3"/>
        <v>1347995.4</v>
      </c>
      <c r="N11" s="41">
        <f>H11+'26.5'!N11</f>
        <v>457009</v>
      </c>
      <c r="O11" s="41">
        <f>I11+'26.5'!O11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40">
        <f>[6]产量!$G$15</f>
        <v>0</v>
      </c>
      <c r="F12" s="40">
        <f>[6]产量!$G$19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41">
        <f>E12+'26.5'!K12</f>
        <v>35445</v>
      </c>
      <c r="L12" s="41">
        <f>F12+'26.5'!L12</f>
        <v>77888</v>
      </c>
      <c r="M12" s="23">
        <f t="shared" si="3"/>
        <v>113333</v>
      </c>
      <c r="N12" s="41">
        <f>H12+'26.5'!N12</f>
        <v>0</v>
      </c>
      <c r="O12" s="41">
        <f>I12+'26.5'!O12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41">
        <f>E15+'26.5'!K15</f>
        <v>14337.393088</v>
      </c>
      <c r="L15" s="41">
        <f>F15+'26.5'!L15</f>
        <v>13051.1898</v>
      </c>
      <c r="M15" s="23">
        <f t="shared" ref="M15:M29" si="8">SUM(K15:L15)</f>
        <v>27388.582888</v>
      </c>
      <c r="N15" s="41">
        <f>H15+'26.5'!N15</f>
        <v>7865</v>
      </c>
      <c r="O15" s="41">
        <f>I15+'26.5'!O15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41">
        <f>E16+'26.5'!K16</f>
        <v>53934.606912</v>
      </c>
      <c r="L16" s="41">
        <f>F16+'26.5'!L16</f>
        <v>60187.8102</v>
      </c>
      <c r="M16" s="23">
        <f t="shared" si="8"/>
        <v>114122.417112</v>
      </c>
      <c r="N16" s="41">
        <f>H16+'26.5'!N16</f>
        <v>31436</v>
      </c>
      <c r="O16" s="41">
        <f>I16+'26.5'!O16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41">
        <f>E18+'26.5'!K18</f>
        <v>14.5532772</v>
      </c>
      <c r="L18" s="41">
        <f>F18+'26.5'!L18</f>
        <v>4.455</v>
      </c>
      <c r="M18" s="23">
        <f t="shared" si="8"/>
        <v>19.0082772</v>
      </c>
      <c r="N18" s="41">
        <f>H18+'26.5'!N18</f>
        <v>3</v>
      </c>
      <c r="O18" s="41">
        <f>I18+'26.5'!O18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41">
        <f>E19+'26.5'!K19</f>
        <v>54.7467228</v>
      </c>
      <c r="L19" s="41">
        <f>F19+'26.5'!L19</f>
        <v>20.545</v>
      </c>
      <c r="M19" s="23">
        <f t="shared" si="8"/>
        <v>75.2917228</v>
      </c>
      <c r="N19" s="41">
        <f>H19+'26.5'!N19</f>
        <v>11</v>
      </c>
      <c r="O19" s="41">
        <f>I19+'26.5'!O19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41">
        <f>E20+'26.5'!K20</f>
        <v>177610</v>
      </c>
      <c r="L20" s="41">
        <f>F20+'26.5'!L20</f>
        <v>194774</v>
      </c>
      <c r="M20" s="23">
        <f t="shared" si="8"/>
        <v>372384</v>
      </c>
      <c r="N20" s="41">
        <f>H20+'26.5'!N20</f>
        <v>94794</v>
      </c>
      <c r="O20" s="41">
        <f>I20+'26.5'!O20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41">
        <f>E21+'26.5'!K21</f>
        <v>121213</v>
      </c>
      <c r="L21" s="41">
        <f>F21+'26.5'!L21</f>
        <v>0</v>
      </c>
      <c r="M21" s="23">
        <f t="shared" si="8"/>
        <v>121213</v>
      </c>
      <c r="N21" s="41">
        <f>H21+'26.5'!N21</f>
        <v>0</v>
      </c>
      <c r="O21" s="41">
        <f>I21+'26.5'!O21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41">
        <f>E22+'26.5'!K22</f>
        <v>6.4</v>
      </c>
      <c r="L22" s="41">
        <f>F22+'26.5'!L22</f>
        <v>40</v>
      </c>
      <c r="M22" s="23">
        <f t="shared" si="8"/>
        <v>46.4</v>
      </c>
      <c r="N22" s="41">
        <f>H22+'26.5'!N22</f>
        <v>15</v>
      </c>
      <c r="O22" s="41">
        <f>I22+'26.5'!O22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41">
        <f>E23+'26.5'!K23</f>
        <v>9.7</v>
      </c>
      <c r="L23" s="41">
        <f>F23+'26.5'!L23</f>
        <v>32</v>
      </c>
      <c r="M23" s="23">
        <f t="shared" si="8"/>
        <v>41.7</v>
      </c>
      <c r="N23" s="41">
        <f>H23+'26.5'!N23</f>
        <v>10</v>
      </c>
      <c r="O23" s="41">
        <f>I23+'26.5'!O23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41">
        <f>E24+'26.5'!K24</f>
        <v>0</v>
      </c>
      <c r="L24" s="41">
        <f>F24+'26.5'!L24</f>
        <v>0</v>
      </c>
      <c r="M24" s="23">
        <f t="shared" si="8"/>
        <v>0</v>
      </c>
      <c r="N24" s="41">
        <f>H24+'26.5'!N24</f>
        <v>0</v>
      </c>
      <c r="O24" s="41">
        <f>I24+'26.5'!O24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41">
        <f>E25+'26.5'!K25</f>
        <v>2045</v>
      </c>
      <c r="L25" s="41">
        <f>F25+'26.5'!L25</f>
        <v>854</v>
      </c>
      <c r="M25" s="23">
        <f t="shared" si="8"/>
        <v>2899</v>
      </c>
      <c r="N25" s="41">
        <f>H25+'26.5'!N25</f>
        <v>702</v>
      </c>
      <c r="O25" s="41">
        <f>I25+'26.5'!O25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41">
        <f>E26+'26.5'!K26</f>
        <v>377.74</v>
      </c>
      <c r="L26" s="41">
        <f>F26+'26.5'!L26</f>
        <v>201</v>
      </c>
      <c r="M26" s="23">
        <f t="shared" si="8"/>
        <v>578.74</v>
      </c>
      <c r="N26" s="41">
        <f>H26+'26.5'!N26</f>
        <v>319</v>
      </c>
      <c r="O26" s="41">
        <f>I26+'26.5'!O26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41">
        <f>E27+'26.5'!K27</f>
        <v>1.075</v>
      </c>
      <c r="L27" s="41">
        <f>F27+'26.5'!L27</f>
        <v>1</v>
      </c>
      <c r="M27" s="46">
        <f t="shared" si="8"/>
        <v>2.075</v>
      </c>
      <c r="N27" s="41">
        <f>H27+'26.5'!N27</f>
        <v>1</v>
      </c>
      <c r="O27" s="41">
        <f>I27+'26.5'!O27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41">
        <f>E28+'26.5'!K28</f>
        <v>0</v>
      </c>
      <c r="L28" s="41">
        <f>F28+'26.5'!L28</f>
        <v>0</v>
      </c>
      <c r="M28" s="46">
        <f t="shared" si="8"/>
        <v>0</v>
      </c>
      <c r="N28" s="41">
        <f>H28+'26.5'!N28</f>
        <v>0</v>
      </c>
      <c r="O28" s="41">
        <f>I28+'26.5'!O28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41">
        <f>E29+'26.5'!K29</f>
        <v>28</v>
      </c>
      <c r="L29" s="41">
        <f>F29+'26.5'!L29</f>
        <v>0</v>
      </c>
      <c r="M29" s="23">
        <f t="shared" si="8"/>
        <v>28</v>
      </c>
      <c r="N29" s="41">
        <f>H29+'26.5'!N29</f>
        <v>0</v>
      </c>
      <c r="O29" s="41">
        <f>I29+'26.5'!O29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41">
        <f>E30+'26.5'!K30</f>
        <v>23607684</v>
      </c>
      <c r="L30" s="41">
        <f>F30+'26.5'!L30</f>
        <v>16539048</v>
      </c>
      <c r="M30" s="23">
        <f>M7-M8</f>
        <v>40146732</v>
      </c>
      <c r="N30" s="41">
        <f>H30+'26.5'!N30</f>
        <v>6998808</v>
      </c>
      <c r="O30" s="41">
        <f>I30+'26.5'!O30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41">
        <f>E31+'26.5'!K31</f>
        <v>6593264.5</v>
      </c>
      <c r="L31" s="41">
        <f>F31+'26.5'!L31</f>
        <v>573928</v>
      </c>
      <c r="M31" s="23">
        <f t="shared" ref="M31:M34" si="12">SUM(K31:L31)</f>
        <v>7167192.5</v>
      </c>
      <c r="N31" s="41">
        <f>H31+'26.5'!N31</f>
        <v>0</v>
      </c>
      <c r="O31" s="41">
        <f>I31+'26.5'!O31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41">
        <f>E33+'26.5'!K33</f>
        <v>3573096.00147514</v>
      </c>
      <c r="L33" s="41">
        <f>F33+'26.5'!L33</f>
        <v>2844984.384</v>
      </c>
      <c r="M33" s="23">
        <f t="shared" si="12"/>
        <v>6418080.38547514</v>
      </c>
      <c r="N33" s="41">
        <f>H33+'26.5'!N33</f>
        <v>1400555</v>
      </c>
      <c r="O33" s="41">
        <f>I33+'26.5'!O33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41">
        <f>E34+'26.5'!K34</f>
        <v>13441322.778525</v>
      </c>
      <c r="L34" s="41">
        <f>F34+'26.5'!L34</f>
        <v>13120135.616</v>
      </c>
      <c r="M34" s="23">
        <f t="shared" si="12"/>
        <v>26561458.394525</v>
      </c>
      <c r="N34" s="41">
        <f>H34+'26.5'!N34</f>
        <v>5598253</v>
      </c>
      <c r="O34" s="41">
        <f>I34+'26.5'!O34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41">
        <f>E40+'26.5'!K40</f>
        <v>9817.2469001747</v>
      </c>
      <c r="L40" s="41">
        <f>F40+'26.5'!L40</f>
        <v>8544.63729638324</v>
      </c>
      <c r="M40" s="23">
        <f t="shared" ref="M40:M44" si="22">SUM(K40:L40)</f>
        <v>18361.8841965579</v>
      </c>
      <c r="N40" s="41">
        <f>H40+'26.5'!N40</f>
        <v>5641</v>
      </c>
      <c r="O40" s="41">
        <f>I40+'26.5'!O40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41">
        <f>E41+'26.5'!K41</f>
        <v>21.20558020812</v>
      </c>
      <c r="L41" s="41">
        <f>F41+'26.5'!L41</f>
        <v>6.4913805</v>
      </c>
      <c r="M41" s="23">
        <f t="shared" si="22"/>
        <v>27.69696070812</v>
      </c>
      <c r="N41" s="41">
        <f>H41+'26.5'!N41</f>
        <v>4</v>
      </c>
      <c r="O41" s="41">
        <f>I41+'26.5'!O41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41">
        <f>E43+'26.5'!K43</f>
        <v>36930.6550800009</v>
      </c>
      <c r="L43" s="41">
        <f>F43+'26.5'!L43</f>
        <v>39405.0669481916</v>
      </c>
      <c r="M43" s="23">
        <f t="shared" si="22"/>
        <v>76335.7220281925</v>
      </c>
      <c r="N43" s="41">
        <f>H43+'26.5'!N43</f>
        <v>22549</v>
      </c>
      <c r="O43" s="41">
        <f>I43+'26.5'!O43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41">
        <f>E44+'26.5'!K44</f>
        <v>79.77379608</v>
      </c>
      <c r="L44" s="41">
        <f>F44+'26.5'!L44</f>
        <v>29.9361195</v>
      </c>
      <c r="M44" s="23">
        <f t="shared" si="22"/>
        <v>109.70991558</v>
      </c>
      <c r="N44" s="41">
        <f>H44+'26.5'!N44</f>
        <v>16</v>
      </c>
      <c r="O44" s="41">
        <f>I44+'26.5'!O44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20235.4246194425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D7/10000/D6/(DAY(DATE(2026,7,0))*24)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J7/10000/J6/(DATEDIF(DATE(2026,1,1),DATE(2026,7,1),"D")*24)</f>
        <v>0.133963187456152</v>
      </c>
      <c r="K52" s="71">
        <f t="shared" si="29"/>
        <v>0.13985635359116</v>
      </c>
      <c r="L52" s="71">
        <f t="shared" si="29"/>
        <v>0.132772375690608</v>
      </c>
      <c r="M52" s="71">
        <f t="shared" si="29"/>
        <v>0.136314364640884</v>
      </c>
      <c r="N52" s="71">
        <f t="shared" si="29"/>
        <v>0.144782074892572</v>
      </c>
      <c r="O52" s="72">
        <f t="shared" si="29"/>
        <v>0.107752352558056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D9*1000/1986/((DAY(DATE(2026,7,0))*24)*3600)</f>
        <v>0</v>
      </c>
      <c r="E53" s="75">
        <f>E9*1000/577/((DAY(DATE(2026,7,0))*24)*3600)</f>
        <v>0</v>
      </c>
      <c r="F53" s="72">
        <f>F9*1000/528/((DAY(DATE(2026,7,0))*24)*3600)</f>
        <v>0</v>
      </c>
      <c r="G53" s="75">
        <f>G9*1000/1442/((DAY(DATE(2026,7,0))*24)*3600)</f>
        <v>0</v>
      </c>
      <c r="H53" s="72">
        <f>H9*1000/414/((DAY(DATE(2026,7,0))*24)*3600)</f>
        <v>0</v>
      </c>
      <c r="I53" s="72">
        <f>I9*1000/130/((DAY(DATE(2026,7,0))*24)*3600)</f>
        <v>0</v>
      </c>
      <c r="J53" s="71">
        <f>J9*1000/1986/((DATEDIF(DATE(2026,1,1),DATE(2026,7,1),"D")*24)*3600)</f>
        <v>0.0904629565266539</v>
      </c>
      <c r="K53" s="75">
        <f>K9*1000/577/((DATEDIF(DATE(2026,1,1),DATE(2026,7,1),"D")*24)*3600)</f>
        <v>0.108632431982519</v>
      </c>
      <c r="L53" s="72">
        <f>L9*1000/528/((DATEDIF(DATE(2026,1,1),DATE(2026,7,1),"D")*24)*3600)</f>
        <v>0.117128464843338</v>
      </c>
      <c r="M53" s="75">
        <f>M9*1000/1442/((DATEDIF(DATE(2026,1,1),DATE(2026,7,1),"D")*24)*3600)</f>
        <v>0.0863555774557531</v>
      </c>
      <c r="N53" s="72">
        <f>N9*1000/414/((DATEDIF(DATE(2026,1,1),DATE(2026,7,1),"D")*24)*3600)</f>
        <v>0.0880595912056931</v>
      </c>
      <c r="O53" s="72">
        <f>O9*1000/130/((DATEDIF(DATE(2026,1,1),DATE(2026,7,1),"D")*24)*3600)</f>
        <v>0.143677063166013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41">
        <f>E57+'26.5'!K57</f>
        <v>26761</v>
      </c>
      <c r="L57" s="41">
        <f>F57+'26.5'!L57</f>
        <v>66608</v>
      </c>
      <c r="M57" s="23">
        <f t="shared" ref="M57:M68" si="34">SUM(K57:L57)</f>
        <v>93369</v>
      </c>
      <c r="N57" s="41">
        <f>H57+'26.5'!N57</f>
        <v>4890.18</v>
      </c>
      <c r="O57" s="41">
        <f>I57+'26.5'!O57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41">
        <f>E58+'26.5'!K58</f>
        <v>42844</v>
      </c>
      <c r="L58" s="41">
        <f>F58+'26.5'!L58</f>
        <v>0</v>
      </c>
      <c r="M58" s="23">
        <f t="shared" si="34"/>
        <v>42844</v>
      </c>
      <c r="N58" s="41">
        <f>H58+'26.5'!N58</f>
        <v>0</v>
      </c>
      <c r="O58" s="41">
        <f>I58+'26.5'!O58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125">
        <f>'26.5'!K59+E57-E14-E58</f>
        <v>42846</v>
      </c>
      <c r="L59" s="125">
        <f>'26.5'!L59+F57-F14-F58</f>
        <v>11815</v>
      </c>
      <c r="M59" s="32">
        <f t="shared" si="34"/>
        <v>54661</v>
      </c>
      <c r="N59" s="125">
        <f>'26.5'!N59+H57-H14-H58</f>
        <v>28612.66</v>
      </c>
      <c r="O59" s="125">
        <f>'26.5'!O59+I57-I14-I58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41">
        <f>E60+'26.5'!K60</f>
        <v>0</v>
      </c>
      <c r="L60" s="41">
        <f>F60+'26.5'!L60</f>
        <v>0</v>
      </c>
      <c r="M60" s="67">
        <f t="shared" si="34"/>
        <v>0</v>
      </c>
      <c r="N60" s="41">
        <f>H60+'26.5'!N60</f>
        <v>1828619</v>
      </c>
      <c r="O60" s="41">
        <f>I60+'26.5'!O60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41">
        <f>E61+'26.5'!K61</f>
        <v>0</v>
      </c>
      <c r="L61" s="41">
        <f>F61+'26.5'!L61</f>
        <v>0</v>
      </c>
      <c r="M61" s="23">
        <f t="shared" si="34"/>
        <v>0</v>
      </c>
      <c r="N61" s="41">
        <f>H61+'26.5'!N61</f>
        <v>1828619</v>
      </c>
      <c r="O61" s="41">
        <f>I61+'26.5'!O61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41">
        <f>E62+'26.5'!K62</f>
        <v>0</v>
      </c>
      <c r="L62" s="41">
        <f>F62+'26.5'!L62</f>
        <v>0</v>
      </c>
      <c r="M62" s="23">
        <f t="shared" si="34"/>
        <v>0</v>
      </c>
      <c r="N62" s="41">
        <f>H62+'26.5'!N62</f>
        <v>40661</v>
      </c>
      <c r="O62" s="41">
        <f>I62+'26.5'!O62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41">
        <f>E63+'26.5'!K63</f>
        <v>0</v>
      </c>
      <c r="L63" s="41">
        <f>F63+'26.5'!L63</f>
        <v>25920</v>
      </c>
      <c r="M63" s="23">
        <f t="shared" si="34"/>
        <v>25920</v>
      </c>
      <c r="N63" s="41">
        <f>H63+'26.5'!N63</f>
        <v>0</v>
      </c>
      <c r="O63" s="41">
        <f>I63+'26.5'!O63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41">
        <f>E64+'26.5'!K64</f>
        <v>73699</v>
      </c>
      <c r="L64" s="41">
        <f>F64+'26.5'!L64</f>
        <v>0</v>
      </c>
      <c r="M64" s="23">
        <f t="shared" si="34"/>
        <v>73699</v>
      </c>
      <c r="N64" s="41">
        <f>H64+'26.5'!N64</f>
        <v>0</v>
      </c>
      <c r="O64" s="41">
        <f>I64+'26.5'!O64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41">
        <f>E65+'26.5'!K65</f>
        <v>6302</v>
      </c>
      <c r="L65" s="41">
        <f>F65+'26.5'!L65</f>
        <v>32849</v>
      </c>
      <c r="M65" s="103">
        <f t="shared" si="34"/>
        <v>39151</v>
      </c>
      <c r="N65" s="41">
        <f>H65+'26.5'!N65</f>
        <v>23814</v>
      </c>
      <c r="O65" s="41">
        <f>I65+'26.5'!O65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41">
        <f>E66+'26.5'!K66</f>
        <v>1072980</v>
      </c>
      <c r="L66" s="41">
        <f>F66+'26.5'!L66</f>
        <v>1283190</v>
      </c>
      <c r="M66" s="107">
        <f t="shared" si="34"/>
        <v>2356170</v>
      </c>
      <c r="N66" s="41">
        <f>H66+'26.5'!N66</f>
        <v>754606</v>
      </c>
      <c r="O66" s="41">
        <f>I66+'26.5'!O66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[7]产量!$C$15</f>
        <v>0</v>
      </c>
      <c r="F7" s="24">
        <f>[7]产量!$C$19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E7+'26.6'!K7</f>
        <v>60753600</v>
      </c>
      <c r="L7" s="26">
        <f>F7+'26.6'!L7</f>
        <v>57676320</v>
      </c>
      <c r="M7" s="23">
        <f t="shared" si="3"/>
        <v>118429920</v>
      </c>
      <c r="N7" s="26">
        <f>H7+'26.6'!N7</f>
        <v>22641600</v>
      </c>
      <c r="O7" s="26">
        <f>I7+'26.6'!O7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[7]产量!$E$15</f>
        <v>0</v>
      </c>
      <c r="F8" s="24">
        <f>[7]产量!$E$19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E8+'26.6'!K8</f>
        <v>37145916</v>
      </c>
      <c r="L8" s="26">
        <f>F8+'26.6'!L8</f>
        <v>41137272</v>
      </c>
      <c r="M8" s="23">
        <f t="shared" si="3"/>
        <v>78283188</v>
      </c>
      <c r="N8" s="26">
        <f>H8+'26.6'!N8</f>
        <v>15642792</v>
      </c>
      <c r="O8" s="26">
        <f>I8+'26.6'!O8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[7]产量!$G$6</f>
        <v>0</v>
      </c>
      <c r="F9" s="24">
        <f>[7]产量!$G$7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E9+'26.6'!K9</f>
        <v>980229.19383</v>
      </c>
      <c r="L9" s="26">
        <f>F9+'26.6'!L9</f>
        <v>967138.542272</v>
      </c>
      <c r="M9" s="23">
        <f t="shared" si="3"/>
        <v>1947367.736102</v>
      </c>
      <c r="N9" s="26">
        <f>H9+'26.6'!N9</f>
        <v>570124</v>
      </c>
      <c r="O9" s="26">
        <f>I9+'26.6'!O9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[7]产量!$G$29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26">
        <f>E10+'26.6'!K10</f>
        <v>0</v>
      </c>
      <c r="L10" s="26">
        <f>F10+'26.6'!L10</f>
        <v>264848</v>
      </c>
      <c r="M10" s="23">
        <f t="shared" si="3"/>
        <v>264848</v>
      </c>
      <c r="N10" s="26">
        <f>H10+'26.6'!N10</f>
        <v>113115</v>
      </c>
      <c r="O10" s="26">
        <f>I10+'26.6'!O10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[7]产量!$G$28</f>
        <v>0</v>
      </c>
      <c r="F11" s="24">
        <f>[7]产量!$G$30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E11+'26.6'!K11</f>
        <v>875606.4</v>
      </c>
      <c r="L11" s="26">
        <f>F11+'26.6'!L11</f>
        <v>472389</v>
      </c>
      <c r="M11" s="23">
        <f t="shared" si="3"/>
        <v>1347995.4</v>
      </c>
      <c r="N11" s="26">
        <f>H11+'26.6'!N11</f>
        <v>457009</v>
      </c>
      <c r="O11" s="26">
        <f>I11+'26.6'!O11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[7]产量!$G$15</f>
        <v>0</v>
      </c>
      <c r="F12" s="24">
        <f>[7]产量!$G$19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E12+'26.6'!K12</f>
        <v>35445</v>
      </c>
      <c r="L12" s="26">
        <f>F12+'26.6'!L12</f>
        <v>77888</v>
      </c>
      <c r="M12" s="23">
        <f t="shared" si="3"/>
        <v>113333</v>
      </c>
      <c r="N12" s="26">
        <f>H12+'26.6'!N12</f>
        <v>0</v>
      </c>
      <c r="O12" s="26">
        <f>I12+'26.6'!O12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E15+'26.6'!K15</f>
        <v>14337.393088</v>
      </c>
      <c r="L15" s="26">
        <f>F15+'26.6'!L15</f>
        <v>13051.1898</v>
      </c>
      <c r="M15" s="23">
        <f t="shared" ref="M15:M29" si="8">SUM(K15:L15)</f>
        <v>27388.582888</v>
      </c>
      <c r="N15" s="26">
        <f>H15+'26.6'!N15</f>
        <v>7865</v>
      </c>
      <c r="O15" s="26">
        <f>I15+'26.6'!O15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E16+'26.6'!K16</f>
        <v>53934.606912</v>
      </c>
      <c r="L16" s="26">
        <f>F16+'26.6'!L16</f>
        <v>60187.8102</v>
      </c>
      <c r="M16" s="23">
        <f t="shared" si="8"/>
        <v>114122.417112</v>
      </c>
      <c r="N16" s="26">
        <f>H16+'26.6'!N16</f>
        <v>31436</v>
      </c>
      <c r="O16" s="26">
        <f>I16+'26.6'!O16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26">
        <f>E18+'26.6'!K18</f>
        <v>14.5532772</v>
      </c>
      <c r="L18" s="26">
        <f>F18+'26.6'!L18</f>
        <v>4.455</v>
      </c>
      <c r="M18" s="23">
        <f t="shared" si="8"/>
        <v>19.0082772</v>
      </c>
      <c r="N18" s="26">
        <f>H18+'26.6'!N18</f>
        <v>3</v>
      </c>
      <c r="O18" s="26">
        <f>I18+'26.6'!O18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26">
        <f>E19+'26.6'!K19</f>
        <v>54.7467228</v>
      </c>
      <c r="L19" s="26">
        <f>F19+'26.6'!L19</f>
        <v>20.545</v>
      </c>
      <c r="M19" s="23">
        <f t="shared" si="8"/>
        <v>75.2917228</v>
      </c>
      <c r="N19" s="26">
        <f>H19+'26.6'!N19</f>
        <v>11</v>
      </c>
      <c r="O19" s="26">
        <f>I19+'26.6'!O19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E20+'26.6'!K20</f>
        <v>177610</v>
      </c>
      <c r="L20" s="26">
        <f>F20+'26.6'!L20</f>
        <v>194774</v>
      </c>
      <c r="M20" s="23">
        <f t="shared" si="8"/>
        <v>372384</v>
      </c>
      <c r="N20" s="26">
        <f>H20+'26.6'!N20</f>
        <v>94794</v>
      </c>
      <c r="O20" s="26">
        <f>I20+'26.6'!O20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E21+'26.6'!K21</f>
        <v>121213</v>
      </c>
      <c r="L21" s="26">
        <f>F21+'26.6'!L21</f>
        <v>0</v>
      </c>
      <c r="M21" s="23">
        <f t="shared" si="8"/>
        <v>121213</v>
      </c>
      <c r="N21" s="26">
        <f>H21+'26.6'!N21</f>
        <v>0</v>
      </c>
      <c r="O21" s="26">
        <f>I21+'26.6'!O21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E22+'26.6'!K22</f>
        <v>6.4</v>
      </c>
      <c r="L22" s="26">
        <f>F22+'26.6'!L22</f>
        <v>40</v>
      </c>
      <c r="M22" s="23">
        <f t="shared" si="8"/>
        <v>46.4</v>
      </c>
      <c r="N22" s="26">
        <f>H22+'26.6'!N22</f>
        <v>15</v>
      </c>
      <c r="O22" s="26">
        <f>I22+'26.6'!O22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E23+'26.6'!K23</f>
        <v>9.7</v>
      </c>
      <c r="L23" s="26">
        <f>F23+'26.6'!L23</f>
        <v>32</v>
      </c>
      <c r="M23" s="23">
        <f t="shared" si="8"/>
        <v>41.7</v>
      </c>
      <c r="N23" s="26">
        <f>H23+'26.6'!N23</f>
        <v>10</v>
      </c>
      <c r="O23" s="26">
        <f>I23+'26.6'!O23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26">
        <f>E24+'26.6'!K24</f>
        <v>0</v>
      </c>
      <c r="L24" s="26">
        <f>F24+'26.6'!L24</f>
        <v>0</v>
      </c>
      <c r="M24" s="23">
        <f t="shared" si="8"/>
        <v>0</v>
      </c>
      <c r="N24" s="26">
        <f>H24+'26.6'!N24</f>
        <v>0</v>
      </c>
      <c r="O24" s="26">
        <f>I24+'26.6'!O24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26">
        <f>E25+'26.6'!K25</f>
        <v>2045</v>
      </c>
      <c r="L25" s="26">
        <f>F25+'26.6'!L25</f>
        <v>854</v>
      </c>
      <c r="M25" s="23">
        <f t="shared" si="8"/>
        <v>2899</v>
      </c>
      <c r="N25" s="26">
        <f>H25+'26.6'!N25</f>
        <v>702</v>
      </c>
      <c r="O25" s="26">
        <f>I25+'26.6'!O25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E26+'26.6'!K26</f>
        <v>377.74</v>
      </c>
      <c r="L26" s="26">
        <f>F26+'26.6'!L26</f>
        <v>201</v>
      </c>
      <c r="M26" s="23">
        <f t="shared" si="8"/>
        <v>578.74</v>
      </c>
      <c r="N26" s="26">
        <f>H26+'26.6'!N26</f>
        <v>319</v>
      </c>
      <c r="O26" s="26">
        <f>I26+'26.6'!O26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E27+'26.6'!K27</f>
        <v>1.075</v>
      </c>
      <c r="L27" s="26">
        <f>F27+'26.6'!L27</f>
        <v>1</v>
      </c>
      <c r="M27" s="46">
        <f t="shared" si="8"/>
        <v>2.075</v>
      </c>
      <c r="N27" s="26">
        <f>H27+'26.6'!N27</f>
        <v>1</v>
      </c>
      <c r="O27" s="26">
        <f>I27+'26.6'!O27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E28+'26.6'!K28</f>
        <v>0</v>
      </c>
      <c r="L28" s="26">
        <f>F28+'26.6'!L28</f>
        <v>0</v>
      </c>
      <c r="M28" s="46">
        <f t="shared" si="8"/>
        <v>0</v>
      </c>
      <c r="N28" s="26">
        <f>H28+'26.6'!N28</f>
        <v>0</v>
      </c>
      <c r="O28" s="26">
        <f>I28+'26.6'!O28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E29+'26.6'!K29</f>
        <v>28</v>
      </c>
      <c r="L29" s="26">
        <f>F29+'26.6'!L29</f>
        <v>0</v>
      </c>
      <c r="M29" s="23">
        <f t="shared" si="8"/>
        <v>28</v>
      </c>
      <c r="N29" s="26">
        <f>H29+'26.6'!N29</f>
        <v>0</v>
      </c>
      <c r="O29" s="26">
        <f>I29+'26.6'!O29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E30+'26.6'!K30</f>
        <v>23607684</v>
      </c>
      <c r="L30" s="26">
        <f>F30+'26.6'!L30</f>
        <v>16539048</v>
      </c>
      <c r="M30" s="23">
        <f>M7-M8</f>
        <v>40146732</v>
      </c>
      <c r="N30" s="26">
        <f>H30+'26.6'!N30</f>
        <v>6998808</v>
      </c>
      <c r="O30" s="26">
        <f>I30+'26.6'!O30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26">
        <f>E31+'26.6'!K31</f>
        <v>6593264.5</v>
      </c>
      <c r="L31" s="26">
        <f>F31+'26.6'!L31</f>
        <v>573928</v>
      </c>
      <c r="M31" s="23">
        <f t="shared" ref="M31:M34" si="12">SUM(K31:L31)</f>
        <v>7167192.5</v>
      </c>
      <c r="N31" s="26">
        <f>H31+'26.6'!N31</f>
        <v>0</v>
      </c>
      <c r="O31" s="26">
        <f>I31+'26.6'!O31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E33+'26.6'!K33</f>
        <v>3573096.00147514</v>
      </c>
      <c r="L33" s="26">
        <f>F33+'26.6'!L33</f>
        <v>2844984.384</v>
      </c>
      <c r="M33" s="23">
        <f t="shared" si="12"/>
        <v>6418080.38547514</v>
      </c>
      <c r="N33" s="26">
        <f>H33+'26.6'!N33</f>
        <v>1400555</v>
      </c>
      <c r="O33" s="26">
        <f>I33+'26.6'!O33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E34+'26.6'!K34</f>
        <v>13441322.778525</v>
      </c>
      <c r="L34" s="26">
        <f>F34+'26.6'!L34</f>
        <v>13120135.616</v>
      </c>
      <c r="M34" s="23">
        <f t="shared" si="12"/>
        <v>26561458.394525</v>
      </c>
      <c r="N34" s="26">
        <f>H34+'26.6'!N34</f>
        <v>5598253</v>
      </c>
      <c r="O34" s="26">
        <f>I34+'26.6'!O34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26">
        <f>E40+'26.6'!K40</f>
        <v>9817.2469001747</v>
      </c>
      <c r="L40" s="26">
        <f>F40+'26.6'!L40</f>
        <v>8544.63729638324</v>
      </c>
      <c r="M40" s="23">
        <f t="shared" ref="M40:M44" si="22">SUM(K40:L40)</f>
        <v>18361.8841965579</v>
      </c>
      <c r="N40" s="26">
        <f>H40+'26.6'!N40</f>
        <v>5641</v>
      </c>
      <c r="O40" s="26">
        <f>I40+'26.6'!O40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26">
        <f>E41+'26.6'!K41</f>
        <v>21.20558020812</v>
      </c>
      <c r="L41" s="26">
        <f>F41+'26.6'!L41</f>
        <v>6.4913805</v>
      </c>
      <c r="M41" s="23">
        <f t="shared" si="22"/>
        <v>27.69696070812</v>
      </c>
      <c r="N41" s="26">
        <f>H41+'26.6'!N41</f>
        <v>4</v>
      </c>
      <c r="O41" s="26">
        <f>I41+'26.6'!O41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E43+'26.6'!K43</f>
        <v>36930.6550800009</v>
      </c>
      <c r="L43" s="26">
        <f>F43+'26.6'!L43</f>
        <v>39405.0669481916</v>
      </c>
      <c r="M43" s="23">
        <f t="shared" si="22"/>
        <v>76335.7220281925</v>
      </c>
      <c r="N43" s="26">
        <f>H43+'26.6'!N43</f>
        <v>22549</v>
      </c>
      <c r="O43" s="26">
        <f>I43+'26.6'!O43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E44+'26.6'!K44</f>
        <v>79.77379608</v>
      </c>
      <c r="L44" s="26">
        <f>F44+'26.6'!L44</f>
        <v>29.9361195</v>
      </c>
      <c r="M44" s="23">
        <f t="shared" si="22"/>
        <v>109.70991558</v>
      </c>
      <c r="N44" s="26">
        <f>H44+'26.6'!N44</f>
        <v>16</v>
      </c>
      <c r="O44" s="26">
        <f>I44+'26.6'!O44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20235.4246194425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D7/10000/D6/(DAY(DATE(2026,8,0))*24)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J7/10000/J6/(DATEDIF(DATE(2026,1,1),DATE(2026,8,1),"D")*24)</f>
        <v>0.114374230799828</v>
      </c>
      <c r="K52" s="71">
        <f t="shared" si="29"/>
        <v>0.119405660377358</v>
      </c>
      <c r="L52" s="71">
        <f t="shared" si="29"/>
        <v>0.113357547169811</v>
      </c>
      <c r="M52" s="71">
        <f t="shared" si="29"/>
        <v>0.116381603773585</v>
      </c>
      <c r="N52" s="71">
        <f t="shared" si="29"/>
        <v>0.123611111111111</v>
      </c>
      <c r="O52" s="72">
        <f t="shared" si="29"/>
        <v>0.0919961123255101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D9*1000/1986/((DAY(DATE(2026,8,0))*24)*3600)</f>
        <v>0</v>
      </c>
      <c r="E53" s="75">
        <f>E9*1000/577/((DAY(DATE(2026,8,0))*24)*3600)</f>
        <v>0</v>
      </c>
      <c r="F53" s="72">
        <f>F9*1000/528/((DAY(DATE(2026,8,0))*24)*3600)</f>
        <v>0</v>
      </c>
      <c r="G53" s="75">
        <f>G9*1000/1442/((DAY(DATE(2026,8,0))*24)*3600)</f>
        <v>0</v>
      </c>
      <c r="H53" s="72">
        <f>H9*1000/414/((DAY(DATE(2026,8,0))*24)*3600)</f>
        <v>0</v>
      </c>
      <c r="I53" s="72">
        <f>I9*1000/130/((DAY(DATE(2026,8,0))*24)*3600)</f>
        <v>0</v>
      </c>
      <c r="J53" s="71">
        <f>J9*1000/1986/((DATEDIF(DATE(2026,1,1),DATE(2026,8,1),"D")*24)*3600)</f>
        <v>0.0772348826949262</v>
      </c>
      <c r="K53" s="75">
        <f>K9*1000/577/((DATEDIF(DATE(2026,1,1),DATE(2026,8,1),"D")*24)*3600)</f>
        <v>0.0927475008907355</v>
      </c>
      <c r="L53" s="72">
        <f>L9*1000/528/((DATEDIF(DATE(2026,1,1),DATE(2026,8,1),"D")*24)*3600)</f>
        <v>0.100001189323793</v>
      </c>
      <c r="M53" s="75">
        <f>M9*1000/1442/((DATEDIF(DATE(2026,1,1),DATE(2026,8,1),"D")*24)*3600)</f>
        <v>0.0737281109409968</v>
      </c>
      <c r="N53" s="72">
        <f>N9*1000/414/((DATEDIF(DATE(2026,1,1),DATE(2026,8,1),"D")*24)*3600)</f>
        <v>0.0751829528690116</v>
      </c>
      <c r="O53" s="72">
        <f>O9*1000/130/((DATEDIF(DATE(2026,1,1),DATE(2026,8,1),"D")*24)*3600)</f>
        <v>0.122667681287964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E57+'26.6'!K57</f>
        <v>26761</v>
      </c>
      <c r="L57" s="26">
        <f>F57+'26.6'!L57</f>
        <v>66608</v>
      </c>
      <c r="M57" s="23">
        <f t="shared" ref="M57:M68" si="34">SUM(K57:L57)</f>
        <v>93369</v>
      </c>
      <c r="N57" s="26">
        <f>H57+'26.6'!N57</f>
        <v>4890.18</v>
      </c>
      <c r="O57" s="26">
        <f>I57+'26.6'!O57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E58+'26.6'!K58</f>
        <v>42844</v>
      </c>
      <c r="L58" s="26">
        <f>F58+'26.6'!L58</f>
        <v>0</v>
      </c>
      <c r="M58" s="23">
        <f t="shared" si="34"/>
        <v>42844</v>
      </c>
      <c r="N58" s="26">
        <f>H58+'26.6'!N58</f>
        <v>0</v>
      </c>
      <c r="O58" s="26">
        <f>I58+'26.6'!O58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'26.6'!K59+E57-E14-E58</f>
        <v>42846</v>
      </c>
      <c r="L59" s="92">
        <f>'26.6'!L59+F57-F14-F58</f>
        <v>11815</v>
      </c>
      <c r="M59" s="32">
        <f t="shared" si="34"/>
        <v>54661</v>
      </c>
      <c r="N59" s="92">
        <f>'26.6'!N59+H57-H14-H58</f>
        <v>28612.66</v>
      </c>
      <c r="O59" s="92">
        <f>'26.6'!O59+I57-I14-I58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E60+'26.6'!K60</f>
        <v>0</v>
      </c>
      <c r="L60" s="26">
        <f>F60+'26.6'!L60</f>
        <v>0</v>
      </c>
      <c r="M60" s="67">
        <f t="shared" si="34"/>
        <v>0</v>
      </c>
      <c r="N60" s="26">
        <f>H60+'26.6'!N60</f>
        <v>1828619</v>
      </c>
      <c r="O60" s="26">
        <f>I60+'26.6'!O60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E61+'26.6'!K61</f>
        <v>0</v>
      </c>
      <c r="L61" s="26">
        <f>F61+'26.6'!L61</f>
        <v>0</v>
      </c>
      <c r="M61" s="23">
        <f t="shared" si="34"/>
        <v>0</v>
      </c>
      <c r="N61" s="26">
        <f>H61+'26.6'!N61</f>
        <v>1828619</v>
      </c>
      <c r="O61" s="26">
        <f>I61+'26.6'!O61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E62+'26.6'!K62</f>
        <v>0</v>
      </c>
      <c r="L62" s="26">
        <f>F62+'26.6'!L62</f>
        <v>0</v>
      </c>
      <c r="M62" s="23">
        <f t="shared" si="34"/>
        <v>0</v>
      </c>
      <c r="N62" s="26">
        <f>H62+'26.6'!N62</f>
        <v>40661</v>
      </c>
      <c r="O62" s="26">
        <f>I62+'26.6'!O62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E63+'26.6'!K63</f>
        <v>0</v>
      </c>
      <c r="L63" s="26">
        <f>F63+'26.6'!L63</f>
        <v>25920</v>
      </c>
      <c r="M63" s="23">
        <f t="shared" si="34"/>
        <v>25920</v>
      </c>
      <c r="N63" s="26">
        <f>H63+'26.6'!N63</f>
        <v>0</v>
      </c>
      <c r="O63" s="26">
        <f>I63+'26.6'!O63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E64+'26.6'!K64</f>
        <v>73699</v>
      </c>
      <c r="L64" s="26">
        <f>F64+'26.6'!L64</f>
        <v>0</v>
      </c>
      <c r="M64" s="23">
        <f t="shared" si="34"/>
        <v>73699</v>
      </c>
      <c r="N64" s="26">
        <f>H64+'26.6'!N64</f>
        <v>0</v>
      </c>
      <c r="O64" s="26">
        <f>I64+'26.6'!O64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E65+'26.6'!K65</f>
        <v>6302</v>
      </c>
      <c r="L65" s="26">
        <f>F65+'26.6'!L65</f>
        <v>32849</v>
      </c>
      <c r="M65" s="103">
        <f t="shared" si="34"/>
        <v>39151</v>
      </c>
      <c r="N65" s="26">
        <f>H65+'26.6'!N65</f>
        <v>23814</v>
      </c>
      <c r="O65" s="26">
        <f>I65+'26.6'!O65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E66+'26.6'!K66</f>
        <v>1072980</v>
      </c>
      <c r="L66" s="26">
        <f>F66+'26.6'!L66</f>
        <v>1283190</v>
      </c>
      <c r="M66" s="107">
        <f t="shared" si="34"/>
        <v>2356170</v>
      </c>
      <c r="N66" s="26">
        <f>H66+'26.6'!N66</f>
        <v>754606</v>
      </c>
      <c r="O66" s="26">
        <f>I66+'26.6'!O66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9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40">
        <f>[8]产量!$C$15</f>
        <v>0</v>
      </c>
      <c r="F7" s="40">
        <f>[8]产量!$C$19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41">
        <f>E7+'26.7'!K7</f>
        <v>60753600</v>
      </c>
      <c r="L7" s="41">
        <f>F7+'26.7'!L7</f>
        <v>57676320</v>
      </c>
      <c r="M7" s="23">
        <f t="shared" si="3"/>
        <v>118429920</v>
      </c>
      <c r="N7" s="41">
        <f>H7+'26.7'!N7</f>
        <v>22641600</v>
      </c>
      <c r="O7" s="41">
        <f>I7+'26.7'!O7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40">
        <f>[8]产量!$E$15</f>
        <v>0</v>
      </c>
      <c r="F8" s="40">
        <f>[8]产量!$E$19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41">
        <f>E8+'26.7'!K8</f>
        <v>37145916</v>
      </c>
      <c r="L8" s="41">
        <f>F8+'26.7'!L8</f>
        <v>41137272</v>
      </c>
      <c r="M8" s="23">
        <f t="shared" si="3"/>
        <v>78283188</v>
      </c>
      <c r="N8" s="41">
        <f>H8+'26.7'!N8</f>
        <v>15642792</v>
      </c>
      <c r="O8" s="41">
        <f>I8+'26.7'!O8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40">
        <f>[8]产量!$G$6</f>
        <v>0</v>
      </c>
      <c r="F9" s="40">
        <f>[8]产量!$G$7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41">
        <f>E9+'26.7'!K9</f>
        <v>980229.19383</v>
      </c>
      <c r="L9" s="41">
        <f>F9+'26.7'!L9</f>
        <v>967138.542272</v>
      </c>
      <c r="M9" s="23">
        <f t="shared" si="3"/>
        <v>1947367.736102</v>
      </c>
      <c r="N9" s="41">
        <f>H9+'26.7'!N9</f>
        <v>570124</v>
      </c>
      <c r="O9" s="41">
        <f>I9+'26.7'!O9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40">
        <f>[8]产量!$G$29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41">
        <f>E10+'26.7'!K10</f>
        <v>0</v>
      </c>
      <c r="L10" s="41">
        <f>F10+'26.7'!L10</f>
        <v>264848</v>
      </c>
      <c r="M10" s="23">
        <f t="shared" si="3"/>
        <v>264848</v>
      </c>
      <c r="N10" s="41">
        <f>H10+'26.7'!N10</f>
        <v>113115</v>
      </c>
      <c r="O10" s="41">
        <f>I10+'26.7'!O10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40">
        <f>[8]产量!$G$28</f>
        <v>0</v>
      </c>
      <c r="F11" s="40">
        <f>[8]产量!$G$30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41">
        <f>E11+'26.7'!K11</f>
        <v>875606.4</v>
      </c>
      <c r="L11" s="41">
        <f>F11+'26.7'!L11</f>
        <v>472389</v>
      </c>
      <c r="M11" s="23">
        <f t="shared" si="3"/>
        <v>1347995.4</v>
      </c>
      <c r="N11" s="41">
        <f>H11+'26.7'!N11</f>
        <v>457009</v>
      </c>
      <c r="O11" s="41">
        <f>I11+'26.7'!O11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40">
        <f>[8]产量!$G$15</f>
        <v>0</v>
      </c>
      <c r="F12" s="40">
        <f>[8]产量!$G$19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41">
        <f>E12+'26.7'!K12</f>
        <v>35445</v>
      </c>
      <c r="L12" s="41">
        <f>F12+'26.7'!L12</f>
        <v>77888</v>
      </c>
      <c r="M12" s="23">
        <f t="shared" si="3"/>
        <v>113333</v>
      </c>
      <c r="N12" s="41">
        <f>H12+'26.7'!N12</f>
        <v>0</v>
      </c>
      <c r="O12" s="41">
        <f>I12+'26.7'!O12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41">
        <f>E15+'26.7'!K15</f>
        <v>14337.393088</v>
      </c>
      <c r="L15" s="41">
        <f>F15+'26.7'!L15</f>
        <v>13051.1898</v>
      </c>
      <c r="M15" s="23">
        <f t="shared" ref="M15:M29" si="8">SUM(K15:L15)</f>
        <v>27388.582888</v>
      </c>
      <c r="N15" s="41">
        <f>H15+'26.7'!N15</f>
        <v>7865</v>
      </c>
      <c r="O15" s="41">
        <f>I15+'26.7'!O15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41">
        <f>E16+'26.7'!K16</f>
        <v>53934.606912</v>
      </c>
      <c r="L16" s="41">
        <f>F16+'26.7'!L16</f>
        <v>60187.8102</v>
      </c>
      <c r="M16" s="23">
        <f t="shared" si="8"/>
        <v>114122.417112</v>
      </c>
      <c r="N16" s="41">
        <f>H16+'26.7'!N16</f>
        <v>31436</v>
      </c>
      <c r="O16" s="41">
        <f>I16+'26.7'!O16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41">
        <f>E18+'26.7'!K18</f>
        <v>14.5532772</v>
      </c>
      <c r="L18" s="41">
        <f>F18+'26.7'!L18</f>
        <v>4.455</v>
      </c>
      <c r="M18" s="23">
        <f t="shared" si="8"/>
        <v>19.0082772</v>
      </c>
      <c r="N18" s="41">
        <f>H18+'26.7'!N18</f>
        <v>3</v>
      </c>
      <c r="O18" s="41">
        <f>I18+'26.7'!O18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41">
        <f>E19+'26.7'!K19</f>
        <v>54.7467228</v>
      </c>
      <c r="L19" s="41">
        <f>F19+'26.7'!L19</f>
        <v>20.545</v>
      </c>
      <c r="M19" s="23">
        <f t="shared" si="8"/>
        <v>75.2917228</v>
      </c>
      <c r="N19" s="41">
        <f>H19+'26.7'!N19</f>
        <v>11</v>
      </c>
      <c r="O19" s="41">
        <f>I19+'26.7'!O19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41">
        <f>E20+'26.7'!K20</f>
        <v>177610</v>
      </c>
      <c r="L20" s="41">
        <f>F20+'26.7'!L20</f>
        <v>194774</v>
      </c>
      <c r="M20" s="23">
        <f t="shared" si="8"/>
        <v>372384</v>
      </c>
      <c r="N20" s="41">
        <f>H20+'26.7'!N20</f>
        <v>94794</v>
      </c>
      <c r="O20" s="41">
        <f>I20+'26.7'!O20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41">
        <f>E21+'26.7'!K21</f>
        <v>121213</v>
      </c>
      <c r="L21" s="41">
        <f>F21+'26.7'!L21</f>
        <v>0</v>
      </c>
      <c r="M21" s="23">
        <f t="shared" si="8"/>
        <v>121213</v>
      </c>
      <c r="N21" s="41">
        <f>H21+'26.7'!N21</f>
        <v>0</v>
      </c>
      <c r="O21" s="41">
        <f>I21+'26.7'!O21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41">
        <f>E22+'26.7'!K22</f>
        <v>6.4</v>
      </c>
      <c r="L22" s="41">
        <f>F22+'26.7'!L22</f>
        <v>40</v>
      </c>
      <c r="M22" s="23">
        <f t="shared" si="8"/>
        <v>46.4</v>
      </c>
      <c r="N22" s="41">
        <f>H22+'26.7'!N22</f>
        <v>15</v>
      </c>
      <c r="O22" s="41">
        <f>I22+'26.7'!O22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41">
        <f>E23+'26.7'!K23</f>
        <v>9.7</v>
      </c>
      <c r="L23" s="41">
        <f>F23+'26.7'!L23</f>
        <v>32</v>
      </c>
      <c r="M23" s="23">
        <f t="shared" si="8"/>
        <v>41.7</v>
      </c>
      <c r="N23" s="41">
        <f>H23+'26.7'!N23</f>
        <v>10</v>
      </c>
      <c r="O23" s="41">
        <f>I23+'26.7'!O23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41">
        <f>E24+'26.7'!K24</f>
        <v>0</v>
      </c>
      <c r="L24" s="41">
        <f>F24+'26.7'!L24</f>
        <v>0</v>
      </c>
      <c r="M24" s="23">
        <f t="shared" si="8"/>
        <v>0</v>
      </c>
      <c r="N24" s="41">
        <f>H24+'26.7'!N24</f>
        <v>0</v>
      </c>
      <c r="O24" s="41">
        <f>I24+'26.7'!O24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41">
        <f>E25+'26.7'!K25</f>
        <v>2045</v>
      </c>
      <c r="L25" s="41">
        <f>F25+'26.7'!L25</f>
        <v>854</v>
      </c>
      <c r="M25" s="23">
        <f t="shared" si="8"/>
        <v>2899</v>
      </c>
      <c r="N25" s="41">
        <f>H25+'26.7'!N25</f>
        <v>702</v>
      </c>
      <c r="O25" s="41">
        <f>I25+'26.7'!O25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41">
        <f>E26+'26.7'!K26</f>
        <v>377.74</v>
      </c>
      <c r="L26" s="41">
        <f>F26+'26.7'!L26</f>
        <v>201</v>
      </c>
      <c r="M26" s="23">
        <f t="shared" si="8"/>
        <v>578.74</v>
      </c>
      <c r="N26" s="41">
        <f>H26+'26.7'!N26</f>
        <v>319</v>
      </c>
      <c r="O26" s="41">
        <f>I26+'26.7'!O26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41">
        <f>E27+'26.7'!K27</f>
        <v>1.075</v>
      </c>
      <c r="L27" s="41">
        <f>F27+'26.7'!L27</f>
        <v>1</v>
      </c>
      <c r="M27" s="46">
        <f t="shared" si="8"/>
        <v>2.075</v>
      </c>
      <c r="N27" s="41">
        <f>H27+'26.7'!N27</f>
        <v>1</v>
      </c>
      <c r="O27" s="41">
        <f>I27+'26.7'!O27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41">
        <f>E28+'26.7'!K28</f>
        <v>0</v>
      </c>
      <c r="L28" s="41">
        <f>F28+'26.7'!L28</f>
        <v>0</v>
      </c>
      <c r="M28" s="46">
        <f t="shared" si="8"/>
        <v>0</v>
      </c>
      <c r="N28" s="41">
        <f>H28+'26.7'!N28</f>
        <v>0</v>
      </c>
      <c r="O28" s="41">
        <f>I28+'26.7'!O28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41">
        <f>E29+'26.7'!K29</f>
        <v>28</v>
      </c>
      <c r="L29" s="41">
        <f>F29+'26.7'!L29</f>
        <v>0</v>
      </c>
      <c r="M29" s="23">
        <f t="shared" si="8"/>
        <v>28</v>
      </c>
      <c r="N29" s="41">
        <f>H29+'26.7'!N29</f>
        <v>0</v>
      </c>
      <c r="O29" s="41">
        <f>I29+'26.7'!O29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41">
        <f>E30+'26.7'!K30</f>
        <v>23607684</v>
      </c>
      <c r="L30" s="41">
        <f>F30+'26.7'!L30</f>
        <v>16539048</v>
      </c>
      <c r="M30" s="23">
        <f>M7-M8</f>
        <v>40146732</v>
      </c>
      <c r="N30" s="41">
        <f>H30+'26.7'!N30</f>
        <v>6998808</v>
      </c>
      <c r="O30" s="41">
        <f>I30+'26.7'!O30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41">
        <f>E31+'26.7'!K31</f>
        <v>6593264.5</v>
      </c>
      <c r="L31" s="41">
        <f>F31+'26.7'!L31</f>
        <v>573928</v>
      </c>
      <c r="M31" s="23">
        <f t="shared" ref="M31:M34" si="12">SUM(K31:L31)</f>
        <v>7167192.5</v>
      </c>
      <c r="N31" s="41">
        <f>H31+'26.7'!N31</f>
        <v>0</v>
      </c>
      <c r="O31" s="41">
        <f>I31+'26.7'!O31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41">
        <f>E33+'26.7'!K33</f>
        <v>3573096.00147514</v>
      </c>
      <c r="L33" s="41">
        <f>F33+'26.7'!L33</f>
        <v>2844984.384</v>
      </c>
      <c r="M33" s="23">
        <f t="shared" si="12"/>
        <v>6418080.38547514</v>
      </c>
      <c r="N33" s="41">
        <f>H33+'26.7'!N33</f>
        <v>1400555</v>
      </c>
      <c r="O33" s="41">
        <f>I33+'26.7'!O33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41">
        <f>E34+'26.7'!K34</f>
        <v>13441322.778525</v>
      </c>
      <c r="L34" s="41">
        <f>F34+'26.7'!L34</f>
        <v>13120135.616</v>
      </c>
      <c r="M34" s="23">
        <f t="shared" si="12"/>
        <v>26561458.394525</v>
      </c>
      <c r="N34" s="41">
        <f>H34+'26.7'!N34</f>
        <v>5598253</v>
      </c>
      <c r="O34" s="41">
        <f>I34+'26.7'!O34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41">
        <f>E40+'26.7'!K40</f>
        <v>9817.2469001747</v>
      </c>
      <c r="L40" s="41">
        <f>F40+'26.7'!L40</f>
        <v>8544.63729638324</v>
      </c>
      <c r="M40" s="23">
        <f t="shared" ref="M40:M44" si="22">SUM(K40:L40)</f>
        <v>18361.8841965579</v>
      </c>
      <c r="N40" s="41">
        <f>H40+'26.7'!N40</f>
        <v>5641</v>
      </c>
      <c r="O40" s="41">
        <f>I40+'26.7'!O40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41">
        <f>E41+'26.7'!K41</f>
        <v>21.20558020812</v>
      </c>
      <c r="L41" s="41">
        <f>F41+'26.7'!L41</f>
        <v>6.4913805</v>
      </c>
      <c r="M41" s="23">
        <f t="shared" si="22"/>
        <v>27.69696070812</v>
      </c>
      <c r="N41" s="41">
        <f>H41+'26.7'!N41</f>
        <v>4</v>
      </c>
      <c r="O41" s="41">
        <f>I41+'26.7'!O41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41">
        <f>E43+'26.7'!K43</f>
        <v>36930.6550800009</v>
      </c>
      <c r="L43" s="41">
        <f>F43+'26.7'!L43</f>
        <v>39405.0669481916</v>
      </c>
      <c r="M43" s="23">
        <f t="shared" si="22"/>
        <v>76335.7220281925</v>
      </c>
      <c r="N43" s="41">
        <f>H43+'26.7'!N43</f>
        <v>22549</v>
      </c>
      <c r="O43" s="41">
        <f>I43+'26.7'!O43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41">
        <f>E44+'26.7'!K44</f>
        <v>79.77379608</v>
      </c>
      <c r="L44" s="41">
        <f>F44+'26.7'!L44</f>
        <v>29.9361195</v>
      </c>
      <c r="M44" s="23">
        <f t="shared" si="22"/>
        <v>109.70991558</v>
      </c>
      <c r="N44" s="41">
        <f>H44+'26.7'!N44</f>
        <v>16</v>
      </c>
      <c r="O44" s="41">
        <f>I44+'26.7'!O44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20235.4246194425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D7/10000/D6/(DAY(DATE(2026,9,0))*24)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J7/10000/J6/(DATEDIF(DATE(2026,1,1),DATE(2026,9,1),"D")*24)</f>
        <v>0.0997832795455288</v>
      </c>
      <c r="K52" s="71">
        <f t="shared" si="29"/>
        <v>0.104172839506173</v>
      </c>
      <c r="L52" s="71">
        <f t="shared" si="29"/>
        <v>0.0988962962962963</v>
      </c>
      <c r="M52" s="71">
        <f t="shared" si="29"/>
        <v>0.101534567901235</v>
      </c>
      <c r="N52" s="71">
        <f t="shared" si="29"/>
        <v>0.107841792409694</v>
      </c>
      <c r="O52" s="72">
        <f t="shared" si="29"/>
        <v>0.0802599827695808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D9*1000/1986/((DAY(DATE(2026,9,0))*24)*3600)</f>
        <v>0</v>
      </c>
      <c r="E53" s="75">
        <f>E9*1000/577/((DAY(DATE(2026,9,0))*24)*3600)</f>
        <v>0</v>
      </c>
      <c r="F53" s="72">
        <f>F9*1000/528/((DAY(DATE(2026,9,0))*24)*3600)</f>
        <v>0</v>
      </c>
      <c r="G53" s="75">
        <f>G9*1000/1442/((DAY(DATE(2026,9,0))*24)*3600)</f>
        <v>0</v>
      </c>
      <c r="H53" s="72">
        <f>H9*1000/414/((DAY(DATE(2026,9,0))*24)*3600)</f>
        <v>0</v>
      </c>
      <c r="I53" s="72">
        <f>I9*1000/130/((DAY(DATE(2026,9,0))*24)*3600)</f>
        <v>0</v>
      </c>
      <c r="J53" s="71">
        <f>J9*1000/1986/((DATEDIF(DATE(2026,1,1),DATE(2026,9,1),"D")*24)*3600)</f>
        <v>0.067381872968413</v>
      </c>
      <c r="K53" s="75">
        <f>K9*1000/577/((DATEDIF(DATE(2026,1,1),DATE(2026,9,1),"D")*24)*3600)</f>
        <v>0.0809155151803948</v>
      </c>
      <c r="L53" s="72">
        <f>L9*1000/528/((DATEDIF(DATE(2026,1,1),DATE(2026,9,1),"D")*24)*3600)</f>
        <v>0.0872438359532684</v>
      </c>
      <c r="M53" s="75">
        <f>M9*1000/1442/((DATEDIF(DATE(2026,1,1),DATE(2026,9,1),"D")*24)*3600)</f>
        <v>0.0643224671584005</v>
      </c>
      <c r="N53" s="72">
        <f>N9*1000/414/((DATEDIF(DATE(2026,1,1),DATE(2026,9,1),"D")*24)*3600)</f>
        <v>0.0655917119680265</v>
      </c>
      <c r="O53" s="72">
        <f>O9*1000/130/((DATEDIF(DATE(2026,1,1),DATE(2026,9,1),"D")*24)*3600)</f>
        <v>0.107018717831475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41">
        <f>E57+'26.7'!K57</f>
        <v>26761</v>
      </c>
      <c r="L57" s="41">
        <f>F57+'26.7'!L57</f>
        <v>66608</v>
      </c>
      <c r="M57" s="23">
        <f t="shared" ref="M57:M68" si="34">SUM(K57:L57)</f>
        <v>93369</v>
      </c>
      <c r="N57" s="41">
        <f>H57+'26.7'!N57</f>
        <v>4890.18</v>
      </c>
      <c r="O57" s="41">
        <f>I57+'26.7'!O57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41">
        <f>E58+'26.7'!K58</f>
        <v>42844</v>
      </c>
      <c r="L58" s="41">
        <f>F58+'26.7'!L58</f>
        <v>0</v>
      </c>
      <c r="M58" s="23">
        <f t="shared" si="34"/>
        <v>42844</v>
      </c>
      <c r="N58" s="41">
        <f>H58+'26.7'!N58</f>
        <v>0</v>
      </c>
      <c r="O58" s="41">
        <f>I58+'26.7'!O58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125">
        <f>'26.7'!K59+E57-E14-E58</f>
        <v>42846</v>
      </c>
      <c r="L59" s="125">
        <f>'26.7'!L59+F57-F14-F58</f>
        <v>11815</v>
      </c>
      <c r="M59" s="32">
        <f t="shared" si="34"/>
        <v>54661</v>
      </c>
      <c r="N59" s="125">
        <f>'26.7'!N59+H57-H14-H58</f>
        <v>28612.66</v>
      </c>
      <c r="O59" s="125">
        <f>'26.7'!O59+I57-I14-I58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41">
        <f>E60+'26.7'!K60</f>
        <v>0</v>
      </c>
      <c r="L60" s="41">
        <f>F60+'26.7'!L60</f>
        <v>0</v>
      </c>
      <c r="M60" s="67">
        <f t="shared" si="34"/>
        <v>0</v>
      </c>
      <c r="N60" s="41">
        <f>H60+'26.7'!N60</f>
        <v>1828619</v>
      </c>
      <c r="O60" s="41">
        <f>I60+'26.7'!O60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41">
        <f>E61+'26.7'!K61</f>
        <v>0</v>
      </c>
      <c r="L61" s="41">
        <f>F61+'26.7'!L61</f>
        <v>0</v>
      </c>
      <c r="M61" s="23">
        <f t="shared" si="34"/>
        <v>0</v>
      </c>
      <c r="N61" s="41">
        <f>H61+'26.7'!N61</f>
        <v>1828619</v>
      </c>
      <c r="O61" s="41">
        <f>I61+'26.7'!O61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41">
        <f>E62+'26.7'!K62</f>
        <v>0</v>
      </c>
      <c r="L62" s="41">
        <f>F62+'26.7'!L62</f>
        <v>0</v>
      </c>
      <c r="M62" s="23">
        <f t="shared" si="34"/>
        <v>0</v>
      </c>
      <c r="N62" s="41">
        <f>H62+'26.7'!N62</f>
        <v>40661</v>
      </c>
      <c r="O62" s="41">
        <f>I62+'26.7'!O62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41">
        <f>E63+'26.7'!K63</f>
        <v>0</v>
      </c>
      <c r="L63" s="41">
        <f>F63+'26.7'!L63</f>
        <v>25920</v>
      </c>
      <c r="M63" s="23">
        <f t="shared" si="34"/>
        <v>25920</v>
      </c>
      <c r="N63" s="41">
        <f>H63+'26.7'!N63</f>
        <v>0</v>
      </c>
      <c r="O63" s="41">
        <f>I63+'26.7'!O63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41">
        <f>E64+'26.7'!K64</f>
        <v>73699</v>
      </c>
      <c r="L64" s="41">
        <f>F64+'26.7'!L64</f>
        <v>0</v>
      </c>
      <c r="M64" s="23">
        <f t="shared" si="34"/>
        <v>73699</v>
      </c>
      <c r="N64" s="41">
        <f>H64+'26.7'!N64</f>
        <v>0</v>
      </c>
      <c r="O64" s="41">
        <f>I64+'26.7'!O64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41">
        <f>E65+'26.7'!K65</f>
        <v>6302</v>
      </c>
      <c r="L65" s="41">
        <f>F65+'26.7'!L65</f>
        <v>32849</v>
      </c>
      <c r="M65" s="103">
        <f t="shared" si="34"/>
        <v>39151</v>
      </c>
      <c r="N65" s="41">
        <f>H65+'26.7'!N65</f>
        <v>23814</v>
      </c>
      <c r="O65" s="41">
        <f>I65+'26.7'!O65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41">
        <f>E66+'26.7'!K66</f>
        <v>1072980</v>
      </c>
      <c r="L66" s="41">
        <f>F66+'26.7'!L66</f>
        <v>1283190</v>
      </c>
      <c r="M66" s="107">
        <f t="shared" si="34"/>
        <v>2356170</v>
      </c>
      <c r="N66" s="41">
        <f>H66+'26.7'!N66</f>
        <v>754606</v>
      </c>
      <c r="O66" s="41">
        <f>I66+'26.7'!O66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rintOptions horizontalCentered="1" verticalCentered="1"/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39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[9]产量!$C$15</f>
        <v>0</v>
      </c>
      <c r="F7" s="24">
        <f>[9]产量!$C$19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E7+'26.8'!K7</f>
        <v>60753600</v>
      </c>
      <c r="L7" s="26">
        <f>F7+'26.8'!L7</f>
        <v>57676320</v>
      </c>
      <c r="M7" s="23">
        <f t="shared" si="3"/>
        <v>118429920</v>
      </c>
      <c r="N7" s="26">
        <f>H7+'26.8'!N7</f>
        <v>22641600</v>
      </c>
      <c r="O7" s="26">
        <f>I7+'26.8'!O7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[9]产量!$E$15</f>
        <v>0</v>
      </c>
      <c r="F8" s="24">
        <f>[9]产量!$E$19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E8+'26.8'!K8</f>
        <v>37145916</v>
      </c>
      <c r="L8" s="26">
        <f>F8+'26.8'!L8</f>
        <v>41137272</v>
      </c>
      <c r="M8" s="23">
        <f t="shared" si="3"/>
        <v>78283188</v>
      </c>
      <c r="N8" s="26">
        <f>H8+'26.8'!N8</f>
        <v>15642792</v>
      </c>
      <c r="O8" s="26">
        <f>I8+'26.8'!O8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[9]产量!$G$6</f>
        <v>0</v>
      </c>
      <c r="F9" s="24">
        <f>[9]产量!$G$7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E9+'26.8'!K9</f>
        <v>980229.19383</v>
      </c>
      <c r="L9" s="26">
        <f>F9+'26.8'!L9</f>
        <v>967138.542272</v>
      </c>
      <c r="M9" s="23">
        <f t="shared" si="3"/>
        <v>1947367.736102</v>
      </c>
      <c r="N9" s="26">
        <f>H9+'26.8'!N9</f>
        <v>570124</v>
      </c>
      <c r="O9" s="26">
        <f>I9+'26.8'!O9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[9]产量!$G$29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26">
        <f>E10+'26.8'!K10</f>
        <v>0</v>
      </c>
      <c r="L10" s="26">
        <f>F10+'26.8'!L10</f>
        <v>264848</v>
      </c>
      <c r="M10" s="23">
        <f t="shared" si="3"/>
        <v>264848</v>
      </c>
      <c r="N10" s="26">
        <f>H10+'26.8'!N10</f>
        <v>113115</v>
      </c>
      <c r="O10" s="26">
        <f>I10+'26.8'!O10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[9]产量!$G$28</f>
        <v>0</v>
      </c>
      <c r="F11" s="24">
        <f>[9]产量!$G$30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E11+'26.8'!K11</f>
        <v>875606.4</v>
      </c>
      <c r="L11" s="26">
        <f>F11+'26.8'!L11</f>
        <v>472389</v>
      </c>
      <c r="M11" s="23">
        <f t="shared" si="3"/>
        <v>1347995.4</v>
      </c>
      <c r="N11" s="26">
        <f>H11+'26.8'!N11</f>
        <v>457009</v>
      </c>
      <c r="O11" s="26">
        <f>I11+'26.8'!O11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[9]产量!$G$15</f>
        <v>0</v>
      </c>
      <c r="F12" s="24">
        <f>[9]产量!$G$19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E12+'26.8'!K12</f>
        <v>35445</v>
      </c>
      <c r="L12" s="26">
        <f>F12+'26.8'!L12</f>
        <v>77888</v>
      </c>
      <c r="M12" s="23">
        <f t="shared" si="3"/>
        <v>113333</v>
      </c>
      <c r="N12" s="26">
        <f>H12+'26.8'!N12</f>
        <v>0</v>
      </c>
      <c r="O12" s="26">
        <f>I12+'26.8'!O12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E15+'26.8'!K15</f>
        <v>14337.393088</v>
      </c>
      <c r="L15" s="26">
        <f>F15+'26.8'!L15</f>
        <v>13051.1898</v>
      </c>
      <c r="M15" s="23">
        <f t="shared" ref="M15:M29" si="8">SUM(K15:L15)</f>
        <v>27388.582888</v>
      </c>
      <c r="N15" s="26">
        <f>H15+'26.8'!N15</f>
        <v>7865</v>
      </c>
      <c r="O15" s="26">
        <f>I15+'26.8'!O15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E16+'26.8'!K16</f>
        <v>53934.606912</v>
      </c>
      <c r="L16" s="26">
        <f>F16+'26.8'!L16</f>
        <v>60187.8102</v>
      </c>
      <c r="M16" s="23">
        <f t="shared" si="8"/>
        <v>114122.417112</v>
      </c>
      <c r="N16" s="26">
        <f>H16+'26.8'!N16</f>
        <v>31436</v>
      </c>
      <c r="O16" s="26">
        <f>I16+'26.8'!O16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26">
        <f>E18+'26.8'!K18</f>
        <v>14.5532772</v>
      </c>
      <c r="L18" s="26">
        <f>F18+'26.8'!L18</f>
        <v>4.455</v>
      </c>
      <c r="M18" s="23">
        <f t="shared" si="8"/>
        <v>19.0082772</v>
      </c>
      <c r="N18" s="26">
        <f>H18+'26.8'!N18</f>
        <v>3</v>
      </c>
      <c r="O18" s="26">
        <f>I18+'26.8'!O18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26">
        <f>E19+'26.8'!K19</f>
        <v>54.7467228</v>
      </c>
      <c r="L19" s="26">
        <f>F19+'26.8'!L19</f>
        <v>20.545</v>
      </c>
      <c r="M19" s="23">
        <f t="shared" si="8"/>
        <v>75.2917228</v>
      </c>
      <c r="N19" s="26">
        <f>H19+'26.8'!N19</f>
        <v>11</v>
      </c>
      <c r="O19" s="26">
        <f>I19+'26.8'!O19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E20+'26.8'!K20</f>
        <v>177610</v>
      </c>
      <c r="L20" s="26">
        <f>F20+'26.8'!L20</f>
        <v>194774</v>
      </c>
      <c r="M20" s="23">
        <f t="shared" si="8"/>
        <v>372384</v>
      </c>
      <c r="N20" s="26">
        <f>H20+'26.8'!N20</f>
        <v>94794</v>
      </c>
      <c r="O20" s="26">
        <f>I20+'26.8'!O20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E21+'26.8'!K21</f>
        <v>121213</v>
      </c>
      <c r="L21" s="26">
        <f>F21+'26.8'!L21</f>
        <v>0</v>
      </c>
      <c r="M21" s="23">
        <f t="shared" si="8"/>
        <v>121213</v>
      </c>
      <c r="N21" s="26">
        <f>H21+'26.8'!N21</f>
        <v>0</v>
      </c>
      <c r="O21" s="26">
        <f>I21+'26.8'!O21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E22+'26.8'!K22</f>
        <v>6.4</v>
      </c>
      <c r="L22" s="26">
        <f>F22+'26.8'!L22</f>
        <v>40</v>
      </c>
      <c r="M22" s="23">
        <f t="shared" si="8"/>
        <v>46.4</v>
      </c>
      <c r="N22" s="26">
        <f>H22+'26.8'!N22</f>
        <v>15</v>
      </c>
      <c r="O22" s="26">
        <f>I22+'26.8'!O22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E23+'26.8'!K23</f>
        <v>9.7</v>
      </c>
      <c r="L23" s="26">
        <f>F23+'26.8'!L23</f>
        <v>32</v>
      </c>
      <c r="M23" s="23">
        <f t="shared" si="8"/>
        <v>41.7</v>
      </c>
      <c r="N23" s="26">
        <f>H23+'26.8'!N23</f>
        <v>10</v>
      </c>
      <c r="O23" s="26">
        <f>I23+'26.8'!O23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26">
        <f>E24+'26.8'!K24</f>
        <v>0</v>
      </c>
      <c r="L24" s="26">
        <f>F24+'26.8'!L24</f>
        <v>0</v>
      </c>
      <c r="M24" s="23">
        <f t="shared" si="8"/>
        <v>0</v>
      </c>
      <c r="N24" s="26">
        <f>H24+'26.8'!N24</f>
        <v>0</v>
      </c>
      <c r="O24" s="26">
        <f>I24+'26.8'!O24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26">
        <f>E25+'26.8'!K25</f>
        <v>2045</v>
      </c>
      <c r="L25" s="26">
        <f>F25+'26.8'!L25</f>
        <v>854</v>
      </c>
      <c r="M25" s="23">
        <f t="shared" si="8"/>
        <v>2899</v>
      </c>
      <c r="N25" s="26">
        <f>H25+'26.8'!N25</f>
        <v>702</v>
      </c>
      <c r="O25" s="26">
        <f>I25+'26.8'!O25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E26+'26.8'!K26</f>
        <v>377.74</v>
      </c>
      <c r="L26" s="26">
        <f>F26+'26.8'!L26</f>
        <v>201</v>
      </c>
      <c r="M26" s="23">
        <f t="shared" si="8"/>
        <v>578.74</v>
      </c>
      <c r="N26" s="26">
        <f>H26+'26.8'!N26</f>
        <v>319</v>
      </c>
      <c r="O26" s="26">
        <f>I26+'26.8'!O26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E27+'26.8'!K27</f>
        <v>1.075</v>
      </c>
      <c r="L27" s="26">
        <f>F27+'26.8'!L27</f>
        <v>1</v>
      </c>
      <c r="M27" s="46">
        <f t="shared" si="8"/>
        <v>2.075</v>
      </c>
      <c r="N27" s="26">
        <f>H27+'26.8'!N27</f>
        <v>1</v>
      </c>
      <c r="O27" s="26">
        <f>I27+'26.8'!O27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E28+'26.8'!K28</f>
        <v>0</v>
      </c>
      <c r="L28" s="26">
        <f>F28+'26.8'!L28</f>
        <v>0</v>
      </c>
      <c r="M28" s="46">
        <f t="shared" si="8"/>
        <v>0</v>
      </c>
      <c r="N28" s="26">
        <f>H28+'26.8'!N28</f>
        <v>0</v>
      </c>
      <c r="O28" s="26">
        <f>I28+'26.8'!O28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E29+'26.8'!K29</f>
        <v>28</v>
      </c>
      <c r="L29" s="26">
        <f>F29+'26.8'!L29</f>
        <v>0</v>
      </c>
      <c r="M29" s="23">
        <f t="shared" si="8"/>
        <v>28</v>
      </c>
      <c r="N29" s="26">
        <f>H29+'26.8'!N29</f>
        <v>0</v>
      </c>
      <c r="O29" s="26">
        <f>I29+'26.8'!O29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E30+'26.8'!K30</f>
        <v>23607684</v>
      </c>
      <c r="L30" s="26">
        <f>F30+'26.8'!L30</f>
        <v>16539048</v>
      </c>
      <c r="M30" s="23">
        <f>M7-M8</f>
        <v>40146732</v>
      </c>
      <c r="N30" s="26">
        <f>H30+'26.8'!N30</f>
        <v>6998808</v>
      </c>
      <c r="O30" s="26">
        <f>I30+'26.8'!O30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26">
        <f>E31+'26.8'!K31</f>
        <v>6593264.5</v>
      </c>
      <c r="L31" s="26">
        <f>F31+'26.8'!L31</f>
        <v>573928</v>
      </c>
      <c r="M31" s="23">
        <f t="shared" ref="M31:M34" si="12">SUM(K31:L31)</f>
        <v>7167192.5</v>
      </c>
      <c r="N31" s="26">
        <f>H31+'26.8'!N31</f>
        <v>0</v>
      </c>
      <c r="O31" s="26">
        <f>I31+'26.8'!O31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E33+'26.8'!K33</f>
        <v>3573096.00147514</v>
      </c>
      <c r="L33" s="26">
        <f>F33+'26.8'!L33</f>
        <v>2844984.384</v>
      </c>
      <c r="M33" s="23">
        <f t="shared" si="12"/>
        <v>6418080.38547514</v>
      </c>
      <c r="N33" s="26">
        <f>H33+'26.8'!N33</f>
        <v>1400555</v>
      </c>
      <c r="O33" s="26">
        <f>I33+'26.8'!O33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E34+'26.8'!K34</f>
        <v>13441322.778525</v>
      </c>
      <c r="L34" s="26">
        <f>F34+'26.8'!L34</f>
        <v>13120135.616</v>
      </c>
      <c r="M34" s="23">
        <f t="shared" si="12"/>
        <v>26561458.394525</v>
      </c>
      <c r="N34" s="26">
        <f>H34+'26.8'!N34</f>
        <v>5598253</v>
      </c>
      <c r="O34" s="26">
        <f>I34+'26.8'!O34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26">
        <f>E40+'26.8'!K40</f>
        <v>9817.2469001747</v>
      </c>
      <c r="L40" s="26">
        <f>F40+'26.8'!L40</f>
        <v>8544.63729638324</v>
      </c>
      <c r="M40" s="23">
        <f t="shared" ref="M40:M44" si="22">SUM(K40:L40)</f>
        <v>18361.8841965579</v>
      </c>
      <c r="N40" s="26">
        <f>H40+'26.8'!N40</f>
        <v>5641</v>
      </c>
      <c r="O40" s="26">
        <f>I40+'26.8'!O40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26">
        <f>E41+'26.8'!K41</f>
        <v>21.20558020812</v>
      </c>
      <c r="L41" s="26">
        <f>F41+'26.8'!L41</f>
        <v>6.4913805</v>
      </c>
      <c r="M41" s="23">
        <f t="shared" si="22"/>
        <v>27.69696070812</v>
      </c>
      <c r="N41" s="26">
        <f>H41+'26.8'!N41</f>
        <v>4</v>
      </c>
      <c r="O41" s="26">
        <f>I41+'26.8'!O41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E43+'26.8'!K43</f>
        <v>36930.6550800009</v>
      </c>
      <c r="L43" s="26">
        <f>F43+'26.8'!L43</f>
        <v>39405.0669481916</v>
      </c>
      <c r="M43" s="23">
        <f t="shared" si="22"/>
        <v>76335.7220281925</v>
      </c>
      <c r="N43" s="26">
        <f>H43+'26.8'!N43</f>
        <v>22549</v>
      </c>
      <c r="O43" s="26">
        <f>I43+'26.8'!O43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E44+'26.8'!K44</f>
        <v>79.77379608</v>
      </c>
      <c r="L44" s="26">
        <f>F44+'26.8'!L44</f>
        <v>29.9361195</v>
      </c>
      <c r="M44" s="23">
        <f t="shared" si="22"/>
        <v>109.70991558</v>
      </c>
      <c r="N44" s="26">
        <f>H44+'26.8'!N44</f>
        <v>16</v>
      </c>
      <c r="O44" s="26">
        <f>I44+'26.8'!O44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20396.3651268659</v>
      </c>
      <c r="L49" s="23">
        <v>19728.9525999986</v>
      </c>
      <c r="M49" s="42">
        <v>0</v>
      </c>
      <c r="N49" s="23">
        <v>19766.17</v>
      </c>
      <c r="O49" s="25">
        <v>20675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D7/10000/D6/(DAY(DATE(2026,10,0))*24)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J7/10000/J6/(DATEDIF(DATE(2026,1,1),DATE(2026,10,1),"D")*24)</f>
        <v>0.0888180839910751</v>
      </c>
      <c r="K52" s="71">
        <f t="shared" si="29"/>
        <v>0.0927252747252747</v>
      </c>
      <c r="L52" s="71">
        <f t="shared" si="29"/>
        <v>0.0880285714285714</v>
      </c>
      <c r="M52" s="71">
        <f t="shared" si="29"/>
        <v>0.0903769230769231</v>
      </c>
      <c r="N52" s="71">
        <f t="shared" si="29"/>
        <v>0.095991045991046</v>
      </c>
      <c r="O52" s="72">
        <f t="shared" si="29"/>
        <v>0.0714402044432532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D9*1000/1986/((DAY(DATE(2026,10,0))*24)*3600)</f>
        <v>0</v>
      </c>
      <c r="E53" s="75">
        <f>E9*1000/577/((DAY(DATE(2026,10,0))*24)*3600)</f>
        <v>0</v>
      </c>
      <c r="F53" s="72">
        <f>F9*1000/528/((DAY(DATE(2026,10,0))*24)*3600)</f>
        <v>0</v>
      </c>
      <c r="G53" s="75">
        <f>G9*1000/1442/((DAY(DATE(2026,10,0))*24)*3600)</f>
        <v>0</v>
      </c>
      <c r="H53" s="72">
        <f>H9*1000/414/((DAY(DATE(2026,10,0))*24)*3600)</f>
        <v>0</v>
      </c>
      <c r="I53" s="72">
        <f>I9*1000/130/((DAY(DATE(2026,10,0))*24)*3600)</f>
        <v>0</v>
      </c>
      <c r="J53" s="71">
        <f>J9*1000/1986/((DATEDIF(DATE(2026,1,1),DATE(2026,10,1),"D")*24)*3600)</f>
        <v>0.0599772715433127</v>
      </c>
      <c r="K53" s="75">
        <f>K9*1000/577/((DATEDIF(DATE(2026,1,1),DATE(2026,10,1),"D")*24)*3600)</f>
        <v>0.0720237003254064</v>
      </c>
      <c r="L53" s="72">
        <f>L9*1000/528/((DATEDIF(DATE(2026,1,1),DATE(2026,10,1),"D")*24)*3600)</f>
        <v>0.077656601233129</v>
      </c>
      <c r="M53" s="75">
        <f>M9*1000/1442/((DATEDIF(DATE(2026,1,1),DATE(2026,10,1),"D")*24)*3600)</f>
        <v>0.0572540641739609</v>
      </c>
      <c r="N53" s="72">
        <f>N9*1000/414/((DATEDIF(DATE(2026,1,1),DATE(2026,10,1),"D")*24)*3600)</f>
        <v>0.0583838315319797</v>
      </c>
      <c r="O53" s="72">
        <f>O9*1000/130/((DATEDIF(DATE(2026,1,1),DATE(2026,10,1),"D")*24)*3600)</f>
        <v>0.0952584191686756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/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E57+'26.8'!K57</f>
        <v>26761</v>
      </c>
      <c r="L57" s="26">
        <f>F57+'26.8'!L57</f>
        <v>66608</v>
      </c>
      <c r="M57" s="23">
        <f t="shared" ref="M57:M68" si="34">SUM(K57:L57)</f>
        <v>93369</v>
      </c>
      <c r="N57" s="26">
        <f>H57+'26.8'!N57</f>
        <v>4890.18</v>
      </c>
      <c r="O57" s="26">
        <f>I57+'26.8'!O57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E58+'26.8'!K58</f>
        <v>42844</v>
      </c>
      <c r="L58" s="26">
        <f>F58+'26.8'!L58</f>
        <v>0</v>
      </c>
      <c r="M58" s="23">
        <f t="shared" si="34"/>
        <v>42844</v>
      </c>
      <c r="N58" s="26">
        <f>H58+'26.8'!N58</f>
        <v>0</v>
      </c>
      <c r="O58" s="26">
        <f>I58+'26.8'!O58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'26.8'!K59+E57-E14-E58</f>
        <v>42846</v>
      </c>
      <c r="L59" s="92">
        <f>'26.8'!L59+F57-F14-F58</f>
        <v>11815</v>
      </c>
      <c r="M59" s="32">
        <f t="shared" si="34"/>
        <v>54661</v>
      </c>
      <c r="N59" s="92">
        <f>'26.8'!N59+H57-H14-H58</f>
        <v>28612.66</v>
      </c>
      <c r="O59" s="92">
        <f>'26.8'!O59+I57-I14-I58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E60+'26.8'!K60</f>
        <v>0</v>
      </c>
      <c r="L60" s="26">
        <f>F60+'26.8'!L60</f>
        <v>0</v>
      </c>
      <c r="M60" s="67">
        <f t="shared" si="34"/>
        <v>0</v>
      </c>
      <c r="N60" s="26">
        <f>H60+'26.8'!N60</f>
        <v>1828619</v>
      </c>
      <c r="O60" s="26">
        <f>I60+'26.8'!O60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E61+'26.8'!K61</f>
        <v>0</v>
      </c>
      <c r="L61" s="26">
        <f>F61+'26.8'!L61</f>
        <v>0</v>
      </c>
      <c r="M61" s="23">
        <f t="shared" si="34"/>
        <v>0</v>
      </c>
      <c r="N61" s="26">
        <f>H61+'26.8'!N61</f>
        <v>1828619</v>
      </c>
      <c r="O61" s="26">
        <f>I61+'26.8'!O61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E62+'26.8'!K62</f>
        <v>0</v>
      </c>
      <c r="L62" s="26">
        <f>F62+'26.8'!L62</f>
        <v>0</v>
      </c>
      <c r="M62" s="23">
        <f t="shared" si="34"/>
        <v>0</v>
      </c>
      <c r="N62" s="26">
        <f>H62+'26.8'!N62</f>
        <v>40661</v>
      </c>
      <c r="O62" s="26">
        <f>I62+'26.8'!O62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E63+'26.8'!K63</f>
        <v>0</v>
      </c>
      <c r="L63" s="26">
        <f>F63+'26.8'!L63</f>
        <v>25920</v>
      </c>
      <c r="M63" s="23">
        <f t="shared" si="34"/>
        <v>25920</v>
      </c>
      <c r="N63" s="26">
        <f>H63+'26.8'!N63</f>
        <v>0</v>
      </c>
      <c r="O63" s="26">
        <f>I63+'26.8'!O63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E64+'26.8'!K64</f>
        <v>73699</v>
      </c>
      <c r="L64" s="26">
        <f>F64+'26.8'!L64</f>
        <v>0</v>
      </c>
      <c r="M64" s="23">
        <f t="shared" si="34"/>
        <v>73699</v>
      </c>
      <c r="N64" s="26">
        <f>H64+'26.8'!N64</f>
        <v>0</v>
      </c>
      <c r="O64" s="26">
        <f>I64+'26.8'!O64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E65+'26.8'!K65</f>
        <v>6302</v>
      </c>
      <c r="L65" s="26">
        <f>F65+'26.8'!L65</f>
        <v>32849</v>
      </c>
      <c r="M65" s="103">
        <f t="shared" si="34"/>
        <v>39151</v>
      </c>
      <c r="N65" s="26">
        <f>H65+'26.8'!N65</f>
        <v>23814</v>
      </c>
      <c r="O65" s="26">
        <f>I65+'26.8'!O65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E66+'26.8'!K66</f>
        <v>1072980</v>
      </c>
      <c r="L66" s="26">
        <f>F66+'26.8'!L66</f>
        <v>1283190</v>
      </c>
      <c r="M66" s="107">
        <f t="shared" si="34"/>
        <v>2356170</v>
      </c>
      <c r="N66" s="26">
        <f>H66+'26.8'!N66</f>
        <v>754606</v>
      </c>
      <c r="O66" s="26">
        <f>I66+'26.8'!O66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showGridLines="0" zoomScale="70" zoomScaleNormal="70" zoomScaleSheetLayoutView="60" workbookViewId="0">
      <pane xSplit="1" ySplit="5" topLeftCell="B41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6">
      <c r="A2" s="7" t="s">
        <v>167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6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6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6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6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6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[10]产量!$C$15</f>
        <v>0</v>
      </c>
      <c r="F7" s="24">
        <f>[10]产量!$C$19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E7+'26.9'!K7</f>
        <v>60753600</v>
      </c>
      <c r="L7" s="26">
        <f>F7+'26.9'!L7</f>
        <v>57676320</v>
      </c>
      <c r="M7" s="23">
        <f t="shared" si="3"/>
        <v>118429920</v>
      </c>
      <c r="N7" s="26">
        <f>H7+'26.9'!N7</f>
        <v>22641600</v>
      </c>
      <c r="O7" s="26">
        <f>I7+'26.9'!O7</f>
        <v>15352900</v>
      </c>
      <c r="P7" s="27"/>
    </row>
    <row r="8" s="2" customFormat="1" ht="13.9" customHeight="1" spans="1:16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[10]产量!$E$15</f>
        <v>0</v>
      </c>
      <c r="F8" s="24">
        <f>[10]产量!$E$19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E8+'26.9'!K8</f>
        <v>37145916</v>
      </c>
      <c r="L8" s="26">
        <f>F8+'26.9'!L8</f>
        <v>41137272</v>
      </c>
      <c r="M8" s="23">
        <f t="shared" si="3"/>
        <v>78283188</v>
      </c>
      <c r="N8" s="26">
        <f>H8+'26.9'!N8</f>
        <v>15642792</v>
      </c>
      <c r="O8" s="26">
        <f>I8+'26.9'!O8</f>
        <v>11150964</v>
      </c>
      <c r="P8" s="28"/>
    </row>
    <row r="9" s="2" customFormat="1" ht="13.9" customHeight="1" spans="1:16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[10]产量!$G$6</f>
        <v>0</v>
      </c>
      <c r="F9" s="24">
        <f>[10]产量!$G$7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E9+'26.9'!K9</f>
        <v>980229.19383</v>
      </c>
      <c r="L9" s="26">
        <f>F9+'26.9'!L9</f>
        <v>967138.542272</v>
      </c>
      <c r="M9" s="23">
        <f t="shared" si="3"/>
        <v>1947367.736102</v>
      </c>
      <c r="N9" s="26">
        <f>H9+'26.9'!N9</f>
        <v>570124</v>
      </c>
      <c r="O9" s="26">
        <f>I9+'26.9'!O9</f>
        <v>292094.32</v>
      </c>
      <c r="P9" s="12"/>
    </row>
    <row r="10" s="2" customFormat="1" ht="13.9" customHeight="1" spans="1:16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[10]产量!$G$29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26">
        <f>E10+'26.9'!K10</f>
        <v>0</v>
      </c>
      <c r="L10" s="26">
        <f>F10+'26.9'!L10</f>
        <v>264848</v>
      </c>
      <c r="M10" s="23">
        <f t="shared" si="3"/>
        <v>264848</v>
      </c>
      <c r="N10" s="26">
        <f>H10+'26.9'!N10</f>
        <v>113115</v>
      </c>
      <c r="O10" s="26">
        <f>I10+'26.9'!O10</f>
        <v>0</v>
      </c>
      <c r="P10" s="12"/>
    </row>
    <row r="11" s="2" customFormat="1" ht="13.9" customHeight="1" spans="1:16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[10]产量!$G$28</f>
        <v>0</v>
      </c>
      <c r="F11" s="24">
        <f>[10]产量!$G$30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E11+'26.9'!K11</f>
        <v>875606.4</v>
      </c>
      <c r="L11" s="26">
        <f>F11+'26.9'!L11</f>
        <v>472389</v>
      </c>
      <c r="M11" s="23">
        <f t="shared" si="3"/>
        <v>1347995.4</v>
      </c>
      <c r="N11" s="26">
        <f>H11+'26.9'!N11</f>
        <v>457009</v>
      </c>
      <c r="O11" s="26">
        <f>I11+'26.9'!O11</f>
        <v>292094.32</v>
      </c>
      <c r="P11" s="12"/>
    </row>
    <row r="12" s="2" customFormat="1" ht="13.9" customHeight="1" spans="1:16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[10]产量!$G$15</f>
        <v>0</v>
      </c>
      <c r="F12" s="24">
        <f>[10]产量!$G$19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E12+'26.9'!K12</f>
        <v>35445</v>
      </c>
      <c r="L12" s="26">
        <f>F12+'26.9'!L12</f>
        <v>77888</v>
      </c>
      <c r="M12" s="23">
        <f t="shared" si="3"/>
        <v>113333</v>
      </c>
      <c r="N12" s="26">
        <f>H12+'26.9'!N12</f>
        <v>0</v>
      </c>
      <c r="O12" s="26">
        <f>I12+'26.9'!O12</f>
        <v>0</v>
      </c>
      <c r="P12" s="12"/>
    </row>
    <row r="13" s="2" customFormat="1" ht="13.9" customHeight="1" spans="1:16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90"/>
      <c r="I13" s="33"/>
      <c r="J13" s="32"/>
      <c r="K13" s="32"/>
      <c r="L13" s="32"/>
      <c r="M13" s="32"/>
      <c r="N13" s="90">
        <f>H13</f>
        <v>0</v>
      </c>
      <c r="O13" s="33">
        <f>I13</f>
        <v>0</v>
      </c>
      <c r="P13" s="12"/>
    </row>
    <row r="14" s="2" customFormat="1" ht="13.9" customHeight="1" spans="1:16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6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E15+'26.9'!K15</f>
        <v>14337.393088</v>
      </c>
      <c r="L15" s="26">
        <f>F15+'26.9'!L15</f>
        <v>13051.1898</v>
      </c>
      <c r="M15" s="23">
        <f t="shared" ref="M15:M29" si="8">SUM(K15:L15)</f>
        <v>27388.582888</v>
      </c>
      <c r="N15" s="26">
        <f>H15+'26.9'!N15</f>
        <v>7865</v>
      </c>
      <c r="O15" s="26">
        <f>I15+'26.9'!O15</f>
        <v>4953.18904627418</v>
      </c>
      <c r="P15" s="12"/>
    </row>
    <row r="16" s="2" customFormat="1" ht="13.9" customHeight="1" spans="1:16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E16+'26.9'!K16</f>
        <v>53934.606912</v>
      </c>
      <c r="L16" s="26">
        <f>F16+'26.9'!L16</f>
        <v>60187.8102</v>
      </c>
      <c r="M16" s="23">
        <f t="shared" si="8"/>
        <v>114122.417112</v>
      </c>
      <c r="N16" s="26">
        <f>H16+'26.9'!N16</f>
        <v>31436</v>
      </c>
      <c r="O16" s="26">
        <f>I16+'26.9'!O16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26">
        <f>E18+'26.9'!K18</f>
        <v>14.5532772</v>
      </c>
      <c r="L18" s="26">
        <f>F18+'26.9'!L18</f>
        <v>4.455</v>
      </c>
      <c r="M18" s="23">
        <f t="shared" si="8"/>
        <v>19.0082772</v>
      </c>
      <c r="N18" s="26">
        <f>H18+'26.9'!N18</f>
        <v>3</v>
      </c>
      <c r="O18" s="26">
        <f>I18+'26.9'!O18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26">
        <f>E19+'26.9'!K19</f>
        <v>54.7467228</v>
      </c>
      <c r="L19" s="26">
        <f>F19+'26.9'!L19</f>
        <v>20.545</v>
      </c>
      <c r="M19" s="23">
        <f t="shared" si="8"/>
        <v>75.2917228</v>
      </c>
      <c r="N19" s="26">
        <f>H19+'26.9'!N19</f>
        <v>11</v>
      </c>
      <c r="O19" s="26">
        <f>I19+'26.9'!O19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E20+'26.9'!K20</f>
        <v>177610</v>
      </c>
      <c r="L20" s="26">
        <f>F20+'26.9'!L20</f>
        <v>194774</v>
      </c>
      <c r="M20" s="23">
        <f t="shared" si="8"/>
        <v>372384</v>
      </c>
      <c r="N20" s="26">
        <f>H20+'26.9'!N20</f>
        <v>94794</v>
      </c>
      <c r="O20" s="26">
        <f>I20+'26.9'!O20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E21+'26.9'!K21</f>
        <v>121213</v>
      </c>
      <c r="L21" s="26">
        <f>F21+'26.9'!L21</f>
        <v>0</v>
      </c>
      <c r="M21" s="23">
        <f t="shared" si="8"/>
        <v>121213</v>
      </c>
      <c r="N21" s="26">
        <f>H21+'26.9'!N21</f>
        <v>0</v>
      </c>
      <c r="O21" s="26">
        <f>I21+'26.9'!O21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E22+'26.9'!K22</f>
        <v>6.4</v>
      </c>
      <c r="L22" s="26">
        <f>F22+'26.9'!L22</f>
        <v>40</v>
      </c>
      <c r="M22" s="23">
        <f t="shared" si="8"/>
        <v>46.4</v>
      </c>
      <c r="N22" s="26">
        <f>H22+'26.9'!N22</f>
        <v>15</v>
      </c>
      <c r="O22" s="26">
        <f>I22+'26.9'!O22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E23+'26.9'!K23</f>
        <v>9.7</v>
      </c>
      <c r="L23" s="26">
        <f>F23+'26.9'!L23</f>
        <v>32</v>
      </c>
      <c r="M23" s="23">
        <f t="shared" si="8"/>
        <v>41.7</v>
      </c>
      <c r="N23" s="26">
        <f>H23+'26.9'!N23</f>
        <v>10</v>
      </c>
      <c r="O23" s="26">
        <f>I23+'26.9'!O23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26">
        <f>E24+'26.9'!K24</f>
        <v>0</v>
      </c>
      <c r="L24" s="26">
        <f>F24+'26.9'!L24</f>
        <v>0</v>
      </c>
      <c r="M24" s="23">
        <f t="shared" si="8"/>
        <v>0</v>
      </c>
      <c r="N24" s="26">
        <f>H24+'26.9'!N24</f>
        <v>0</v>
      </c>
      <c r="O24" s="26">
        <f>I24+'26.9'!O24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26">
        <f>E25+'26.9'!K25</f>
        <v>2045</v>
      </c>
      <c r="L25" s="26">
        <f>F25+'26.9'!L25</f>
        <v>854</v>
      </c>
      <c r="M25" s="23">
        <f t="shared" si="8"/>
        <v>2899</v>
      </c>
      <c r="N25" s="26">
        <f>H25+'26.9'!N25</f>
        <v>702</v>
      </c>
      <c r="O25" s="26">
        <f>I25+'26.9'!O25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E26+'26.9'!K26</f>
        <v>377.74</v>
      </c>
      <c r="L26" s="26">
        <f>F26+'26.9'!L26</f>
        <v>201</v>
      </c>
      <c r="M26" s="23">
        <f t="shared" si="8"/>
        <v>578.74</v>
      </c>
      <c r="N26" s="26">
        <f>H26+'26.9'!N26</f>
        <v>319</v>
      </c>
      <c r="O26" s="26">
        <f>I26+'26.9'!O26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E27+'26.9'!K27</f>
        <v>1.075</v>
      </c>
      <c r="L27" s="26">
        <f>F27+'26.9'!L27</f>
        <v>1</v>
      </c>
      <c r="M27" s="46">
        <f t="shared" si="8"/>
        <v>2.075</v>
      </c>
      <c r="N27" s="26">
        <f>H27+'26.9'!N27</f>
        <v>1</v>
      </c>
      <c r="O27" s="26">
        <f>I27+'26.9'!O27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E28+'26.9'!K28</f>
        <v>0</v>
      </c>
      <c r="L28" s="26">
        <f>F28+'26.9'!L28</f>
        <v>0</v>
      </c>
      <c r="M28" s="46">
        <f t="shared" si="8"/>
        <v>0</v>
      </c>
      <c r="N28" s="26">
        <f>H28+'26.9'!N28</f>
        <v>0</v>
      </c>
      <c r="O28" s="26">
        <f>I28+'26.9'!O28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E29+'26.9'!K29</f>
        <v>28</v>
      </c>
      <c r="L29" s="26">
        <f>F29+'26.9'!L29</f>
        <v>0</v>
      </c>
      <c r="M29" s="23">
        <f t="shared" si="8"/>
        <v>28</v>
      </c>
      <c r="N29" s="26">
        <f>H29+'26.9'!N29</f>
        <v>0</v>
      </c>
      <c r="O29" s="26">
        <f>I29+'26.9'!O29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E30+'26.9'!K30</f>
        <v>23607684</v>
      </c>
      <c r="L30" s="26">
        <f>F30+'26.9'!L30</f>
        <v>16539048</v>
      </c>
      <c r="M30" s="23">
        <f>M7-M8</f>
        <v>40146732</v>
      </c>
      <c r="N30" s="26">
        <f>H30+'26.9'!N30</f>
        <v>6998808</v>
      </c>
      <c r="O30" s="26">
        <f>I30+'26.9'!O30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26">
        <f>E31+'26.9'!K31</f>
        <v>6593264.5</v>
      </c>
      <c r="L31" s="26">
        <f>F31+'26.9'!L31</f>
        <v>573928</v>
      </c>
      <c r="M31" s="23">
        <f t="shared" ref="M31:M34" si="12">SUM(K31:L31)</f>
        <v>7167192.5</v>
      </c>
      <c r="N31" s="26">
        <f>H31+'26.9'!N31</f>
        <v>0</v>
      </c>
      <c r="O31" s="26">
        <f>I31+'26.9'!O31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E33+'26.9'!K33</f>
        <v>3573096.00147514</v>
      </c>
      <c r="L33" s="26">
        <f>F33+'26.9'!L33</f>
        <v>2844984.384</v>
      </c>
      <c r="M33" s="23">
        <f t="shared" si="12"/>
        <v>6418080.38547514</v>
      </c>
      <c r="N33" s="26">
        <f>H33+'26.9'!N33</f>
        <v>1400555</v>
      </c>
      <c r="O33" s="26">
        <f>I33+'26.9'!O33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E34+'26.9'!K34</f>
        <v>13441322.778525</v>
      </c>
      <c r="L34" s="26">
        <f>F34+'26.9'!L34</f>
        <v>13120135.616</v>
      </c>
      <c r="M34" s="23">
        <f t="shared" si="12"/>
        <v>26561458.394525</v>
      </c>
      <c r="N34" s="26">
        <f>H34+'26.9'!N34</f>
        <v>5598253</v>
      </c>
      <c r="O34" s="26">
        <f>I34+'26.9'!O34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26">
        <f>E40+'26.9'!K40</f>
        <v>9817.2469001747</v>
      </c>
      <c r="L40" s="26">
        <f>F40+'26.9'!L40</f>
        <v>8544.63729638324</v>
      </c>
      <c r="M40" s="23">
        <f t="shared" ref="M40:M44" si="22">SUM(K40:L40)</f>
        <v>18361.8841965579</v>
      </c>
      <c r="N40" s="26">
        <f>H40+'26.9'!N40</f>
        <v>5641</v>
      </c>
      <c r="O40" s="26">
        <f>I40+'26.9'!O40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26">
        <f>E41+'26.9'!K41</f>
        <v>21.20558020812</v>
      </c>
      <c r="L41" s="26">
        <f>F41+'26.9'!L41</f>
        <v>6.4913805</v>
      </c>
      <c r="M41" s="23">
        <f t="shared" si="22"/>
        <v>27.69696070812</v>
      </c>
      <c r="N41" s="26">
        <f>H41+'26.9'!N41</f>
        <v>4</v>
      </c>
      <c r="O41" s="26">
        <f>I41+'26.9'!O41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E43+'26.9'!K43</f>
        <v>36930.6550800009</v>
      </c>
      <c r="L43" s="26">
        <f>F43+'26.9'!L43</f>
        <v>39405.0669481916</v>
      </c>
      <c r="M43" s="23">
        <f t="shared" si="22"/>
        <v>76335.7220281925</v>
      </c>
      <c r="N43" s="26">
        <f>H43+'26.9'!N43</f>
        <v>22549</v>
      </c>
      <c r="O43" s="26">
        <f>I43+'26.9'!O43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E44+'26.9'!K44</f>
        <v>79.77379608</v>
      </c>
      <c r="L44" s="26">
        <f>F44+'26.9'!L44</f>
        <v>29.9361195</v>
      </c>
      <c r="M44" s="23">
        <f t="shared" si="22"/>
        <v>109.70991558</v>
      </c>
      <c r="N44" s="26">
        <f>H44+'26.9'!N44</f>
        <v>16</v>
      </c>
      <c r="O44" s="26">
        <f>I44+'26.9'!O44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6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20397.5206923911</v>
      </c>
      <c r="L49" s="23">
        <v>19806.5368619774</v>
      </c>
      <c r="M49" s="42">
        <v>0</v>
      </c>
      <c r="N49" s="23">
        <v>20257.78</v>
      </c>
      <c r="O49" s="25">
        <v>20773</v>
      </c>
      <c r="P49" s="12"/>
    </row>
    <row r="50" s="2" customFormat="1" ht="13.9" customHeight="1" spans="1:16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6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6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D7/10000/D6/(DAY(DATE(2026,11,0))*24)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J7/10000/J6/(DATEDIF(DATE(2026,1,1),DATE(2026,11,1),"D")*24)</f>
        <v>0.0797609767419852</v>
      </c>
      <c r="K52" s="71">
        <f t="shared" si="29"/>
        <v>0.0832697368421053</v>
      </c>
      <c r="L52" s="71">
        <f t="shared" si="29"/>
        <v>0.0790519736842105</v>
      </c>
      <c r="M52" s="71">
        <f t="shared" si="29"/>
        <v>0.0811608552631579</v>
      </c>
      <c r="N52" s="71">
        <f t="shared" si="29"/>
        <v>0.0862024853801169</v>
      </c>
      <c r="O52" s="72">
        <f t="shared" si="29"/>
        <v>0.0641551835954215</v>
      </c>
      <c r="P52" s="12"/>
    </row>
    <row r="53" s="2" customFormat="1" ht="13.9" customHeight="1" spans="1:16">
      <c r="A53" s="73" t="s">
        <v>118</v>
      </c>
      <c r="B53" s="74" t="s">
        <v>78</v>
      </c>
      <c r="C53" s="19" t="s">
        <v>119</v>
      </c>
      <c r="D53" s="75">
        <f>D9*1000/1986/((DAY(DATE(2026,11,0))*24)*3600)</f>
        <v>0</v>
      </c>
      <c r="E53" s="75">
        <f>E9*1000/577/((DAY(DATE(2026,11,0))*24)*3600)</f>
        <v>0</v>
      </c>
      <c r="F53" s="72">
        <f>F9*1000/528/((DAY(DATE(2026,11,0))*24)*3600)</f>
        <v>0</v>
      </c>
      <c r="G53" s="75">
        <f>G9*1000/1442/((DAY(DATE(2026,11,0))*24)*3600)</f>
        <v>0</v>
      </c>
      <c r="H53" s="72">
        <f>H9*1000/414/((DAY(DATE(2026,11,0))*24)*3600)</f>
        <v>0</v>
      </c>
      <c r="I53" s="72">
        <f>I9*1000/130/((DAY(DATE(2026,11,0))*24)*3600)</f>
        <v>0</v>
      </c>
      <c r="J53" s="71">
        <f>J9*1000/1986/((DATEDIF(DATE(2026,1,1),DATE(2026,11,1),"D")*24)*3600)</f>
        <v>0.0538611681951459</v>
      </c>
      <c r="K53" s="75">
        <f>K9*1000/577/((DATEDIF(DATE(2026,1,1),DATE(2026,11,1),"D")*24)*3600)</f>
        <v>0.0646791782527498</v>
      </c>
      <c r="L53" s="72">
        <f>L9*1000/528/((DATEDIF(DATE(2026,1,1),DATE(2026,11,1),"D")*24)*3600)</f>
        <v>0.0697376715021191</v>
      </c>
      <c r="M53" s="75">
        <f>M9*1000/1442/((DATEDIF(DATE(2026,1,1),DATE(2026,11,1),"D")*24)*3600)</f>
        <v>0.0514156563141162</v>
      </c>
      <c r="N53" s="72">
        <f>N9*1000/414/((DATEDIF(DATE(2026,1,1),DATE(2026,11,1),"D")*24)*3600)</f>
        <v>0.052430217132337</v>
      </c>
      <c r="O53" s="72">
        <f>O9*1000/130/((DATEDIF(DATE(2026,1,1),DATE(2026,11,1),"D")*24)*3600)</f>
        <v>0.0855445672139751</v>
      </c>
      <c r="P53" s="12"/>
    </row>
    <row r="54" s="2" customFormat="1" ht="13.9" customHeight="1" spans="1:16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6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6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6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E57+'26.9'!K57</f>
        <v>26761</v>
      </c>
      <c r="L57" s="26">
        <f>F57+'26.9'!L57</f>
        <v>66608</v>
      </c>
      <c r="M57" s="23">
        <f t="shared" ref="M57:M68" si="34">SUM(K57:L57)</f>
        <v>93369</v>
      </c>
      <c r="N57" s="26">
        <f>H57+'26.9'!N57</f>
        <v>4890.18</v>
      </c>
      <c r="O57" s="26">
        <f>I57+'26.9'!O57</f>
        <v>17015.74</v>
      </c>
      <c r="P57" s="12"/>
    </row>
    <row r="58" s="2" customFormat="1" ht="13.9" customHeight="1" spans="1:16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E58+'26.9'!K58</f>
        <v>42844</v>
      </c>
      <c r="L58" s="26">
        <f>F58+'26.9'!L58</f>
        <v>0</v>
      </c>
      <c r="M58" s="23">
        <f t="shared" si="34"/>
        <v>42844</v>
      </c>
      <c r="N58" s="26">
        <f>H58+'26.9'!N58</f>
        <v>0</v>
      </c>
      <c r="O58" s="26">
        <f>I58+'26.9'!O58</f>
        <v>0</v>
      </c>
      <c r="P58" s="12"/>
    </row>
    <row r="59" s="2" customFormat="1" ht="13.9" customHeight="1" spans="1:16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'26.9'!K59+E57-E14-E58</f>
        <v>42846</v>
      </c>
      <c r="L59" s="92">
        <f>'26.9'!L59+F57-F14-F58</f>
        <v>11815</v>
      </c>
      <c r="M59" s="32">
        <f t="shared" si="34"/>
        <v>54661</v>
      </c>
      <c r="N59" s="92">
        <f>'26.9'!N59+H57-H14-H58</f>
        <v>28612.66</v>
      </c>
      <c r="O59" s="92">
        <f>'26.9'!O59+I57-I14-I58</f>
        <v>20225.9499979253</v>
      </c>
      <c r="P59" s="12"/>
    </row>
    <row r="60" s="5" customFormat="1" ht="12.75" customHeight="1" spans="1:16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E60+'26.9'!K60</f>
        <v>0</v>
      </c>
      <c r="L60" s="26">
        <f>F60+'26.9'!L60</f>
        <v>0</v>
      </c>
      <c r="M60" s="67">
        <f t="shared" si="34"/>
        <v>0</v>
      </c>
      <c r="N60" s="26">
        <f>H60+'26.9'!N60</f>
        <v>1828619</v>
      </c>
      <c r="O60" s="26">
        <f>I60+'26.9'!O60</f>
        <v>1027192</v>
      </c>
      <c r="P60" s="98"/>
    </row>
    <row r="61" s="5" customFormat="1" ht="12.75" customHeight="1" spans="1:16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E61+'26.9'!K61</f>
        <v>0</v>
      </c>
      <c r="L61" s="26">
        <f>F61+'26.9'!L61</f>
        <v>0</v>
      </c>
      <c r="M61" s="23">
        <f t="shared" si="34"/>
        <v>0</v>
      </c>
      <c r="N61" s="26">
        <f>H61+'26.9'!N61</f>
        <v>1828619</v>
      </c>
      <c r="O61" s="26">
        <f>I61+'26.9'!O61</f>
        <v>1027192</v>
      </c>
      <c r="P61" s="98"/>
    </row>
    <row r="62" s="5" customFormat="1" ht="12.75" customHeight="1" spans="1:16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E62+'26.9'!K62</f>
        <v>0</v>
      </c>
      <c r="L62" s="26">
        <f>F62+'26.9'!L62</f>
        <v>0</v>
      </c>
      <c r="M62" s="23">
        <f t="shared" si="34"/>
        <v>0</v>
      </c>
      <c r="N62" s="26">
        <f>H62+'26.9'!N62</f>
        <v>40661</v>
      </c>
      <c r="O62" s="26">
        <f>I62+'26.9'!O62</f>
        <v>22885</v>
      </c>
      <c r="P62" s="98"/>
    </row>
    <row r="63" s="5" customFormat="1" ht="12.75" customHeight="1" spans="1:16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E63+'26.9'!K63</f>
        <v>0</v>
      </c>
      <c r="L63" s="26">
        <f>F63+'26.9'!L63</f>
        <v>25920</v>
      </c>
      <c r="M63" s="23">
        <f t="shared" si="34"/>
        <v>25920</v>
      </c>
      <c r="N63" s="26">
        <f>H63+'26.9'!N63</f>
        <v>0</v>
      </c>
      <c r="O63" s="26">
        <f>I63+'26.9'!O63</f>
        <v>0</v>
      </c>
      <c r="P63" s="98"/>
    </row>
    <row r="64" s="5" customFormat="1" ht="12.75" customHeight="1" spans="1:16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E64+'26.9'!K64</f>
        <v>73699</v>
      </c>
      <c r="L64" s="26">
        <f>F64+'26.9'!L64</f>
        <v>0</v>
      </c>
      <c r="M64" s="23">
        <f t="shared" si="34"/>
        <v>73699</v>
      </c>
      <c r="N64" s="26">
        <f>H64+'26.9'!N64</f>
        <v>0</v>
      </c>
      <c r="O64" s="26">
        <f>I64+'26.9'!O64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E65+'26.9'!K65</f>
        <v>6302</v>
      </c>
      <c r="L65" s="26">
        <f>F65+'26.9'!L65</f>
        <v>32849</v>
      </c>
      <c r="M65" s="103">
        <f t="shared" si="34"/>
        <v>39151</v>
      </c>
      <c r="N65" s="26">
        <f>H65+'26.9'!N65</f>
        <v>23814</v>
      </c>
      <c r="O65" s="26">
        <f>I65+'26.9'!O65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E66+'26.9'!K66</f>
        <v>1072980</v>
      </c>
      <c r="L66" s="26">
        <f>F66+'26.9'!L66</f>
        <v>1283190</v>
      </c>
      <c r="M66" s="107">
        <f t="shared" si="34"/>
        <v>2356170</v>
      </c>
      <c r="N66" s="26">
        <f>H66+'26.9'!N66</f>
        <v>754606</v>
      </c>
      <c r="O66" s="26">
        <f>I66+'26.9'!O66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zoomScale="70" zoomScaleNormal="70" zoomScaleSheetLayoutView="60" workbookViewId="0">
      <pane xSplit="1" ySplit="5" topLeftCell="D26" activePane="bottomRight" state="frozen"/>
      <selection/>
      <selection pane="topRight"/>
      <selection pane="bottomLeft"/>
      <selection pane="bottomRight" activeCell="H67" sqref="H67: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16" width="9" style="1"/>
    <col min="17" max="17" width="10.6666666666667" style="1"/>
    <col min="18" max="32" width="9" style="1"/>
    <col min="33" max="16384" width="8.66666666666667" style="1"/>
  </cols>
  <sheetData>
    <row r="1" s="1" customFormat="1" ht="21.75" customHeight="1" spans="1:1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7">
      <c r="A2" s="7" t="s">
        <v>168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7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7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7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7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7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40">
        <f>[11]产量!$C$15</f>
        <v>0</v>
      </c>
      <c r="F7" s="40">
        <f>[11]产量!$C$19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41">
        <f>E7+'26.10'!K7</f>
        <v>60753600</v>
      </c>
      <c r="L7" s="41">
        <f>F7+'26.10'!L7</f>
        <v>57676320</v>
      </c>
      <c r="M7" s="23">
        <f t="shared" si="3"/>
        <v>118429920</v>
      </c>
      <c r="N7" s="41">
        <f>H7+'26.10'!N7</f>
        <v>22641600</v>
      </c>
      <c r="O7" s="41">
        <f>I7+'26.10'!O7</f>
        <v>15352900</v>
      </c>
      <c r="P7" s="27"/>
    </row>
    <row r="8" s="2" customFormat="1" ht="13.9" customHeight="1" spans="1:17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40">
        <f>[11]产量!$E$15</f>
        <v>0</v>
      </c>
      <c r="F8" s="40">
        <f>[11]产量!$E$19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41">
        <f>E8+'26.10'!K8</f>
        <v>37145916</v>
      </c>
      <c r="L8" s="41">
        <f>F8+'26.10'!L8</f>
        <v>41137272</v>
      </c>
      <c r="M8" s="23">
        <f t="shared" si="3"/>
        <v>78283188</v>
      </c>
      <c r="N8" s="41">
        <f>H8+'26.10'!N8</f>
        <v>15642792</v>
      </c>
      <c r="O8" s="41">
        <f>I8+'26.10'!O8</f>
        <v>11150964</v>
      </c>
      <c r="P8" s="28"/>
    </row>
    <row r="9" s="2" customFormat="1" ht="13.9" customHeight="1" spans="1:17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40">
        <f>[11]产量!$G$6</f>
        <v>0</v>
      </c>
      <c r="F9" s="40">
        <f>[11]产量!$G$7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41">
        <f>E9+'26.10'!K9</f>
        <v>980229.19383</v>
      </c>
      <c r="L9" s="41">
        <f>F9+'26.10'!L9</f>
        <v>967138.542272</v>
      </c>
      <c r="M9" s="23">
        <f t="shared" si="3"/>
        <v>1947367.736102</v>
      </c>
      <c r="N9" s="41">
        <f>H9+'26.10'!N9</f>
        <v>570124</v>
      </c>
      <c r="O9" s="41">
        <f>I9+'26.10'!O9</f>
        <v>292094.32</v>
      </c>
      <c r="P9" s="12"/>
    </row>
    <row r="10" s="2" customFormat="1" ht="13.9" customHeight="1" spans="1:17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40">
        <f>[11]产量!$G$29</f>
        <v>0</v>
      </c>
      <c r="G10" s="23">
        <f t="shared" si="1"/>
        <v>0</v>
      </c>
      <c r="H10" s="23"/>
      <c r="I10" s="124"/>
      <c r="J10" s="23">
        <f t="shared" si="2"/>
        <v>377963</v>
      </c>
      <c r="K10" s="41">
        <f>E10+'26.10'!K10</f>
        <v>0</v>
      </c>
      <c r="L10" s="41">
        <f>F10+'26.10'!L10</f>
        <v>264848</v>
      </c>
      <c r="M10" s="23">
        <f t="shared" si="3"/>
        <v>264848</v>
      </c>
      <c r="N10" s="41">
        <f>H10+'26.10'!N10</f>
        <v>113115</v>
      </c>
      <c r="O10" s="41">
        <f>I10+'26.10'!O10</f>
        <v>0</v>
      </c>
      <c r="P10" s="12"/>
    </row>
    <row r="11" s="2" customFormat="1" ht="13.9" customHeight="1" spans="1:17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40">
        <f>[11]产量!$G$28</f>
        <v>0</v>
      </c>
      <c r="F11" s="40">
        <f>[11]产量!$G$30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41">
        <f>E11+'26.10'!K11</f>
        <v>875606.4</v>
      </c>
      <c r="L11" s="41">
        <f>F11+'26.10'!L11</f>
        <v>472389</v>
      </c>
      <c r="M11" s="23">
        <f t="shared" si="3"/>
        <v>1347995.4</v>
      </c>
      <c r="N11" s="41">
        <f>H11+'26.10'!N11</f>
        <v>457009</v>
      </c>
      <c r="O11" s="41">
        <f>I11+'26.10'!O11</f>
        <v>292094.32</v>
      </c>
      <c r="P11" s="12"/>
    </row>
    <row r="12" s="2" customFormat="1" ht="13.9" customHeight="1" spans="1:17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40">
        <f>[11]产量!$G$15</f>
        <v>0</v>
      </c>
      <c r="F12" s="40">
        <f>[11]产量!$G$19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41">
        <f>E12+'26.10'!K12</f>
        <v>35445</v>
      </c>
      <c r="L12" s="41">
        <f>F12+'26.10'!L12</f>
        <v>77888</v>
      </c>
      <c r="M12" s="23">
        <f t="shared" si="3"/>
        <v>113333</v>
      </c>
      <c r="N12" s="41">
        <f>H12+'26.10'!N12</f>
        <v>0</v>
      </c>
      <c r="O12" s="41">
        <f>I12+'26.10'!O12</f>
        <v>0</v>
      </c>
      <c r="P12" s="12"/>
    </row>
    <row r="13" s="2" customFormat="1" ht="13.9" customHeight="1" spans="1:17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32"/>
      <c r="I13" s="33"/>
      <c r="J13" s="32"/>
      <c r="K13" s="32"/>
      <c r="L13" s="32"/>
      <c r="M13" s="32"/>
      <c r="N13" s="32">
        <f>H13</f>
        <v>0</v>
      </c>
      <c r="O13" s="33">
        <f>I13</f>
        <v>0</v>
      </c>
      <c r="P13" s="12"/>
      <c r="Q13"/>
    </row>
    <row r="14" s="2" customFormat="1" ht="13.9" customHeight="1" spans="1:17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7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23"/>
      <c r="F15" s="23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41">
        <f>E15+'26.10'!K15</f>
        <v>14337.393088</v>
      </c>
      <c r="L15" s="41">
        <f>F15+'26.10'!L15</f>
        <v>13051.1898</v>
      </c>
      <c r="M15" s="23">
        <f t="shared" ref="M15:M29" si="8">SUM(K15:L15)</f>
        <v>27388.582888</v>
      </c>
      <c r="N15" s="41">
        <f>H15+'26.10'!N15</f>
        <v>7865</v>
      </c>
      <c r="O15" s="41">
        <f>I15+'26.10'!O15</f>
        <v>4953.18904627418</v>
      </c>
      <c r="P15" s="12"/>
    </row>
    <row r="16" s="2" customFormat="1" ht="13.9" customHeight="1" spans="1:17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23"/>
      <c r="F16" s="23"/>
      <c r="G16" s="23">
        <f t="shared" si="6"/>
        <v>0</v>
      </c>
      <c r="H16" s="23"/>
      <c r="I16" s="25"/>
      <c r="J16" s="23">
        <f t="shared" si="7"/>
        <v>161259.418065726</v>
      </c>
      <c r="K16" s="41">
        <f>E16+'26.10'!K16</f>
        <v>53934.606912</v>
      </c>
      <c r="L16" s="41">
        <f>F16+'26.10'!L16</f>
        <v>60187.8102</v>
      </c>
      <c r="M16" s="23">
        <f t="shared" si="8"/>
        <v>114122.417112</v>
      </c>
      <c r="N16" s="41">
        <f>H16+'26.10'!N16</f>
        <v>31436</v>
      </c>
      <c r="O16" s="41">
        <f>I16+'26.10'!O16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23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23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23"/>
      <c r="I18" s="25"/>
      <c r="J18" s="23">
        <f t="shared" si="7"/>
        <v>22.056240243298</v>
      </c>
      <c r="K18" s="41">
        <f>E18+'26.10'!K18</f>
        <v>14.5532772</v>
      </c>
      <c r="L18" s="41">
        <f>F18+'26.10'!L18</f>
        <v>4.455</v>
      </c>
      <c r="M18" s="23">
        <f t="shared" si="8"/>
        <v>19.0082772</v>
      </c>
      <c r="N18" s="41">
        <f>H18+'26.10'!N18</f>
        <v>3</v>
      </c>
      <c r="O18" s="41">
        <f>I18+'26.10'!O18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23"/>
      <c r="I19" s="25"/>
      <c r="J19" s="23">
        <f t="shared" si="7"/>
        <v>86.443759756702</v>
      </c>
      <c r="K19" s="41">
        <f>E19+'26.10'!K19</f>
        <v>54.7467228</v>
      </c>
      <c r="L19" s="41">
        <f>F19+'26.10'!L19</f>
        <v>20.545</v>
      </c>
      <c r="M19" s="23">
        <f t="shared" si="8"/>
        <v>75.2917228</v>
      </c>
      <c r="N19" s="41">
        <f>H19+'26.10'!N19</f>
        <v>11</v>
      </c>
      <c r="O19" s="41">
        <f>I19+'26.10'!O19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41">
        <f>E20+'26.10'!K20</f>
        <v>177610</v>
      </c>
      <c r="L20" s="41">
        <f>F20+'26.10'!L20</f>
        <v>194774</v>
      </c>
      <c r="M20" s="23">
        <f t="shared" si="8"/>
        <v>372384</v>
      </c>
      <c r="N20" s="41">
        <f>H20+'26.10'!N20</f>
        <v>94794</v>
      </c>
      <c r="O20" s="41">
        <f>I20+'26.10'!O20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41">
        <f>E21+'26.10'!K21</f>
        <v>121213</v>
      </c>
      <c r="L21" s="41">
        <f>F21+'26.10'!L21</f>
        <v>0</v>
      </c>
      <c r="M21" s="23">
        <f t="shared" si="8"/>
        <v>121213</v>
      </c>
      <c r="N21" s="41">
        <f>H21+'26.10'!N21</f>
        <v>0</v>
      </c>
      <c r="O21" s="41">
        <f>I21+'26.10'!O21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41">
        <f>E22+'26.10'!K22</f>
        <v>6.4</v>
      </c>
      <c r="L22" s="41">
        <f>F22+'26.10'!L22</f>
        <v>40</v>
      </c>
      <c r="M22" s="23">
        <f t="shared" si="8"/>
        <v>46.4</v>
      </c>
      <c r="N22" s="41">
        <f>H22+'26.10'!N22</f>
        <v>15</v>
      </c>
      <c r="O22" s="41">
        <f>I22+'26.10'!O22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41">
        <f>E23+'26.10'!K23</f>
        <v>9.7</v>
      </c>
      <c r="L23" s="41">
        <f>F23+'26.10'!L23</f>
        <v>32</v>
      </c>
      <c r="M23" s="23">
        <f t="shared" si="8"/>
        <v>41.7</v>
      </c>
      <c r="N23" s="41">
        <f>H23+'26.10'!N23</f>
        <v>10</v>
      </c>
      <c r="O23" s="41">
        <f>I23+'26.10'!O23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41">
        <f>E24+'26.10'!K24</f>
        <v>0</v>
      </c>
      <c r="L24" s="41">
        <f>F24+'26.10'!L24</f>
        <v>0</v>
      </c>
      <c r="M24" s="23">
        <f t="shared" si="8"/>
        <v>0</v>
      </c>
      <c r="N24" s="41">
        <f>H24+'26.10'!N24</f>
        <v>0</v>
      </c>
      <c r="O24" s="41">
        <f>I24+'26.10'!O24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41">
        <f>E25+'26.10'!K25</f>
        <v>2045</v>
      </c>
      <c r="L25" s="41">
        <f>F25+'26.10'!L25</f>
        <v>854</v>
      </c>
      <c r="M25" s="23">
        <f t="shared" si="8"/>
        <v>2899</v>
      </c>
      <c r="N25" s="41">
        <f>H25+'26.10'!N25</f>
        <v>702</v>
      </c>
      <c r="O25" s="41">
        <f>I25+'26.10'!O25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41">
        <f>E26+'26.10'!K26</f>
        <v>377.74</v>
      </c>
      <c r="L26" s="41">
        <f>F26+'26.10'!L26</f>
        <v>201</v>
      </c>
      <c r="M26" s="23">
        <f t="shared" si="8"/>
        <v>578.74</v>
      </c>
      <c r="N26" s="41">
        <f>H26+'26.10'!N26</f>
        <v>319</v>
      </c>
      <c r="O26" s="41">
        <f>I26+'26.10'!O26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41">
        <f>E27+'26.10'!K27</f>
        <v>1.075</v>
      </c>
      <c r="L27" s="41">
        <f>F27+'26.10'!L27</f>
        <v>1</v>
      </c>
      <c r="M27" s="46">
        <f t="shared" si="8"/>
        <v>2.075</v>
      </c>
      <c r="N27" s="41">
        <f>H27+'26.10'!N27</f>
        <v>1</v>
      </c>
      <c r="O27" s="41">
        <f>I27+'26.10'!O27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41">
        <f>E28+'26.10'!K28</f>
        <v>0</v>
      </c>
      <c r="L28" s="41">
        <f>F28+'26.10'!L28</f>
        <v>0</v>
      </c>
      <c r="M28" s="46">
        <f t="shared" si="8"/>
        <v>0</v>
      </c>
      <c r="N28" s="41">
        <f>H28+'26.10'!N28</f>
        <v>0</v>
      </c>
      <c r="O28" s="41">
        <f>I28+'26.10'!O28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41">
        <f>E29+'26.10'!K29</f>
        <v>28</v>
      </c>
      <c r="L29" s="41">
        <f>F29+'26.10'!L29</f>
        <v>0</v>
      </c>
      <c r="M29" s="23">
        <f t="shared" si="8"/>
        <v>28</v>
      </c>
      <c r="N29" s="41">
        <f>H29+'26.10'!N29</f>
        <v>0</v>
      </c>
      <c r="O29" s="41">
        <f>I29+'26.10'!O29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41">
        <f>E30+'26.10'!K30</f>
        <v>23607684</v>
      </c>
      <c r="L30" s="41">
        <f>F30+'26.10'!L30</f>
        <v>16539048</v>
      </c>
      <c r="M30" s="23">
        <f>M7-M8</f>
        <v>40146732</v>
      </c>
      <c r="N30" s="41">
        <f>H30+'26.10'!N30</f>
        <v>6998808</v>
      </c>
      <c r="O30" s="41">
        <f>I30+'26.10'!O30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41">
        <f>E31+'26.10'!K31</f>
        <v>6593264.5</v>
      </c>
      <c r="L31" s="41">
        <f>F31+'26.10'!L31</f>
        <v>573928</v>
      </c>
      <c r="M31" s="23">
        <f t="shared" ref="M31:M34" si="12">SUM(K31:L31)</f>
        <v>7167192.5</v>
      </c>
      <c r="N31" s="41">
        <f>H31+'26.10'!N31</f>
        <v>0</v>
      </c>
      <c r="O31" s="41">
        <f>I31+'26.10'!O31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41">
        <f>E33+'26.10'!K33</f>
        <v>3573096.00147514</v>
      </c>
      <c r="L33" s="41">
        <f>F33+'26.10'!L33</f>
        <v>2844984.384</v>
      </c>
      <c r="M33" s="23">
        <f t="shared" si="12"/>
        <v>6418080.38547514</v>
      </c>
      <c r="N33" s="41">
        <f>H33+'26.10'!N33</f>
        <v>1400555</v>
      </c>
      <c r="O33" s="41">
        <f>I33+'26.10'!O33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41">
        <f>E34+'26.10'!K34</f>
        <v>13441322.778525</v>
      </c>
      <c r="L34" s="41">
        <f>F34+'26.10'!L34</f>
        <v>13120135.616</v>
      </c>
      <c r="M34" s="23">
        <f t="shared" si="12"/>
        <v>26561458.394525</v>
      </c>
      <c r="N34" s="41">
        <f>H34+'26.10'!N34</f>
        <v>5598253</v>
      </c>
      <c r="O34" s="41">
        <f>I34+'26.10'!O34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41">
        <f>E40+'26.10'!K40</f>
        <v>9817.2469001747</v>
      </c>
      <c r="L40" s="41">
        <f>F40+'26.10'!L40</f>
        <v>8544.63729638324</v>
      </c>
      <c r="M40" s="23">
        <f t="shared" ref="M40:M44" si="22">SUM(K40:L40)</f>
        <v>18361.8841965579</v>
      </c>
      <c r="N40" s="41">
        <f>H40+'26.10'!N40</f>
        <v>5641</v>
      </c>
      <c r="O40" s="41">
        <f>I40+'26.10'!O40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41">
        <f>E41+'26.10'!K41</f>
        <v>21.20558020812</v>
      </c>
      <c r="L41" s="41">
        <f>F41+'26.10'!L41</f>
        <v>6.4913805</v>
      </c>
      <c r="M41" s="23">
        <f t="shared" si="22"/>
        <v>27.69696070812</v>
      </c>
      <c r="N41" s="41">
        <f>H41+'26.10'!N41</f>
        <v>4</v>
      </c>
      <c r="O41" s="41">
        <f>I41+'26.10'!O41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41">
        <f>E43+'26.10'!K43</f>
        <v>36930.6550800009</v>
      </c>
      <c r="L43" s="41">
        <f>F43+'26.10'!L43</f>
        <v>39405.0669481916</v>
      </c>
      <c r="M43" s="23">
        <f t="shared" si="22"/>
        <v>76335.7220281925</v>
      </c>
      <c r="N43" s="41">
        <f>H43+'26.10'!N43</f>
        <v>22549</v>
      </c>
      <c r="O43" s="41">
        <f>I43+'26.10'!O43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41">
        <f>E44+'26.10'!K44</f>
        <v>79.77379608</v>
      </c>
      <c r="L44" s="41">
        <f>F44+'26.10'!L44</f>
        <v>29.9361195</v>
      </c>
      <c r="M44" s="23">
        <f t="shared" si="22"/>
        <v>109.70991558</v>
      </c>
      <c r="N44" s="41">
        <f>H44+'26.10'!N44</f>
        <v>16</v>
      </c>
      <c r="O44" s="41">
        <f>I44+'26.10'!O44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8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20377.4773285849</v>
      </c>
      <c r="L49" s="23">
        <v>19910.1353750648</v>
      </c>
      <c r="M49" s="42">
        <v>0</v>
      </c>
      <c r="N49" s="23">
        <v>20257.78</v>
      </c>
      <c r="O49" s="25">
        <v>20773</v>
      </c>
      <c r="P49" s="12"/>
    </row>
    <row r="50" s="2" customFormat="1" ht="13.9" customHeight="1" spans="1:18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8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657</v>
      </c>
      <c r="K51" s="23">
        <v>48</v>
      </c>
      <c r="L51" s="23">
        <v>109</v>
      </c>
      <c r="M51" s="23">
        <f>SUM(K51:L51)</f>
        <v>157</v>
      </c>
      <c r="N51" s="23">
        <v>350</v>
      </c>
      <c r="O51" s="25">
        <v>150</v>
      </c>
      <c r="P51" s="12"/>
    </row>
    <row r="52" s="2" customFormat="1" ht="13.9" customHeight="1" spans="1:18">
      <c r="A52" s="69" t="s">
        <v>116</v>
      </c>
      <c r="B52" s="70" t="s">
        <v>78</v>
      </c>
      <c r="C52" s="19" t="s">
        <v>117</v>
      </c>
      <c r="D52" s="71">
        <f t="shared" ref="D52:I52" si="28">D7/10000/D6/(DAY(DATE(2026,12,0))*24)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J7/10000/J6/(DATEDIF(DATE(2026,1,1),DATE(2026,12,1),"D")*24)</f>
        <v>0.0725968171543817</v>
      </c>
      <c r="K52" s="71">
        <f t="shared" si="29"/>
        <v>0.0757904191616766</v>
      </c>
      <c r="L52" s="71">
        <f t="shared" si="29"/>
        <v>0.071951497005988</v>
      </c>
      <c r="M52" s="71">
        <f t="shared" si="29"/>
        <v>0.0738709580838323</v>
      </c>
      <c r="N52" s="71">
        <f t="shared" si="29"/>
        <v>0.078459747172322</v>
      </c>
      <c r="O52" s="72">
        <f t="shared" si="29"/>
        <v>0.0583927419551142</v>
      </c>
      <c r="P52" s="12"/>
    </row>
    <row r="53" s="2" customFormat="1" ht="13.9" customHeight="1" spans="1:18">
      <c r="A53" s="73" t="s">
        <v>118</v>
      </c>
      <c r="B53" s="74" t="s">
        <v>78</v>
      </c>
      <c r="C53" s="19" t="s">
        <v>119</v>
      </c>
      <c r="D53" s="75">
        <f>D9*1000/1986/((DAY(DATE(2026,12,0))*24)*3600)</f>
        <v>0</v>
      </c>
      <c r="E53" s="75">
        <f>E9*1000/577/((DAY(DATE(2026,12,0))*24)*3600)</f>
        <v>0</v>
      </c>
      <c r="F53" s="72">
        <f>F9*1000/528/((DAY(DATE(2026,12,0))*24)*3600)</f>
        <v>0</v>
      </c>
      <c r="G53" s="75">
        <f>G9*1000/1442/((DAY(DATE(2026,12,0))*24)*3600)</f>
        <v>0</v>
      </c>
      <c r="H53" s="72">
        <f>H9*1000/414/((DAY(DATE(2026,12,0))*24)*3600)</f>
        <v>0</v>
      </c>
      <c r="I53" s="72">
        <f>I9*1000/130/((DAY(DATE(2026,12,0))*24)*3600)</f>
        <v>0</v>
      </c>
      <c r="J53" s="71">
        <f>J9*1000/1986/((DATEDIF(DATE(2026,1,1),DATE(2026,12,1),"D")*24)*3600)</f>
        <v>0.04902333871654</v>
      </c>
      <c r="K53" s="75">
        <f>K9*1000/577/((DATEDIF(DATE(2026,1,1),DATE(2026,12,1),"D")*24)*3600)</f>
        <v>0.0588696712240597</v>
      </c>
      <c r="L53" s="72">
        <f>L9*1000/528/((DATEDIF(DATE(2026,1,1),DATE(2026,12,1),"D")*24)*3600)</f>
        <v>0.063473808792348</v>
      </c>
      <c r="M53" s="75">
        <f>M9*1000/1442/((DATEDIF(DATE(2026,1,1),DATE(2026,12,1),"D")*24)*3600)</f>
        <v>0.0467974835912914</v>
      </c>
      <c r="N53" s="72">
        <f>N9*1000/414/((DATEDIF(DATE(2026,1,1),DATE(2026,12,1),"D")*24)*3600)</f>
        <v>0.0477209161923067</v>
      </c>
      <c r="O53" s="72">
        <f>O9*1000/130/((DATEDIF(DATE(2026,1,1),DATE(2026,12,1),"D")*24)*3600)</f>
        <v>0.0778609234522408</v>
      </c>
      <c r="P53" s="12"/>
    </row>
    <row r="54" s="2" customFormat="1" ht="13.9" customHeight="1" spans="1:18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8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8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8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41">
        <f>E57+'26.10'!K57</f>
        <v>26761</v>
      </c>
      <c r="L57" s="41">
        <f>F57+'26.10'!L57</f>
        <v>66608</v>
      </c>
      <c r="M57" s="23">
        <f t="shared" ref="M57:M68" si="34">SUM(K57:L57)</f>
        <v>93369</v>
      </c>
      <c r="N57" s="41">
        <f>H57+'26.10'!N57</f>
        <v>4890.18</v>
      </c>
      <c r="O57" s="41">
        <f>I57+'26.10'!O57</f>
        <v>17015.74</v>
      </c>
      <c r="P57" s="12"/>
    </row>
    <row r="58" s="2" customFormat="1" ht="13.9" customHeight="1" spans="1:18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41">
        <f>E58+'26.10'!K58</f>
        <v>42844</v>
      </c>
      <c r="L58" s="41">
        <f>F58+'26.10'!L58</f>
        <v>0</v>
      </c>
      <c r="M58" s="23">
        <f t="shared" si="34"/>
        <v>42844</v>
      </c>
      <c r="N58" s="41">
        <f>H58+'26.10'!N58</f>
        <v>0</v>
      </c>
      <c r="O58" s="41">
        <f>I58+'26.10'!O58</f>
        <v>0</v>
      </c>
      <c r="P58" s="12"/>
    </row>
    <row r="59" s="2" customFormat="1" ht="13.9" customHeight="1" spans="1:18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125">
        <f>'26.10'!K59+E57-E14-E58</f>
        <v>42846</v>
      </c>
      <c r="L59" s="125">
        <f>'26.10'!L59+F57-F14-F58</f>
        <v>11815</v>
      </c>
      <c r="M59" s="32">
        <f t="shared" si="34"/>
        <v>54661</v>
      </c>
      <c r="N59" s="125">
        <f>'26.10'!N59+H57-H14-H58</f>
        <v>28612.66</v>
      </c>
      <c r="O59" s="125">
        <f>'26.10'!O59+I57-I14-I58</f>
        <v>20225.9499979253</v>
      </c>
      <c r="P59" s="12"/>
      <c r="Q59" s="2">
        <v>161066</v>
      </c>
      <c r="R59" s="2">
        <f>K59-Q59</f>
        <v>-118220</v>
      </c>
    </row>
    <row r="60" s="5" customFormat="1" ht="12.75" customHeight="1" spans="1:18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41">
        <f>E60+'26.10'!K60</f>
        <v>0</v>
      </c>
      <c r="L60" s="41">
        <f>F60+'26.10'!L60</f>
        <v>0</v>
      </c>
      <c r="M60" s="67">
        <f t="shared" si="34"/>
        <v>0</v>
      </c>
      <c r="N60" s="41">
        <f>H60+'26.10'!N60</f>
        <v>1828619</v>
      </c>
      <c r="O60" s="41">
        <f>I60+'26.10'!O60</f>
        <v>1027192</v>
      </c>
      <c r="P60" s="98"/>
    </row>
    <row r="61" s="5" customFormat="1" ht="12.75" customHeight="1" spans="1:18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41">
        <f>E61+'26.10'!K61</f>
        <v>0</v>
      </c>
      <c r="L61" s="41">
        <f>F61+'26.10'!L61</f>
        <v>0</v>
      </c>
      <c r="M61" s="23">
        <f t="shared" si="34"/>
        <v>0</v>
      </c>
      <c r="N61" s="41">
        <f>H61+'26.10'!N61</f>
        <v>1828619</v>
      </c>
      <c r="O61" s="41">
        <f>I61+'26.10'!O61</f>
        <v>1027192</v>
      </c>
      <c r="P61" s="98"/>
    </row>
    <row r="62" s="5" customFormat="1" ht="12.75" customHeight="1" spans="1:18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41">
        <f>E62+'26.10'!K62</f>
        <v>0</v>
      </c>
      <c r="L62" s="41">
        <f>F62+'26.10'!L62</f>
        <v>0</v>
      </c>
      <c r="M62" s="23">
        <f t="shared" si="34"/>
        <v>0</v>
      </c>
      <c r="N62" s="41">
        <f>H62+'26.10'!N62</f>
        <v>40661</v>
      </c>
      <c r="O62" s="41">
        <f>I62+'26.10'!O62</f>
        <v>22885</v>
      </c>
      <c r="P62" s="98"/>
    </row>
    <row r="63" s="5" customFormat="1" ht="12.75" customHeight="1" spans="1:18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41">
        <f>E63+'26.10'!K63</f>
        <v>0</v>
      </c>
      <c r="L63" s="41">
        <f>F63+'26.10'!L63</f>
        <v>25920</v>
      </c>
      <c r="M63" s="23">
        <f t="shared" si="34"/>
        <v>25920</v>
      </c>
      <c r="N63" s="41">
        <f>H63+'26.10'!N63</f>
        <v>0</v>
      </c>
      <c r="O63" s="41">
        <f>I63+'26.10'!O63</f>
        <v>0</v>
      </c>
      <c r="P63" s="98"/>
    </row>
    <row r="64" s="5" customFormat="1" ht="12.75" customHeight="1" spans="1:18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41">
        <f>E64+'26.10'!K64</f>
        <v>73699</v>
      </c>
      <c r="L64" s="41">
        <f>F64+'26.10'!L64</f>
        <v>0</v>
      </c>
      <c r="M64" s="23">
        <f t="shared" si="34"/>
        <v>73699</v>
      </c>
      <c r="N64" s="41">
        <f>H64+'26.10'!N64</f>
        <v>0</v>
      </c>
      <c r="O64" s="41">
        <f>I64+'26.10'!O64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41">
        <f>E65+'26.10'!K65</f>
        <v>6302</v>
      </c>
      <c r="L65" s="41">
        <f>F65+'26.10'!L65</f>
        <v>32849</v>
      </c>
      <c r="M65" s="103">
        <f t="shared" si="34"/>
        <v>39151</v>
      </c>
      <c r="N65" s="41">
        <f>H65+'26.10'!N65</f>
        <v>23814</v>
      </c>
      <c r="O65" s="41">
        <f>I65+'26.10'!O65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41">
        <f>E66+'26.10'!K66</f>
        <v>1072980</v>
      </c>
      <c r="L66" s="41">
        <f>F66+'26.10'!L66</f>
        <v>1283190</v>
      </c>
      <c r="M66" s="107">
        <f t="shared" si="34"/>
        <v>2356170</v>
      </c>
      <c r="N66" s="41">
        <f>H66+'26.10'!N66</f>
        <v>754606</v>
      </c>
      <c r="O66" s="41">
        <f>I66+'26.10'!O66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zoomScale="70" zoomScaleNormal="70" zoomScaleSheetLayoutView="60" workbookViewId="0">
      <pane xSplit="1" ySplit="5" topLeftCell="D41" activePane="bottomRight" state="frozen"/>
      <selection/>
      <selection pane="topRight"/>
      <selection pane="bottomLeft"/>
      <selection pane="bottomRight" activeCell="I68" sqref="I68"/>
    </sheetView>
  </sheetViews>
  <sheetFormatPr defaultColWidth="8.66666666666667" defaultRowHeight="15.5"/>
  <cols>
    <col min="1" max="1" width="20.375" style="1" customWidth="1"/>
    <col min="2" max="3" width="11.125" style="1" customWidth="1"/>
    <col min="4" max="15" width="12.625" style="1" customWidth="1"/>
    <col min="16" max="32" width="9" style="1"/>
    <col min="33" max="16384" width="8.66666666666667" style="1"/>
  </cols>
  <sheetData>
    <row r="1" s="1" customFormat="1" ht="21.75" customHeight="1" spans="1:1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6.25" spans="1:17">
      <c r="A2" s="7" t="s">
        <v>169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="2" customFormat="1" ht="12.75" customHeight="1" spans="1:17">
      <c r="A3" s="8" t="s">
        <v>2</v>
      </c>
      <c r="B3" s="9" t="s">
        <v>3</v>
      </c>
      <c r="C3" s="10" t="s">
        <v>4</v>
      </c>
      <c r="D3" s="9" t="s">
        <v>5</v>
      </c>
      <c r="E3" s="9"/>
      <c r="F3" s="9"/>
      <c r="G3" s="9"/>
      <c r="H3" s="9"/>
      <c r="I3" s="11"/>
      <c r="J3" s="9" t="s">
        <v>6</v>
      </c>
      <c r="K3" s="9"/>
      <c r="L3" s="9"/>
      <c r="M3" s="9"/>
      <c r="N3" s="9"/>
      <c r="O3" s="11"/>
      <c r="P3" s="12"/>
    </row>
    <row r="4" s="2" customFormat="1" ht="13.9" customHeight="1" spans="1:17">
      <c r="A4" s="13"/>
      <c r="B4" s="14"/>
      <c r="C4" s="15"/>
      <c r="D4" s="14" t="s">
        <v>7</v>
      </c>
      <c r="E4" s="14" t="s">
        <v>8</v>
      </c>
      <c r="F4" s="14"/>
      <c r="G4" s="14"/>
      <c r="H4" s="14"/>
      <c r="I4" s="16"/>
      <c r="J4" s="14" t="s">
        <v>7</v>
      </c>
      <c r="K4" s="14" t="s">
        <v>8</v>
      </c>
      <c r="L4" s="14"/>
      <c r="M4" s="14"/>
      <c r="N4" s="14"/>
      <c r="O4" s="16"/>
      <c r="P4" s="12"/>
    </row>
    <row r="5" s="2" customFormat="1" ht="13.9" customHeight="1" spans="1:17">
      <c r="A5" s="13"/>
      <c r="B5" s="14"/>
      <c r="C5" s="15"/>
      <c r="D5" s="14"/>
      <c r="E5" s="14" t="s">
        <v>9</v>
      </c>
      <c r="F5" s="14" t="s">
        <v>10</v>
      </c>
      <c r="G5" s="14" t="s">
        <v>11</v>
      </c>
      <c r="H5" s="14" t="s">
        <v>12</v>
      </c>
      <c r="I5" s="16" t="s">
        <v>13</v>
      </c>
      <c r="J5" s="14"/>
      <c r="K5" s="14" t="s">
        <v>9</v>
      </c>
      <c r="L5" s="14" t="s">
        <v>10</v>
      </c>
      <c r="M5" s="14" t="s">
        <v>11</v>
      </c>
      <c r="N5" s="14" t="s">
        <v>12</v>
      </c>
      <c r="O5" s="16" t="s">
        <v>13</v>
      </c>
      <c r="P5" s="12"/>
    </row>
    <row r="6" s="3" customFormat="1" ht="13.9" customHeight="1" spans="1:17">
      <c r="A6" s="17" t="s">
        <v>14</v>
      </c>
      <c r="B6" s="18" t="s">
        <v>15</v>
      </c>
      <c r="C6" s="19" t="s">
        <v>16</v>
      </c>
      <c r="D6" s="20">
        <f t="shared" ref="D6:D12" si="0">G6+H6+I6</f>
        <v>26.88</v>
      </c>
      <c r="E6" s="20">
        <v>10</v>
      </c>
      <c r="F6" s="20">
        <v>10</v>
      </c>
      <c r="G6" s="20">
        <f t="shared" ref="G6:G12" si="1">SUM(E6:F6)</f>
        <v>20</v>
      </c>
      <c r="H6" s="20">
        <v>3.6</v>
      </c>
      <c r="I6" s="21">
        <f>3.96-0.68</f>
        <v>3.28</v>
      </c>
      <c r="J6" s="20">
        <f t="shared" ref="J6:J12" si="2">M6+N6+O6</f>
        <v>26.88</v>
      </c>
      <c r="K6" s="20">
        <v>10</v>
      </c>
      <c r="L6" s="20">
        <v>10</v>
      </c>
      <c r="M6" s="20">
        <f t="shared" ref="M6:M12" si="3">SUM(K6:L6)</f>
        <v>20</v>
      </c>
      <c r="N6" s="20">
        <v>3.6</v>
      </c>
      <c r="O6" s="21">
        <v>3.28</v>
      </c>
      <c r="P6" s="22"/>
    </row>
    <row r="7" s="2" customFormat="1" ht="13.9" customHeight="1" spans="1:17">
      <c r="A7" s="17" t="s">
        <v>17</v>
      </c>
      <c r="B7" s="18" t="s">
        <v>18</v>
      </c>
      <c r="C7" s="19" t="s">
        <v>19</v>
      </c>
      <c r="D7" s="23">
        <f t="shared" si="0"/>
        <v>0</v>
      </c>
      <c r="E7" s="24">
        <f>[12]产量!$C$15</f>
        <v>0</v>
      </c>
      <c r="F7" s="24">
        <f>[12]产量!$C$19</f>
        <v>0</v>
      </c>
      <c r="G7" s="23">
        <f t="shared" si="1"/>
        <v>0</v>
      </c>
      <c r="H7" s="23"/>
      <c r="I7" s="25"/>
      <c r="J7" s="23">
        <f t="shared" si="2"/>
        <v>156424420</v>
      </c>
      <c r="K7" s="26">
        <f>E7+'26.11'!K7</f>
        <v>60753600</v>
      </c>
      <c r="L7" s="26">
        <f>F7+'26.11'!L7</f>
        <v>57676320</v>
      </c>
      <c r="M7" s="23">
        <f t="shared" si="3"/>
        <v>118429920</v>
      </c>
      <c r="N7" s="26">
        <f>H7+'26.11'!N7</f>
        <v>22641600</v>
      </c>
      <c r="O7" s="26">
        <f>I7+'26.11'!O7</f>
        <v>15352900</v>
      </c>
      <c r="P7" s="27"/>
    </row>
    <row r="8" s="2" customFormat="1" ht="13.9" customHeight="1" spans="1:17">
      <c r="A8" s="17" t="s">
        <v>20</v>
      </c>
      <c r="B8" s="18" t="s">
        <v>18</v>
      </c>
      <c r="C8" s="19" t="s">
        <v>21</v>
      </c>
      <c r="D8" s="23">
        <f t="shared" si="0"/>
        <v>0</v>
      </c>
      <c r="E8" s="24">
        <f>[12]产量!$E$15</f>
        <v>0</v>
      </c>
      <c r="F8" s="24">
        <f>[12]产量!$E$19</f>
        <v>0</v>
      </c>
      <c r="G8" s="23">
        <f t="shared" si="1"/>
        <v>0</v>
      </c>
      <c r="H8" s="23"/>
      <c r="I8" s="25"/>
      <c r="J8" s="23">
        <f t="shared" si="2"/>
        <v>105076944</v>
      </c>
      <c r="K8" s="26">
        <f>E8+'26.11'!K8</f>
        <v>37145916</v>
      </c>
      <c r="L8" s="26">
        <f>F8+'26.11'!L8</f>
        <v>41137272</v>
      </c>
      <c r="M8" s="23">
        <f t="shared" si="3"/>
        <v>78283188</v>
      </c>
      <c r="N8" s="26">
        <f>H8+'26.11'!N8</f>
        <v>15642792</v>
      </c>
      <c r="O8" s="26">
        <f>I8+'26.11'!O8</f>
        <v>11150964</v>
      </c>
      <c r="P8" s="28"/>
    </row>
    <row r="9" s="2" customFormat="1" ht="13.9" customHeight="1" spans="1:17">
      <c r="A9" s="17" t="s">
        <v>22</v>
      </c>
      <c r="B9" s="18" t="s">
        <v>23</v>
      </c>
      <c r="C9" s="19" t="s">
        <v>24</v>
      </c>
      <c r="D9" s="23">
        <f t="shared" si="0"/>
        <v>0</v>
      </c>
      <c r="E9" s="24">
        <f>[12]产量!$G$6</f>
        <v>0</v>
      </c>
      <c r="F9" s="24">
        <f>[12]产量!$G$7</f>
        <v>0</v>
      </c>
      <c r="G9" s="23">
        <f t="shared" si="1"/>
        <v>0</v>
      </c>
      <c r="H9" s="23"/>
      <c r="I9" s="25"/>
      <c r="J9" s="23">
        <f t="shared" si="2"/>
        <v>2809586.056102</v>
      </c>
      <c r="K9" s="26">
        <f>E9+'26.11'!K9</f>
        <v>980229.19383</v>
      </c>
      <c r="L9" s="26">
        <f>F9+'26.11'!L9</f>
        <v>967138.542272</v>
      </c>
      <c r="M9" s="23">
        <f t="shared" si="3"/>
        <v>1947367.736102</v>
      </c>
      <c r="N9" s="26">
        <f>H9+'26.11'!N9</f>
        <v>570124</v>
      </c>
      <c r="O9" s="26">
        <f>I9+'26.11'!O9</f>
        <v>292094.32</v>
      </c>
      <c r="P9" s="12"/>
    </row>
    <row r="10" s="2" customFormat="1" ht="13.9" customHeight="1" spans="1:17">
      <c r="A10" s="17" t="s">
        <v>25</v>
      </c>
      <c r="B10" s="18" t="s">
        <v>23</v>
      </c>
      <c r="C10" s="19" t="s">
        <v>26</v>
      </c>
      <c r="D10" s="23">
        <f t="shared" si="0"/>
        <v>0</v>
      </c>
      <c r="E10" s="23"/>
      <c r="F10" s="24">
        <f>[12]产量!$G$29</f>
        <v>0</v>
      </c>
      <c r="G10" s="23">
        <f t="shared" si="1"/>
        <v>0</v>
      </c>
      <c r="H10" s="23"/>
      <c r="I10" s="25"/>
      <c r="J10" s="23">
        <f t="shared" si="2"/>
        <v>377963</v>
      </c>
      <c r="K10" s="26">
        <f>E10+'26.11'!K10</f>
        <v>0</v>
      </c>
      <c r="L10" s="26">
        <f>F10+'26.11'!L10</f>
        <v>264848</v>
      </c>
      <c r="M10" s="23">
        <f t="shared" si="3"/>
        <v>264848</v>
      </c>
      <c r="N10" s="26">
        <f>H10+'26.11'!N10</f>
        <v>113115</v>
      </c>
      <c r="O10" s="26">
        <f>I10+'26.11'!O10</f>
        <v>0</v>
      </c>
      <c r="P10" s="12"/>
    </row>
    <row r="11" s="2" customFormat="1" ht="13.9" customHeight="1" spans="1:17">
      <c r="A11" s="17" t="s">
        <v>27</v>
      </c>
      <c r="B11" s="18" t="s">
        <v>23</v>
      </c>
      <c r="C11" s="19" t="s">
        <v>28</v>
      </c>
      <c r="D11" s="23">
        <f t="shared" si="0"/>
        <v>0</v>
      </c>
      <c r="E11" s="24">
        <f>[12]产量!$G$28</f>
        <v>0</v>
      </c>
      <c r="F11" s="24">
        <f>[12]产量!$G$30</f>
        <v>0</v>
      </c>
      <c r="G11" s="23">
        <f t="shared" si="1"/>
        <v>0</v>
      </c>
      <c r="H11" s="23">
        <f>H9-H10</f>
        <v>0</v>
      </c>
      <c r="I11" s="25">
        <f>I9-I10</f>
        <v>0</v>
      </c>
      <c r="J11" s="23">
        <f t="shared" si="2"/>
        <v>2097098.72</v>
      </c>
      <c r="K11" s="26">
        <f>E11+'26.11'!K11</f>
        <v>875606.4</v>
      </c>
      <c r="L11" s="26">
        <f>F11+'26.11'!L11</f>
        <v>472389</v>
      </c>
      <c r="M11" s="23">
        <f t="shared" si="3"/>
        <v>1347995.4</v>
      </c>
      <c r="N11" s="26">
        <f>H11+'26.11'!N11</f>
        <v>457009</v>
      </c>
      <c r="O11" s="26">
        <f>I11+'26.11'!O11</f>
        <v>292094.32</v>
      </c>
      <c r="P11" s="12"/>
    </row>
    <row r="12" s="2" customFormat="1" ht="13.9" customHeight="1" spans="1:17">
      <c r="A12" s="17" t="s">
        <v>29</v>
      </c>
      <c r="B12" s="18" t="s">
        <v>30</v>
      </c>
      <c r="C12" s="19" t="s">
        <v>31</v>
      </c>
      <c r="D12" s="23">
        <f t="shared" si="0"/>
        <v>0</v>
      </c>
      <c r="E12" s="24">
        <f>[12]产量!$G$15</f>
        <v>0</v>
      </c>
      <c r="F12" s="24">
        <f>[12]产量!$G$19</f>
        <v>0</v>
      </c>
      <c r="G12" s="23">
        <f t="shared" si="1"/>
        <v>0</v>
      </c>
      <c r="H12" s="23">
        <v>0</v>
      </c>
      <c r="I12" s="25">
        <v>0</v>
      </c>
      <c r="J12" s="23">
        <f t="shared" si="2"/>
        <v>113333</v>
      </c>
      <c r="K12" s="26">
        <f>E12+'26.11'!K12</f>
        <v>35445</v>
      </c>
      <c r="L12" s="26">
        <f>F12+'26.11'!L12</f>
        <v>77888</v>
      </c>
      <c r="M12" s="23">
        <f t="shared" si="3"/>
        <v>113333</v>
      </c>
      <c r="N12" s="26">
        <f>H12+'26.11'!N12</f>
        <v>0</v>
      </c>
      <c r="O12" s="26">
        <f>I12+'26.11'!O12</f>
        <v>0</v>
      </c>
      <c r="P12" s="12"/>
    </row>
    <row r="13" s="2" customFormat="1" ht="13.9" customHeight="1" spans="1:17">
      <c r="A13" s="29" t="s">
        <v>32</v>
      </c>
      <c r="B13" s="30" t="s">
        <v>33</v>
      </c>
      <c r="C13" s="31" t="s">
        <v>34</v>
      </c>
      <c r="D13" s="32"/>
      <c r="E13" s="32"/>
      <c r="F13" s="32"/>
      <c r="G13" s="32"/>
      <c r="H13" s="32"/>
      <c r="I13" s="33"/>
      <c r="J13" s="32"/>
      <c r="K13" s="32"/>
      <c r="L13" s="32"/>
      <c r="M13" s="32"/>
      <c r="N13" s="32">
        <f>H13</f>
        <v>0</v>
      </c>
      <c r="O13" s="33">
        <f>I13</f>
        <v>0</v>
      </c>
      <c r="P13" s="12"/>
      <c r="Q13"/>
    </row>
    <row r="14" s="2" customFormat="1" ht="13.9" customHeight="1" spans="1:17">
      <c r="A14" s="34" t="s">
        <v>35</v>
      </c>
      <c r="B14" s="35" t="s">
        <v>30</v>
      </c>
      <c r="C14" s="36" t="s">
        <v>36</v>
      </c>
      <c r="D14" s="37">
        <f t="shared" ref="D14:O14" si="4">D15+D16</f>
        <v>0</v>
      </c>
      <c r="E14" s="37">
        <f t="shared" si="4"/>
        <v>0</v>
      </c>
      <c r="F14" s="37">
        <f t="shared" si="4"/>
        <v>0</v>
      </c>
      <c r="G14" s="37">
        <f t="shared" si="4"/>
        <v>0</v>
      </c>
      <c r="H14" s="37">
        <f t="shared" si="4"/>
        <v>0</v>
      </c>
      <c r="I14" s="38">
        <f t="shared" si="4"/>
        <v>0</v>
      </c>
      <c r="J14" s="37">
        <f t="shared" si="4"/>
        <v>201466.19</v>
      </c>
      <c r="K14" s="37">
        <f t="shared" si="4"/>
        <v>68272</v>
      </c>
      <c r="L14" s="37">
        <f t="shared" si="4"/>
        <v>73239</v>
      </c>
      <c r="M14" s="37">
        <f t="shared" si="4"/>
        <v>141511</v>
      </c>
      <c r="N14" s="37">
        <f t="shared" si="4"/>
        <v>39301</v>
      </c>
      <c r="O14" s="38">
        <f t="shared" si="4"/>
        <v>20654.19</v>
      </c>
      <c r="P14" s="12"/>
    </row>
    <row r="15" s="2" customFormat="1" ht="13.9" customHeight="1" spans="1:17">
      <c r="A15" s="39" t="s">
        <v>37</v>
      </c>
      <c r="B15" s="18" t="s">
        <v>30</v>
      </c>
      <c r="C15" s="19" t="s">
        <v>38</v>
      </c>
      <c r="D15" s="23">
        <f t="shared" ref="D15:D31" si="5">G15+H15+I15</f>
        <v>0</v>
      </c>
      <c r="E15" s="40"/>
      <c r="F15" s="40"/>
      <c r="G15" s="23">
        <f t="shared" ref="G15:G29" si="6">SUM(E15:F15)</f>
        <v>0</v>
      </c>
      <c r="H15" s="23"/>
      <c r="I15" s="25"/>
      <c r="J15" s="23">
        <f t="shared" ref="J15:J31" si="7">M15+N15+O15</f>
        <v>40206.7719342742</v>
      </c>
      <c r="K15" s="26">
        <f>E15+'26.11'!K15</f>
        <v>14337.393088</v>
      </c>
      <c r="L15" s="41">
        <f>F15+'26.11'!L15</f>
        <v>13051.1898</v>
      </c>
      <c r="M15" s="23">
        <f t="shared" ref="M15:M29" si="8">SUM(K15:L15)</f>
        <v>27388.582888</v>
      </c>
      <c r="N15" s="26">
        <f>H15+'26.11'!N15</f>
        <v>7865</v>
      </c>
      <c r="O15" s="26">
        <f>I15+'26.11'!O15</f>
        <v>4953.18904627418</v>
      </c>
      <c r="P15" s="12"/>
    </row>
    <row r="16" s="2" customFormat="1" ht="13.9" customHeight="1" spans="1:17">
      <c r="A16" s="39" t="s">
        <v>39</v>
      </c>
      <c r="B16" s="18" t="s">
        <v>30</v>
      </c>
      <c r="C16" s="19" t="s">
        <v>40</v>
      </c>
      <c r="D16" s="23">
        <f t="shared" si="5"/>
        <v>0</v>
      </c>
      <c r="E16" s="40"/>
      <c r="F16" s="40"/>
      <c r="G16" s="23">
        <f t="shared" si="6"/>
        <v>0</v>
      </c>
      <c r="H16" s="23"/>
      <c r="I16" s="25"/>
      <c r="J16" s="23">
        <f t="shared" si="7"/>
        <v>161259.418065726</v>
      </c>
      <c r="K16" s="26">
        <f>E16+'26.11'!K16</f>
        <v>53934.606912</v>
      </c>
      <c r="L16" s="41">
        <f>F16+'26.11'!L16</f>
        <v>60187.8102</v>
      </c>
      <c r="M16" s="23">
        <f t="shared" si="8"/>
        <v>114122.417112</v>
      </c>
      <c r="N16" s="26">
        <f>H16+'26.11'!N16</f>
        <v>31436</v>
      </c>
      <c r="O16" s="26">
        <f>I16+'26.11'!O16</f>
        <v>15701.0009537258</v>
      </c>
      <c r="P16" s="12"/>
    </row>
    <row r="17" s="2" customFormat="1" ht="13.9" customHeight="1" spans="1:16">
      <c r="A17" s="17" t="s">
        <v>41</v>
      </c>
      <c r="B17" s="18" t="s">
        <v>30</v>
      </c>
      <c r="C17" s="19" t="s">
        <v>42</v>
      </c>
      <c r="D17" s="23">
        <f t="shared" ref="D17:O17" si="9">D18+D19</f>
        <v>0</v>
      </c>
      <c r="E17" s="23">
        <f t="shared" si="9"/>
        <v>0</v>
      </c>
      <c r="F17" s="23">
        <f t="shared" si="9"/>
        <v>0</v>
      </c>
      <c r="G17" s="23">
        <f t="shared" si="9"/>
        <v>0</v>
      </c>
      <c r="H17" s="40">
        <f t="shared" si="9"/>
        <v>0</v>
      </c>
      <c r="I17" s="25">
        <f t="shared" si="9"/>
        <v>0</v>
      </c>
      <c r="J17" s="23">
        <f t="shared" si="9"/>
        <v>108.5</v>
      </c>
      <c r="K17" s="23">
        <f t="shared" si="9"/>
        <v>69.3</v>
      </c>
      <c r="L17" s="23">
        <f t="shared" si="9"/>
        <v>25</v>
      </c>
      <c r="M17" s="23">
        <f t="shared" si="9"/>
        <v>94.3</v>
      </c>
      <c r="N17" s="40">
        <f t="shared" si="9"/>
        <v>14</v>
      </c>
      <c r="O17" s="25">
        <f t="shared" si="9"/>
        <v>0.2</v>
      </c>
      <c r="P17" s="12"/>
    </row>
    <row r="18" s="2" customFormat="1" ht="13.9" customHeight="1" spans="1:16">
      <c r="A18" s="39" t="s">
        <v>43</v>
      </c>
      <c r="B18" s="18" t="s">
        <v>30</v>
      </c>
      <c r="C18" s="19" t="s">
        <v>44</v>
      </c>
      <c r="D18" s="23">
        <f t="shared" si="5"/>
        <v>0</v>
      </c>
      <c r="E18" s="23"/>
      <c r="F18" s="23"/>
      <c r="G18" s="23">
        <f t="shared" si="6"/>
        <v>0</v>
      </c>
      <c r="H18" s="40"/>
      <c r="I18" s="25"/>
      <c r="J18" s="23">
        <f t="shared" si="7"/>
        <v>22.056240243298</v>
      </c>
      <c r="K18" s="26">
        <f>E18+'26.11'!K18</f>
        <v>14.5532772</v>
      </c>
      <c r="L18" s="26">
        <f>F18+'26.11'!L18</f>
        <v>4.455</v>
      </c>
      <c r="M18" s="23">
        <f t="shared" si="8"/>
        <v>19.0082772</v>
      </c>
      <c r="N18" s="41">
        <f>H18+'26.11'!N18</f>
        <v>3</v>
      </c>
      <c r="O18" s="26">
        <f>I18+'26.11'!O18</f>
        <v>0.0479630432979863</v>
      </c>
      <c r="P18" s="12"/>
    </row>
    <row r="19" s="2" customFormat="1" ht="13.9" customHeight="1" spans="1:16">
      <c r="A19" s="39" t="s">
        <v>45</v>
      </c>
      <c r="B19" s="18" t="s">
        <v>30</v>
      </c>
      <c r="C19" s="19" t="s">
        <v>46</v>
      </c>
      <c r="D19" s="23">
        <f t="shared" si="5"/>
        <v>0</v>
      </c>
      <c r="E19" s="23"/>
      <c r="F19" s="23"/>
      <c r="G19" s="23">
        <f t="shared" si="6"/>
        <v>0</v>
      </c>
      <c r="H19" s="40"/>
      <c r="I19" s="25"/>
      <c r="J19" s="23">
        <f t="shared" si="7"/>
        <v>86.443759756702</v>
      </c>
      <c r="K19" s="26">
        <f>E19+'26.11'!K19</f>
        <v>54.7467228</v>
      </c>
      <c r="L19" s="26">
        <f>F19+'26.11'!L19</f>
        <v>20.545</v>
      </c>
      <c r="M19" s="23">
        <f t="shared" si="8"/>
        <v>75.2917228</v>
      </c>
      <c r="N19" s="41">
        <f>H19+'26.11'!N19</f>
        <v>11</v>
      </c>
      <c r="O19" s="26">
        <f>I19+'26.11'!O19</f>
        <v>0.152036956702014</v>
      </c>
      <c r="P19" s="12"/>
    </row>
    <row r="20" s="2" customFormat="1" ht="13.9" customHeight="1" spans="1:16">
      <c r="A20" s="17" t="s">
        <v>47</v>
      </c>
      <c r="B20" s="18" t="s">
        <v>30</v>
      </c>
      <c r="C20" s="19" t="s">
        <v>48</v>
      </c>
      <c r="D20" s="23">
        <f t="shared" si="5"/>
        <v>0</v>
      </c>
      <c r="E20" s="23"/>
      <c r="F20" s="23"/>
      <c r="G20" s="23">
        <f t="shared" si="6"/>
        <v>0</v>
      </c>
      <c r="H20" s="23"/>
      <c r="I20" s="25"/>
      <c r="J20" s="23">
        <f t="shared" si="7"/>
        <v>501831</v>
      </c>
      <c r="K20" s="26">
        <f>E20+'26.11'!K20</f>
        <v>177610</v>
      </c>
      <c r="L20" s="26">
        <f>F20+'26.11'!L20</f>
        <v>194774</v>
      </c>
      <c r="M20" s="23">
        <f t="shared" si="8"/>
        <v>372384</v>
      </c>
      <c r="N20" s="26">
        <f>H20+'26.11'!N20</f>
        <v>94794</v>
      </c>
      <c r="O20" s="26">
        <f>I20+'26.11'!O20</f>
        <v>34653</v>
      </c>
      <c r="P20" s="12"/>
    </row>
    <row r="21" s="2" customFormat="1" ht="13.9" customHeight="1" spans="1:16">
      <c r="A21" s="17" t="s">
        <v>49</v>
      </c>
      <c r="B21" s="18" t="s">
        <v>30</v>
      </c>
      <c r="C21" s="19" t="s">
        <v>50</v>
      </c>
      <c r="D21" s="23">
        <f t="shared" si="5"/>
        <v>0</v>
      </c>
      <c r="E21" s="23"/>
      <c r="F21" s="23"/>
      <c r="G21" s="23">
        <f t="shared" si="6"/>
        <v>0</v>
      </c>
      <c r="H21" s="23"/>
      <c r="I21" s="25"/>
      <c r="J21" s="23">
        <f t="shared" si="7"/>
        <v>132751</v>
      </c>
      <c r="K21" s="26">
        <f>E21+'26.11'!K21</f>
        <v>121213</v>
      </c>
      <c r="L21" s="26">
        <f>F21+'26.11'!L21</f>
        <v>0</v>
      </c>
      <c r="M21" s="23">
        <f t="shared" si="8"/>
        <v>121213</v>
      </c>
      <c r="N21" s="26">
        <f>H21+'26.11'!N21</f>
        <v>0</v>
      </c>
      <c r="O21" s="26">
        <f>I21+'26.11'!O21</f>
        <v>11538</v>
      </c>
      <c r="P21" s="12"/>
    </row>
    <row r="22" s="2" customFormat="1" ht="13.9" customHeight="1" spans="1:16">
      <c r="A22" s="17" t="s">
        <v>51</v>
      </c>
      <c r="B22" s="18" t="s">
        <v>30</v>
      </c>
      <c r="C22" s="19" t="s">
        <v>52</v>
      </c>
      <c r="D22" s="23">
        <f t="shared" si="5"/>
        <v>0</v>
      </c>
      <c r="E22" s="23"/>
      <c r="F22" s="23"/>
      <c r="G22" s="23">
        <f t="shared" si="6"/>
        <v>0</v>
      </c>
      <c r="H22" s="23"/>
      <c r="I22" s="25"/>
      <c r="J22" s="23">
        <f t="shared" si="7"/>
        <v>63.71</v>
      </c>
      <c r="K22" s="26">
        <f>E22+'26.11'!K22</f>
        <v>6.4</v>
      </c>
      <c r="L22" s="26">
        <f>F22+'26.11'!L22</f>
        <v>40</v>
      </c>
      <c r="M22" s="23">
        <f t="shared" si="8"/>
        <v>46.4</v>
      </c>
      <c r="N22" s="26">
        <f>H22+'26.11'!N22</f>
        <v>15</v>
      </c>
      <c r="O22" s="26">
        <f>I22+'26.11'!O22</f>
        <v>2.31</v>
      </c>
      <c r="P22" s="12"/>
    </row>
    <row r="23" s="2" customFormat="1" ht="13.9" customHeight="1" spans="1:16">
      <c r="A23" s="17" t="s">
        <v>53</v>
      </c>
      <c r="B23" s="18" t="s">
        <v>30</v>
      </c>
      <c r="C23" s="19" t="s">
        <v>54</v>
      </c>
      <c r="D23" s="23">
        <f t="shared" si="5"/>
        <v>0</v>
      </c>
      <c r="E23" s="23"/>
      <c r="F23" s="23"/>
      <c r="G23" s="23">
        <f t="shared" si="6"/>
        <v>0</v>
      </c>
      <c r="H23" s="23"/>
      <c r="I23" s="25"/>
      <c r="J23" s="23">
        <f t="shared" si="7"/>
        <v>54</v>
      </c>
      <c r="K23" s="26">
        <f>E23+'26.11'!K23</f>
        <v>9.7</v>
      </c>
      <c r="L23" s="26">
        <f>F23+'26.11'!L23</f>
        <v>32</v>
      </c>
      <c r="M23" s="23">
        <f t="shared" si="8"/>
        <v>41.7</v>
      </c>
      <c r="N23" s="26">
        <f>H23+'26.11'!N23</f>
        <v>10</v>
      </c>
      <c r="O23" s="26">
        <f>I23+'26.11'!O23</f>
        <v>2.3</v>
      </c>
      <c r="P23" s="12"/>
    </row>
    <row r="24" s="2" customFormat="1" ht="13.9" customHeight="1" spans="1:16">
      <c r="A24" s="17" t="s">
        <v>55</v>
      </c>
      <c r="B24" s="18" t="s">
        <v>30</v>
      </c>
      <c r="C24" s="19" t="s">
        <v>56</v>
      </c>
      <c r="D24" s="23">
        <f t="shared" si="5"/>
        <v>0</v>
      </c>
      <c r="E24" s="23"/>
      <c r="G24" s="23">
        <f t="shared" si="6"/>
        <v>0</v>
      </c>
      <c r="H24" s="23"/>
      <c r="I24" s="25"/>
      <c r="J24" s="23">
        <f t="shared" si="7"/>
        <v>601.88</v>
      </c>
      <c r="K24" s="26">
        <f>E24+'26.11'!K24</f>
        <v>0</v>
      </c>
      <c r="L24" s="26">
        <f>F24+'26.11'!L24</f>
        <v>0</v>
      </c>
      <c r="M24" s="23">
        <f t="shared" si="8"/>
        <v>0</v>
      </c>
      <c r="N24" s="26">
        <f>H24+'26.11'!N24</f>
        <v>0</v>
      </c>
      <c r="O24" s="26">
        <f>I24+'26.11'!O24</f>
        <v>601.88</v>
      </c>
      <c r="P24" s="12"/>
    </row>
    <row r="25" s="2" customFormat="1" ht="13.9" customHeight="1" spans="1:16">
      <c r="A25" s="17" t="s">
        <v>57</v>
      </c>
      <c r="B25" s="18" t="s">
        <v>30</v>
      </c>
      <c r="C25" s="19" t="s">
        <v>58</v>
      </c>
      <c r="D25" s="23">
        <f t="shared" si="5"/>
        <v>0</v>
      </c>
      <c r="E25" s="42"/>
      <c r="F25" s="23"/>
      <c r="G25" s="23">
        <f t="shared" si="6"/>
        <v>0</v>
      </c>
      <c r="H25" s="23"/>
      <c r="I25" s="25"/>
      <c r="J25" s="23">
        <f t="shared" si="7"/>
        <v>3965.38</v>
      </c>
      <c r="K25" s="26">
        <f>E25+'26.11'!K25</f>
        <v>2045</v>
      </c>
      <c r="L25" s="26">
        <f>F25+'26.11'!L25</f>
        <v>854</v>
      </c>
      <c r="M25" s="23">
        <f t="shared" si="8"/>
        <v>2899</v>
      </c>
      <c r="N25" s="26">
        <f>H25+'26.11'!N25</f>
        <v>702</v>
      </c>
      <c r="O25" s="26">
        <f>I25+'26.11'!O25</f>
        <v>364.38</v>
      </c>
      <c r="P25" s="12"/>
    </row>
    <row r="26" s="2" customFormat="1" ht="13.9" customHeight="1" spans="1:16">
      <c r="A26" s="17" t="s">
        <v>59</v>
      </c>
      <c r="B26" s="18" t="s">
        <v>30</v>
      </c>
      <c r="C26" s="19" t="s">
        <v>60</v>
      </c>
      <c r="D26" s="23">
        <f t="shared" si="5"/>
        <v>0</v>
      </c>
      <c r="E26" s="42"/>
      <c r="F26" s="23"/>
      <c r="G26" s="23">
        <f t="shared" si="6"/>
        <v>0</v>
      </c>
      <c r="H26" s="23"/>
      <c r="I26" s="43"/>
      <c r="J26" s="23">
        <f t="shared" si="7"/>
        <v>972.013</v>
      </c>
      <c r="K26" s="26">
        <f>E26+'26.11'!K26</f>
        <v>377.74</v>
      </c>
      <c r="L26" s="26">
        <f>F26+'26.11'!L26</f>
        <v>201</v>
      </c>
      <c r="M26" s="23">
        <f t="shared" si="8"/>
        <v>578.74</v>
      </c>
      <c r="N26" s="26">
        <f>H26+'26.11'!N26</f>
        <v>319</v>
      </c>
      <c r="O26" s="26">
        <f>I26+'26.11'!O26</f>
        <v>74.273</v>
      </c>
      <c r="P26" s="12"/>
    </row>
    <row r="27" s="4" customFormat="1" ht="13.9" customHeight="1" spans="1:16">
      <c r="A27" s="44" t="s">
        <v>61</v>
      </c>
      <c r="B27" s="45" t="s">
        <v>30</v>
      </c>
      <c r="C27" s="19" t="s">
        <v>62</v>
      </c>
      <c r="D27" s="46">
        <f t="shared" si="5"/>
        <v>0</v>
      </c>
      <c r="E27" s="47"/>
      <c r="F27" s="46"/>
      <c r="G27" s="46">
        <f t="shared" si="6"/>
        <v>0</v>
      </c>
      <c r="H27" s="46"/>
      <c r="I27" s="48"/>
      <c r="J27" s="46">
        <f t="shared" si="7"/>
        <v>3.125</v>
      </c>
      <c r="K27" s="26">
        <f>E27+'26.11'!K27</f>
        <v>1.075</v>
      </c>
      <c r="L27" s="26">
        <f>F27+'26.11'!L27</f>
        <v>1</v>
      </c>
      <c r="M27" s="46">
        <f t="shared" si="8"/>
        <v>2.075</v>
      </c>
      <c r="N27" s="26">
        <f>H27+'26.11'!N27</f>
        <v>1</v>
      </c>
      <c r="O27" s="26">
        <f>I27+'26.11'!O27</f>
        <v>0.05</v>
      </c>
      <c r="P27" s="49"/>
    </row>
    <row r="28" s="4" customFormat="1" ht="13.9" customHeight="1" spans="1:16">
      <c r="A28" s="44" t="s">
        <v>63</v>
      </c>
      <c r="B28" s="45" t="s">
        <v>30</v>
      </c>
      <c r="C28" s="19" t="s">
        <v>64</v>
      </c>
      <c r="D28" s="46">
        <f t="shared" si="5"/>
        <v>0</v>
      </c>
      <c r="E28" s="47"/>
      <c r="F28" s="46"/>
      <c r="G28" s="46">
        <f t="shared" si="6"/>
        <v>0</v>
      </c>
      <c r="H28" s="46"/>
      <c r="I28" s="50"/>
      <c r="J28" s="46">
        <f t="shared" si="7"/>
        <v>0</v>
      </c>
      <c r="K28" s="26">
        <f>E28+'26.11'!K28</f>
        <v>0</v>
      </c>
      <c r="L28" s="26">
        <f>F28+'26.11'!L28</f>
        <v>0</v>
      </c>
      <c r="M28" s="46">
        <f t="shared" si="8"/>
        <v>0</v>
      </c>
      <c r="N28" s="26">
        <f>H28+'26.11'!N28</f>
        <v>0</v>
      </c>
      <c r="O28" s="26">
        <f>I28+'26.11'!O28</f>
        <v>0</v>
      </c>
      <c r="P28" s="49"/>
    </row>
    <row r="29" s="4" customFormat="1" ht="13.9" customHeight="1" spans="1:16">
      <c r="A29" s="44" t="s">
        <v>65</v>
      </c>
      <c r="B29" s="45" t="s">
        <v>30</v>
      </c>
      <c r="C29" s="19" t="s">
        <v>66</v>
      </c>
      <c r="D29" s="23">
        <f t="shared" si="5"/>
        <v>0</v>
      </c>
      <c r="E29" s="42"/>
      <c r="F29" s="23"/>
      <c r="G29" s="23">
        <f t="shared" si="6"/>
        <v>0</v>
      </c>
      <c r="H29" s="23"/>
      <c r="I29" s="25"/>
      <c r="J29" s="23">
        <f t="shared" si="7"/>
        <v>28</v>
      </c>
      <c r="K29" s="26">
        <f>E29+'26.11'!K29</f>
        <v>28</v>
      </c>
      <c r="L29" s="26">
        <f>F29+'26.11'!L29</f>
        <v>0</v>
      </c>
      <c r="M29" s="23">
        <f t="shared" si="8"/>
        <v>28</v>
      </c>
      <c r="N29" s="26">
        <f>H29+'26.11'!N29</f>
        <v>0</v>
      </c>
      <c r="O29" s="26">
        <f>I29+'26.11'!O29</f>
        <v>0</v>
      </c>
      <c r="P29" s="49"/>
    </row>
    <row r="30" s="2" customFormat="1" ht="13.9" customHeight="1" spans="1:16">
      <c r="A30" s="17" t="s">
        <v>67</v>
      </c>
      <c r="B30" s="18" t="s">
        <v>18</v>
      </c>
      <c r="C30" s="19" t="s">
        <v>68</v>
      </c>
      <c r="D30" s="23">
        <f t="shared" si="5"/>
        <v>0</v>
      </c>
      <c r="E30" s="23">
        <f t="shared" ref="E30:I30" si="10">E7-E8</f>
        <v>0</v>
      </c>
      <c r="F30" s="23">
        <f t="shared" si="10"/>
        <v>0</v>
      </c>
      <c r="G30" s="23">
        <f t="shared" si="10"/>
        <v>0</v>
      </c>
      <c r="H30" s="23">
        <f t="shared" si="10"/>
        <v>0</v>
      </c>
      <c r="I30" s="25">
        <f t="shared" si="10"/>
        <v>0</v>
      </c>
      <c r="J30" s="23">
        <f t="shared" si="7"/>
        <v>51347476</v>
      </c>
      <c r="K30" s="26">
        <f>E30+'26.11'!K30</f>
        <v>23607684</v>
      </c>
      <c r="L30" s="26">
        <f>F30+'26.11'!L30</f>
        <v>16539048</v>
      </c>
      <c r="M30" s="23">
        <f>M7-M8</f>
        <v>40146732</v>
      </c>
      <c r="N30" s="26">
        <f>H30+'26.11'!N30</f>
        <v>6998808</v>
      </c>
      <c r="O30" s="26">
        <f>I30+'26.11'!O30</f>
        <v>4201936</v>
      </c>
      <c r="P30" s="12"/>
    </row>
    <row r="31" s="2" customFormat="1" ht="13.9" customHeight="1" spans="1:16">
      <c r="A31" s="17" t="s">
        <v>69</v>
      </c>
      <c r="B31" s="18" t="s">
        <v>18</v>
      </c>
      <c r="C31" s="19" t="s">
        <v>70</v>
      </c>
      <c r="D31" s="23">
        <f t="shared" si="5"/>
        <v>0</v>
      </c>
      <c r="E31" s="23"/>
      <c r="F31" s="23"/>
      <c r="G31" s="23">
        <f t="shared" ref="G31:G34" si="11">SUM(E31:F31)</f>
        <v>0</v>
      </c>
      <c r="H31" s="23"/>
      <c r="I31" s="25"/>
      <c r="J31" s="23">
        <f t="shared" si="7"/>
        <v>7167192.5</v>
      </c>
      <c r="K31" s="26">
        <f>E31+'26.11'!K31</f>
        <v>6593264.5</v>
      </c>
      <c r="L31" s="26">
        <f>F31+'26.11'!L31</f>
        <v>573928</v>
      </c>
      <c r="M31" s="23">
        <f t="shared" ref="M31:M34" si="12">SUM(K31:L31)</f>
        <v>7167192.5</v>
      </c>
      <c r="N31" s="26">
        <f>H31+'26.11'!N31</f>
        <v>0</v>
      </c>
      <c r="O31" s="26">
        <f>I31+'26.11'!O31</f>
        <v>0</v>
      </c>
      <c r="P31" s="12"/>
    </row>
    <row r="32" s="2" customFormat="1" ht="13.9" customHeight="1" spans="1:16">
      <c r="A32" s="17" t="s">
        <v>71</v>
      </c>
      <c r="B32" s="18" t="s">
        <v>18</v>
      </c>
      <c r="C32" s="19" t="s">
        <v>72</v>
      </c>
      <c r="D32" s="23">
        <f t="shared" ref="D32:O32" si="13">D33+D34</f>
        <v>0</v>
      </c>
      <c r="E32" s="23">
        <f t="shared" si="13"/>
        <v>0</v>
      </c>
      <c r="F32" s="23">
        <f t="shared" si="13"/>
        <v>0</v>
      </c>
      <c r="G32" s="23">
        <f t="shared" si="13"/>
        <v>0</v>
      </c>
      <c r="H32" s="23">
        <f t="shared" si="13"/>
        <v>0</v>
      </c>
      <c r="I32" s="25">
        <f t="shared" si="13"/>
        <v>0</v>
      </c>
      <c r="J32" s="23">
        <f t="shared" si="13"/>
        <v>44180282.7800001</v>
      </c>
      <c r="K32" s="23">
        <f t="shared" si="13"/>
        <v>17014418.7800001</v>
      </c>
      <c r="L32" s="23">
        <f t="shared" si="13"/>
        <v>15965120</v>
      </c>
      <c r="M32" s="23">
        <f t="shared" si="13"/>
        <v>32979538.7800001</v>
      </c>
      <c r="N32" s="23">
        <f t="shared" si="13"/>
        <v>6998808</v>
      </c>
      <c r="O32" s="23">
        <f t="shared" si="13"/>
        <v>4201936</v>
      </c>
      <c r="P32" s="12"/>
    </row>
    <row r="33" s="2" customFormat="1" ht="13.9" customHeight="1" spans="1:16">
      <c r="A33" s="17" t="s">
        <v>73</v>
      </c>
      <c r="B33" s="18" t="s">
        <v>18</v>
      </c>
      <c r="C33" s="19" t="s">
        <v>74</v>
      </c>
      <c r="D33" s="23">
        <f>G33+H33+I33</f>
        <v>0</v>
      </c>
      <c r="E33" s="23"/>
      <c r="F33" s="23"/>
      <c r="G33" s="23">
        <f t="shared" si="11"/>
        <v>0</v>
      </c>
      <c r="H33" s="23"/>
      <c r="I33" s="25"/>
      <c r="J33" s="23">
        <f>M33+N33+O33</f>
        <v>8826323.57699198</v>
      </c>
      <c r="K33" s="26">
        <f>E33+'26.11'!K33</f>
        <v>3573096.00147514</v>
      </c>
      <c r="L33" s="51">
        <f>F33+'26.11'!L33</f>
        <v>2844984.384</v>
      </c>
      <c r="M33" s="23">
        <f t="shared" si="12"/>
        <v>6418080.38547514</v>
      </c>
      <c r="N33" s="26">
        <f>H33+'26.11'!N33</f>
        <v>1400555</v>
      </c>
      <c r="O33" s="26">
        <f>I33+'26.11'!O33</f>
        <v>1007688.19151684</v>
      </c>
      <c r="P33" s="12"/>
    </row>
    <row r="34" s="2" customFormat="1" ht="13.9" customHeight="1" spans="1:16">
      <c r="A34" s="52" t="s">
        <v>75</v>
      </c>
      <c r="B34" s="18" t="s">
        <v>18</v>
      </c>
      <c r="C34" s="19" t="s">
        <v>76</v>
      </c>
      <c r="D34" s="23">
        <f>G34+H34+I34</f>
        <v>0</v>
      </c>
      <c r="E34" s="23"/>
      <c r="F34" s="23"/>
      <c r="G34" s="23">
        <f t="shared" si="11"/>
        <v>0</v>
      </c>
      <c r="H34" s="23"/>
      <c r="I34" s="25"/>
      <c r="J34" s="23">
        <f>M34+N34+O34</f>
        <v>35353959.2030082</v>
      </c>
      <c r="K34" s="26">
        <f>E34+'26.11'!K34</f>
        <v>13441322.778525</v>
      </c>
      <c r="L34" s="51">
        <f>F34+'26.11'!L34</f>
        <v>13120135.616</v>
      </c>
      <c r="M34" s="23">
        <f t="shared" si="12"/>
        <v>26561458.394525</v>
      </c>
      <c r="N34" s="26">
        <f>H34+'26.11'!N34</f>
        <v>5598253</v>
      </c>
      <c r="O34" s="26">
        <f>I34+'26.11'!O34</f>
        <v>3194247.80848316</v>
      </c>
      <c r="P34" s="12"/>
    </row>
    <row r="35" s="2" customFormat="1" ht="13.9" customHeight="1" spans="1:16">
      <c r="A35" s="17" t="s">
        <v>77</v>
      </c>
      <c r="B35" s="53" t="s">
        <v>78</v>
      </c>
      <c r="C35" s="19" t="s">
        <v>79</v>
      </c>
      <c r="D35" s="54" t="e">
        <f t="shared" ref="D35:O35" si="14">D30*100/D7</f>
        <v>#DIV/0!</v>
      </c>
      <c r="E35" s="54" t="e">
        <f t="shared" si="14"/>
        <v>#DIV/0!</v>
      </c>
      <c r="F35" s="54" t="e">
        <f t="shared" si="14"/>
        <v>#DIV/0!</v>
      </c>
      <c r="G35" s="54" t="e">
        <f t="shared" si="14"/>
        <v>#DIV/0!</v>
      </c>
      <c r="H35" s="54" t="e">
        <f t="shared" si="14"/>
        <v>#DIV/0!</v>
      </c>
      <c r="I35" s="55" t="e">
        <f t="shared" si="14"/>
        <v>#DIV/0!</v>
      </c>
      <c r="J35" s="54">
        <f t="shared" si="14"/>
        <v>32.8257416584955</v>
      </c>
      <c r="K35" s="54">
        <f t="shared" si="14"/>
        <v>38.8580824840009</v>
      </c>
      <c r="L35" s="54">
        <f t="shared" si="14"/>
        <v>28.6756297905276</v>
      </c>
      <c r="M35" s="54">
        <f t="shared" si="14"/>
        <v>33.8991464319152</v>
      </c>
      <c r="N35" s="54">
        <f t="shared" si="14"/>
        <v>30.9112783548866</v>
      </c>
      <c r="O35" s="55">
        <f t="shared" si="14"/>
        <v>27.3690052042285</v>
      </c>
      <c r="P35" s="12"/>
    </row>
    <row r="36" s="2" customFormat="1" ht="13.9" customHeight="1" spans="1:16">
      <c r="A36" s="17" t="s">
        <v>80</v>
      </c>
      <c r="B36" s="53" t="s">
        <v>78</v>
      </c>
      <c r="C36" s="19" t="s">
        <v>81</v>
      </c>
      <c r="D36" s="54" t="e">
        <f t="shared" ref="D36:O36" si="15">D33*100/D7</f>
        <v>#DIV/0!</v>
      </c>
      <c r="E36" s="54" t="e">
        <f t="shared" si="15"/>
        <v>#DIV/0!</v>
      </c>
      <c r="F36" s="54" t="e">
        <f t="shared" si="15"/>
        <v>#DIV/0!</v>
      </c>
      <c r="G36" s="54" t="e">
        <f t="shared" si="15"/>
        <v>#DIV/0!</v>
      </c>
      <c r="H36" s="54" t="e">
        <f t="shared" si="15"/>
        <v>#DIV/0!</v>
      </c>
      <c r="I36" s="55" t="e">
        <f t="shared" si="15"/>
        <v>#DIV/0!</v>
      </c>
      <c r="J36" s="54">
        <f t="shared" si="15"/>
        <v>5.6425483802286</v>
      </c>
      <c r="K36" s="54">
        <f t="shared" si="15"/>
        <v>5.88129098765364</v>
      </c>
      <c r="L36" s="54">
        <f t="shared" si="15"/>
        <v>4.9326732079994</v>
      </c>
      <c r="M36" s="54">
        <f t="shared" si="15"/>
        <v>5.41930652783954</v>
      </c>
      <c r="N36" s="54">
        <f t="shared" si="15"/>
        <v>6.18575984029397</v>
      </c>
      <c r="O36" s="55">
        <f t="shared" si="15"/>
        <v>6.56350390816614</v>
      </c>
      <c r="P36" s="12"/>
    </row>
    <row r="37" s="2" customFormat="1" ht="13.9" customHeight="1" spans="1:16">
      <c r="A37" s="17" t="s">
        <v>82</v>
      </c>
      <c r="B37" s="18" t="s">
        <v>83</v>
      </c>
      <c r="C37" s="19" t="s">
        <v>84</v>
      </c>
      <c r="D37" s="54" t="e">
        <f t="shared" ref="D37:O37" si="16">D34/D9</f>
        <v>#DIV/0!</v>
      </c>
      <c r="E37" s="54" t="e">
        <f t="shared" si="16"/>
        <v>#DIV/0!</v>
      </c>
      <c r="F37" s="54" t="e">
        <f t="shared" si="16"/>
        <v>#DIV/0!</v>
      </c>
      <c r="G37" s="54" t="e">
        <f t="shared" si="16"/>
        <v>#DIV/0!</v>
      </c>
      <c r="H37" s="54" t="e">
        <f t="shared" si="16"/>
        <v>#DIV/0!</v>
      </c>
      <c r="I37" s="55" t="e">
        <f t="shared" si="16"/>
        <v>#DIV/0!</v>
      </c>
      <c r="J37" s="54">
        <f t="shared" si="16"/>
        <v>12.583333806852</v>
      </c>
      <c r="K37" s="54">
        <f t="shared" si="16"/>
        <v>13.7124285454164</v>
      </c>
      <c r="L37" s="54">
        <f t="shared" si="16"/>
        <v>13.5659319141374</v>
      </c>
      <c r="M37" s="54">
        <f t="shared" si="16"/>
        <v>13.6396726217168</v>
      </c>
      <c r="N37" s="54">
        <f t="shared" si="16"/>
        <v>9.81936034967832</v>
      </c>
      <c r="O37" s="55">
        <f t="shared" si="16"/>
        <v>10.9356724515669</v>
      </c>
      <c r="P37" s="12"/>
    </row>
    <row r="38" s="2" customFormat="1" ht="13.9" customHeight="1" spans="1:16">
      <c r="A38" s="17" t="s">
        <v>85</v>
      </c>
      <c r="B38" s="18" t="s">
        <v>30</v>
      </c>
      <c r="C38" s="19" t="s">
        <v>86</v>
      </c>
      <c r="D38" s="23">
        <f t="shared" ref="D38:O38" si="17">D39+D42</f>
        <v>0</v>
      </c>
      <c r="E38" s="23">
        <f t="shared" si="17"/>
        <v>0</v>
      </c>
      <c r="F38" s="23">
        <f t="shared" si="17"/>
        <v>0</v>
      </c>
      <c r="G38" s="23">
        <f t="shared" si="17"/>
        <v>0</v>
      </c>
      <c r="H38" s="23">
        <f t="shared" si="17"/>
        <v>0</v>
      </c>
      <c r="I38" s="25">
        <f t="shared" si="17"/>
        <v>0</v>
      </c>
      <c r="J38" s="23">
        <f t="shared" si="17"/>
        <v>137897.360709346</v>
      </c>
      <c r="K38" s="23">
        <f t="shared" si="17"/>
        <v>46848.8813564637</v>
      </c>
      <c r="L38" s="23">
        <f t="shared" si="17"/>
        <v>47986.1317445748</v>
      </c>
      <c r="M38" s="23">
        <f t="shared" si="17"/>
        <v>94835.0131010386</v>
      </c>
      <c r="N38" s="23">
        <f t="shared" si="17"/>
        <v>28210</v>
      </c>
      <c r="O38" s="25">
        <f t="shared" si="17"/>
        <v>14852.3476083078</v>
      </c>
      <c r="P38" s="12"/>
    </row>
    <row r="39" s="2" customFormat="1" ht="13.9" customHeight="1" spans="1:16">
      <c r="A39" s="17" t="s">
        <v>87</v>
      </c>
      <c r="B39" s="18" t="s">
        <v>30</v>
      </c>
      <c r="C39" s="19" t="s">
        <v>88</v>
      </c>
      <c r="D39" s="23">
        <f t="shared" ref="D39:O39" si="18">D40+D41</f>
        <v>0</v>
      </c>
      <c r="E39" s="23">
        <f t="shared" si="18"/>
        <v>0</v>
      </c>
      <c r="F39" s="23">
        <f t="shared" si="18"/>
        <v>0</v>
      </c>
      <c r="G39" s="23">
        <f t="shared" si="18"/>
        <v>0</v>
      </c>
      <c r="H39" s="23">
        <f t="shared" si="18"/>
        <v>0</v>
      </c>
      <c r="I39" s="25">
        <f t="shared" si="18"/>
        <v>0</v>
      </c>
      <c r="J39" s="23">
        <f t="shared" si="18"/>
        <v>27596.4001143361</v>
      </c>
      <c r="K39" s="23">
        <f t="shared" si="18"/>
        <v>9838.45248038282</v>
      </c>
      <c r="L39" s="23">
        <f t="shared" si="18"/>
        <v>8551.12867688324</v>
      </c>
      <c r="M39" s="23">
        <f t="shared" si="18"/>
        <v>18389.5811572661</v>
      </c>
      <c r="N39" s="23">
        <f t="shared" si="18"/>
        <v>5645</v>
      </c>
      <c r="O39" s="25">
        <f t="shared" si="18"/>
        <v>3561.81895707005</v>
      </c>
      <c r="P39" s="12"/>
    </row>
    <row r="40" s="2" customFormat="1" ht="13.9" customHeight="1" spans="1:16">
      <c r="A40" s="17" t="s">
        <v>89</v>
      </c>
      <c r="B40" s="18" t="s">
        <v>30</v>
      </c>
      <c r="C40" s="19" t="s">
        <v>90</v>
      </c>
      <c r="D40" s="23">
        <f t="shared" ref="D40:D44" si="19">G40+H40+I40</f>
        <v>0</v>
      </c>
      <c r="E40" s="23"/>
      <c r="F40" s="23"/>
      <c r="G40" s="23">
        <f t="shared" ref="G40:G44" si="20">SUM(E40:F40)</f>
        <v>0</v>
      </c>
      <c r="H40" s="56"/>
      <c r="I40" s="25"/>
      <c r="J40" s="23">
        <f t="shared" ref="J40:J44" si="21">M40+N40+O40</f>
        <v>27564.6346349947</v>
      </c>
      <c r="K40" s="26">
        <f>E40+'26.11'!K40</f>
        <v>9817.2469001747</v>
      </c>
      <c r="L40" s="26">
        <f>F40+'26.11'!L40</f>
        <v>8544.63729638324</v>
      </c>
      <c r="M40" s="23">
        <f t="shared" ref="M40:M44" si="22">SUM(K40:L40)</f>
        <v>18361.8841965579</v>
      </c>
      <c r="N40" s="26">
        <f>H40+'26.11'!N40</f>
        <v>5641</v>
      </c>
      <c r="O40" s="26">
        <f>I40+'26.11'!O40</f>
        <v>3561.75043843677</v>
      </c>
      <c r="P40" s="12"/>
    </row>
    <row r="41" s="2" customFormat="1" ht="13.9" customHeight="1" spans="1:16">
      <c r="A41" s="52" t="s">
        <v>91</v>
      </c>
      <c r="B41" s="18" t="s">
        <v>30</v>
      </c>
      <c r="C41" s="19" t="s">
        <v>92</v>
      </c>
      <c r="D41" s="23">
        <f t="shared" si="19"/>
        <v>0</v>
      </c>
      <c r="E41" s="23"/>
      <c r="F41" s="23"/>
      <c r="G41" s="23">
        <f t="shared" si="20"/>
        <v>0</v>
      </c>
      <c r="H41" s="56"/>
      <c r="I41" s="25"/>
      <c r="J41" s="23">
        <f t="shared" si="21"/>
        <v>31.7654793414028</v>
      </c>
      <c r="K41" s="26">
        <f>E41+'26.11'!K41</f>
        <v>21.20558020812</v>
      </c>
      <c r="L41" s="26">
        <f>F41+'26.11'!L41</f>
        <v>6.4913805</v>
      </c>
      <c r="M41" s="23">
        <f t="shared" si="22"/>
        <v>27.69696070812</v>
      </c>
      <c r="N41" s="26">
        <f>H41+'26.11'!N41</f>
        <v>4</v>
      </c>
      <c r="O41" s="26">
        <f>I41+'26.11'!O41</f>
        <v>0.0685186332828376</v>
      </c>
      <c r="P41" s="12"/>
    </row>
    <row r="42" s="2" customFormat="1" ht="13.9" customHeight="1" spans="1:16">
      <c r="A42" s="17" t="s">
        <v>93</v>
      </c>
      <c r="B42" s="18" t="s">
        <v>30</v>
      </c>
      <c r="C42" s="19" t="s">
        <v>94</v>
      </c>
      <c r="D42" s="23">
        <f t="shared" ref="D42:O42" si="23">D43+D44</f>
        <v>0</v>
      </c>
      <c r="E42" s="23">
        <f t="shared" si="23"/>
        <v>0</v>
      </c>
      <c r="F42" s="23">
        <f t="shared" si="23"/>
        <v>0</v>
      </c>
      <c r="G42" s="23">
        <f t="shared" si="23"/>
        <v>0</v>
      </c>
      <c r="H42" s="23">
        <f t="shared" si="23"/>
        <v>0</v>
      </c>
      <c r="I42" s="25">
        <f t="shared" si="23"/>
        <v>0</v>
      </c>
      <c r="J42" s="23">
        <f t="shared" si="23"/>
        <v>110300.96059501</v>
      </c>
      <c r="K42" s="23">
        <f t="shared" si="23"/>
        <v>37010.4288760809</v>
      </c>
      <c r="L42" s="23">
        <f t="shared" si="23"/>
        <v>39435.0030676916</v>
      </c>
      <c r="M42" s="23">
        <f t="shared" si="23"/>
        <v>76445.4319437725</v>
      </c>
      <c r="N42" s="23">
        <f t="shared" si="23"/>
        <v>22565</v>
      </c>
      <c r="O42" s="25">
        <f t="shared" si="23"/>
        <v>11290.5286512377</v>
      </c>
      <c r="P42" s="12"/>
    </row>
    <row r="43" s="2" customFormat="1" ht="13.9" customHeight="1" spans="1:16">
      <c r="A43" s="17" t="s">
        <v>89</v>
      </c>
      <c r="B43" s="18" t="s">
        <v>30</v>
      </c>
      <c r="C43" s="19" t="s">
        <v>95</v>
      </c>
      <c r="D43" s="23">
        <f t="shared" si="19"/>
        <v>0</v>
      </c>
      <c r="E43" s="23"/>
      <c r="F43" s="23"/>
      <c r="G43" s="23">
        <f t="shared" si="20"/>
        <v>0</v>
      </c>
      <c r="H43" s="23"/>
      <c r="I43" s="25"/>
      <c r="J43" s="23">
        <f t="shared" si="21"/>
        <v>110175.033483778</v>
      </c>
      <c r="K43" s="26">
        <f>E43+'26.11'!K43</f>
        <v>36930.6550800009</v>
      </c>
      <c r="L43" s="26">
        <f>F43+'26.11'!L43</f>
        <v>39405.0669481916</v>
      </c>
      <c r="M43" s="23">
        <f t="shared" si="22"/>
        <v>76335.7220281925</v>
      </c>
      <c r="N43" s="26">
        <f>H43+'26.11'!N43</f>
        <v>22549</v>
      </c>
      <c r="O43" s="26">
        <f>I43+'26.11'!O43</f>
        <v>11290.3114555853</v>
      </c>
      <c r="P43" s="12"/>
    </row>
    <row r="44" s="2" customFormat="1" ht="13.9" customHeight="1" spans="1:16">
      <c r="A44" s="52" t="s">
        <v>91</v>
      </c>
      <c r="B44" s="18" t="s">
        <v>30</v>
      </c>
      <c r="C44" s="19" t="s">
        <v>96</v>
      </c>
      <c r="D44" s="23">
        <f t="shared" si="19"/>
        <v>0</v>
      </c>
      <c r="E44" s="23"/>
      <c r="F44" s="23"/>
      <c r="G44" s="23">
        <f t="shared" si="20"/>
        <v>0</v>
      </c>
      <c r="H44" s="23"/>
      <c r="I44" s="25"/>
      <c r="J44" s="23">
        <f t="shared" si="21"/>
        <v>125.927111232431</v>
      </c>
      <c r="K44" s="26">
        <f>E44+'26.11'!K44</f>
        <v>79.77379608</v>
      </c>
      <c r="L44" s="51">
        <f>F44+'26.11'!L44</f>
        <v>29.9361195</v>
      </c>
      <c r="M44" s="23">
        <f t="shared" si="22"/>
        <v>109.70991558</v>
      </c>
      <c r="N44" s="26">
        <f>H44+'26.11'!N44</f>
        <v>16</v>
      </c>
      <c r="O44" s="26">
        <f>I44+'26.11'!O44</f>
        <v>0.217195652431448</v>
      </c>
      <c r="P44" s="12"/>
    </row>
    <row r="45" s="2" customFormat="1" ht="13.9" customHeight="1" spans="1:16">
      <c r="A45" s="17" t="s">
        <v>97</v>
      </c>
      <c r="B45" s="18" t="s">
        <v>98</v>
      </c>
      <c r="C45" s="19" t="s">
        <v>99</v>
      </c>
      <c r="D45" s="23" t="e">
        <f t="shared" ref="D45:O45" si="24">D39*1000000/D7</f>
        <v>#DIV/0!</v>
      </c>
      <c r="E45" s="23" t="e">
        <f t="shared" si="24"/>
        <v>#DIV/0!</v>
      </c>
      <c r="F45" s="23" t="e">
        <f t="shared" si="24"/>
        <v>#DIV/0!</v>
      </c>
      <c r="G45" s="23" t="e">
        <f t="shared" si="24"/>
        <v>#DIV/0!</v>
      </c>
      <c r="H45" s="23" t="e">
        <f t="shared" si="24"/>
        <v>#DIV/0!</v>
      </c>
      <c r="I45" s="25" t="e">
        <f t="shared" si="24"/>
        <v>#DIV/0!</v>
      </c>
      <c r="J45" s="23">
        <f t="shared" si="24"/>
        <v>176.420025174689</v>
      </c>
      <c r="K45" s="23">
        <f t="shared" si="24"/>
        <v>161.940238609446</v>
      </c>
      <c r="L45" s="23">
        <f t="shared" si="24"/>
        <v>148.260649723894</v>
      </c>
      <c r="M45" s="23">
        <f t="shared" si="24"/>
        <v>155.278169209825</v>
      </c>
      <c r="N45" s="23">
        <f t="shared" si="24"/>
        <v>249.319836053989</v>
      </c>
      <c r="O45" s="25">
        <f t="shared" si="24"/>
        <v>231.996492979831</v>
      </c>
      <c r="P45" s="12"/>
    </row>
    <row r="46" s="2" customFormat="1" ht="13.9" customHeight="1" spans="1:16">
      <c r="A46" s="17" t="s">
        <v>100</v>
      </c>
      <c r="B46" s="18" t="s">
        <v>98</v>
      </c>
      <c r="C46" s="19" t="s">
        <v>101</v>
      </c>
      <c r="D46" s="23" t="e">
        <f t="shared" ref="D46:O46" si="25">D39*1000000/(D7-D33)</f>
        <v>#DIV/0!</v>
      </c>
      <c r="E46" s="23" t="e">
        <f t="shared" si="25"/>
        <v>#DIV/0!</v>
      </c>
      <c r="F46" s="23" t="e">
        <f t="shared" si="25"/>
        <v>#DIV/0!</v>
      </c>
      <c r="G46" s="23" t="e">
        <f t="shared" si="25"/>
        <v>#DIV/0!</v>
      </c>
      <c r="H46" s="23" t="e">
        <f t="shared" si="25"/>
        <v>#DIV/0!</v>
      </c>
      <c r="I46" s="25" t="e">
        <f t="shared" si="25"/>
        <v>#DIV/0!</v>
      </c>
      <c r="J46" s="23">
        <f t="shared" si="25"/>
        <v>186.969891774528</v>
      </c>
      <c r="K46" s="23">
        <f t="shared" si="25"/>
        <v>172.059562130418</v>
      </c>
      <c r="L46" s="23">
        <f t="shared" si="25"/>
        <v>155.95331721936</v>
      </c>
      <c r="M46" s="23">
        <f t="shared" si="25"/>
        <v>164.175333791067</v>
      </c>
      <c r="N46" s="23">
        <f t="shared" si="25"/>
        <v>265.759052814963</v>
      </c>
      <c r="O46" s="25">
        <f t="shared" si="25"/>
        <v>248.293228752729</v>
      </c>
      <c r="P46" s="12"/>
    </row>
    <row r="47" s="2" customFormat="1" ht="13.9" customHeight="1" spans="1:16">
      <c r="A47" s="57" t="s">
        <v>102</v>
      </c>
      <c r="B47" s="58" t="s">
        <v>103</v>
      </c>
      <c r="C47" s="59" t="s">
        <v>104</v>
      </c>
      <c r="D47" s="60" t="e">
        <f t="shared" ref="D47:O47" si="26">D42*1000/D9</f>
        <v>#DIV/0!</v>
      </c>
      <c r="E47" s="60" t="e">
        <f t="shared" si="26"/>
        <v>#DIV/0!</v>
      </c>
      <c r="F47" s="60" t="e">
        <f t="shared" si="26"/>
        <v>#DIV/0!</v>
      </c>
      <c r="G47" s="60" t="e">
        <f t="shared" si="26"/>
        <v>#DIV/0!</v>
      </c>
      <c r="H47" s="60" t="e">
        <f t="shared" si="26"/>
        <v>#DIV/0!</v>
      </c>
      <c r="I47" s="61" t="e">
        <f t="shared" si="26"/>
        <v>#DIV/0!</v>
      </c>
      <c r="J47" s="62">
        <f t="shared" si="26"/>
        <v>39.2587941399599</v>
      </c>
      <c r="K47" s="62">
        <f t="shared" si="26"/>
        <v>37.7569134943553</v>
      </c>
      <c r="L47" s="62">
        <f t="shared" si="26"/>
        <v>40.7749265943336</v>
      </c>
      <c r="M47" s="62">
        <f t="shared" si="26"/>
        <v>39.2557761569941</v>
      </c>
      <c r="N47" s="62">
        <f t="shared" si="26"/>
        <v>39.5791091060892</v>
      </c>
      <c r="O47" s="63">
        <f t="shared" si="26"/>
        <v>38.6537083337935</v>
      </c>
      <c r="P47" s="12"/>
    </row>
    <row r="48" s="2" customFormat="1" ht="13.9" customHeight="1" spans="1:16">
      <c r="A48" s="64" t="s">
        <v>105</v>
      </c>
      <c r="B48" s="65" t="s">
        <v>106</v>
      </c>
      <c r="C48" s="66" t="s">
        <v>107</v>
      </c>
      <c r="D48" s="67" t="e">
        <f t="shared" ref="D48:O48" si="27">(D40+D43)*29308/D14</f>
        <v>#DIV/0!</v>
      </c>
      <c r="E48" s="67" t="e">
        <f t="shared" si="27"/>
        <v>#DIV/0!</v>
      </c>
      <c r="F48" s="67" t="e">
        <f t="shared" si="27"/>
        <v>#DIV/0!</v>
      </c>
      <c r="G48" s="67" t="e">
        <f t="shared" si="27"/>
        <v>#DIV/0!</v>
      </c>
      <c r="H48" s="68" t="e">
        <f t="shared" si="27"/>
        <v>#DIV/0!</v>
      </c>
      <c r="I48" s="68" t="e">
        <f t="shared" si="27"/>
        <v>#DIV/0!</v>
      </c>
      <c r="J48" s="37">
        <f t="shared" si="27"/>
        <v>20037.4772224808</v>
      </c>
      <c r="K48" s="37">
        <f t="shared" si="27"/>
        <v>20068.0734596172</v>
      </c>
      <c r="L48" s="37">
        <f t="shared" si="27"/>
        <v>19188</v>
      </c>
      <c r="M48" s="37">
        <f t="shared" si="27"/>
        <v>19612.5915528474</v>
      </c>
      <c r="N48" s="37">
        <f t="shared" si="27"/>
        <v>21022.1755171624</v>
      </c>
      <c r="O48" s="68">
        <f t="shared" si="27"/>
        <v>21074.8632597066</v>
      </c>
      <c r="P48" s="12"/>
    </row>
    <row r="49" s="2" customFormat="1" ht="13.9" customHeight="1" spans="1:18">
      <c r="A49" s="17" t="s">
        <v>108</v>
      </c>
      <c r="B49" s="18" t="s">
        <v>106</v>
      </c>
      <c r="C49" s="19" t="s">
        <v>109</v>
      </c>
      <c r="D49" s="42"/>
      <c r="E49" s="23"/>
      <c r="F49" s="23"/>
      <c r="G49" s="42"/>
      <c r="H49" s="23"/>
      <c r="I49" s="25"/>
      <c r="J49" s="42"/>
      <c r="K49" s="23">
        <v>20519.038871412</v>
      </c>
      <c r="L49" s="23">
        <v>19906.4616929631</v>
      </c>
      <c r="M49" s="42">
        <v>0</v>
      </c>
      <c r="N49" s="23">
        <v>20257.78</v>
      </c>
      <c r="O49" s="25">
        <v>20773</v>
      </c>
      <c r="P49" s="12"/>
    </row>
    <row r="50" s="2" customFormat="1" ht="13.9" customHeight="1" spans="1:18">
      <c r="A50" s="17" t="s">
        <v>110</v>
      </c>
      <c r="B50" s="18" t="s">
        <v>111</v>
      </c>
      <c r="C50" s="19" t="s">
        <v>112</v>
      </c>
      <c r="D50" s="23">
        <f>G50+H50+I50</f>
        <v>0</v>
      </c>
      <c r="E50" s="23"/>
      <c r="F50" s="23"/>
      <c r="G50" s="23">
        <f>SUM(E50:F50)</f>
        <v>0</v>
      </c>
      <c r="H50" s="23"/>
      <c r="I50" s="25"/>
      <c r="J50" s="23">
        <f>M50+N50+O50</f>
        <v>245380</v>
      </c>
      <c r="K50" s="23">
        <v>103680</v>
      </c>
      <c r="L50" s="23">
        <v>89280</v>
      </c>
      <c r="M50" s="23">
        <f>SUM(K50:L50)</f>
        <v>192960</v>
      </c>
      <c r="N50" s="23">
        <v>37920</v>
      </c>
      <c r="O50" s="25">
        <v>14500</v>
      </c>
      <c r="P50" s="12"/>
    </row>
    <row r="51" s="2" customFormat="1" ht="13.9" customHeight="1" spans="1:18">
      <c r="A51" s="17" t="s">
        <v>113</v>
      </c>
      <c r="B51" s="18" t="s">
        <v>114</v>
      </c>
      <c r="C51" s="19" t="s">
        <v>115</v>
      </c>
      <c r="D51" s="23">
        <f>G51+H51+I51</f>
        <v>0</v>
      </c>
      <c r="E51" s="23"/>
      <c r="F51" s="23"/>
      <c r="G51" s="23">
        <f>SUM(E51:F51)</f>
        <v>0</v>
      </c>
      <c r="H51" s="23"/>
      <c r="I51" s="25"/>
      <c r="J51" s="23">
        <f>M51+N51+O51</f>
        <v>665</v>
      </c>
      <c r="K51" s="23">
        <v>48</v>
      </c>
      <c r="L51" s="23">
        <v>117</v>
      </c>
      <c r="M51" s="23">
        <f>SUM(K51:L51)</f>
        <v>165</v>
      </c>
      <c r="N51" s="23">
        <v>350</v>
      </c>
      <c r="O51" s="25">
        <v>150</v>
      </c>
      <c r="P51" s="12"/>
    </row>
    <row r="52" s="2" customFormat="1" ht="13.9" customHeight="1" spans="1:18">
      <c r="A52" s="69" t="s">
        <v>116</v>
      </c>
      <c r="B52" s="70" t="s">
        <v>78</v>
      </c>
      <c r="C52" s="19" t="s">
        <v>117</v>
      </c>
      <c r="D52" s="71">
        <f t="shared" ref="D52:I52" si="28">D7/10000/D6/(DAY(DATE(2027,1,0))*24)</f>
        <v>0</v>
      </c>
      <c r="E52" s="71">
        <f t="shared" si="28"/>
        <v>0</v>
      </c>
      <c r="F52" s="71">
        <f t="shared" si="28"/>
        <v>0</v>
      </c>
      <c r="G52" s="71">
        <f t="shared" si="28"/>
        <v>0</v>
      </c>
      <c r="H52" s="71">
        <f t="shared" si="28"/>
        <v>0</v>
      </c>
      <c r="I52" s="72">
        <f t="shared" si="28"/>
        <v>0</v>
      </c>
      <c r="J52" s="71">
        <f t="shared" ref="J52:O52" si="29">J7/10000/J6/(DATEDIF(DATE(2026,1,1),DATE(2027,1,1),"D")*24)</f>
        <v>0.0664310600809959</v>
      </c>
      <c r="K52" s="71">
        <f t="shared" si="29"/>
        <v>0.0693534246575342</v>
      </c>
      <c r="L52" s="71">
        <f t="shared" si="29"/>
        <v>0.0658405479452055</v>
      </c>
      <c r="M52" s="71">
        <f t="shared" si="29"/>
        <v>0.0675969863013699</v>
      </c>
      <c r="N52" s="71">
        <f t="shared" si="29"/>
        <v>0.0717960426179604</v>
      </c>
      <c r="O52" s="72">
        <f t="shared" si="29"/>
        <v>0.0534333583918031</v>
      </c>
      <c r="P52" s="12"/>
    </row>
    <row r="53" s="2" customFormat="1" ht="13.9" customHeight="1" spans="1:18">
      <c r="A53" s="73" t="s">
        <v>118</v>
      </c>
      <c r="B53" s="74" t="s">
        <v>78</v>
      </c>
      <c r="C53" s="19" t="s">
        <v>119</v>
      </c>
      <c r="D53" s="75">
        <f>D9*1000/1986/((DAY(DATE(2027,1,0))*24)*3600)</f>
        <v>0</v>
      </c>
      <c r="E53" s="75">
        <f>E9*1000/577/((DAY(DATE(2027,1,0))*24)*3600)</f>
        <v>0</v>
      </c>
      <c r="F53" s="72">
        <f>F9*1000/528/((DAY(DATE(2027,1,0))*24)*3600)</f>
        <v>0</v>
      </c>
      <c r="G53" s="75">
        <f>G9*1000/1442/((DAY(DATE(2027,1,0))*24)*3600)</f>
        <v>0</v>
      </c>
      <c r="H53" s="72">
        <f>H9*1000/414/((DAY(DATE(2027,1,0))*24)*3600)</f>
        <v>0</v>
      </c>
      <c r="I53" s="72">
        <f>I9*1000/130/((DAY(DATE(2027,1,0))*24)*3600)</f>
        <v>0</v>
      </c>
      <c r="J53" s="71">
        <f>J9*1000/1986/((DATEDIF(DATE(2026,1,1),DATE(2027,1,1),"D")*24)*3600)</f>
        <v>0.0448597126885599</v>
      </c>
      <c r="K53" s="75">
        <f>K9*1000/577/((DATEDIF(DATE(2026,1,1),DATE(2027,1,1),"D")*24)*3600)</f>
        <v>0.0538697813392765</v>
      </c>
      <c r="L53" s="72">
        <f>L9*1000/528/((DATEDIF(DATE(2026,1,1),DATE(2027,1,1),"D")*24)*3600)</f>
        <v>0.0580828825661485</v>
      </c>
      <c r="M53" s="75">
        <f>M9*1000/1442/((DATEDIF(DATE(2026,1,1),DATE(2027,1,1),"D")*24)*3600)</f>
        <v>0.0428229027931269</v>
      </c>
      <c r="N53" s="72">
        <f>N9*1000/414/((DATEDIF(DATE(2026,1,1),DATE(2027,1,1),"D")*24)*3600)</f>
        <v>0.0436679068718643</v>
      </c>
      <c r="O53" s="72">
        <f>O9*1000/130/((DATEDIF(DATE(2026,1,1),DATE(2027,1,1),"D")*24)*3600)</f>
        <v>0.0712480778987628</v>
      </c>
      <c r="P53" s="12"/>
    </row>
    <row r="54" s="2" customFormat="1" ht="13.9" customHeight="1" spans="1:18">
      <c r="A54" s="73" t="s">
        <v>120</v>
      </c>
      <c r="B54" s="74" t="s">
        <v>78</v>
      </c>
      <c r="C54" s="19" t="s">
        <v>121</v>
      </c>
      <c r="D54" s="76" t="e">
        <f t="shared" ref="D54:O54" si="30">D42/D38</f>
        <v>#DIV/0!</v>
      </c>
      <c r="E54" s="76" t="e">
        <f t="shared" si="30"/>
        <v>#DIV/0!</v>
      </c>
      <c r="F54" s="76" t="e">
        <f t="shared" si="30"/>
        <v>#DIV/0!</v>
      </c>
      <c r="G54" s="76" t="e">
        <f t="shared" si="30"/>
        <v>#DIV/0!</v>
      </c>
      <c r="H54" s="76" t="e">
        <f t="shared" si="30"/>
        <v>#DIV/0!</v>
      </c>
      <c r="I54" s="77" t="e">
        <f t="shared" si="30"/>
        <v>#DIV/0!</v>
      </c>
      <c r="J54" s="78">
        <f t="shared" si="30"/>
        <v>0.799877242230165</v>
      </c>
      <c r="K54" s="78">
        <f t="shared" si="30"/>
        <v>0.789996</v>
      </c>
      <c r="L54" s="78">
        <f t="shared" si="30"/>
        <v>0.8218</v>
      </c>
      <c r="M54" s="78">
        <f t="shared" si="30"/>
        <v>0.806088694924589</v>
      </c>
      <c r="N54" s="78">
        <f t="shared" si="30"/>
        <v>0.799893654732364</v>
      </c>
      <c r="O54" s="79">
        <f t="shared" si="30"/>
        <v>0.760184783510068</v>
      </c>
      <c r="P54" s="12"/>
    </row>
    <row r="55" s="2" customFormat="1" ht="13.9" customHeight="1" spans="1:18">
      <c r="A55" s="73" t="s">
        <v>122</v>
      </c>
      <c r="B55" s="74" t="s">
        <v>78</v>
      </c>
      <c r="C55" s="19" t="s">
        <v>123</v>
      </c>
      <c r="D55" s="80" t="e">
        <f t="shared" ref="D55:O55" si="31">D9*1000000/(D8*3600)</f>
        <v>#DIV/0!</v>
      </c>
      <c r="E55" s="80" t="e">
        <f t="shared" si="31"/>
        <v>#DIV/0!</v>
      </c>
      <c r="F55" s="80" t="e">
        <f t="shared" si="31"/>
        <v>#DIV/0!</v>
      </c>
      <c r="G55" s="80" t="e">
        <f t="shared" si="31"/>
        <v>#DIV/0!</v>
      </c>
      <c r="H55" s="80" t="e">
        <f t="shared" si="31"/>
        <v>#DIV/0!</v>
      </c>
      <c r="I55" s="81" t="e">
        <f t="shared" si="31"/>
        <v>#DIV/0!</v>
      </c>
      <c r="J55" s="82">
        <f t="shared" si="31"/>
        <v>7.42732460071778</v>
      </c>
      <c r="K55" s="82">
        <f t="shared" si="31"/>
        <v>7.33017021777037</v>
      </c>
      <c r="L55" s="82">
        <f t="shared" si="31"/>
        <v>6.53056418217415</v>
      </c>
      <c r="M55" s="82">
        <f t="shared" si="31"/>
        <v>6.90998279541906</v>
      </c>
      <c r="N55" s="82">
        <f t="shared" si="31"/>
        <v>10.1240096894325</v>
      </c>
      <c r="O55" s="83">
        <f t="shared" si="31"/>
        <v>7.27625980239118</v>
      </c>
      <c r="P55" s="12"/>
    </row>
    <row r="56" s="2" customFormat="1" ht="13.9" customHeight="1" spans="1:18">
      <c r="A56" s="84" t="s">
        <v>124</v>
      </c>
      <c r="B56" s="85" t="s">
        <v>78</v>
      </c>
      <c r="C56" s="59" t="s">
        <v>125</v>
      </c>
      <c r="D56" s="76" t="e">
        <f t="shared" ref="D56:O56" si="32">(D9*1000+D8*3600/1000)/(D38*7000*4.1868)</f>
        <v>#DIV/0!</v>
      </c>
      <c r="E56" s="76" t="e">
        <f t="shared" si="32"/>
        <v>#DIV/0!</v>
      </c>
      <c r="F56" s="76" t="e">
        <f t="shared" si="32"/>
        <v>#DIV/0!</v>
      </c>
      <c r="G56" s="76" t="e">
        <f t="shared" si="32"/>
        <v>#DIV/0!</v>
      </c>
      <c r="H56" s="76" t="e">
        <f t="shared" si="32"/>
        <v>#DIV/0!</v>
      </c>
      <c r="I56" s="77" t="e">
        <f t="shared" si="32"/>
        <v>#DIV/0!</v>
      </c>
      <c r="J56" s="86">
        <f t="shared" si="32"/>
        <v>0.78879372482082</v>
      </c>
      <c r="K56" s="86">
        <f t="shared" si="32"/>
        <v>0.811312127736844</v>
      </c>
      <c r="L56" s="86">
        <f t="shared" si="32"/>
        <v>0.792993277802355</v>
      </c>
      <c r="M56" s="86">
        <f t="shared" si="32"/>
        <v>0.802042864016398</v>
      </c>
      <c r="N56" s="86">
        <f t="shared" si="32"/>
        <v>0.757695639947563</v>
      </c>
      <c r="O56" s="87">
        <f t="shared" si="32"/>
        <v>0.763262049632755</v>
      </c>
      <c r="P56" s="12"/>
    </row>
    <row r="57" s="2" customFormat="1" ht="13.9" customHeight="1" spans="1:18">
      <c r="A57" s="64" t="s">
        <v>126</v>
      </c>
      <c r="B57" s="65" t="s">
        <v>30</v>
      </c>
      <c r="C57" s="66" t="s">
        <v>127</v>
      </c>
      <c r="D57" s="67">
        <f>G57+H57+I57</f>
        <v>0</v>
      </c>
      <c r="E57" s="67"/>
      <c r="F57" s="67"/>
      <c r="G57" s="67"/>
      <c r="H57" s="67"/>
      <c r="I57" s="68"/>
      <c r="J57" s="37">
        <f t="shared" ref="J57:J68" si="33">M57+N57+O57</f>
        <v>115274.92</v>
      </c>
      <c r="K57" s="26">
        <f>E57+'26.11'!K57</f>
        <v>26761</v>
      </c>
      <c r="L57" s="26">
        <f>F57+'26.11'!L57</f>
        <v>66608</v>
      </c>
      <c r="M57" s="23">
        <f t="shared" ref="M57:M68" si="34">SUM(K57:L57)</f>
        <v>93369</v>
      </c>
      <c r="N57" s="26">
        <f>H57+'26.11'!N57</f>
        <v>4890.18</v>
      </c>
      <c r="O57" s="26">
        <f>I57+'26.11'!O57</f>
        <v>17015.74</v>
      </c>
      <c r="P57" s="12"/>
    </row>
    <row r="58" s="2" customFormat="1" ht="13.9" customHeight="1" spans="1:18">
      <c r="A58" s="17" t="s">
        <v>128</v>
      </c>
      <c r="B58" s="18" t="s">
        <v>30</v>
      </c>
      <c r="C58" s="19" t="s">
        <v>129</v>
      </c>
      <c r="D58" s="23">
        <f t="shared" ref="D58:D68" si="35">SUM(G58:I58)</f>
        <v>0</v>
      </c>
      <c r="E58" s="23"/>
      <c r="F58" s="23"/>
      <c r="G58" s="23">
        <f t="shared" ref="G58:G66" si="36">SUM(E58:F58)</f>
        <v>0</v>
      </c>
      <c r="H58" s="42"/>
      <c r="I58" s="25"/>
      <c r="J58" s="23">
        <f>SUM(M58:O58)</f>
        <v>42844</v>
      </c>
      <c r="K58" s="26">
        <f>E58+'26.11'!K58</f>
        <v>42844</v>
      </c>
      <c r="L58" s="26">
        <f>F58+'26.11'!L58</f>
        <v>0</v>
      </c>
      <c r="M58" s="23">
        <f t="shared" si="34"/>
        <v>42844</v>
      </c>
      <c r="N58" s="26">
        <f>H58+'26.11'!N58</f>
        <v>0</v>
      </c>
      <c r="O58" s="26">
        <f>I58+'26.11'!O58</f>
        <v>0</v>
      </c>
      <c r="P58" s="12"/>
    </row>
    <row r="59" s="2" customFormat="1" ht="13.9" customHeight="1" spans="1:18">
      <c r="A59" s="88" t="s">
        <v>130</v>
      </c>
      <c r="B59" s="89" t="s">
        <v>30</v>
      </c>
      <c r="C59" s="31" t="s">
        <v>131</v>
      </c>
      <c r="D59" s="90">
        <f t="shared" si="35"/>
        <v>103499.609997925</v>
      </c>
      <c r="E59" s="91">
        <f t="shared" ref="E59:I59" si="37">K59</f>
        <v>42846</v>
      </c>
      <c r="F59" s="91">
        <f t="shared" si="37"/>
        <v>11815</v>
      </c>
      <c r="G59" s="90">
        <f t="shared" si="36"/>
        <v>54661</v>
      </c>
      <c r="H59" s="91">
        <f t="shared" si="37"/>
        <v>28612.66</v>
      </c>
      <c r="I59" s="91">
        <f t="shared" si="37"/>
        <v>20225.9499979253</v>
      </c>
      <c r="J59" s="90">
        <f t="shared" si="33"/>
        <v>103499.609997925</v>
      </c>
      <c r="K59" s="92">
        <f>'26.11'!K59+E57-E14-E58</f>
        <v>42846</v>
      </c>
      <c r="L59" s="92">
        <f>'26.11'!L59+F57-F14-F58</f>
        <v>11815</v>
      </c>
      <c r="M59" s="32">
        <f t="shared" si="34"/>
        <v>54661</v>
      </c>
      <c r="N59" s="92">
        <f>'26.11'!N59+H57-H14-H58</f>
        <v>28612.66</v>
      </c>
      <c r="O59" s="92">
        <f>'26.11'!O59+I57-I14-I58</f>
        <v>20225.9499979253</v>
      </c>
      <c r="P59" s="12"/>
      <c r="Q59" s="2">
        <v>161066</v>
      </c>
      <c r="R59" s="2">
        <f>K59-Q59</f>
        <v>-118220</v>
      </c>
    </row>
    <row r="60" s="5" customFormat="1" ht="12.75" customHeight="1" spans="1:18">
      <c r="A60" s="93" t="s">
        <v>132</v>
      </c>
      <c r="B60" s="94" t="s">
        <v>18</v>
      </c>
      <c r="C60" s="95" t="s">
        <v>133</v>
      </c>
      <c r="D60" s="67">
        <f t="shared" si="35"/>
        <v>0</v>
      </c>
      <c r="E60" s="96"/>
      <c r="F60" s="96"/>
      <c r="G60" s="67"/>
      <c r="H60" s="96"/>
      <c r="I60" s="97"/>
      <c r="J60" s="67">
        <f t="shared" si="33"/>
        <v>2855811</v>
      </c>
      <c r="K60" s="26">
        <f>E60+'26.11'!K60</f>
        <v>0</v>
      </c>
      <c r="L60" s="26">
        <f>F60+'26.11'!L60</f>
        <v>0</v>
      </c>
      <c r="M60" s="67">
        <f t="shared" si="34"/>
        <v>0</v>
      </c>
      <c r="N60" s="26">
        <f>H60+'26.11'!N60</f>
        <v>1828619</v>
      </c>
      <c r="O60" s="26">
        <f>I60+'26.11'!O60</f>
        <v>1027192</v>
      </c>
      <c r="P60" s="98"/>
    </row>
    <row r="61" s="5" customFormat="1" ht="12.75" customHeight="1" spans="1:18">
      <c r="A61" s="99" t="s">
        <v>134</v>
      </c>
      <c r="B61" s="100" t="s">
        <v>18</v>
      </c>
      <c r="C61" s="101" t="s">
        <v>135</v>
      </c>
      <c r="D61" s="23">
        <f t="shared" si="35"/>
        <v>0</v>
      </c>
      <c r="E61" s="102"/>
      <c r="F61" s="102"/>
      <c r="G61" s="23">
        <f t="shared" si="36"/>
        <v>0</v>
      </c>
      <c r="H61" s="103"/>
      <c r="I61" s="104"/>
      <c r="J61" s="23">
        <f t="shared" si="33"/>
        <v>2855811</v>
      </c>
      <c r="K61" s="26">
        <f>E61+'26.11'!K61</f>
        <v>0</v>
      </c>
      <c r="L61" s="26">
        <f>F61+'26.11'!L61</f>
        <v>0</v>
      </c>
      <c r="M61" s="23">
        <f t="shared" si="34"/>
        <v>0</v>
      </c>
      <c r="N61" s="26">
        <f>H61+'26.11'!N61</f>
        <v>1828619</v>
      </c>
      <c r="O61" s="26">
        <f>I61+'26.11'!O61</f>
        <v>1027192</v>
      </c>
      <c r="P61" s="98"/>
    </row>
    <row r="62" s="5" customFormat="1" ht="12.75" customHeight="1" spans="1:18">
      <c r="A62" s="99" t="s">
        <v>136</v>
      </c>
      <c r="B62" s="18" t="s">
        <v>30</v>
      </c>
      <c r="C62" s="101" t="s">
        <v>137</v>
      </c>
      <c r="D62" s="23">
        <f t="shared" si="35"/>
        <v>0</v>
      </c>
      <c r="E62" s="102"/>
      <c r="F62" s="102"/>
      <c r="G62" s="23">
        <f t="shared" si="36"/>
        <v>0</v>
      </c>
      <c r="H62" s="103"/>
      <c r="I62" s="104"/>
      <c r="J62" s="23">
        <f t="shared" si="33"/>
        <v>63546</v>
      </c>
      <c r="K62" s="26">
        <f>E62+'26.11'!K62</f>
        <v>0</v>
      </c>
      <c r="L62" s="26">
        <f>F62+'26.11'!L62</f>
        <v>0</v>
      </c>
      <c r="M62" s="23">
        <f t="shared" si="34"/>
        <v>0</v>
      </c>
      <c r="N62" s="26">
        <f>H62+'26.11'!N62</f>
        <v>40661</v>
      </c>
      <c r="O62" s="26">
        <f>I62+'26.11'!O62</f>
        <v>22885</v>
      </c>
      <c r="P62" s="98"/>
    </row>
    <row r="63" s="5" customFormat="1" ht="12.75" customHeight="1" spans="1:18">
      <c r="A63" s="99" t="s">
        <v>138</v>
      </c>
      <c r="B63" s="18" t="s">
        <v>30</v>
      </c>
      <c r="C63" s="101" t="s">
        <v>139</v>
      </c>
      <c r="D63" s="23">
        <f t="shared" si="35"/>
        <v>0</v>
      </c>
      <c r="E63" s="103"/>
      <c r="F63" s="103"/>
      <c r="G63" s="23">
        <f t="shared" si="36"/>
        <v>0</v>
      </c>
      <c r="H63" s="103"/>
      <c r="I63" s="104"/>
      <c r="J63" s="23">
        <f t="shared" si="33"/>
        <v>25920</v>
      </c>
      <c r="K63" s="26">
        <f>E63+'26.11'!K63</f>
        <v>0</v>
      </c>
      <c r="L63" s="26">
        <f>F63+'26.11'!L63</f>
        <v>25920</v>
      </c>
      <c r="M63" s="23">
        <f t="shared" si="34"/>
        <v>25920</v>
      </c>
      <c r="N63" s="26">
        <f>H63+'26.11'!N63</f>
        <v>0</v>
      </c>
      <c r="O63" s="26">
        <f>I63+'26.11'!O63</f>
        <v>0</v>
      </c>
      <c r="P63" s="98"/>
    </row>
    <row r="64" s="5" customFormat="1" ht="12.75" customHeight="1" spans="1:18">
      <c r="A64" s="99" t="s">
        <v>140</v>
      </c>
      <c r="B64" s="18" t="s">
        <v>30</v>
      </c>
      <c r="C64" s="101" t="s">
        <v>141</v>
      </c>
      <c r="D64" s="23">
        <f t="shared" si="35"/>
        <v>0</v>
      </c>
      <c r="E64" s="103"/>
      <c r="F64" s="103"/>
      <c r="G64" s="23">
        <f t="shared" si="36"/>
        <v>0</v>
      </c>
      <c r="H64" s="103"/>
      <c r="I64" s="104"/>
      <c r="J64" s="23">
        <f t="shared" si="33"/>
        <v>73699</v>
      </c>
      <c r="K64" s="26">
        <f>E64+'26.11'!K64</f>
        <v>73699</v>
      </c>
      <c r="L64" s="26">
        <f>F64+'26.11'!L64</f>
        <v>0</v>
      </c>
      <c r="M64" s="23">
        <f t="shared" si="34"/>
        <v>73699</v>
      </c>
      <c r="N64" s="26">
        <f>H64+'26.11'!N64</f>
        <v>0</v>
      </c>
      <c r="O64" s="26">
        <f>I64+'26.11'!O64</f>
        <v>0</v>
      </c>
      <c r="P64" s="98"/>
    </row>
    <row r="65" s="5" customFormat="1" spans="1:32">
      <c r="A65" s="99" t="s">
        <v>142</v>
      </c>
      <c r="B65" s="100" t="s">
        <v>30</v>
      </c>
      <c r="C65" s="101" t="s">
        <v>143</v>
      </c>
      <c r="D65" s="23">
        <f t="shared" si="35"/>
        <v>0</v>
      </c>
      <c r="E65" s="103"/>
      <c r="F65" s="103"/>
      <c r="G65" s="103">
        <f t="shared" si="36"/>
        <v>0</v>
      </c>
      <c r="H65" s="103"/>
      <c r="I65" s="104"/>
      <c r="J65" s="103">
        <f t="shared" si="33"/>
        <v>70369</v>
      </c>
      <c r="K65" s="26">
        <f>E65+'26.11'!K65</f>
        <v>6302</v>
      </c>
      <c r="L65" s="26">
        <f>F65+'26.11'!L65</f>
        <v>32849</v>
      </c>
      <c r="M65" s="103">
        <f t="shared" si="34"/>
        <v>39151</v>
      </c>
      <c r="N65" s="26">
        <f>H65+'26.11'!N65</f>
        <v>23814</v>
      </c>
      <c r="O65" s="26">
        <f>I65+'26.11'!O65</f>
        <v>7404</v>
      </c>
      <c r="P65" s="10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="5" customFormat="1" ht="13.75" spans="1:32">
      <c r="A66" s="29" t="s">
        <v>144</v>
      </c>
      <c r="B66" s="30" t="s">
        <v>18</v>
      </c>
      <c r="C66" s="106" t="s">
        <v>145</v>
      </c>
      <c r="D66" s="90">
        <f t="shared" si="35"/>
        <v>0</v>
      </c>
      <c r="E66" s="107"/>
      <c r="F66" s="107"/>
      <c r="G66" s="107">
        <f t="shared" si="36"/>
        <v>0</v>
      </c>
      <c r="H66" s="107"/>
      <c r="I66" s="108"/>
      <c r="J66" s="107">
        <f t="shared" si="33"/>
        <v>3730739</v>
      </c>
      <c r="K66" s="26">
        <f>E66+'26.11'!K66</f>
        <v>1072980</v>
      </c>
      <c r="L66" s="26">
        <f>F66+'26.11'!L66</f>
        <v>1283190</v>
      </c>
      <c r="M66" s="107">
        <f t="shared" si="34"/>
        <v>2356170</v>
      </c>
      <c r="N66" s="26">
        <f>H66+'26.11'!N66</f>
        <v>754606</v>
      </c>
      <c r="O66" s="26">
        <f>I66+'26.11'!O66</f>
        <v>619963</v>
      </c>
      <c r="P66" s="98"/>
    </row>
    <row r="67" s="5" customFormat="1" ht="13" spans="1:32">
      <c r="A67" s="93" t="s">
        <v>146</v>
      </c>
      <c r="B67" s="94" t="s">
        <v>30</v>
      </c>
      <c r="C67" s="95" t="s">
        <v>147</v>
      </c>
      <c r="D67" s="67" t="e">
        <f t="shared" si="35"/>
        <v>#DIV/0!</v>
      </c>
      <c r="E67" s="109" t="e">
        <f>(E20-E63-E64-E12)*(1-E54)</f>
        <v>#DIV/0!</v>
      </c>
      <c r="F67" s="109" t="e">
        <f>(F20-F63-F64-F12)*(1-F54)</f>
        <v>#DIV/0!</v>
      </c>
      <c r="G67" s="96" t="e">
        <f>(G20-G63-G12)*(1-G54)</f>
        <v>#DIV/0!</v>
      </c>
      <c r="H67" s="96" t="e">
        <f>(H20-H62-H12)*(1-H54)</f>
        <v>#DIV/0!</v>
      </c>
      <c r="I67" s="96" t="e">
        <f>(I20-I62-I12)*(1-I54)</f>
        <v>#DIV/0!</v>
      </c>
      <c r="J67" s="96">
        <f t="shared" si="33"/>
        <v>44242.7773200265</v>
      </c>
      <c r="K67" s="109">
        <f>(K20-K63-K64-K12)*(1-K54)</f>
        <v>14378.133864</v>
      </c>
      <c r="L67" s="109">
        <f>(L20-L63-L64-L12)*(1-L54)</f>
        <v>16210.1412</v>
      </c>
      <c r="M67" s="96">
        <f t="shared" si="34"/>
        <v>30588.275064</v>
      </c>
      <c r="N67" s="96">
        <f>(N20-N62-N12)*(1-N54)</f>
        <v>10832.3567883729</v>
      </c>
      <c r="O67" s="96">
        <f>(O20-O62-O12)*(1-O54)</f>
        <v>2822.14546765352</v>
      </c>
      <c r="P67" s="98"/>
    </row>
    <row r="68" s="5" customFormat="1" ht="13" spans="1:32">
      <c r="A68" s="99" t="s">
        <v>148</v>
      </c>
      <c r="B68" s="100" t="s">
        <v>30</v>
      </c>
      <c r="C68" s="101" t="s">
        <v>149</v>
      </c>
      <c r="D68" s="23" t="e">
        <f t="shared" si="35"/>
        <v>#DIV/0!</v>
      </c>
      <c r="E68" s="110" t="e">
        <f>(E20-E63-E64-E12)*E54+E12</f>
        <v>#DIV/0!</v>
      </c>
      <c r="F68" s="110" t="e">
        <f>(F20-F63-F64-F12)*F54+F12</f>
        <v>#DIV/0!</v>
      </c>
      <c r="G68" s="103" t="e">
        <f>(G20-G63-G12)*G54+G12</f>
        <v>#DIV/0!</v>
      </c>
      <c r="H68" s="103" t="e">
        <f>(H20-H62-H12)*H54+H12+H62</f>
        <v>#DIV/0!</v>
      </c>
      <c r="I68" s="103" t="e">
        <f>(I20-I62-I12)*I54+I12+I62</f>
        <v>#DIV/0!</v>
      </c>
      <c r="J68" s="103">
        <f t="shared" si="33"/>
        <v>357969.222679974</v>
      </c>
      <c r="K68" s="110">
        <f>(K20-K63-K64-K12)*K54+K12</f>
        <v>89532.866136</v>
      </c>
      <c r="L68" s="110">
        <f>(L20-L63-L64-L12)*L54+L12</f>
        <v>152643.8588</v>
      </c>
      <c r="M68" s="103">
        <f t="shared" si="34"/>
        <v>242176.724936</v>
      </c>
      <c r="N68" s="103">
        <f>(N20-N62-N12)*N54+N12+N62</f>
        <v>83961.6432116271</v>
      </c>
      <c r="O68" s="103">
        <f>(O20-O62-O12)*O54+O12+O62</f>
        <v>31830.8545323465</v>
      </c>
      <c r="P68" s="98"/>
    </row>
    <row r="69" s="5" customFormat="1" ht="13" spans="1:32">
      <c r="A69" s="99" t="s">
        <v>150</v>
      </c>
      <c r="B69" s="100" t="s">
        <v>151</v>
      </c>
      <c r="C69" s="101" t="s">
        <v>152</v>
      </c>
      <c r="D69" s="20" t="e">
        <f t="shared" ref="D69:O69" si="38">D67/(D7/10000)</f>
        <v>#DIV/0!</v>
      </c>
      <c r="E69" s="20" t="e">
        <f t="shared" si="38"/>
        <v>#DIV/0!</v>
      </c>
      <c r="F69" s="20" t="e">
        <f t="shared" si="38"/>
        <v>#DIV/0!</v>
      </c>
      <c r="G69" s="20" t="e">
        <f t="shared" si="38"/>
        <v>#DIV/0!</v>
      </c>
      <c r="H69" s="20" t="e">
        <f t="shared" si="38"/>
        <v>#DIV/0!</v>
      </c>
      <c r="I69" s="20" t="e">
        <f t="shared" si="38"/>
        <v>#DIV/0!</v>
      </c>
      <c r="J69" s="20">
        <f t="shared" si="38"/>
        <v>2.8283804613133</v>
      </c>
      <c r="K69" s="20">
        <f t="shared" si="38"/>
        <v>2.36663076163388</v>
      </c>
      <c r="L69" s="20">
        <f t="shared" si="38"/>
        <v>2.81053666392031</v>
      </c>
      <c r="M69" s="20">
        <f t="shared" si="38"/>
        <v>2.58281649299434</v>
      </c>
      <c r="N69" s="20">
        <f t="shared" si="38"/>
        <v>4.78427177777759</v>
      </c>
      <c r="O69" s="20">
        <f t="shared" si="38"/>
        <v>1.83818397022941</v>
      </c>
      <c r="P69" s="98"/>
    </row>
    <row r="70" s="5" customFormat="1" ht="13.75" spans="1:32">
      <c r="A70" s="29" t="s">
        <v>153</v>
      </c>
      <c r="B70" s="30" t="s">
        <v>154</v>
      </c>
      <c r="C70" s="106" t="s">
        <v>155</v>
      </c>
      <c r="D70" s="62" t="e">
        <f t="shared" ref="D70:O70" si="39">D68/D9</f>
        <v>#DIV/0!</v>
      </c>
      <c r="E70" s="62" t="e">
        <f t="shared" si="39"/>
        <v>#DIV/0!</v>
      </c>
      <c r="F70" s="62" t="e">
        <f t="shared" si="39"/>
        <v>#DIV/0!</v>
      </c>
      <c r="G70" s="62" t="e">
        <f t="shared" si="39"/>
        <v>#DIV/0!</v>
      </c>
      <c r="H70" s="62" t="e">
        <f t="shared" si="39"/>
        <v>#DIV/0!</v>
      </c>
      <c r="I70" s="62" t="e">
        <f t="shared" si="39"/>
        <v>#DIV/0!</v>
      </c>
      <c r="J70" s="62">
        <f t="shared" si="39"/>
        <v>0.127409951335186</v>
      </c>
      <c r="K70" s="62">
        <f t="shared" si="39"/>
        <v>0.0913387059879055</v>
      </c>
      <c r="L70" s="62">
        <f t="shared" si="39"/>
        <v>0.15783039567569</v>
      </c>
      <c r="M70" s="62">
        <f t="shared" si="39"/>
        <v>0.124361064654773</v>
      </c>
      <c r="N70" s="62">
        <f t="shared" si="39"/>
        <v>0.147269090954998</v>
      </c>
      <c r="O70" s="62">
        <f t="shared" si="39"/>
        <v>0.108974575515013</v>
      </c>
      <c r="P70" s="98"/>
    </row>
    <row r="71" s="5" customFormat="1" ht="18.75" customHeight="1" spans="1:32">
      <c r="A71" s="111"/>
      <c r="B71" s="112"/>
      <c r="C71" s="113"/>
      <c r="D71" s="114"/>
      <c r="E71" s="115"/>
      <c r="F71" s="115"/>
      <c r="G71" s="115"/>
      <c r="H71" s="116"/>
      <c r="I71" s="115"/>
      <c r="J71" s="115"/>
      <c r="K71" s="115"/>
      <c r="L71" s="115"/>
      <c r="M71" s="115"/>
      <c r="N71" s="115"/>
      <c r="O71" s="115"/>
    </row>
    <row r="72" s="5" customFormat="1" ht="13" spans="1:32">
      <c r="A72" s="111"/>
      <c r="B72" s="112"/>
      <c r="C72" s="113"/>
      <c r="D72" s="117" t="s">
        <v>156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</row>
    <row r="73" s="5" customFormat="1" spans="1:32">
      <c r="A73" s="1"/>
      <c r="B73" s="1"/>
      <c r="C73" s="118"/>
      <c r="D73" s="119" t="s">
        <v>157</v>
      </c>
      <c r="E73" s="1"/>
      <c r="F73" s="1"/>
      <c r="G73" s="120"/>
      <c r="H73" s="1"/>
      <c r="J73" s="118"/>
      <c r="K73" s="118"/>
      <c r="L73" s="121"/>
      <c r="M73" s="118"/>
      <c r="N73" s="118"/>
      <c r="O73" s="11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="5" customFormat="1" spans="1:32">
      <c r="A74" s="1"/>
      <c r="B74" s="1"/>
      <c r="C74" s="1"/>
      <c r="D74" s="119" t="s">
        <v>158</v>
      </c>
      <c r="E74" s="1"/>
      <c r="F74" s="1"/>
      <c r="G74" s="122"/>
      <c r="H74" s="1"/>
      <c r="J74" s="1"/>
      <c r="K74" s="1"/>
      <c r="L74" s="12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="1" customFormat="1" spans="1:32">
      <c r="F75" s="122"/>
      <c r="G75" s="122"/>
    </row>
    <row r="76" s="1" customFormat="1" spans="1:32">
      <c r="F76" s="123"/>
      <c r="G76" s="123"/>
    </row>
    <row r="77" s="5" customFormat="1" spans="1:3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="1" customFormat="1" spans="1:32">
      <c r="F78" s="120"/>
      <c r="G78" s="120"/>
    </row>
    <row r="79" s="1" customFormat="1" spans="1:32">
      <c r="F79" s="122"/>
      <c r="G79" s="122"/>
    </row>
    <row r="80" s="1" customFormat="1" spans="1:32">
      <c r="F80" s="122"/>
      <c r="G80" s="122"/>
    </row>
    <row r="81" s="1" customFormat="1" spans="6:7">
      <c r="F81" s="123"/>
      <c r="G81" s="123"/>
    </row>
    <row r="83" s="1" customFormat="1" spans="6:7">
      <c r="F83" s="120"/>
      <c r="G83" s="120"/>
    </row>
    <row r="84" s="1" customFormat="1" spans="6:7">
      <c r="F84" s="122"/>
      <c r="G84" s="122"/>
    </row>
    <row r="85" s="1" customFormat="1" spans="6:7">
      <c r="F85" s="122"/>
      <c r="G85" s="122"/>
    </row>
    <row r="86" s="1" customFormat="1" spans="6:7">
      <c r="F86" s="123"/>
      <c r="G86" s="123"/>
    </row>
  </sheetData>
  <mergeCells count="11">
    <mergeCell ref="A1:O1"/>
    <mergeCell ref="A2:O2"/>
    <mergeCell ref="D3:I3"/>
    <mergeCell ref="J3:O3"/>
    <mergeCell ref="E4:I4"/>
    <mergeCell ref="K4:O4"/>
    <mergeCell ref="A3:A5"/>
    <mergeCell ref="B3:B5"/>
    <mergeCell ref="C3:C5"/>
    <mergeCell ref="D4:D5"/>
    <mergeCell ref="J4:J5"/>
  </mergeCells>
  <pageMargins left="0.748031496062992" right="0.748031496062992" top="0.47244094488189" bottom="0.47244094488189" header="0.511811023622047" footer="0.511811023622047"/>
  <pageSetup paperSize="8" orientation="landscape" horizontalDpi="300" verticalDpi="300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26.1</vt:lpstr>
      <vt:lpstr>26.2</vt:lpstr>
      <vt:lpstr>26.3</vt:lpstr>
      <vt:lpstr>26.4</vt:lpstr>
      <vt:lpstr>26.5</vt:lpstr>
      <vt:lpstr>26.6</vt:lpstr>
      <vt:lpstr>26.7</vt:lpstr>
      <vt:lpstr>26.8</vt:lpstr>
      <vt:lpstr>26.9</vt:lpstr>
      <vt:lpstr>26.10</vt:lpstr>
      <vt:lpstr>26.11</vt:lpstr>
      <vt:lpstr>26.12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王巍</cp:lastModifiedBy>
  <dcterms:created xsi:type="dcterms:W3CDTF">2002-08-26T01:09:00Z</dcterms:created>
  <cp:lastPrinted>2023-01-29T08:10:00Z</cp:lastPrinted>
  <dcterms:modified xsi:type="dcterms:W3CDTF">2026-02-01T12:05:06Z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9D71C0E6FC1F49FC96A7F44F5FDB45D5_13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