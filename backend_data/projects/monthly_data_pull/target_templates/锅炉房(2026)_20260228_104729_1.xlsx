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8350" windowHeight="7040" tabRatio="645"/>
  </bookViews>
  <sheets>
    <sheet name="26.1" sheetId="16" r:id="rId1"/>
    <sheet name="26.2" sheetId="19" r:id="rId2"/>
    <sheet name="26.3" sheetId="28" r:id="rId3"/>
    <sheet name="26.4" sheetId="20" r:id="rId4"/>
    <sheet name="26.5" sheetId="21" r:id="rId5"/>
    <sheet name="26.6" sheetId="22" r:id="rId6"/>
    <sheet name="26.7" sheetId="23" r:id="rId7"/>
    <sheet name="26.8" sheetId="27" r:id="rId8"/>
    <sheet name="26.9" sheetId="26" r:id="rId9"/>
    <sheet name="26.10" sheetId="25" r:id="rId10"/>
    <sheet name="26.11" sheetId="24" r:id="rId11"/>
    <sheet name="26.12" sheetId="17" r:id="rId12"/>
  </sheets>
  <externalReferences>
    <externalReference r:id="rId13"/>
    <externalReference r:id="rId1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zqb8182</author>
  </authors>
  <commentList>
    <comment ref="K12" authorId="0">
      <text>
        <r>
          <rPr>
            <b/>
            <sz val="9"/>
            <rFont val="宋体"/>
            <charset val="134"/>
          </rPr>
          <t>zqb8182:</t>
        </r>
        <r>
          <rPr>
            <sz val="9"/>
            <rFont val="宋体"/>
            <charset val="134"/>
          </rPr>
          <t xml:space="preserve">
小改累计值</t>
        </r>
      </text>
    </comment>
  </commentList>
</comments>
</file>

<file path=xl/sharedStrings.xml><?xml version="1.0" encoding="utf-8"?>
<sst xmlns="http://schemas.openxmlformats.org/spreadsheetml/2006/main" count="3517" uniqueCount="106">
  <si>
    <t>代码</t>
  </si>
  <si>
    <t>项目</t>
  </si>
  <si>
    <t>计量单位</t>
  </si>
  <si>
    <r>
      <rPr>
        <sz val="12"/>
        <rFont val="宋体"/>
        <charset val="134"/>
      </rPr>
      <t xml:space="preserve">本 </t>
    </r>
    <r>
      <rPr>
        <sz val="12"/>
        <rFont val="宋体"/>
        <charset val="134"/>
      </rPr>
      <t xml:space="preserve"> </t>
    </r>
    <r>
      <rPr>
        <sz val="12"/>
        <rFont val="宋体"/>
        <charset val="134"/>
      </rPr>
      <t>月</t>
    </r>
    <r>
      <rPr>
        <sz val="12"/>
        <rFont val="宋体"/>
        <charset val="134"/>
      </rPr>
      <t xml:space="preserve">  </t>
    </r>
    <r>
      <rPr>
        <sz val="12"/>
        <rFont val="宋体"/>
        <charset val="134"/>
      </rPr>
      <t>实</t>
    </r>
    <r>
      <rPr>
        <sz val="12"/>
        <rFont val="宋体"/>
        <charset val="134"/>
      </rPr>
      <t xml:space="preserve">  </t>
    </r>
    <r>
      <rPr>
        <sz val="12"/>
        <rFont val="宋体"/>
        <charset val="134"/>
      </rPr>
      <t>际</t>
    </r>
  </si>
  <si>
    <r>
      <rPr>
        <sz val="12"/>
        <rFont val="宋体"/>
        <charset val="134"/>
      </rPr>
      <t xml:space="preserve">本 </t>
    </r>
    <r>
      <rPr>
        <sz val="12"/>
        <rFont val="宋体"/>
        <charset val="134"/>
      </rPr>
      <t xml:space="preserve"> </t>
    </r>
    <r>
      <rPr>
        <sz val="12"/>
        <rFont val="宋体"/>
        <charset val="134"/>
      </rPr>
      <t>年</t>
    </r>
    <r>
      <rPr>
        <sz val="12"/>
        <rFont val="宋体"/>
        <charset val="134"/>
      </rPr>
      <t xml:space="preserve">  </t>
    </r>
    <r>
      <rPr>
        <sz val="12"/>
        <rFont val="宋体"/>
        <charset val="134"/>
      </rPr>
      <t>累</t>
    </r>
    <r>
      <rPr>
        <sz val="12"/>
        <rFont val="宋体"/>
        <charset val="134"/>
      </rPr>
      <t xml:space="preserve">  </t>
    </r>
    <r>
      <rPr>
        <sz val="12"/>
        <rFont val="宋体"/>
        <charset val="134"/>
      </rPr>
      <t>计</t>
    </r>
  </si>
  <si>
    <t>北海水炉</t>
  </si>
  <si>
    <t xml:space="preserve">金普   </t>
  </si>
  <si>
    <t xml:space="preserve">临海   </t>
  </si>
  <si>
    <t xml:space="preserve">庄河    </t>
  </si>
  <si>
    <t>合计</t>
  </si>
  <si>
    <t xml:space="preserve">庄河  </t>
  </si>
  <si>
    <t>001</t>
  </si>
  <si>
    <t>装机总容量</t>
  </si>
  <si>
    <t>兆瓦</t>
  </si>
  <si>
    <t>002</t>
  </si>
  <si>
    <t>期末供热面积</t>
  </si>
  <si>
    <t>平方米</t>
  </si>
  <si>
    <t xml:space="preserve"> -   </t>
  </si>
  <si>
    <t>其中：高温水面积</t>
  </si>
  <si>
    <t>003</t>
  </si>
  <si>
    <t>实际平均供热面积</t>
  </si>
  <si>
    <t>004</t>
  </si>
  <si>
    <t>供汽量</t>
  </si>
  <si>
    <t>吨</t>
  </si>
  <si>
    <t>005</t>
  </si>
  <si>
    <t>供热量</t>
  </si>
  <si>
    <t>吉焦</t>
  </si>
  <si>
    <t>006</t>
  </si>
  <si>
    <t>高温水销售量</t>
  </si>
  <si>
    <t>007</t>
  </si>
  <si>
    <t>生产耗原煤量</t>
  </si>
  <si>
    <t>008</t>
  </si>
  <si>
    <t>耗油量</t>
  </si>
  <si>
    <t>009</t>
  </si>
  <si>
    <t>耗标煤总量</t>
  </si>
  <si>
    <t>其中：煤折标准煤量</t>
  </si>
  <si>
    <r>
      <rPr>
        <sz val="11"/>
        <rFont val="宋体"/>
        <charset val="134"/>
      </rPr>
      <t xml:space="preserve">      </t>
    </r>
    <r>
      <rPr>
        <sz val="11"/>
        <rFont val="宋体"/>
        <charset val="134"/>
      </rPr>
      <t>油折标准煤量</t>
    </r>
  </si>
  <si>
    <t>010</t>
  </si>
  <si>
    <t>耗水量</t>
  </si>
  <si>
    <r>
      <rPr>
        <sz val="11"/>
        <rFont val="宋体"/>
        <charset val="134"/>
      </rPr>
      <t>其中：耗井水(再生水</t>
    </r>
    <r>
      <rPr>
        <sz val="11"/>
        <rFont val="宋体"/>
        <charset val="134"/>
      </rPr>
      <t>)</t>
    </r>
    <r>
      <rPr>
        <sz val="11"/>
        <rFont val="宋体"/>
        <charset val="134"/>
      </rPr>
      <t>量</t>
    </r>
  </si>
  <si>
    <t>011</t>
  </si>
  <si>
    <t>耗电量</t>
  </si>
  <si>
    <t>千瓦时</t>
  </si>
  <si>
    <t>其中：耗厂用电量</t>
  </si>
  <si>
    <r>
      <rPr>
        <sz val="11"/>
        <rFont val="宋体"/>
        <charset val="134"/>
      </rPr>
      <t xml:space="preserve"> </t>
    </r>
    <r>
      <rPr>
        <sz val="11"/>
        <rFont val="宋体"/>
        <charset val="134"/>
      </rPr>
      <t xml:space="preserve">     耗外购电量</t>
    </r>
  </si>
  <si>
    <t>脱硫脱硝耗水量</t>
  </si>
  <si>
    <t>脱硫脱硝耗电量</t>
  </si>
  <si>
    <t>012</t>
  </si>
  <si>
    <t>耗氧化镁(石灰石粉)量</t>
  </si>
  <si>
    <t>013</t>
  </si>
  <si>
    <t>耗脱硝剂(氨水)量</t>
  </si>
  <si>
    <t>014</t>
  </si>
  <si>
    <t>供热用电率</t>
  </si>
  <si>
    <r>
      <rPr>
        <sz val="11"/>
        <rFont val="宋体"/>
        <charset val="134"/>
      </rPr>
      <t>千瓦时</t>
    </r>
    <r>
      <rPr>
        <sz val="11"/>
        <rFont val="Times New Roman"/>
        <charset val="0"/>
      </rPr>
      <t>/</t>
    </r>
    <r>
      <rPr>
        <sz val="11"/>
        <rFont val="宋体"/>
        <charset val="134"/>
      </rPr>
      <t>吉焦</t>
    </r>
  </si>
  <si>
    <t>015</t>
  </si>
  <si>
    <t>供热煤耗率</t>
  </si>
  <si>
    <r>
      <rPr>
        <sz val="11"/>
        <rFont val="宋体"/>
        <charset val="134"/>
      </rPr>
      <t>千克</t>
    </r>
    <r>
      <rPr>
        <sz val="11"/>
        <rFont val="Times New Roman"/>
        <charset val="0"/>
      </rPr>
      <t>/</t>
    </r>
    <r>
      <rPr>
        <sz val="11"/>
        <rFont val="宋体"/>
        <charset val="134"/>
      </rPr>
      <t>吉焦</t>
    </r>
  </si>
  <si>
    <t>016</t>
  </si>
  <si>
    <t>入厂煤量</t>
  </si>
  <si>
    <t>017</t>
  </si>
  <si>
    <t>期末库存煤量</t>
  </si>
  <si>
    <t>018</t>
  </si>
  <si>
    <t>入炉煤低位发热量</t>
  </si>
  <si>
    <r>
      <rPr>
        <sz val="11"/>
        <rFont val="宋体"/>
        <charset val="134"/>
      </rPr>
      <t>千焦</t>
    </r>
    <r>
      <rPr>
        <sz val="11"/>
        <rFont val="Times New Roman"/>
        <charset val="0"/>
      </rPr>
      <t>/</t>
    </r>
    <r>
      <rPr>
        <sz val="11"/>
        <rFont val="宋体"/>
        <charset val="134"/>
      </rPr>
      <t>千克</t>
    </r>
  </si>
  <si>
    <t>019</t>
  </si>
  <si>
    <t>入厂煤低位发热量</t>
  </si>
  <si>
    <t>020</t>
  </si>
  <si>
    <t>锅炉热效率</t>
  </si>
  <si>
    <t>%</t>
  </si>
  <si>
    <t>021</t>
  </si>
  <si>
    <t>锅炉设备利用率</t>
  </si>
  <si>
    <t>022</t>
  </si>
  <si>
    <t>供暖热耗率</t>
  </si>
  <si>
    <r>
      <rPr>
        <sz val="11"/>
        <rFont val="宋体"/>
        <charset val="134"/>
      </rPr>
      <t>吉焦</t>
    </r>
    <r>
      <rPr>
        <sz val="11"/>
        <rFont val="Times New Roman"/>
        <charset val="0"/>
      </rPr>
      <t>/</t>
    </r>
    <r>
      <rPr>
        <sz val="11"/>
        <rFont val="宋体"/>
        <charset val="134"/>
      </rPr>
      <t>平方米</t>
    </r>
  </si>
  <si>
    <t>023</t>
  </si>
  <si>
    <t>单位面积耗标准煤量</t>
  </si>
  <si>
    <r>
      <rPr>
        <sz val="11"/>
        <rFont val="宋体"/>
        <charset val="134"/>
      </rPr>
      <t>千克</t>
    </r>
    <r>
      <rPr>
        <sz val="11"/>
        <rFont val="Times New Roman"/>
        <charset val="0"/>
      </rPr>
      <t>/</t>
    </r>
    <r>
      <rPr>
        <sz val="11"/>
        <rFont val="宋体"/>
        <charset val="134"/>
      </rPr>
      <t>平方米</t>
    </r>
  </si>
  <si>
    <t>024</t>
  </si>
  <si>
    <t>单位面积耗电量</t>
  </si>
  <si>
    <r>
      <rPr>
        <sz val="11"/>
        <rFont val="宋体"/>
        <charset val="134"/>
      </rPr>
      <t>千瓦时</t>
    </r>
    <r>
      <rPr>
        <sz val="11"/>
        <rFont val="Times New Roman"/>
        <charset val="0"/>
      </rPr>
      <t>/</t>
    </r>
    <r>
      <rPr>
        <sz val="11"/>
        <rFont val="宋体"/>
        <charset val="134"/>
      </rPr>
      <t>平方米</t>
    </r>
  </si>
  <si>
    <t>025</t>
  </si>
  <si>
    <t>单位面积耗水量</t>
  </si>
  <si>
    <t>外购热量</t>
  </si>
  <si>
    <t>电锅炉房(机车)</t>
  </si>
  <si>
    <t xml:space="preserve"> </t>
  </si>
  <si>
    <t>项  目</t>
  </si>
  <si>
    <t>本月实际</t>
  </si>
  <si>
    <t>本年累计</t>
  </si>
  <si>
    <t>期末供暖面积</t>
  </si>
  <si>
    <t>实际平均供暖面积</t>
  </si>
  <si>
    <t>其中：高压电量</t>
  </si>
  <si>
    <t>电锅炉房(研究院)</t>
  </si>
  <si>
    <t>旅顺   锅炉房</t>
  </si>
  <si>
    <t>复州湾  锅炉房</t>
  </si>
  <si>
    <t>天然气锅炉</t>
  </si>
  <si>
    <t>北海</t>
  </si>
  <si>
    <t>裕景</t>
  </si>
  <si>
    <t>耗天然气(人工煤气)量</t>
  </si>
  <si>
    <t>立方米</t>
  </si>
  <si>
    <t>天然气(煤气)发热量</t>
  </si>
  <si>
    <r>
      <rPr>
        <sz val="11"/>
        <rFont val="宋体"/>
        <charset val="134"/>
      </rPr>
      <t>千焦</t>
    </r>
    <r>
      <rPr>
        <sz val="11"/>
        <rFont val="Times New Roman"/>
        <charset val="0"/>
      </rPr>
      <t>/</t>
    </r>
    <r>
      <rPr>
        <sz val="11"/>
        <rFont val="宋体"/>
        <charset val="134"/>
      </rPr>
      <t>立方米</t>
    </r>
  </si>
  <si>
    <t>空气源热泵(研究院)</t>
  </si>
  <si>
    <t>研究院本月实际</t>
  </si>
  <si>
    <t>研究院本年累计</t>
  </si>
  <si>
    <t>碧流河</t>
  </si>
  <si>
    <t>设备利用率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</si>
</sst>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);[Red]\(#,##0\)"/>
    <numFmt numFmtId="177" formatCode="#,##0.00_ "/>
    <numFmt numFmtId="178" formatCode="#,##0_ "/>
    <numFmt numFmtId="179" formatCode="_ * #,##0_ ;_ * \-#,##0_ ;_ * &quot;-&quot;??_ ;_ @_ "/>
    <numFmt numFmtId="180" formatCode="0.00_ "/>
    <numFmt numFmtId="181" formatCode="0.0"/>
    <numFmt numFmtId="182" formatCode="0.0%"/>
    <numFmt numFmtId="183" formatCode="#,##0.0_ "/>
  </numFmts>
  <fonts count="28">
    <font>
      <sz val="12"/>
      <name val="宋体"/>
      <charset val="134"/>
    </font>
    <font>
      <sz val="10"/>
      <name val="Times New Roman"/>
      <charset val="0"/>
    </font>
    <font>
      <sz val="11"/>
      <name val="Times New Roman"/>
      <charset val="0"/>
    </font>
    <font>
      <sz val="12"/>
      <name val="Times New Roman"/>
      <charset val="0"/>
    </font>
    <font>
      <sz val="11"/>
      <name val="华文细黑"/>
      <charset val="134"/>
    </font>
    <font>
      <sz val="10"/>
      <name val="宋体"/>
      <charset val="134"/>
    </font>
    <font>
      <sz val="11"/>
      <name val="宋体"/>
      <charset val="134"/>
    </font>
    <font>
      <u/>
      <sz val="12"/>
      <color indexed="12"/>
      <name val="宋体"/>
      <charset val="134"/>
    </font>
    <font>
      <u/>
      <sz val="12"/>
      <color indexed="36"/>
      <name val="宋体"/>
      <charset val="134"/>
    </font>
    <font>
      <sz val="11"/>
      <color indexed="8"/>
      <name val="宋体"/>
      <charset val="134"/>
    </font>
    <font>
      <sz val="11"/>
      <color indexed="10"/>
      <name val="宋体"/>
      <charset val="134"/>
    </font>
    <font>
      <b/>
      <sz val="18"/>
      <color indexed="56"/>
      <name val="宋体"/>
      <charset val="134"/>
    </font>
    <font>
      <i/>
      <sz val="11"/>
      <color indexed="23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sz val="11"/>
      <color indexed="60"/>
      <name val="宋体"/>
      <charset val="134"/>
    </font>
    <font>
      <sz val="11"/>
      <color indexed="9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2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367D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42">
    <border>
      <left/>
      <right/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double">
        <color auto="1"/>
      </right>
      <top style="medium">
        <color auto="1"/>
      </top>
      <bottom style="thin">
        <color auto="1"/>
      </bottom>
      <diagonal/>
    </border>
    <border>
      <left style="double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double">
        <color auto="1"/>
      </left>
      <right/>
      <top/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double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double">
        <color auto="1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7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6" borderId="3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4" applyNumberFormat="0" applyFill="0" applyAlignment="0" applyProtection="0">
      <alignment vertical="center"/>
    </xf>
    <xf numFmtId="0" fontId="14" fillId="0" borderId="35" applyNumberFormat="0" applyFill="0" applyAlignment="0" applyProtection="0">
      <alignment vertical="center"/>
    </xf>
    <xf numFmtId="0" fontId="15" fillId="0" borderId="3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37" applyNumberFormat="0" applyAlignment="0" applyProtection="0">
      <alignment vertical="center"/>
    </xf>
    <xf numFmtId="0" fontId="17" fillId="8" borderId="38" applyNumberFormat="0" applyAlignment="0" applyProtection="0">
      <alignment vertical="center"/>
    </xf>
    <xf numFmtId="0" fontId="18" fillId="8" borderId="37" applyNumberFormat="0" applyAlignment="0" applyProtection="0">
      <alignment vertical="center"/>
    </xf>
    <xf numFmtId="0" fontId="19" fillId="9" borderId="39" applyNumberFormat="0" applyAlignment="0" applyProtection="0">
      <alignment vertical="center"/>
    </xf>
    <xf numFmtId="0" fontId="20" fillId="0" borderId="40" applyNumberFormat="0" applyFill="0" applyAlignment="0" applyProtection="0">
      <alignment vertical="center"/>
    </xf>
    <xf numFmtId="0" fontId="21" fillId="0" borderId="41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41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</cellStyleXfs>
  <cellXfs count="237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>
      <alignment vertical="center"/>
    </xf>
    <xf numFmtId="176" fontId="2" fillId="0" borderId="0" xfId="0" applyNumberFormat="1" applyFont="1" applyFill="1">
      <alignment vertical="center"/>
    </xf>
    <xf numFmtId="0" fontId="1" fillId="0" borderId="0" xfId="0" applyFont="1" applyFill="1" applyAlignment="1">
      <alignment horizontal="center" vertical="center"/>
    </xf>
    <xf numFmtId="0" fontId="3" fillId="0" borderId="0" xfId="0" applyFont="1" applyFill="1">
      <alignment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1" fillId="0" borderId="0" xfId="0" applyFont="1" applyFill="1" applyBorder="1">
      <alignment vertical="center"/>
    </xf>
    <xf numFmtId="0" fontId="4" fillId="0" borderId="7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 wrapText="1"/>
    </xf>
    <xf numFmtId="49" fontId="2" fillId="0" borderId="12" xfId="0" applyNumberFormat="1" applyFont="1" applyFill="1" applyBorder="1" applyAlignment="1">
      <alignment horizontal="center" vertical="center" shrinkToFit="1"/>
    </xf>
    <xf numFmtId="43" fontId="6" fillId="0" borderId="13" xfId="1" applyNumberFormat="1" applyFont="1" applyFill="1" applyBorder="1" applyAlignment="1">
      <alignment horizontal="left" vertical="center" wrapText="1"/>
    </xf>
    <xf numFmtId="0" fontId="6" fillId="0" borderId="13" xfId="0" applyFont="1" applyFill="1" applyBorder="1" applyAlignment="1">
      <alignment horizontal="center" vertical="center" wrapText="1"/>
    </xf>
    <xf numFmtId="43" fontId="2" fillId="0" borderId="13" xfId="1" applyNumberFormat="1" applyFont="1" applyFill="1" applyBorder="1" applyAlignment="1" applyProtection="1">
      <alignment vertical="center" wrapText="1"/>
      <protection locked="0"/>
    </xf>
    <xf numFmtId="43" fontId="2" fillId="0" borderId="13" xfId="1" applyNumberFormat="1" applyFont="1" applyFill="1" applyBorder="1" applyAlignment="1">
      <alignment vertical="center" wrapText="1"/>
    </xf>
    <xf numFmtId="177" fontId="2" fillId="0" borderId="14" xfId="0" applyNumberFormat="1" applyFont="1" applyFill="1" applyBorder="1" applyAlignment="1">
      <alignment vertical="center"/>
    </xf>
    <xf numFmtId="43" fontId="2" fillId="0" borderId="14" xfId="0" applyNumberFormat="1" applyFont="1" applyFill="1" applyBorder="1" applyAlignment="1" applyProtection="1">
      <alignment vertical="center"/>
      <protection locked="0"/>
    </xf>
    <xf numFmtId="43" fontId="2" fillId="0" borderId="15" xfId="1" applyNumberFormat="1" applyFont="1" applyFill="1" applyBorder="1" applyAlignment="1" applyProtection="1">
      <alignment vertical="center" wrapText="1"/>
      <protection locked="0"/>
    </xf>
    <xf numFmtId="177" fontId="2" fillId="0" borderId="14" xfId="0" applyNumberFormat="1" applyFont="1" applyFill="1" applyBorder="1" applyAlignment="1" applyProtection="1">
      <alignment vertical="center"/>
      <protection locked="0"/>
    </xf>
    <xf numFmtId="49" fontId="2" fillId="0" borderId="16" xfId="0" applyNumberFormat="1" applyFont="1" applyFill="1" applyBorder="1" applyAlignment="1">
      <alignment horizontal="center" vertical="center" shrinkToFit="1"/>
    </xf>
    <xf numFmtId="43" fontId="6" fillId="0" borderId="17" xfId="1" applyNumberFormat="1" applyFont="1" applyFill="1" applyBorder="1" applyAlignment="1">
      <alignment horizontal="left" vertical="center" wrapText="1"/>
    </xf>
    <xf numFmtId="0" fontId="6" fillId="0" borderId="17" xfId="0" applyFont="1" applyFill="1" applyBorder="1" applyAlignment="1">
      <alignment horizontal="center" vertical="center" wrapText="1"/>
    </xf>
    <xf numFmtId="43" fontId="2" fillId="0" borderId="17" xfId="1" applyNumberFormat="1" applyFont="1" applyFill="1" applyBorder="1" applyAlignment="1">
      <alignment vertical="center" wrapText="1"/>
    </xf>
    <xf numFmtId="41" fontId="2" fillId="0" borderId="17" xfId="0" applyNumberFormat="1" applyFont="1" applyFill="1" applyBorder="1" applyAlignment="1" applyProtection="1">
      <alignment vertical="center" wrapText="1"/>
      <protection locked="0"/>
    </xf>
    <xf numFmtId="41" fontId="2" fillId="0" borderId="17" xfId="0" applyNumberFormat="1" applyFont="1" applyFill="1" applyBorder="1" applyAlignment="1">
      <alignment vertical="center" wrapText="1"/>
    </xf>
    <xf numFmtId="178" fontId="2" fillId="0" borderId="17" xfId="0" applyNumberFormat="1" applyFont="1" applyFill="1" applyBorder="1" applyAlignment="1">
      <alignment vertical="center"/>
    </xf>
    <xf numFmtId="179" fontId="2" fillId="0" borderId="18" xfId="0" applyNumberFormat="1" applyFont="1" applyFill="1" applyBorder="1" applyAlignment="1" applyProtection="1">
      <alignment vertical="center"/>
      <protection locked="0"/>
    </xf>
    <xf numFmtId="43" fontId="2" fillId="0" borderId="19" xfId="1" applyNumberFormat="1" applyFont="1" applyFill="1" applyBorder="1" applyAlignment="1" applyProtection="1">
      <alignment vertical="center" wrapText="1"/>
      <protection locked="0"/>
    </xf>
    <xf numFmtId="41" fontId="2" fillId="0" borderId="17" xfId="4" applyNumberFormat="1" applyFont="1" applyFill="1" applyBorder="1" applyAlignment="1" applyProtection="1">
      <alignment vertical="center"/>
      <protection locked="0"/>
    </xf>
    <xf numFmtId="178" fontId="2" fillId="0" borderId="17" xfId="0" applyNumberFormat="1" applyFont="1" applyFill="1" applyBorder="1" applyAlignment="1" applyProtection="1">
      <alignment vertical="center"/>
      <protection locked="0"/>
    </xf>
    <xf numFmtId="41" fontId="2" fillId="0" borderId="17" xfId="4" applyNumberFormat="1" applyFont="1" applyFill="1" applyBorder="1" applyAlignment="1">
      <alignment vertical="center"/>
    </xf>
    <xf numFmtId="179" fontId="2" fillId="0" borderId="17" xfId="1" applyNumberFormat="1" applyFont="1" applyFill="1" applyBorder="1" applyAlignment="1">
      <alignment vertical="center" shrinkToFit="1"/>
    </xf>
    <xf numFmtId="41" fontId="2" fillId="2" borderId="17" xfId="0" applyNumberFormat="1" applyFont="1" applyFill="1" applyBorder="1" applyAlignment="1">
      <alignment vertical="center" wrapText="1"/>
    </xf>
    <xf numFmtId="43" fontId="6" fillId="0" borderId="17" xfId="1" applyNumberFormat="1" applyFont="1" applyFill="1" applyBorder="1" applyAlignment="1">
      <alignment vertical="center" shrinkToFit="1"/>
    </xf>
    <xf numFmtId="0" fontId="6" fillId="0" borderId="17" xfId="0" applyFont="1" applyFill="1" applyBorder="1" applyAlignment="1">
      <alignment horizontal="center" vertical="center" shrinkToFit="1"/>
    </xf>
    <xf numFmtId="180" fontId="2" fillId="2" borderId="20" xfId="1" applyNumberFormat="1" applyFont="1" applyFill="1" applyBorder="1" applyAlignment="1">
      <alignment vertical="center" shrinkToFit="1"/>
    </xf>
    <xf numFmtId="0" fontId="2" fillId="0" borderId="0" xfId="0" applyFont="1" applyFill="1" applyBorder="1">
      <alignment vertical="center"/>
    </xf>
    <xf numFmtId="179" fontId="2" fillId="0" borderId="17" xfId="1" applyNumberFormat="1" applyFont="1" applyFill="1" applyBorder="1" applyAlignment="1" applyProtection="1">
      <alignment vertical="center" shrinkToFit="1"/>
      <protection locked="0"/>
    </xf>
    <xf numFmtId="0" fontId="2" fillId="3" borderId="0" xfId="0" applyFont="1" applyFill="1" applyBorder="1">
      <alignment vertical="center"/>
    </xf>
    <xf numFmtId="178" fontId="1" fillId="2" borderId="17" xfId="0" applyNumberFormat="1" applyFont="1" applyFill="1" applyBorder="1" applyAlignment="1" applyProtection="1">
      <alignment vertical="center"/>
      <protection locked="0"/>
    </xf>
    <xf numFmtId="179" fontId="2" fillId="0" borderId="18" xfId="0" applyNumberFormat="1" applyFont="1" applyFill="1" applyBorder="1" applyAlignment="1">
      <alignment vertical="center"/>
    </xf>
    <xf numFmtId="179" fontId="2" fillId="0" borderId="17" xfId="1" applyNumberFormat="1" applyFont="1" applyFill="1" applyBorder="1" applyAlignment="1">
      <alignment vertical="center"/>
    </xf>
    <xf numFmtId="179" fontId="2" fillId="3" borderId="20" xfId="1" applyNumberFormat="1" applyFont="1" applyFill="1" applyBorder="1" applyAlignment="1">
      <alignment vertical="center" shrinkToFit="1"/>
    </xf>
    <xf numFmtId="179" fontId="2" fillId="2" borderId="20" xfId="1" applyNumberFormat="1" applyFont="1" applyFill="1" applyBorder="1" applyAlignment="1">
      <alignment vertical="center" shrinkToFit="1"/>
    </xf>
    <xf numFmtId="49" fontId="2" fillId="0" borderId="16" xfId="0" applyNumberFormat="1" applyFont="1" applyFill="1" applyBorder="1" applyAlignment="1">
      <alignment horizontal="center" vertical="center"/>
    </xf>
    <xf numFmtId="43" fontId="6" fillId="0" borderId="17" xfId="1" applyNumberFormat="1" applyFont="1" applyFill="1" applyBorder="1">
      <alignment vertical="center"/>
    </xf>
    <xf numFmtId="0" fontId="6" fillId="0" borderId="17" xfId="0" applyFont="1" applyFill="1" applyBorder="1" applyAlignment="1">
      <alignment horizontal="center" vertical="center"/>
    </xf>
    <xf numFmtId="178" fontId="2" fillId="0" borderId="17" xfId="0" applyNumberFormat="1" applyFont="1" applyFill="1" applyBorder="1">
      <alignment vertical="center"/>
    </xf>
    <xf numFmtId="180" fontId="2" fillId="0" borderId="17" xfId="0" applyNumberFormat="1" applyFont="1" applyFill="1" applyBorder="1">
      <alignment vertical="center"/>
    </xf>
    <xf numFmtId="180" fontId="2" fillId="0" borderId="21" xfId="0" applyNumberFormat="1" applyFont="1" applyFill="1" applyBorder="1" applyAlignment="1" applyProtection="1">
      <alignment vertical="center"/>
      <protection locked="0"/>
    </xf>
    <xf numFmtId="180" fontId="2" fillId="0" borderId="18" xfId="0" applyNumberFormat="1" applyFont="1" applyFill="1" applyBorder="1" applyAlignment="1" applyProtection="1">
      <alignment vertical="center"/>
      <protection locked="0"/>
    </xf>
    <xf numFmtId="181" fontId="2" fillId="0" borderId="17" xfId="3" applyNumberFormat="1" applyFont="1" applyFill="1" applyBorder="1" applyAlignment="1" applyProtection="1">
      <alignment vertical="center" shrinkToFit="1"/>
      <protection locked="0"/>
    </xf>
    <xf numFmtId="181" fontId="2" fillId="0" borderId="18" xfId="3" applyNumberFormat="1" applyFont="1" applyFill="1" applyBorder="1" applyAlignment="1" applyProtection="1">
      <alignment vertical="center" shrinkToFit="1"/>
      <protection locked="0"/>
    </xf>
    <xf numFmtId="181" fontId="2" fillId="0" borderId="20" xfId="3" applyNumberFormat="1" applyFont="1" applyFill="1" applyBorder="1" applyAlignment="1" applyProtection="1">
      <alignment vertical="center" shrinkToFit="1"/>
      <protection locked="0"/>
    </xf>
    <xf numFmtId="176" fontId="6" fillId="0" borderId="17" xfId="0" applyNumberFormat="1" applyFont="1" applyFill="1" applyBorder="1" applyAlignment="1">
      <alignment horizontal="center" vertical="center" shrinkToFit="1"/>
    </xf>
    <xf numFmtId="176" fontId="2" fillId="0" borderId="17" xfId="0" applyNumberFormat="1" applyFont="1" applyFill="1" applyBorder="1" applyAlignment="1">
      <alignment vertical="center" wrapText="1"/>
    </xf>
    <xf numFmtId="178" fontId="2" fillId="0" borderId="17" xfId="4" applyNumberFormat="1" applyFont="1" applyFill="1" applyBorder="1" applyAlignment="1">
      <alignment vertical="center"/>
    </xf>
    <xf numFmtId="176" fontId="2" fillId="0" borderId="18" xfId="0" applyNumberFormat="1" applyFont="1" applyFill="1" applyBorder="1" applyAlignment="1" applyProtection="1">
      <alignment vertical="center"/>
      <protection locked="0"/>
    </xf>
    <xf numFmtId="176" fontId="2" fillId="0" borderId="0" xfId="0" applyNumberFormat="1" applyFont="1" applyFill="1" applyBorder="1">
      <alignment vertical="center"/>
    </xf>
    <xf numFmtId="176" fontId="2" fillId="2" borderId="17" xfId="0" applyNumberFormat="1" applyFont="1" applyFill="1" applyBorder="1" applyAlignment="1">
      <alignment vertical="center" wrapText="1"/>
    </xf>
    <xf numFmtId="176" fontId="2" fillId="0" borderId="18" xfId="0" applyNumberFormat="1" applyFont="1" applyFill="1" applyBorder="1" applyAlignment="1">
      <alignment horizontal="right" vertical="center"/>
    </xf>
    <xf numFmtId="179" fontId="2" fillId="0" borderId="20" xfId="1" applyNumberFormat="1" applyFont="1" applyFill="1" applyBorder="1" applyAlignment="1">
      <alignment vertical="center" shrinkToFit="1"/>
    </xf>
    <xf numFmtId="180" fontId="2" fillId="2" borderId="17" xfId="0" applyNumberFormat="1" applyFont="1" applyFill="1" applyBorder="1" applyAlignment="1" applyProtection="1">
      <alignment vertical="center" wrapText="1"/>
      <protection locked="0"/>
    </xf>
    <xf numFmtId="178" fontId="2" fillId="0" borderId="18" xfId="0" applyNumberFormat="1" applyFont="1" applyFill="1" applyBorder="1" applyAlignment="1" applyProtection="1">
      <alignment vertical="center"/>
      <protection locked="0"/>
    </xf>
    <xf numFmtId="179" fontId="2" fillId="0" borderId="18" xfId="1" applyNumberFormat="1" applyFont="1" applyFill="1" applyBorder="1" applyAlignment="1" applyProtection="1">
      <alignment vertical="center" shrinkToFit="1"/>
      <protection locked="0"/>
    </xf>
    <xf numFmtId="179" fontId="2" fillId="0" borderId="19" xfId="0" applyNumberFormat="1" applyFont="1" applyFill="1" applyBorder="1" applyAlignment="1" applyProtection="1">
      <alignment vertical="center" shrinkToFit="1"/>
      <protection locked="0"/>
    </xf>
    <xf numFmtId="179" fontId="2" fillId="0" borderId="17" xfId="0" applyNumberFormat="1" applyFont="1" applyFill="1" applyBorder="1" applyAlignment="1">
      <alignment vertical="center" shrinkToFit="1"/>
    </xf>
    <xf numFmtId="178" fontId="2" fillId="0" borderId="18" xfId="0" applyNumberFormat="1" applyFont="1" applyFill="1" applyBorder="1" applyAlignment="1">
      <alignment vertical="center"/>
    </xf>
    <xf numFmtId="179" fontId="2" fillId="0" borderId="18" xfId="1" applyNumberFormat="1" applyFont="1" applyFill="1" applyBorder="1" applyAlignment="1">
      <alignment vertical="center" shrinkToFit="1"/>
    </xf>
    <xf numFmtId="179" fontId="2" fillId="0" borderId="19" xfId="0" applyNumberFormat="1" applyFont="1" applyFill="1" applyBorder="1" applyAlignment="1">
      <alignment vertical="center" shrinkToFit="1"/>
    </xf>
    <xf numFmtId="0" fontId="2" fillId="0" borderId="17" xfId="0" applyFont="1" applyFill="1" applyBorder="1" applyAlignment="1">
      <alignment horizontal="center" vertical="center" shrinkToFit="1"/>
    </xf>
    <xf numFmtId="182" fontId="2" fillId="0" borderId="17" xfId="3" applyNumberFormat="1" applyFont="1" applyFill="1" applyBorder="1" applyAlignment="1" applyProtection="1">
      <alignment vertical="center" shrinkToFit="1"/>
      <protection locked="0"/>
    </xf>
    <xf numFmtId="182" fontId="2" fillId="0" borderId="18" xfId="3" applyNumberFormat="1" applyFont="1" applyFill="1" applyBorder="1" applyAlignment="1" applyProtection="1">
      <alignment vertical="center" shrinkToFit="1"/>
      <protection locked="0"/>
    </xf>
    <xf numFmtId="182" fontId="2" fillId="0" borderId="19" xfId="3" applyNumberFormat="1" applyFont="1" applyFill="1" applyBorder="1" applyAlignment="1" applyProtection="1">
      <alignment vertical="center" shrinkToFit="1"/>
      <protection locked="0"/>
    </xf>
    <xf numFmtId="180" fontId="2" fillId="4" borderId="17" xfId="3" applyNumberFormat="1" applyFont="1" applyFill="1" applyBorder="1" applyAlignment="1" applyProtection="1">
      <alignment vertical="center"/>
      <protection locked="0"/>
    </xf>
    <xf numFmtId="180" fontId="2" fillId="4" borderId="18" xfId="3" applyNumberFormat="1" applyFont="1" applyFill="1" applyBorder="1" applyAlignment="1" applyProtection="1">
      <alignment vertical="center"/>
      <protection locked="0"/>
    </xf>
    <xf numFmtId="180" fontId="2" fillId="4" borderId="19" xfId="3" applyNumberFormat="1" applyFont="1" applyFill="1" applyBorder="1" applyAlignment="1" applyProtection="1">
      <alignment vertical="center"/>
      <protection locked="0"/>
    </xf>
    <xf numFmtId="183" fontId="2" fillId="0" borderId="17" xfId="3" applyNumberFormat="1" applyFont="1" applyFill="1" applyBorder="1" applyAlignment="1">
      <alignment vertical="center"/>
    </xf>
    <xf numFmtId="183" fontId="2" fillId="0" borderId="17" xfId="3" applyNumberFormat="1" applyFont="1" applyFill="1" applyBorder="1" applyAlignment="1" applyProtection="1">
      <alignment vertical="center"/>
      <protection locked="0"/>
    </xf>
    <xf numFmtId="183" fontId="2" fillId="0" borderId="19" xfId="3" applyNumberFormat="1" applyFont="1" applyFill="1" applyBorder="1" applyAlignment="1">
      <alignment vertical="center"/>
    </xf>
    <xf numFmtId="183" fontId="2" fillId="0" borderId="18" xfId="3" applyNumberFormat="1" applyFont="1" applyFill="1" applyBorder="1" applyAlignment="1" applyProtection="1">
      <alignment vertical="center"/>
      <protection locked="0"/>
    </xf>
    <xf numFmtId="183" fontId="2" fillId="0" borderId="17" xfId="1" applyNumberFormat="1" applyFont="1" applyFill="1" applyBorder="1" applyAlignment="1">
      <alignment vertical="center"/>
    </xf>
    <xf numFmtId="183" fontId="2" fillId="0" borderId="17" xfId="1" applyNumberFormat="1" applyFont="1" applyFill="1" applyBorder="1" applyAlignment="1" applyProtection="1">
      <alignment vertical="center"/>
      <protection locked="0"/>
    </xf>
    <xf numFmtId="183" fontId="2" fillId="0" borderId="18" xfId="1" applyNumberFormat="1" applyFont="1" applyFill="1" applyBorder="1" applyAlignment="1" applyProtection="1">
      <alignment vertical="center"/>
      <protection locked="0"/>
    </xf>
    <xf numFmtId="183" fontId="2" fillId="0" borderId="19" xfId="1" applyNumberFormat="1" applyFont="1" applyFill="1" applyBorder="1" applyAlignment="1">
      <alignment vertical="center"/>
    </xf>
    <xf numFmtId="183" fontId="2" fillId="0" borderId="17" xfId="0" applyNumberFormat="1" applyFont="1" applyFill="1" applyBorder="1" applyAlignment="1">
      <alignment vertical="center"/>
    </xf>
    <xf numFmtId="183" fontId="2" fillId="0" borderId="19" xfId="0" applyNumberFormat="1" applyFont="1" applyFill="1" applyBorder="1" applyAlignment="1">
      <alignment vertical="center"/>
    </xf>
    <xf numFmtId="49" fontId="2" fillId="0" borderId="22" xfId="0" applyNumberFormat="1" applyFont="1" applyFill="1" applyBorder="1" applyAlignment="1">
      <alignment horizontal="center" vertical="center"/>
    </xf>
    <xf numFmtId="43" fontId="6" fillId="0" borderId="23" xfId="1" applyNumberFormat="1" applyFont="1" applyFill="1" applyBorder="1">
      <alignment vertical="center"/>
    </xf>
    <xf numFmtId="0" fontId="6" fillId="0" borderId="23" xfId="0" applyFont="1" applyFill="1" applyBorder="1" applyAlignment="1">
      <alignment horizontal="center" vertical="center" shrinkToFit="1"/>
    </xf>
    <xf numFmtId="183" fontId="2" fillId="0" borderId="23" xfId="0" applyNumberFormat="1" applyFont="1" applyFill="1" applyBorder="1" applyAlignment="1">
      <alignment vertical="center"/>
    </xf>
    <xf numFmtId="183" fontId="2" fillId="0" borderId="23" xfId="1" applyNumberFormat="1" applyFont="1" applyFill="1" applyBorder="1" applyAlignment="1" applyProtection="1">
      <alignment vertical="center"/>
      <protection locked="0"/>
    </xf>
    <xf numFmtId="183" fontId="2" fillId="0" borderId="24" xfId="1" applyNumberFormat="1" applyFont="1" applyFill="1" applyBorder="1" applyAlignment="1" applyProtection="1">
      <alignment vertical="center"/>
      <protection locked="0"/>
    </xf>
    <xf numFmtId="183" fontId="2" fillId="0" borderId="25" xfId="1" applyNumberFormat="1" applyFont="1" applyFill="1" applyBorder="1" applyAlignment="1">
      <alignment vertical="center"/>
    </xf>
    <xf numFmtId="49" fontId="2" fillId="0" borderId="0" xfId="0" applyNumberFormat="1" applyFont="1" applyFill="1" applyBorder="1" applyAlignment="1">
      <alignment horizontal="center" vertical="center"/>
    </xf>
    <xf numFmtId="43" fontId="6" fillId="0" borderId="0" xfId="1" applyNumberFormat="1" applyFont="1" applyFill="1" applyBorder="1">
      <alignment vertical="center"/>
    </xf>
    <xf numFmtId="0" fontId="6" fillId="0" borderId="0" xfId="0" applyFont="1" applyFill="1" applyBorder="1" applyAlignment="1">
      <alignment horizontal="center" vertical="center"/>
    </xf>
    <xf numFmtId="178" fontId="2" fillId="0" borderId="0" xfId="0" applyNumberFormat="1" applyFont="1" applyFill="1" applyBorder="1">
      <alignment vertical="center"/>
    </xf>
    <xf numFmtId="178" fontId="2" fillId="0" borderId="0" xfId="0" applyNumberFormat="1" applyFont="1" applyFill="1" applyBorder="1" applyAlignment="1">
      <alignment vertical="center"/>
    </xf>
    <xf numFmtId="0" fontId="6" fillId="0" borderId="0" xfId="0" applyFont="1" applyFill="1">
      <alignment vertical="center"/>
    </xf>
    <xf numFmtId="0" fontId="6" fillId="0" borderId="1" xfId="0" applyFont="1" applyFill="1" applyBorder="1" applyAlignment="1">
      <alignment vertical="center"/>
    </xf>
    <xf numFmtId="0" fontId="6" fillId="0" borderId="2" xfId="0" applyFont="1" applyFill="1" applyBorder="1" applyAlignment="1">
      <alignment vertical="center"/>
    </xf>
    <xf numFmtId="0" fontId="6" fillId="0" borderId="26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vertical="center" wrapText="1"/>
    </xf>
    <xf numFmtId="177" fontId="2" fillId="0" borderId="21" xfId="0" applyNumberFormat="1" applyFont="1" applyFill="1" applyBorder="1">
      <alignment vertical="center"/>
    </xf>
    <xf numFmtId="177" fontId="2" fillId="0" borderId="0" xfId="0" applyNumberFormat="1" applyFont="1" applyFill="1" applyBorder="1">
      <alignment vertical="center"/>
    </xf>
    <xf numFmtId="178" fontId="2" fillId="0" borderId="21" xfId="0" applyNumberFormat="1" applyFont="1" applyFill="1" applyBorder="1">
      <alignment vertical="center"/>
    </xf>
    <xf numFmtId="178" fontId="2" fillId="0" borderId="0" xfId="0" applyNumberFormat="1" applyFont="1" applyFill="1" applyBorder="1" applyProtection="1">
      <alignment vertical="center"/>
      <protection locked="0"/>
    </xf>
    <xf numFmtId="178" fontId="2" fillId="0" borderId="21" xfId="0" applyNumberFormat="1" applyFont="1" applyFill="1" applyBorder="1" applyProtection="1">
      <alignment vertical="center"/>
      <protection locked="0"/>
    </xf>
    <xf numFmtId="178" fontId="2" fillId="2" borderId="20" xfId="0" applyNumberFormat="1" applyFont="1" applyFill="1" applyBorder="1" applyProtection="1">
      <alignment vertical="center"/>
      <protection locked="0"/>
    </xf>
    <xf numFmtId="178" fontId="2" fillId="0" borderId="21" xfId="1" applyNumberFormat="1" applyFont="1" applyFill="1" applyBorder="1" applyAlignment="1">
      <alignment vertical="center" shrinkToFit="1"/>
    </xf>
    <xf numFmtId="180" fontId="2" fillId="2" borderId="0" xfId="0" applyNumberFormat="1" applyFont="1" applyFill="1" applyBorder="1" applyProtection="1">
      <alignment vertical="center"/>
      <protection locked="0"/>
    </xf>
    <xf numFmtId="183" fontId="2" fillId="0" borderId="21" xfId="3" applyNumberFormat="1" applyFont="1" applyFill="1" applyBorder="1" applyAlignment="1" applyProtection="1">
      <alignment vertical="center" shrinkToFit="1"/>
      <protection locked="0"/>
    </xf>
    <xf numFmtId="181" fontId="2" fillId="0" borderId="0" xfId="3" applyNumberFormat="1" applyFont="1" applyFill="1" applyBorder="1" applyAlignment="1" applyProtection="1">
      <alignment vertical="center" shrinkToFit="1"/>
      <protection locked="0"/>
    </xf>
    <xf numFmtId="180" fontId="2" fillId="4" borderId="21" xfId="3" applyNumberFormat="1" applyFont="1" applyFill="1" applyBorder="1" applyAlignment="1" applyProtection="1">
      <alignment vertical="center"/>
      <protection locked="0"/>
    </xf>
    <xf numFmtId="180" fontId="2" fillId="4" borderId="0" xfId="3" applyNumberFormat="1" applyFont="1" applyFill="1" applyBorder="1" applyAlignment="1" applyProtection="1">
      <alignment vertical="center"/>
      <protection locked="0"/>
    </xf>
    <xf numFmtId="183" fontId="2" fillId="0" borderId="21" xfId="3" applyNumberFormat="1" applyFont="1" applyFill="1" applyBorder="1" applyAlignment="1" applyProtection="1">
      <alignment vertical="center"/>
      <protection locked="0"/>
    </xf>
    <xf numFmtId="183" fontId="2" fillId="0" borderId="0" xfId="3" applyNumberFormat="1" applyFont="1" applyFill="1" applyBorder="1" applyAlignment="1" applyProtection="1">
      <alignment vertical="center"/>
      <protection locked="0"/>
    </xf>
    <xf numFmtId="183" fontId="2" fillId="0" borderId="21" xfId="1" applyNumberFormat="1" applyFont="1" applyFill="1" applyBorder="1" applyAlignment="1" applyProtection="1">
      <alignment vertical="center"/>
      <protection locked="0"/>
    </xf>
    <xf numFmtId="183" fontId="2" fillId="0" borderId="0" xfId="1" applyNumberFormat="1" applyFont="1" applyFill="1" applyBorder="1" applyAlignment="1" applyProtection="1">
      <alignment vertical="center"/>
      <protection locked="0"/>
    </xf>
    <xf numFmtId="49" fontId="2" fillId="0" borderId="22" xfId="0" applyNumberFormat="1" applyFont="1" applyFill="1" applyBorder="1" applyAlignment="1">
      <alignment horizontal="center" vertical="center" shrinkToFit="1"/>
    </xf>
    <xf numFmtId="183" fontId="2" fillId="0" borderId="27" xfId="1" applyNumberFormat="1" applyFont="1" applyFill="1" applyBorder="1" applyAlignment="1" applyProtection="1">
      <alignment vertical="center"/>
      <protection locked="0"/>
    </xf>
    <xf numFmtId="0" fontId="6" fillId="0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 wrapText="1"/>
    </xf>
    <xf numFmtId="0" fontId="6" fillId="0" borderId="28" xfId="0" applyFont="1" applyFill="1" applyBorder="1" applyAlignment="1">
      <alignment horizontal="center" vertical="center" wrapText="1"/>
    </xf>
    <xf numFmtId="0" fontId="6" fillId="0" borderId="29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/>
    </xf>
    <xf numFmtId="177" fontId="2" fillId="0" borderId="18" xfId="0" applyNumberFormat="1" applyFont="1" applyFill="1" applyBorder="1">
      <alignment vertical="center"/>
    </xf>
    <xf numFmtId="177" fontId="2" fillId="0" borderId="30" xfId="0" applyNumberFormat="1" applyFont="1" applyFill="1" applyBorder="1" applyProtection="1">
      <alignment vertical="center"/>
      <protection locked="0"/>
    </xf>
    <xf numFmtId="177" fontId="2" fillId="0" borderId="0" xfId="0" applyNumberFormat="1" applyFont="1" applyFill="1" applyBorder="1" applyProtection="1">
      <alignment vertical="center"/>
      <protection locked="0"/>
    </xf>
    <xf numFmtId="177" fontId="2" fillId="0" borderId="18" xfId="0" applyNumberFormat="1" applyFont="1" applyFill="1" applyBorder="1" applyProtection="1">
      <alignment vertical="center"/>
      <protection locked="0"/>
    </xf>
    <xf numFmtId="178" fontId="2" fillId="0" borderId="18" xfId="0" applyNumberFormat="1" applyFont="1" applyFill="1" applyBorder="1" applyProtection="1">
      <alignment vertical="center"/>
      <protection locked="0"/>
    </xf>
    <xf numFmtId="178" fontId="2" fillId="0" borderId="18" xfId="0" applyNumberFormat="1" applyFont="1" applyFill="1" applyBorder="1">
      <alignment vertical="center"/>
    </xf>
    <xf numFmtId="178" fontId="2" fillId="0" borderId="18" xfId="1" applyNumberFormat="1" applyFont="1" applyFill="1" applyBorder="1" applyAlignment="1">
      <alignment vertical="center" shrinkToFit="1"/>
    </xf>
    <xf numFmtId="180" fontId="2" fillId="2" borderId="20" xfId="0" applyNumberFormat="1" applyFont="1" applyFill="1" applyBorder="1" applyProtection="1">
      <alignment vertical="center"/>
      <protection locked="0"/>
    </xf>
    <xf numFmtId="183" fontId="2" fillId="0" borderId="17" xfId="3" applyNumberFormat="1" applyFont="1" applyFill="1" applyBorder="1" applyAlignment="1" applyProtection="1">
      <alignment vertical="center" shrinkToFit="1"/>
      <protection locked="0"/>
    </xf>
    <xf numFmtId="181" fontId="2" fillId="0" borderId="19" xfId="3" applyNumberFormat="1" applyFont="1" applyFill="1" applyBorder="1" applyAlignment="1" applyProtection="1">
      <alignment vertical="center" shrinkToFit="1"/>
      <protection locked="0"/>
    </xf>
    <xf numFmtId="183" fontId="2" fillId="0" borderId="19" xfId="3" applyNumberFormat="1" applyFont="1" applyFill="1" applyBorder="1" applyAlignment="1" applyProtection="1">
      <alignment vertical="center"/>
      <protection locked="0"/>
    </xf>
    <xf numFmtId="183" fontId="2" fillId="0" borderId="19" xfId="1" applyNumberFormat="1" applyFont="1" applyFill="1" applyBorder="1" applyAlignment="1" applyProtection="1">
      <alignment vertical="center"/>
      <protection locked="0"/>
    </xf>
    <xf numFmtId="183" fontId="2" fillId="0" borderId="25" xfId="1" applyNumberFormat="1" applyFont="1" applyFill="1" applyBorder="1" applyAlignment="1" applyProtection="1">
      <alignment vertical="center"/>
      <protection locked="0"/>
    </xf>
    <xf numFmtId="0" fontId="6" fillId="0" borderId="28" xfId="0" applyFont="1" applyFill="1" applyBorder="1" applyAlignment="1">
      <alignment horizontal="center" vertical="center"/>
    </xf>
    <xf numFmtId="177" fontId="2" fillId="0" borderId="14" xfId="0" applyNumberFormat="1" applyFont="1" applyFill="1" applyBorder="1">
      <alignment vertical="center"/>
    </xf>
    <xf numFmtId="177" fontId="2" fillId="0" borderId="30" xfId="0" applyNumberFormat="1" applyFont="1" applyFill="1" applyBorder="1">
      <alignment vertical="center"/>
    </xf>
    <xf numFmtId="177" fontId="2" fillId="0" borderId="31" xfId="0" applyNumberFormat="1" applyFont="1" applyFill="1" applyBorder="1" applyProtection="1">
      <alignment vertical="center"/>
      <protection locked="0"/>
    </xf>
    <xf numFmtId="177" fontId="2" fillId="0" borderId="14" xfId="0" applyNumberFormat="1" applyFont="1" applyFill="1" applyBorder="1" applyProtection="1">
      <alignment vertical="center"/>
      <protection locked="0"/>
    </xf>
    <xf numFmtId="178" fontId="2" fillId="2" borderId="0" xfId="0" applyNumberFormat="1" applyFont="1" applyFill="1" applyBorder="1" applyProtection="1">
      <alignment vertical="center"/>
      <protection locked="0"/>
    </xf>
    <xf numFmtId="178" fontId="2" fillId="2" borderId="18" xfId="0" applyNumberFormat="1" applyFont="1" applyFill="1" applyBorder="1" applyProtection="1">
      <alignment vertical="center"/>
      <protection locked="0"/>
    </xf>
    <xf numFmtId="178" fontId="2" fillId="0" borderId="21" xfId="63" applyNumberFormat="1" applyFont="1" applyFill="1" applyBorder="1" applyProtection="1">
      <alignment vertical="center"/>
      <protection locked="0"/>
    </xf>
    <xf numFmtId="178" fontId="2" fillId="0" borderId="21" xfId="0" applyNumberFormat="1" applyFont="1" applyFill="1" applyBorder="1" applyAlignment="1">
      <alignment horizontal="right" vertical="center"/>
    </xf>
    <xf numFmtId="183" fontId="2" fillId="0" borderId="17" xfId="0" applyNumberFormat="1" applyFont="1" applyFill="1" applyBorder="1" applyProtection="1">
      <alignment vertical="center"/>
      <protection locked="0"/>
    </xf>
    <xf numFmtId="183" fontId="2" fillId="0" borderId="32" xfId="0" applyNumberFormat="1" applyFont="1" applyFill="1" applyBorder="1" applyAlignment="1">
      <alignment horizontal="right" vertical="center"/>
    </xf>
    <xf numFmtId="183" fontId="2" fillId="0" borderId="16" xfId="0" applyNumberFormat="1" applyFont="1" applyFill="1" applyBorder="1" applyProtection="1">
      <alignment vertical="center"/>
      <protection locked="0"/>
    </xf>
    <xf numFmtId="183" fontId="2" fillId="0" borderId="0" xfId="0" applyNumberFormat="1" applyFont="1" applyFill="1" applyBorder="1" applyAlignment="1">
      <alignment horizontal="right" vertical="center"/>
    </xf>
    <xf numFmtId="181" fontId="2" fillId="0" borderId="21" xfId="3" applyNumberFormat="1" applyFont="1" applyFill="1" applyBorder="1" applyAlignment="1" applyProtection="1">
      <alignment vertical="center" shrinkToFit="1"/>
      <protection locked="0"/>
    </xf>
    <xf numFmtId="181" fontId="2" fillId="0" borderId="16" xfId="3" applyNumberFormat="1" applyFont="1" applyFill="1" applyBorder="1" applyAlignment="1" applyProtection="1">
      <alignment vertical="center" shrinkToFit="1"/>
      <protection locked="0"/>
    </xf>
    <xf numFmtId="178" fontId="2" fillId="0" borderId="32" xfId="0" applyNumberFormat="1" applyFont="1" applyFill="1" applyBorder="1">
      <alignment vertical="center"/>
    </xf>
    <xf numFmtId="178" fontId="2" fillId="0" borderId="16" xfId="0" applyNumberFormat="1" applyFont="1" applyFill="1" applyBorder="1" applyProtection="1">
      <alignment vertical="center"/>
      <protection locked="0"/>
    </xf>
    <xf numFmtId="182" fontId="2" fillId="0" borderId="21" xfId="3" applyNumberFormat="1" applyFont="1" applyFill="1" applyBorder="1" applyAlignment="1" applyProtection="1">
      <alignment vertical="center" shrinkToFit="1"/>
      <protection locked="0"/>
    </xf>
    <xf numFmtId="182" fontId="2" fillId="0" borderId="16" xfId="3" applyNumberFormat="1" applyFont="1" applyFill="1" applyBorder="1" applyAlignment="1" applyProtection="1">
      <alignment vertical="center" shrinkToFit="1"/>
      <protection locked="0"/>
    </xf>
    <xf numFmtId="43" fontId="6" fillId="0" borderId="23" xfId="1" applyNumberFormat="1" applyFont="1" applyFill="1" applyBorder="1" applyAlignment="1">
      <alignment vertical="center" shrinkToFit="1"/>
    </xf>
    <xf numFmtId="0" fontId="2" fillId="0" borderId="23" xfId="0" applyFont="1" applyFill="1" applyBorder="1" applyAlignment="1">
      <alignment horizontal="center" vertical="center" shrinkToFit="1"/>
    </xf>
    <xf numFmtId="180" fontId="2" fillId="4" borderId="23" xfId="3" applyNumberFormat="1" applyFont="1" applyFill="1" applyBorder="1" applyAlignment="1" applyProtection="1">
      <alignment vertical="center"/>
      <protection locked="0"/>
    </xf>
    <xf numFmtId="180" fontId="2" fillId="4" borderId="27" xfId="3" applyNumberFormat="1" applyFont="1" applyFill="1" applyBorder="1" applyAlignment="1" applyProtection="1">
      <alignment vertical="center"/>
      <protection locked="0"/>
    </xf>
    <xf numFmtId="180" fontId="2" fillId="4" borderId="22" xfId="3" applyNumberFormat="1" applyFont="1" applyFill="1" applyBorder="1" applyAlignment="1" applyProtection="1">
      <alignment vertical="center"/>
      <protection locked="0"/>
    </xf>
    <xf numFmtId="180" fontId="2" fillId="4" borderId="24" xfId="3" applyNumberFormat="1" applyFont="1" applyFill="1" applyBorder="1" applyAlignment="1" applyProtection="1">
      <alignment vertical="center"/>
      <protection locked="0"/>
    </xf>
    <xf numFmtId="0" fontId="5" fillId="0" borderId="0" xfId="0" applyFont="1" applyFill="1" applyAlignment="1">
      <alignment horizontal="center" vertical="center"/>
    </xf>
    <xf numFmtId="0" fontId="6" fillId="0" borderId="9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vertical="center"/>
    </xf>
    <xf numFmtId="177" fontId="2" fillId="0" borderId="9" xfId="0" applyNumberFormat="1" applyFont="1" applyFill="1" applyBorder="1">
      <alignment vertical="center"/>
    </xf>
    <xf numFmtId="177" fontId="2" fillId="0" borderId="10" xfId="0" applyNumberFormat="1" applyFont="1" applyFill="1" applyBorder="1">
      <alignment vertical="center"/>
    </xf>
    <xf numFmtId="177" fontId="2" fillId="0" borderId="9" xfId="0" applyNumberFormat="1" applyFont="1" applyFill="1" applyBorder="1" applyProtection="1">
      <alignment vertical="center"/>
      <protection locked="0"/>
    </xf>
    <xf numFmtId="178" fontId="2" fillId="0" borderId="9" xfId="0" applyNumberFormat="1" applyFont="1" applyFill="1" applyBorder="1">
      <alignment vertical="center"/>
    </xf>
    <xf numFmtId="178" fontId="2" fillId="0" borderId="10" xfId="0" applyNumberFormat="1" applyFont="1" applyFill="1" applyBorder="1">
      <alignment vertical="center"/>
    </xf>
    <xf numFmtId="178" fontId="2" fillId="5" borderId="9" xfId="0" applyNumberFormat="1" applyFont="1" applyFill="1" applyBorder="1" applyProtection="1">
      <alignment vertical="center"/>
      <protection locked="0"/>
    </xf>
    <xf numFmtId="180" fontId="2" fillId="2" borderId="10" xfId="0" applyNumberFormat="1" applyFont="1" applyFill="1" applyBorder="1">
      <alignment vertical="center"/>
    </xf>
    <xf numFmtId="178" fontId="2" fillId="0" borderId="9" xfId="0" applyNumberFormat="1" applyFont="1" applyFill="1" applyBorder="1" applyProtection="1">
      <alignment vertical="center"/>
      <protection locked="0"/>
    </xf>
    <xf numFmtId="183" fontId="2" fillId="0" borderId="9" xfId="3" applyNumberFormat="1" applyFont="1" applyFill="1" applyBorder="1" applyAlignment="1" applyProtection="1">
      <alignment vertical="center" shrinkToFit="1"/>
      <protection locked="0"/>
    </xf>
    <xf numFmtId="180" fontId="2" fillId="4" borderId="9" xfId="3" applyNumberFormat="1" applyFont="1" applyFill="1" applyBorder="1" applyAlignment="1" applyProtection="1">
      <alignment vertical="center"/>
      <protection locked="0"/>
    </xf>
    <xf numFmtId="182" fontId="2" fillId="0" borderId="0" xfId="3" applyNumberFormat="1" applyFont="1" applyFill="1" applyBorder="1" applyAlignment="1" applyProtection="1">
      <alignment vertical="center"/>
      <protection locked="0"/>
    </xf>
    <xf numFmtId="0" fontId="5" fillId="0" borderId="0" xfId="0" applyFont="1" applyFill="1">
      <alignment vertical="center"/>
    </xf>
    <xf numFmtId="183" fontId="2" fillId="0" borderId="9" xfId="3" applyNumberFormat="1" applyFont="1" applyFill="1" applyBorder="1" applyAlignment="1" applyProtection="1">
      <alignment vertical="center"/>
      <protection locked="0"/>
    </xf>
    <xf numFmtId="183" fontId="2" fillId="0" borderId="9" xfId="1" applyNumberFormat="1" applyFont="1" applyFill="1" applyBorder="1" applyAlignment="1" applyProtection="1">
      <alignment vertical="center"/>
      <protection locked="0"/>
    </xf>
    <xf numFmtId="180" fontId="2" fillId="3" borderId="20" xfId="1" applyNumberFormat="1" applyFont="1" applyFill="1" applyBorder="1" applyAlignment="1">
      <alignment vertical="center" shrinkToFit="1"/>
    </xf>
    <xf numFmtId="178" fontId="1" fillId="3" borderId="17" xfId="0" applyNumberFormat="1" applyFont="1" applyFill="1" applyBorder="1" applyAlignment="1" applyProtection="1">
      <alignment vertical="center"/>
      <protection locked="0"/>
    </xf>
    <xf numFmtId="180" fontId="2" fillId="3" borderId="17" xfId="0" applyNumberFormat="1" applyFont="1" applyFill="1" applyBorder="1" applyAlignment="1" applyProtection="1">
      <alignment vertical="center" wrapText="1"/>
      <protection locked="0"/>
    </xf>
    <xf numFmtId="180" fontId="2" fillId="3" borderId="0" xfId="0" applyNumberFormat="1" applyFont="1" applyFill="1" applyBorder="1" applyProtection="1">
      <alignment vertical="center"/>
      <protection locked="0"/>
    </xf>
    <xf numFmtId="180" fontId="2" fillId="3" borderId="20" xfId="0" applyNumberFormat="1" applyFont="1" applyFill="1" applyBorder="1" applyProtection="1">
      <alignment vertical="center"/>
      <protection locked="0"/>
    </xf>
    <xf numFmtId="180" fontId="2" fillId="3" borderId="10" xfId="0" applyNumberFormat="1" applyFont="1" applyFill="1" applyBorder="1">
      <alignment vertical="center"/>
    </xf>
    <xf numFmtId="178" fontId="2" fillId="3" borderId="17" xfId="0" applyNumberFormat="1" applyFont="1" applyFill="1" applyBorder="1" applyAlignment="1" applyProtection="1">
      <alignment vertical="center" wrapText="1"/>
      <protection locked="0"/>
    </xf>
    <xf numFmtId="182" fontId="2" fillId="3" borderId="17" xfId="3" applyNumberFormat="1" applyFont="1" applyFill="1" applyBorder="1" applyAlignment="1" applyProtection="1">
      <alignment vertical="center"/>
      <protection locked="0"/>
    </xf>
    <xf numFmtId="182" fontId="2" fillId="4" borderId="17" xfId="3" applyNumberFormat="1" applyFont="1" applyFill="1" applyBorder="1" applyAlignment="1" applyProtection="1">
      <alignment vertical="center"/>
      <protection locked="0"/>
    </xf>
    <xf numFmtId="182" fontId="2" fillId="3" borderId="18" xfId="3" applyNumberFormat="1" applyFont="1" applyFill="1" applyBorder="1" applyAlignment="1" applyProtection="1">
      <alignment vertical="center"/>
      <protection locked="0"/>
    </xf>
    <xf numFmtId="178" fontId="2" fillId="3" borderId="0" xfId="0" applyNumberFormat="1" applyFont="1" applyFill="1" applyBorder="1" applyProtection="1">
      <alignment vertical="center"/>
      <protection locked="0"/>
    </xf>
    <xf numFmtId="182" fontId="2" fillId="3" borderId="21" xfId="3" applyNumberFormat="1" applyFont="1" applyFill="1" applyBorder="1" applyAlignment="1" applyProtection="1">
      <alignment vertical="center"/>
      <protection locked="0"/>
    </xf>
    <xf numFmtId="178" fontId="2" fillId="3" borderId="20" xfId="0" applyNumberFormat="1" applyFont="1" applyFill="1" applyBorder="1" applyProtection="1">
      <alignment vertical="center"/>
      <protection locked="0"/>
    </xf>
    <xf numFmtId="182" fontId="2" fillId="3" borderId="23" xfId="3" applyNumberFormat="1" applyFont="1" applyFill="1" applyBorder="1" applyAlignment="1" applyProtection="1">
      <alignment vertical="center"/>
      <protection locked="0"/>
    </xf>
    <xf numFmtId="182" fontId="2" fillId="3" borderId="27" xfId="3" applyNumberFormat="1" applyFont="1" applyFill="1" applyBorder="1" applyAlignment="1" applyProtection="1">
      <alignment vertical="center"/>
      <protection locked="0"/>
    </xf>
    <xf numFmtId="178" fontId="2" fillId="3" borderId="10" xfId="0" applyNumberFormat="1" applyFont="1" applyFill="1" applyBorder="1">
      <alignment vertical="center"/>
    </xf>
    <xf numFmtId="182" fontId="2" fillId="3" borderId="9" xfId="3" applyNumberFormat="1" applyFont="1" applyFill="1" applyBorder="1" applyAlignment="1" applyProtection="1">
      <alignment vertical="center"/>
      <protection locked="0"/>
    </xf>
    <xf numFmtId="178" fontId="2" fillId="2" borderId="17" xfId="0" applyNumberFormat="1" applyFont="1" applyFill="1" applyBorder="1" applyAlignment="1" applyProtection="1">
      <alignment vertical="center" wrapText="1"/>
      <protection locked="0"/>
    </xf>
    <xf numFmtId="182" fontId="2" fillId="4" borderId="18" xfId="3" applyNumberFormat="1" applyFont="1" applyFill="1" applyBorder="1" applyAlignment="1" applyProtection="1">
      <alignment vertical="center"/>
      <protection locked="0"/>
    </xf>
    <xf numFmtId="182" fontId="2" fillId="4" borderId="19" xfId="3" applyNumberFormat="1" applyFont="1" applyFill="1" applyBorder="1" applyAlignment="1" applyProtection="1">
      <alignment vertical="center"/>
      <protection locked="0"/>
    </xf>
    <xf numFmtId="182" fontId="2" fillId="4" borderId="21" xfId="3" applyNumberFormat="1" applyFont="1" applyFill="1" applyBorder="1" applyAlignment="1" applyProtection="1">
      <alignment vertical="center"/>
      <protection locked="0"/>
    </xf>
    <xf numFmtId="182" fontId="2" fillId="4" borderId="0" xfId="3" applyNumberFormat="1" applyFont="1" applyFill="1" applyBorder="1" applyAlignment="1" applyProtection="1">
      <alignment vertical="center"/>
      <protection locked="0"/>
    </xf>
    <xf numFmtId="182" fontId="2" fillId="4" borderId="23" xfId="3" applyNumberFormat="1" applyFont="1" applyFill="1" applyBorder="1" applyAlignment="1" applyProtection="1">
      <alignment vertical="center"/>
      <protection locked="0"/>
    </xf>
    <xf numFmtId="182" fontId="2" fillId="4" borderId="27" xfId="3" applyNumberFormat="1" applyFont="1" applyFill="1" applyBorder="1" applyAlignment="1" applyProtection="1">
      <alignment vertical="center"/>
      <protection locked="0"/>
    </xf>
    <xf numFmtId="182" fontId="2" fillId="4" borderId="22" xfId="3" applyNumberFormat="1" applyFont="1" applyFill="1" applyBorder="1" applyAlignment="1" applyProtection="1">
      <alignment vertical="center"/>
      <protection locked="0"/>
    </xf>
    <xf numFmtId="182" fontId="2" fillId="4" borderId="24" xfId="3" applyNumberFormat="1" applyFont="1" applyFill="1" applyBorder="1" applyAlignment="1" applyProtection="1">
      <alignment vertical="center"/>
      <protection locked="0"/>
    </xf>
    <xf numFmtId="178" fontId="2" fillId="2" borderId="10" xfId="0" applyNumberFormat="1" applyFont="1" applyFill="1" applyBorder="1">
      <alignment vertical="center"/>
    </xf>
    <xf numFmtId="182" fontId="2" fillId="4" borderId="9" xfId="3" applyNumberFormat="1" applyFont="1" applyFill="1" applyBorder="1" applyAlignment="1" applyProtection="1">
      <alignment vertical="center"/>
      <protection locked="0"/>
    </xf>
    <xf numFmtId="178" fontId="1" fillId="0" borderId="17" xfId="0" applyNumberFormat="1" applyFont="1" applyFill="1" applyBorder="1" applyAlignment="1" applyProtection="1">
      <alignment vertical="center"/>
      <protection locked="0"/>
    </xf>
    <xf numFmtId="43" fontId="2" fillId="0" borderId="19" xfId="1" applyNumberFormat="1" applyFont="1" applyFill="1" applyBorder="1" applyAlignment="1">
      <alignment vertical="center" wrapText="1"/>
    </xf>
    <xf numFmtId="0" fontId="2" fillId="0" borderId="19" xfId="0" applyFont="1" applyFill="1" applyBorder="1" applyAlignment="1">
      <alignment vertical="center" wrapText="1"/>
    </xf>
    <xf numFmtId="179" fontId="2" fillId="2" borderId="17" xfId="1" applyNumberFormat="1" applyFont="1" applyFill="1" applyBorder="1" applyAlignment="1" applyProtection="1">
      <alignment vertical="center" shrinkToFit="1"/>
      <protection locked="0"/>
    </xf>
    <xf numFmtId="179" fontId="2" fillId="2" borderId="20" xfId="1" applyNumberFormat="1" applyFont="1" applyFill="1" applyBorder="1" applyAlignment="1" applyProtection="1">
      <alignment vertical="center" shrinkToFit="1"/>
      <protection locked="0"/>
    </xf>
    <xf numFmtId="179" fontId="2" fillId="0" borderId="20" xfId="1" applyNumberFormat="1" applyFont="1" applyFill="1" applyBorder="1" applyAlignment="1" applyProtection="1">
      <alignment vertical="center" shrinkToFit="1"/>
      <protection locked="0"/>
    </xf>
    <xf numFmtId="180" fontId="1" fillId="2" borderId="17" xfId="0" applyNumberFormat="1" applyFont="1" applyFill="1" applyBorder="1" applyProtection="1">
      <alignment vertical="center"/>
      <protection locked="0"/>
    </xf>
    <xf numFmtId="179" fontId="2" fillId="2" borderId="18" xfId="1" applyNumberFormat="1" applyFont="1" applyFill="1" applyBorder="1" applyAlignment="1" applyProtection="1">
      <alignment vertical="center" shrinkToFit="1"/>
      <protection locked="0"/>
    </xf>
    <xf numFmtId="178" fontId="2" fillId="4" borderId="17" xfId="0" applyNumberFormat="1" applyFont="1" applyFill="1" applyBorder="1" applyAlignment="1" applyProtection="1">
      <alignment vertical="center" wrapText="1"/>
      <protection locked="0"/>
    </xf>
    <xf numFmtId="178" fontId="2" fillId="0" borderId="18" xfId="0" applyNumberFormat="1" applyFont="1" applyFill="1" applyBorder="1" applyAlignment="1">
      <alignment horizontal="right" vertical="center"/>
    </xf>
  </cellXfs>
  <cellStyles count="7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百分比 2" xfId="49"/>
    <cellStyle name="百分比 2 2" xfId="50"/>
    <cellStyle name="常规_power" xfId="51"/>
    <cellStyle name="百分比 4" xfId="52"/>
    <cellStyle name="百分比 2 3" xfId="53"/>
    <cellStyle name="百分比 2 4" xfId="54"/>
    <cellStyle name="百分比 2 2 3" xfId="55"/>
    <cellStyle name="百分比 2 2 2" xfId="56"/>
    <cellStyle name="常规 2 2 2" xfId="57"/>
    <cellStyle name="常规 2 2 3" xfId="58"/>
    <cellStyle name="千位分隔[0] 2" xfId="59"/>
    <cellStyle name="千位分隔[0] 3" xfId="60"/>
    <cellStyle name="常规 2 2" xfId="61"/>
    <cellStyle name="百分比 3" xfId="62"/>
    <cellStyle name="常规 2" xfId="63"/>
    <cellStyle name="常规 3" xfId="64"/>
    <cellStyle name="千位分隔 2" xfId="65"/>
    <cellStyle name="千位分隔 2 2" xfId="66"/>
    <cellStyle name="千位分隔 2 2 2" xfId="67"/>
    <cellStyle name="千位分隔 2 2 3" xfId="68"/>
    <cellStyle name="千位分隔 3" xfId="69"/>
  </cellStyles>
  <tableStyles count="0" defaultTableStyle="TableStyleMedium2" defaultPivotStyle="PivotStyleLight16"/>
  <colors>
    <mruColors>
      <color rgb="0092D050"/>
      <color rgb="00FFC000"/>
      <color rgb="0000B0F0"/>
      <color rgb="00000000"/>
      <color rgb="00A367D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externalLink" Target="externalLinks/externalLink2.xml"/><Relationship Id="rId13" Type="http://schemas.openxmlformats.org/officeDocument/2006/relationships/externalLink" Target="externalLinks/externalLink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BaiduSyncdisk\&#24037;&#20316;&#21306;\&#32508;&#21512;&#32479;&#35745;&#25253;&#34920;\&#21806;&#27773;&#37327;&#32467;&#31639;\&#32467;&#31639;&#25968;&#25454;\2026\&#20379;&#12289;&#21806;&#27773;&#37327;(2026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BaiduSyncdisk\&#24037;&#20316;&#21306;\&#32508;&#21512;&#32479;&#35745;&#25253;&#34920;\&#29983;&#20135;&#25968;&#25454;\2025\&#38149;&#28809;&#25151;(2025)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售热量"/>
      <sheetName val="财务（折汽）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25.1"/>
      <sheetName val="25.2"/>
      <sheetName val="25.3"/>
      <sheetName val="25.4.5"/>
      <sheetName val="25.4.5 (2)"/>
      <sheetName val="25.4"/>
      <sheetName val="25.5"/>
      <sheetName val="25.6"/>
      <sheetName val="25.7"/>
      <sheetName val="25.8"/>
      <sheetName val="25.9"/>
      <sheetName val="25.10"/>
      <sheetName val="25.11"/>
      <sheetName val="25.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7">
          <cell r="J27">
            <v>12569.7</v>
          </cell>
          <cell r="K27">
            <v>0</v>
          </cell>
          <cell r="L27">
            <v>1108.50000000002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FFFF"/>
        </a:solidFill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indexed="52"/>
    <pageSetUpPr fitToPage="1"/>
  </sheetPr>
  <dimension ref="A1:N98"/>
  <sheetViews>
    <sheetView showGridLines="0" tabSelected="1" zoomScale="70" zoomScaleNormal="70" zoomScaleSheetLayoutView="60" workbookViewId="0">
      <pane xSplit="2" ySplit="2" topLeftCell="C36" activePane="bottomRight" state="frozen"/>
      <selection/>
      <selection pane="topRight"/>
      <selection pane="bottomLeft"/>
      <selection pane="bottomRight" activeCell="D42" sqref="D42:D44"/>
    </sheetView>
  </sheetViews>
  <sheetFormatPr defaultColWidth="8.625" defaultRowHeight="15" customHeight="1"/>
  <cols>
    <col min="1" max="1" width="7.375" style="1" customWidth="1"/>
    <col min="2" max="2" width="19.75" style="1" customWidth="1"/>
    <col min="3" max="3" width="13.5" style="4" customWidth="1"/>
    <col min="4" max="4" width="13.45" style="5" customWidth="1"/>
    <col min="5" max="13" width="13.45" style="1" customWidth="1"/>
    <col min="14" max="14" width="22.2083333333333" style="1"/>
    <col min="15" max="16384" width="8.625" style="1"/>
  </cols>
  <sheetData>
    <row r="1" s="1" customFormat="1" ht="39.95" customHeight="1" spans="1:14">
      <c r="A1" s="6" t="s">
        <v>0</v>
      </c>
      <c r="B1" s="7" t="s">
        <v>1</v>
      </c>
      <c r="C1" s="7" t="s">
        <v>2</v>
      </c>
      <c r="D1" s="8" t="s">
        <v>3</v>
      </c>
      <c r="E1" s="9"/>
      <c r="F1" s="9"/>
      <c r="G1" s="9"/>
      <c r="H1" s="10"/>
      <c r="I1" s="11" t="s">
        <v>4</v>
      </c>
      <c r="J1" s="9"/>
      <c r="K1" s="9"/>
      <c r="L1" s="9"/>
      <c r="M1" s="9"/>
      <c r="N1" s="12"/>
    </row>
    <row r="2" s="1" customFormat="1" ht="39.95" customHeight="1" spans="1:14">
      <c r="A2" s="13"/>
      <c r="B2" s="14"/>
      <c r="C2" s="14"/>
      <c r="D2" s="15" t="s">
        <v>5</v>
      </c>
      <c r="E2" s="15" t="s">
        <v>6</v>
      </c>
      <c r="F2" s="15" t="s">
        <v>7</v>
      </c>
      <c r="G2" s="16" t="s">
        <v>8</v>
      </c>
      <c r="H2" s="17" t="s">
        <v>9</v>
      </c>
      <c r="I2" s="18" t="s">
        <v>5</v>
      </c>
      <c r="J2" s="15" t="s">
        <v>6</v>
      </c>
      <c r="K2" s="15" t="s">
        <v>7</v>
      </c>
      <c r="L2" s="16" t="s">
        <v>10</v>
      </c>
      <c r="M2" s="17" t="s">
        <v>9</v>
      </c>
    </row>
    <row r="3" s="1" customFormat="1" ht="18" customHeight="1" spans="1:14">
      <c r="A3" s="19" t="s">
        <v>11</v>
      </c>
      <c r="B3" s="20" t="s">
        <v>12</v>
      </c>
      <c r="C3" s="21" t="s">
        <v>13</v>
      </c>
      <c r="D3" s="22">
        <v>348</v>
      </c>
      <c r="E3" s="23">
        <v>162</v>
      </c>
      <c r="F3" s="23"/>
      <c r="G3" s="24">
        <v>14</v>
      </c>
      <c r="H3" s="25">
        <f t="shared" ref="H3:H12" si="0">E3+F3+G3</f>
        <v>176</v>
      </c>
      <c r="I3" s="26">
        <f t="shared" ref="I3:L3" si="1">D3</f>
        <v>348</v>
      </c>
      <c r="J3" s="22">
        <f t="shared" si="1"/>
        <v>162</v>
      </c>
      <c r="K3" s="22">
        <f t="shared" si="1"/>
        <v>0</v>
      </c>
      <c r="L3" s="27">
        <f t="shared" si="1"/>
        <v>14</v>
      </c>
      <c r="M3" s="25">
        <f t="shared" ref="M3:M12" si="2">J3+K3+L3</f>
        <v>176</v>
      </c>
      <c r="N3" s="12"/>
    </row>
    <row r="4" s="1" customFormat="1" ht="18" customHeight="1" spans="1:14">
      <c r="A4" s="28" t="s">
        <v>14</v>
      </c>
      <c r="B4" s="29" t="s">
        <v>15</v>
      </c>
      <c r="C4" s="30" t="s">
        <v>16</v>
      </c>
      <c r="D4" s="31" t="s">
        <v>17</v>
      </c>
      <c r="E4" s="32"/>
      <c r="F4" s="33"/>
      <c r="G4" s="34"/>
      <c r="H4" s="35">
        <f t="shared" si="0"/>
        <v>0</v>
      </c>
      <c r="I4" s="228"/>
      <c r="J4" s="32">
        <f t="shared" ref="J4:L4" si="3">E4</f>
        <v>0</v>
      </c>
      <c r="K4" s="37">
        <f t="shared" si="3"/>
        <v>0</v>
      </c>
      <c r="L4" s="38">
        <f t="shared" si="3"/>
        <v>0</v>
      </c>
      <c r="M4" s="35">
        <f t="shared" si="2"/>
        <v>0</v>
      </c>
      <c r="N4" s="12"/>
    </row>
    <row r="5" s="1" customFormat="1" ht="18" customHeight="1" spans="1:14">
      <c r="A5" s="28"/>
      <c r="B5" s="29" t="s">
        <v>18</v>
      </c>
      <c r="C5" s="30" t="s">
        <v>16</v>
      </c>
      <c r="D5" s="31" t="s">
        <v>17</v>
      </c>
      <c r="E5" s="33">
        <v>55000</v>
      </c>
      <c r="F5" s="39">
        <v>0</v>
      </c>
      <c r="G5" s="40">
        <v>0</v>
      </c>
      <c r="H5" s="35">
        <f t="shared" si="0"/>
        <v>55000</v>
      </c>
      <c r="I5" s="228"/>
      <c r="J5" s="32">
        <f t="shared" ref="J5:L5" si="4">E5</f>
        <v>55000</v>
      </c>
      <c r="K5" s="37">
        <f t="shared" si="4"/>
        <v>0</v>
      </c>
      <c r="L5" s="38">
        <f t="shared" si="4"/>
        <v>0</v>
      </c>
      <c r="M5" s="35">
        <f t="shared" si="2"/>
        <v>55000</v>
      </c>
      <c r="N5" s="12"/>
    </row>
    <row r="6" s="1" customFormat="1" ht="18" customHeight="1" spans="1:14">
      <c r="A6" s="28" t="s">
        <v>19</v>
      </c>
      <c r="B6" s="29" t="s">
        <v>20</v>
      </c>
      <c r="C6" s="30" t="s">
        <v>16</v>
      </c>
      <c r="D6" s="31" t="s">
        <v>17</v>
      </c>
      <c r="E6" s="34">
        <f>E4</f>
        <v>0</v>
      </c>
      <c r="F6" s="34">
        <f>F4</f>
        <v>0</v>
      </c>
      <c r="G6" s="34">
        <f>G4</f>
        <v>0</v>
      </c>
      <c r="H6" s="35">
        <f t="shared" si="0"/>
        <v>0</v>
      </c>
      <c r="I6" s="229"/>
      <c r="J6" s="41">
        <f t="shared" ref="J6:J13" si="5">E6</f>
        <v>0</v>
      </c>
      <c r="K6" s="41">
        <f t="shared" ref="K6:K12" si="6">F6</f>
        <v>0</v>
      </c>
      <c r="L6" s="41">
        <f t="shared" ref="L6:L13" si="7">G6</f>
        <v>0</v>
      </c>
      <c r="M6" s="35">
        <f t="shared" si="2"/>
        <v>0</v>
      </c>
      <c r="N6" s="12"/>
    </row>
    <row r="7" s="2" customFormat="1" ht="18" customHeight="1" spans="1:14">
      <c r="A7" s="28" t="s">
        <v>21</v>
      </c>
      <c r="B7" s="42" t="s">
        <v>22</v>
      </c>
      <c r="C7" s="43" t="s">
        <v>23</v>
      </c>
      <c r="D7" s="40" t="s">
        <v>17</v>
      </c>
      <c r="E7" s="40">
        <v>0</v>
      </c>
      <c r="F7" s="40">
        <v>0</v>
      </c>
      <c r="G7" s="40">
        <v>0</v>
      </c>
      <c r="H7" s="35">
        <f t="shared" si="0"/>
        <v>0</v>
      </c>
      <c r="I7" s="70"/>
      <c r="J7" s="230">
        <f t="shared" si="5"/>
        <v>0</v>
      </c>
      <c r="K7" s="230">
        <f t="shared" si="6"/>
        <v>0</v>
      </c>
      <c r="L7" s="230">
        <f t="shared" si="7"/>
        <v>0</v>
      </c>
      <c r="M7" s="35">
        <f t="shared" si="2"/>
        <v>0</v>
      </c>
      <c r="N7" s="45"/>
    </row>
    <row r="8" s="2" customFormat="1" ht="18" customHeight="1" spans="1:14">
      <c r="A8" s="28" t="s">
        <v>24</v>
      </c>
      <c r="B8" s="42" t="s">
        <v>25</v>
      </c>
      <c r="C8" s="43" t="s">
        <v>26</v>
      </c>
      <c r="D8" s="46"/>
      <c r="E8" s="40"/>
      <c r="F8" s="39"/>
      <c r="G8" s="34"/>
      <c r="H8" s="35">
        <f t="shared" si="0"/>
        <v>0</v>
      </c>
      <c r="I8" s="231">
        <f>D8</f>
        <v>0</v>
      </c>
      <c r="J8" s="230">
        <f t="shared" si="5"/>
        <v>0</v>
      </c>
      <c r="K8" s="230">
        <f t="shared" si="6"/>
        <v>0</v>
      </c>
      <c r="L8" s="230">
        <f t="shared" si="7"/>
        <v>0</v>
      </c>
      <c r="M8" s="35">
        <f t="shared" si="2"/>
        <v>0</v>
      </c>
      <c r="N8" s="47"/>
    </row>
    <row r="9" s="2" customFormat="1" ht="18" customHeight="1" spans="1:14">
      <c r="A9" s="28" t="s">
        <v>27</v>
      </c>
      <c r="B9" s="42" t="s">
        <v>28</v>
      </c>
      <c r="C9" s="43" t="s">
        <v>26</v>
      </c>
      <c r="D9" s="40"/>
      <c r="E9" s="227">
        <f>[1]售热量!$D$25</f>
        <v>0</v>
      </c>
      <c r="F9" s="39"/>
      <c r="G9" s="39"/>
      <c r="H9" s="35">
        <f t="shared" si="0"/>
        <v>0</v>
      </c>
      <c r="I9" s="40"/>
      <c r="J9" s="230">
        <f t="shared" si="5"/>
        <v>0</v>
      </c>
      <c r="K9" s="230">
        <f t="shared" si="6"/>
        <v>0</v>
      </c>
      <c r="L9" s="230">
        <f t="shared" si="7"/>
        <v>0</v>
      </c>
      <c r="M9" s="35">
        <f t="shared" si="2"/>
        <v>0</v>
      </c>
      <c r="N9" s="45"/>
    </row>
    <row r="10" s="2" customFormat="1" ht="18" customHeight="1" spans="1:14">
      <c r="A10" s="28" t="s">
        <v>29</v>
      </c>
      <c r="B10" s="42" t="s">
        <v>30</v>
      </c>
      <c r="C10" s="43" t="s">
        <v>23</v>
      </c>
      <c r="D10" s="40"/>
      <c r="E10" s="33"/>
      <c r="F10" s="39"/>
      <c r="G10" s="34"/>
      <c r="H10" s="35">
        <f t="shared" si="0"/>
        <v>0</v>
      </c>
      <c r="I10" s="231">
        <f>D10</f>
        <v>0</v>
      </c>
      <c r="J10" s="230">
        <f t="shared" si="5"/>
        <v>0</v>
      </c>
      <c r="K10" s="230">
        <f t="shared" si="6"/>
        <v>0</v>
      </c>
      <c r="L10" s="230">
        <f t="shared" si="7"/>
        <v>0</v>
      </c>
      <c r="M10" s="35">
        <f t="shared" si="2"/>
        <v>0</v>
      </c>
      <c r="N10" s="45"/>
    </row>
    <row r="11" s="2" customFormat="1" ht="18" customHeight="1" spans="1:14">
      <c r="A11" s="28" t="s">
        <v>31</v>
      </c>
      <c r="B11" s="42" t="s">
        <v>32</v>
      </c>
      <c r="C11" s="43" t="s">
        <v>23</v>
      </c>
      <c r="D11" s="40"/>
      <c r="E11" s="40"/>
      <c r="F11" s="40"/>
      <c r="G11" s="40"/>
      <c r="H11" s="35">
        <f t="shared" si="0"/>
        <v>0</v>
      </c>
      <c r="I11" s="231">
        <f>D11</f>
        <v>0</v>
      </c>
      <c r="J11" s="230">
        <f t="shared" si="5"/>
        <v>0</v>
      </c>
      <c r="K11" s="230">
        <f t="shared" si="6"/>
        <v>0</v>
      </c>
      <c r="L11" s="230">
        <f t="shared" si="7"/>
        <v>0</v>
      </c>
      <c r="M11" s="35">
        <f t="shared" si="2"/>
        <v>0</v>
      </c>
      <c r="N11" s="45"/>
    </row>
    <row r="12" s="2" customFormat="1" ht="18" customHeight="1" spans="1:14">
      <c r="A12" s="28" t="s">
        <v>33</v>
      </c>
      <c r="B12" s="42" t="s">
        <v>34</v>
      </c>
      <c r="C12" s="43" t="s">
        <v>23</v>
      </c>
      <c r="D12" s="46">
        <f t="shared" ref="D12:G12" si="8">D13+D14</f>
        <v>0</v>
      </c>
      <c r="E12" s="46">
        <f t="shared" si="8"/>
        <v>0</v>
      </c>
      <c r="F12" s="46">
        <f t="shared" si="8"/>
        <v>0</v>
      </c>
      <c r="G12" s="46">
        <f t="shared" si="8"/>
        <v>0</v>
      </c>
      <c r="H12" s="35">
        <f t="shared" si="0"/>
        <v>0</v>
      </c>
      <c r="I12" s="232">
        <f>I13+I14</f>
        <v>0</v>
      </c>
      <c r="J12" s="230">
        <f t="shared" si="5"/>
        <v>0</v>
      </c>
      <c r="K12" s="230">
        <f t="shared" si="6"/>
        <v>0</v>
      </c>
      <c r="L12" s="230">
        <f t="shared" si="7"/>
        <v>0</v>
      </c>
      <c r="M12" s="35">
        <f t="shared" si="2"/>
        <v>0</v>
      </c>
      <c r="N12" s="45"/>
    </row>
    <row r="13" s="2" customFormat="1" ht="18" customHeight="1" spans="1:14">
      <c r="A13" s="28"/>
      <c r="B13" s="42" t="s">
        <v>35</v>
      </c>
      <c r="C13" s="43" t="s">
        <v>23</v>
      </c>
      <c r="D13" s="40"/>
      <c r="E13" s="40"/>
      <c r="F13" s="40"/>
      <c r="G13" s="46"/>
      <c r="H13" s="49"/>
      <c r="I13" s="231">
        <f t="shared" ref="I13:I23" si="9">D13</f>
        <v>0</v>
      </c>
      <c r="J13" s="230">
        <f t="shared" si="5"/>
        <v>0</v>
      </c>
      <c r="K13" s="40"/>
      <c r="L13" s="230">
        <f t="shared" si="7"/>
        <v>0</v>
      </c>
      <c r="M13" s="49"/>
      <c r="N13" s="45"/>
    </row>
    <row r="14" s="2" customFormat="1" ht="18" customHeight="1" spans="1:14">
      <c r="A14" s="28"/>
      <c r="B14" s="42" t="s">
        <v>36</v>
      </c>
      <c r="C14" s="43" t="s">
        <v>23</v>
      </c>
      <c r="D14" s="46"/>
      <c r="E14" s="40"/>
      <c r="F14" s="40"/>
      <c r="G14" s="40"/>
      <c r="H14" s="49"/>
      <c r="I14" s="231">
        <f t="shared" si="9"/>
        <v>0</v>
      </c>
      <c r="J14" s="40"/>
      <c r="K14" s="40"/>
      <c r="L14" s="40"/>
      <c r="M14" s="49"/>
      <c r="N14" s="45"/>
    </row>
    <row r="15" s="2" customFormat="1" ht="18" customHeight="1" spans="1:14">
      <c r="A15" s="28" t="s">
        <v>37</v>
      </c>
      <c r="B15" s="42" t="s">
        <v>38</v>
      </c>
      <c r="C15" s="43" t="s">
        <v>23</v>
      </c>
      <c r="D15" s="40"/>
      <c r="E15" s="50"/>
      <c r="F15" s="39"/>
      <c r="G15" s="34"/>
      <c r="H15" s="35"/>
      <c r="I15" s="231">
        <f t="shared" si="9"/>
        <v>0</v>
      </c>
      <c r="J15" s="230">
        <f>E15</f>
        <v>0</v>
      </c>
      <c r="K15" s="230">
        <f>F15</f>
        <v>0</v>
      </c>
      <c r="L15" s="230">
        <f t="shared" ref="L15:L19" si="10">G15</f>
        <v>0</v>
      </c>
      <c r="M15" s="35">
        <f t="shared" ref="M15:M17" si="11">J15+K15+L15</f>
        <v>0</v>
      </c>
      <c r="N15" s="45"/>
    </row>
    <row r="16" s="2" customFormat="1" ht="18" customHeight="1" spans="1:14">
      <c r="A16" s="28"/>
      <c r="B16" s="42" t="s">
        <v>39</v>
      </c>
      <c r="C16" s="43" t="s">
        <v>23</v>
      </c>
      <c r="D16" s="40"/>
      <c r="E16" s="50"/>
      <c r="F16" s="39"/>
      <c r="G16" s="39"/>
      <c r="H16" s="35"/>
      <c r="I16" s="231">
        <f t="shared" si="9"/>
        <v>0</v>
      </c>
      <c r="J16" s="230">
        <f>E16</f>
        <v>0</v>
      </c>
      <c r="K16" s="230">
        <f>F16</f>
        <v>0</v>
      </c>
      <c r="L16" s="230">
        <f t="shared" si="10"/>
        <v>0</v>
      </c>
      <c r="M16" s="35">
        <f t="shared" si="11"/>
        <v>0</v>
      </c>
      <c r="N16" s="45"/>
    </row>
    <row r="17" s="2" customFormat="1" ht="18" customHeight="1" spans="1:14">
      <c r="A17" s="28" t="s">
        <v>40</v>
      </c>
      <c r="B17" s="42" t="s">
        <v>41</v>
      </c>
      <c r="C17" s="43" t="s">
        <v>42</v>
      </c>
      <c r="D17" s="46">
        <f>D18+D19</f>
        <v>0</v>
      </c>
      <c r="E17" s="50"/>
      <c r="F17" s="39"/>
      <c r="G17" s="34"/>
      <c r="H17" s="35"/>
      <c r="I17" s="231">
        <f t="shared" si="9"/>
        <v>0</v>
      </c>
      <c r="J17" s="230">
        <f>E17</f>
        <v>0</v>
      </c>
      <c r="K17" s="230"/>
      <c r="L17" s="230">
        <f t="shared" si="10"/>
        <v>0</v>
      </c>
      <c r="M17" s="35">
        <f t="shared" si="11"/>
        <v>0</v>
      </c>
      <c r="N17" s="45"/>
    </row>
    <row r="18" s="2" customFormat="1" ht="18" customHeight="1" spans="1:14">
      <c r="A18" s="28"/>
      <c r="B18" s="42" t="s">
        <v>43</v>
      </c>
      <c r="C18" s="43" t="s">
        <v>42</v>
      </c>
      <c r="D18" s="40"/>
      <c r="E18" s="50"/>
      <c r="F18" s="39"/>
      <c r="G18" s="39"/>
      <c r="H18" s="49"/>
      <c r="I18" s="231">
        <f t="shared" si="9"/>
        <v>0</v>
      </c>
      <c r="J18" s="40"/>
      <c r="K18" s="40"/>
      <c r="L18" s="40"/>
      <c r="M18" s="49"/>
      <c r="N18" s="45"/>
    </row>
    <row r="19" s="2" customFormat="1" ht="18" customHeight="1" spans="1:14">
      <c r="A19" s="28"/>
      <c r="B19" s="42" t="s">
        <v>44</v>
      </c>
      <c r="C19" s="43" t="s">
        <v>42</v>
      </c>
      <c r="D19" s="40"/>
      <c r="E19" s="34">
        <f>E17</f>
        <v>0</v>
      </c>
      <c r="F19" s="34">
        <f>F17</f>
        <v>0</v>
      </c>
      <c r="G19" s="34">
        <f>G17</f>
        <v>0</v>
      </c>
      <c r="H19" s="49"/>
      <c r="I19" s="231">
        <f t="shared" si="9"/>
        <v>0</v>
      </c>
      <c r="J19" s="40"/>
      <c r="K19" s="40"/>
      <c r="L19" s="230">
        <f t="shared" si="10"/>
        <v>0</v>
      </c>
      <c r="M19" s="49"/>
      <c r="N19" s="45"/>
    </row>
    <row r="20" s="2" customFormat="1" ht="18" customHeight="1" spans="1:14">
      <c r="A20" s="28"/>
      <c r="B20" s="42" t="s">
        <v>45</v>
      </c>
      <c r="C20" s="43" t="s">
        <v>23</v>
      </c>
      <c r="D20" s="40"/>
      <c r="E20" s="50"/>
      <c r="F20" s="39"/>
      <c r="G20" s="39"/>
      <c r="H20" s="49"/>
      <c r="I20" s="231">
        <f t="shared" si="9"/>
        <v>0</v>
      </c>
      <c r="J20" s="40"/>
      <c r="K20" s="40"/>
      <c r="L20" s="40"/>
      <c r="M20" s="49"/>
      <c r="N20" s="45"/>
    </row>
    <row r="21" s="2" customFormat="1" ht="18" customHeight="1" spans="1:14">
      <c r="A21" s="28"/>
      <c r="B21" s="42" t="s">
        <v>46</v>
      </c>
      <c r="C21" s="43" t="s">
        <v>42</v>
      </c>
      <c r="D21" s="40"/>
      <c r="E21" s="50"/>
      <c r="F21" s="39"/>
      <c r="G21" s="39"/>
      <c r="H21" s="49"/>
      <c r="I21" s="231">
        <f t="shared" si="9"/>
        <v>0</v>
      </c>
      <c r="J21" s="40"/>
      <c r="K21" s="40"/>
      <c r="L21" s="40"/>
      <c r="M21" s="49"/>
      <c r="N21" s="45"/>
    </row>
    <row r="22" s="2" customFormat="1" customHeight="1" spans="1:14">
      <c r="A22" s="53" t="s">
        <v>47</v>
      </c>
      <c r="B22" s="54" t="s">
        <v>48</v>
      </c>
      <c r="C22" s="55" t="s">
        <v>23</v>
      </c>
      <c r="D22" s="56"/>
      <c r="E22" s="57"/>
      <c r="F22" s="57"/>
      <c r="G22" s="57"/>
      <c r="H22" s="58"/>
      <c r="I22" s="231">
        <f t="shared" si="9"/>
        <v>0</v>
      </c>
      <c r="J22" s="233">
        <f>E22</f>
        <v>0</v>
      </c>
      <c r="K22" s="233">
        <f>F22</f>
        <v>0</v>
      </c>
      <c r="L22" s="233">
        <f>G22</f>
        <v>0</v>
      </c>
      <c r="M22" s="59">
        <f t="shared" ref="M22:M27" si="12">J22+K22+L22</f>
        <v>0</v>
      </c>
      <c r="N22" s="1"/>
    </row>
    <row r="23" s="2" customFormat="1" ht="21" customHeight="1" spans="1:14">
      <c r="A23" s="53" t="s">
        <v>49</v>
      </c>
      <c r="B23" s="54" t="s">
        <v>50</v>
      </c>
      <c r="C23" s="55" t="s">
        <v>23</v>
      </c>
      <c r="D23" s="56"/>
      <c r="E23" s="57"/>
      <c r="F23" s="57"/>
      <c r="G23" s="57"/>
      <c r="H23" s="58"/>
      <c r="I23" s="231">
        <f t="shared" si="9"/>
        <v>0</v>
      </c>
      <c r="J23" s="233">
        <f>E23</f>
        <v>0</v>
      </c>
      <c r="K23" s="233">
        <f>F23</f>
        <v>0</v>
      </c>
      <c r="L23" s="233">
        <f>G23</f>
        <v>0</v>
      </c>
      <c r="M23" s="59">
        <f t="shared" si="12"/>
        <v>0</v>
      </c>
      <c r="N23" s="1"/>
    </row>
    <row r="24" s="2" customFormat="1" ht="18" customHeight="1" spans="1:14">
      <c r="A24" s="53" t="s">
        <v>51</v>
      </c>
      <c r="B24" s="42" t="s">
        <v>52</v>
      </c>
      <c r="C24" s="43" t="s">
        <v>53</v>
      </c>
      <c r="D24" s="60" t="e">
        <f t="shared" ref="D24:M24" si="13">D17/D8</f>
        <v>#DIV/0!</v>
      </c>
      <c r="E24" s="60" t="e">
        <f t="shared" si="13"/>
        <v>#DIV/0!</v>
      </c>
      <c r="F24" s="60" t="e">
        <f t="shared" si="13"/>
        <v>#DIV/0!</v>
      </c>
      <c r="G24" s="60" t="e">
        <f t="shared" si="13"/>
        <v>#DIV/0!</v>
      </c>
      <c r="H24" s="61" t="e">
        <f t="shared" si="13"/>
        <v>#DIV/0!</v>
      </c>
      <c r="I24" s="62" t="e">
        <f t="shared" si="13"/>
        <v>#DIV/0!</v>
      </c>
      <c r="J24" s="60" t="e">
        <f t="shared" si="13"/>
        <v>#DIV/0!</v>
      </c>
      <c r="K24" s="60" t="e">
        <f t="shared" si="13"/>
        <v>#DIV/0!</v>
      </c>
      <c r="L24" s="60" t="e">
        <f t="shared" si="13"/>
        <v>#DIV/0!</v>
      </c>
      <c r="M24" s="61" t="e">
        <f t="shared" si="13"/>
        <v>#DIV/0!</v>
      </c>
      <c r="N24" s="45"/>
    </row>
    <row r="25" s="2" customFormat="1" ht="18" customHeight="1" spans="1:14">
      <c r="A25" s="53" t="s">
        <v>54</v>
      </c>
      <c r="B25" s="42" t="s">
        <v>55</v>
      </c>
      <c r="C25" s="43" t="s">
        <v>56</v>
      </c>
      <c r="D25" s="60" t="e">
        <f t="shared" ref="D25:M25" si="14">D12*1000/D8</f>
        <v>#DIV/0!</v>
      </c>
      <c r="E25" s="60" t="e">
        <f t="shared" si="14"/>
        <v>#DIV/0!</v>
      </c>
      <c r="F25" s="60" t="e">
        <f t="shared" si="14"/>
        <v>#DIV/0!</v>
      </c>
      <c r="G25" s="60" t="e">
        <f t="shared" si="14"/>
        <v>#DIV/0!</v>
      </c>
      <c r="H25" s="61" t="e">
        <f t="shared" si="14"/>
        <v>#DIV/0!</v>
      </c>
      <c r="I25" s="62" t="e">
        <f t="shared" si="14"/>
        <v>#DIV/0!</v>
      </c>
      <c r="J25" s="60" t="e">
        <f t="shared" si="14"/>
        <v>#DIV/0!</v>
      </c>
      <c r="K25" s="60" t="e">
        <f t="shared" si="14"/>
        <v>#DIV/0!</v>
      </c>
      <c r="L25" s="60" t="e">
        <f t="shared" si="14"/>
        <v>#DIV/0!</v>
      </c>
      <c r="M25" s="61" t="e">
        <f t="shared" si="14"/>
        <v>#DIV/0!</v>
      </c>
      <c r="N25" s="45"/>
    </row>
    <row r="26" s="3" customFormat="1" ht="18" customHeight="1" spans="1:14">
      <c r="A26" s="53" t="s">
        <v>57</v>
      </c>
      <c r="B26" s="42" t="s">
        <v>58</v>
      </c>
      <c r="C26" s="63" t="s">
        <v>23</v>
      </c>
      <c r="D26" s="56"/>
      <c r="E26" s="64"/>
      <c r="F26" s="65"/>
      <c r="G26" s="34"/>
      <c r="H26" s="66"/>
      <c r="I26" s="70">
        <f>D26</f>
        <v>0</v>
      </c>
      <c r="J26" s="234">
        <f>E26</f>
        <v>0</v>
      </c>
      <c r="K26" s="234">
        <f>F26</f>
        <v>0</v>
      </c>
      <c r="L26" s="234">
        <f>G26</f>
        <v>0</v>
      </c>
      <c r="M26" s="66">
        <f t="shared" si="12"/>
        <v>0</v>
      </c>
      <c r="N26" s="67"/>
    </row>
    <row r="27" s="3" customFormat="1" ht="18" customHeight="1" spans="1:14">
      <c r="A27" s="53" t="s">
        <v>59</v>
      </c>
      <c r="B27" s="42" t="s">
        <v>60</v>
      </c>
      <c r="C27" s="63" t="s">
        <v>23</v>
      </c>
      <c r="D27" s="50"/>
      <c r="E27" s="68">
        <f>J27</f>
        <v>12569.7</v>
      </c>
      <c r="F27" s="68">
        <f>K27</f>
        <v>0</v>
      </c>
      <c r="G27" s="68">
        <f>L27</f>
        <v>1108.50000000002</v>
      </c>
      <c r="H27" s="69"/>
      <c r="I27" s="70"/>
      <c r="J27" s="235">
        <f>'[2]25.12'!$J$27+E26-E10</f>
        <v>12569.7</v>
      </c>
      <c r="K27" s="235">
        <f>'[2]25.12'!$K$27+F26-F10</f>
        <v>0</v>
      </c>
      <c r="L27" s="235">
        <f>'[2]25.12'!$L$27+G26-G10</f>
        <v>1108.50000000002</v>
      </c>
      <c r="M27" s="72">
        <f t="shared" si="12"/>
        <v>13678.2</v>
      </c>
      <c r="N27" s="67"/>
    </row>
    <row r="28" s="2" customFormat="1" ht="18" customHeight="1" spans="1:14">
      <c r="A28" s="53" t="s">
        <v>61</v>
      </c>
      <c r="B28" s="42" t="s">
        <v>62</v>
      </c>
      <c r="C28" s="43" t="s">
        <v>63</v>
      </c>
      <c r="D28" s="73" t="e">
        <f>D13*29308/D10</f>
        <v>#DIV/0!</v>
      </c>
      <c r="E28" s="73" t="e">
        <f t="shared" ref="E28:H28" si="15">E12*29308/E10</f>
        <v>#DIV/0!</v>
      </c>
      <c r="F28" s="73" t="e">
        <f t="shared" si="15"/>
        <v>#DIV/0!</v>
      </c>
      <c r="G28" s="73" t="e">
        <f t="shared" si="15"/>
        <v>#DIV/0!</v>
      </c>
      <c r="H28" s="73" t="e">
        <f t="shared" si="15"/>
        <v>#DIV/0!</v>
      </c>
      <c r="I28" s="74" t="e">
        <f>I13*29308/I10</f>
        <v>#DIV/0!</v>
      </c>
      <c r="J28" s="46" t="e">
        <f t="shared" ref="J28:M28" si="16">J12*29308/J10</f>
        <v>#DIV/0!</v>
      </c>
      <c r="K28" s="46" t="e">
        <f t="shared" si="16"/>
        <v>#DIV/0!</v>
      </c>
      <c r="L28" s="46" t="e">
        <f t="shared" si="16"/>
        <v>#DIV/0!</v>
      </c>
      <c r="M28" s="73" t="e">
        <f t="shared" si="16"/>
        <v>#DIV/0!</v>
      </c>
      <c r="N28" s="45"/>
    </row>
    <row r="29" s="2" customFormat="1" ht="18" customHeight="1" spans="1:14">
      <c r="A29" s="53" t="s">
        <v>64</v>
      </c>
      <c r="B29" s="42" t="s">
        <v>65</v>
      </c>
      <c r="C29" s="43" t="s">
        <v>63</v>
      </c>
      <c r="D29" s="75"/>
      <c r="E29" s="40"/>
      <c r="F29" s="40"/>
      <c r="G29" s="76"/>
      <c r="H29" s="77"/>
      <c r="I29" s="78"/>
      <c r="J29" s="40">
        <v>16894</v>
      </c>
      <c r="K29" s="40"/>
      <c r="L29" s="76"/>
      <c r="M29" s="77"/>
      <c r="N29" s="45"/>
    </row>
    <row r="30" s="2" customFormat="1" ht="18" customHeight="1" spans="1:14">
      <c r="A30" s="53" t="s">
        <v>66</v>
      </c>
      <c r="B30" s="42" t="s">
        <v>67</v>
      </c>
      <c r="C30" s="79" t="s">
        <v>68</v>
      </c>
      <c r="D30" s="80" t="e">
        <f t="shared" ref="D30:M30" si="17">D8/(D12*29.308)</f>
        <v>#DIV/0!</v>
      </c>
      <c r="E30" s="80" t="e">
        <f t="shared" si="17"/>
        <v>#DIV/0!</v>
      </c>
      <c r="F30" s="80" t="e">
        <f t="shared" si="17"/>
        <v>#DIV/0!</v>
      </c>
      <c r="G30" s="80" t="e">
        <f>(G8-G36)/(G12*29.308)</f>
        <v>#DIV/0!</v>
      </c>
      <c r="H30" s="81" t="e">
        <f t="shared" si="17"/>
        <v>#DIV/0!</v>
      </c>
      <c r="I30" s="82" t="e">
        <f t="shared" si="17"/>
        <v>#DIV/0!</v>
      </c>
      <c r="J30" s="80" t="e">
        <f t="shared" si="17"/>
        <v>#DIV/0!</v>
      </c>
      <c r="K30" s="80" t="e">
        <f t="shared" si="17"/>
        <v>#DIV/0!</v>
      </c>
      <c r="L30" s="80" t="e">
        <f t="shared" si="17"/>
        <v>#DIV/0!</v>
      </c>
      <c r="M30" s="81" t="e">
        <f t="shared" si="17"/>
        <v>#DIV/0!</v>
      </c>
      <c r="N30" s="45"/>
    </row>
    <row r="31" s="2" customFormat="1" ht="18" customHeight="1" spans="1:14">
      <c r="A31" s="53" t="s">
        <v>69</v>
      </c>
      <c r="B31" s="42" t="s">
        <v>70</v>
      </c>
      <c r="C31" s="79" t="s">
        <v>68</v>
      </c>
      <c r="D31" s="207">
        <f>D8/3.6/D3/(DAY(DATE(2026,2,0))*24)</f>
        <v>0</v>
      </c>
      <c r="E31" s="207">
        <f>E8/3.6/E3/(DAY(DATE(2026,2,0))*24)</f>
        <v>0</v>
      </c>
      <c r="F31" s="207" t="e">
        <f>F8/3.6/F3/(DAY(DATE(2026,2,0))*24)</f>
        <v>#DIV/0!</v>
      </c>
      <c r="G31" s="207">
        <f>(G8-G36)/3.6/G3/(DAY(DATE(2026,2,0))*24)</f>
        <v>0</v>
      </c>
      <c r="H31" s="217">
        <f>H8/3.6/H3/(DAY(DATE(2026,2,0))*24)</f>
        <v>0</v>
      </c>
      <c r="I31" s="218">
        <f>I8/3.6/I3/(DATEDIF(DATE(2026,1,1),DATE(2026,2,1),"D")*24)</f>
        <v>0</v>
      </c>
      <c r="J31" s="207">
        <f>J8/3.6/J3/(DATEDIF(DATE(2026,1,1),DATE(2026,2,1),"D")*24)</f>
        <v>0</v>
      </c>
      <c r="K31" s="207" t="e">
        <f>K8/3.6/K3/(DATEDIF(DATE(2026,1,1),DATE(2026,2,1),"D")*24)</f>
        <v>#DIV/0!</v>
      </c>
      <c r="L31" s="207">
        <f>(L8-L36)/3.6/L3/(DATEDIF(DATE(2026,1,1),DATE(2026,2,1),"D")*24)</f>
        <v>0</v>
      </c>
      <c r="M31" s="217">
        <f>M8/3.6/M3/(DATEDIF(DATE(2026,1,1),DATE(2026,2,1),"D")*24)</f>
        <v>0</v>
      </c>
      <c r="N31" s="45"/>
    </row>
    <row r="32" s="2" customFormat="1" ht="18" customHeight="1" spans="1:14">
      <c r="A32" s="53" t="s">
        <v>71</v>
      </c>
      <c r="B32" s="42" t="s">
        <v>72</v>
      </c>
      <c r="C32" s="43" t="s">
        <v>73</v>
      </c>
      <c r="D32" s="86"/>
      <c r="E32" s="87" t="e">
        <f t="shared" ref="E32:H32" si="18">E8/E6</f>
        <v>#DIV/0!</v>
      </c>
      <c r="F32" s="87" t="e">
        <f t="shared" si="18"/>
        <v>#DIV/0!</v>
      </c>
      <c r="G32" s="87" t="e">
        <f t="shared" si="18"/>
        <v>#DIV/0!</v>
      </c>
      <c r="H32" s="87" t="e">
        <f t="shared" si="18"/>
        <v>#DIV/0!</v>
      </c>
      <c r="I32" s="88"/>
      <c r="J32" s="87" t="e">
        <f t="shared" ref="J32:M32" si="19">J8/J6</f>
        <v>#DIV/0!</v>
      </c>
      <c r="K32" s="87" t="e">
        <f t="shared" si="19"/>
        <v>#DIV/0!</v>
      </c>
      <c r="L32" s="87" t="e">
        <f t="shared" si="19"/>
        <v>#DIV/0!</v>
      </c>
      <c r="M32" s="89" t="e">
        <f t="shared" si="19"/>
        <v>#DIV/0!</v>
      </c>
      <c r="N32" s="45"/>
    </row>
    <row r="33" s="2" customFormat="1" ht="18" customHeight="1" spans="1:14">
      <c r="A33" s="53" t="s">
        <v>74</v>
      </c>
      <c r="B33" s="42" t="s">
        <v>75</v>
      </c>
      <c r="C33" s="43" t="s">
        <v>76</v>
      </c>
      <c r="D33" s="90"/>
      <c r="E33" s="91" t="e">
        <f t="shared" ref="E33:H33" si="20">E12*1000/E6</f>
        <v>#DIV/0!</v>
      </c>
      <c r="F33" s="91" t="e">
        <f t="shared" si="20"/>
        <v>#DIV/0!</v>
      </c>
      <c r="G33" s="91" t="e">
        <f t="shared" si="20"/>
        <v>#DIV/0!</v>
      </c>
      <c r="H33" s="92" t="e">
        <f t="shared" si="20"/>
        <v>#DIV/0!</v>
      </c>
      <c r="I33" s="93"/>
      <c r="J33" s="91" t="e">
        <f t="shared" ref="J33:M33" si="21">J12*1000/J6</f>
        <v>#DIV/0!</v>
      </c>
      <c r="K33" s="91" t="e">
        <f t="shared" si="21"/>
        <v>#DIV/0!</v>
      </c>
      <c r="L33" s="91" t="e">
        <f t="shared" si="21"/>
        <v>#DIV/0!</v>
      </c>
      <c r="M33" s="92" t="e">
        <f t="shared" si="21"/>
        <v>#DIV/0!</v>
      </c>
      <c r="N33" s="45"/>
    </row>
    <row r="34" s="2" customFormat="1" ht="18" customHeight="1" spans="1:14">
      <c r="A34" s="53" t="s">
        <v>77</v>
      </c>
      <c r="B34" s="42" t="s">
        <v>78</v>
      </c>
      <c r="C34" s="43" t="s">
        <v>79</v>
      </c>
      <c r="D34" s="94"/>
      <c r="E34" s="91" t="e">
        <f t="shared" ref="E34:H34" si="22">E17/E6</f>
        <v>#DIV/0!</v>
      </c>
      <c r="F34" s="91" t="e">
        <f t="shared" si="22"/>
        <v>#DIV/0!</v>
      </c>
      <c r="G34" s="91" t="e">
        <f t="shared" si="22"/>
        <v>#DIV/0!</v>
      </c>
      <c r="H34" s="92" t="e">
        <f t="shared" si="22"/>
        <v>#DIV/0!</v>
      </c>
      <c r="I34" s="95"/>
      <c r="J34" s="91" t="e">
        <f t="shared" ref="J34:M34" si="23">J17/J6</f>
        <v>#DIV/0!</v>
      </c>
      <c r="K34" s="91" t="e">
        <f t="shared" si="23"/>
        <v>#DIV/0!</v>
      </c>
      <c r="L34" s="91" t="e">
        <f t="shared" si="23"/>
        <v>#DIV/0!</v>
      </c>
      <c r="M34" s="92" t="e">
        <f t="shared" si="23"/>
        <v>#DIV/0!</v>
      </c>
      <c r="N34" s="45"/>
    </row>
    <row r="35" s="2" customFormat="1" ht="18" customHeight="1" spans="1:14">
      <c r="A35" s="96" t="s">
        <v>80</v>
      </c>
      <c r="B35" s="97" t="s">
        <v>81</v>
      </c>
      <c r="C35" s="98" t="s">
        <v>76</v>
      </c>
      <c r="D35" s="99"/>
      <c r="E35" s="100" t="e">
        <f t="shared" ref="E35:H35" si="24">E15*1000/E6</f>
        <v>#DIV/0!</v>
      </c>
      <c r="F35" s="100" t="e">
        <f t="shared" si="24"/>
        <v>#DIV/0!</v>
      </c>
      <c r="G35" s="100" t="e">
        <f t="shared" si="24"/>
        <v>#DIV/0!</v>
      </c>
      <c r="H35" s="101" t="e">
        <f t="shared" si="24"/>
        <v>#DIV/0!</v>
      </c>
      <c r="I35" s="102"/>
      <c r="J35" s="100" t="e">
        <f t="shared" ref="J35:M35" si="25">J15*1000/J6</f>
        <v>#DIV/0!</v>
      </c>
      <c r="K35" s="100" t="e">
        <f t="shared" si="25"/>
        <v>#DIV/0!</v>
      </c>
      <c r="L35" s="100" t="e">
        <f t="shared" si="25"/>
        <v>#DIV/0!</v>
      </c>
      <c r="M35" s="101" t="e">
        <f t="shared" si="25"/>
        <v>#DIV/0!</v>
      </c>
      <c r="N35" s="45"/>
    </row>
    <row r="36" s="2" customFormat="1" ht="21" customHeight="1" spans="1:14">
      <c r="A36" s="103"/>
      <c r="B36" s="104" t="s">
        <v>82</v>
      </c>
      <c r="C36" s="105" t="s">
        <v>26</v>
      </c>
      <c r="D36" s="106"/>
      <c r="E36" s="106"/>
      <c r="F36" s="106"/>
      <c r="G36" s="106"/>
      <c r="H36" s="107"/>
      <c r="I36" s="106"/>
      <c r="J36" s="106"/>
      <c r="K36" s="106"/>
      <c r="L36" s="233">
        <f>G36</f>
        <v>0</v>
      </c>
      <c r="M36" s="107"/>
    </row>
    <row r="37" s="1" customFormat="1" ht="29.25" customHeight="1" spans="1:14">
      <c r="A37" s="108" t="s">
        <v>83</v>
      </c>
      <c r="C37" s="4"/>
      <c r="D37" s="5" t="s">
        <v>84</v>
      </c>
      <c r="E37" s="2"/>
      <c r="F37" s="2"/>
      <c r="G37" s="2"/>
      <c r="H37" s="2"/>
      <c r="I37" s="2"/>
      <c r="J37" s="2"/>
    </row>
    <row r="38" s="1" customFormat="1" ht="31.5" customHeight="1" spans="1:14">
      <c r="A38" s="109" t="s">
        <v>0</v>
      </c>
      <c r="B38" s="110" t="s">
        <v>85</v>
      </c>
      <c r="C38" s="110" t="s">
        <v>2</v>
      </c>
      <c r="D38" s="111" t="s">
        <v>86</v>
      </c>
      <c r="E38" s="112" t="s">
        <v>87</v>
      </c>
      <c r="F38" s="2"/>
      <c r="G38" s="2"/>
      <c r="H38" s="2"/>
    </row>
    <row r="39" s="1" customFormat="1" ht="27.95" customHeight="1" spans="1:14">
      <c r="A39" s="28" t="s">
        <v>11</v>
      </c>
      <c r="B39" s="29" t="s">
        <v>12</v>
      </c>
      <c r="C39" s="30" t="s">
        <v>13</v>
      </c>
      <c r="D39" s="113">
        <v>0.55</v>
      </c>
      <c r="E39" s="114">
        <v>0.55</v>
      </c>
      <c r="F39" s="2"/>
      <c r="G39" s="2"/>
      <c r="H39" s="2"/>
    </row>
    <row r="40" s="1" customFormat="1" ht="27.95" customHeight="1" spans="1:14">
      <c r="A40" s="28" t="s">
        <v>14</v>
      </c>
      <c r="B40" s="29" t="s">
        <v>88</v>
      </c>
      <c r="C40" s="30" t="s">
        <v>16</v>
      </c>
      <c r="D40" s="115">
        <v>7625.06</v>
      </c>
      <c r="E40" s="116">
        <f t="shared" ref="E40:E45" si="26">D40</f>
        <v>7625.06</v>
      </c>
      <c r="F40" s="45"/>
      <c r="G40" s="45"/>
      <c r="H40" s="2"/>
    </row>
    <row r="41" s="1" customFormat="1" ht="27.95" customHeight="1" spans="1:14">
      <c r="A41" s="28" t="s">
        <v>19</v>
      </c>
      <c r="B41" s="29" t="s">
        <v>89</v>
      </c>
      <c r="C41" s="30" t="s">
        <v>16</v>
      </c>
      <c r="D41" s="117">
        <v>7625.06</v>
      </c>
      <c r="E41" s="118">
        <f t="shared" si="26"/>
        <v>7625.06</v>
      </c>
      <c r="F41" s="45"/>
      <c r="G41" s="45"/>
      <c r="H41" s="2"/>
    </row>
    <row r="42" s="1" customFormat="1" ht="27.95" customHeight="1" spans="1:14">
      <c r="A42" s="28" t="s">
        <v>21</v>
      </c>
      <c r="B42" s="42" t="s">
        <v>25</v>
      </c>
      <c r="C42" s="43" t="s">
        <v>26</v>
      </c>
      <c r="D42" s="119">
        <v>441</v>
      </c>
      <c r="E42" s="161">
        <f t="shared" si="26"/>
        <v>441</v>
      </c>
      <c r="F42" s="45"/>
      <c r="G42" s="45"/>
      <c r="H42" s="2"/>
    </row>
    <row r="43" s="1" customFormat="1" ht="27.95" customHeight="1" spans="1:14">
      <c r="A43" s="28" t="s">
        <v>24</v>
      </c>
      <c r="B43" s="42" t="s">
        <v>38</v>
      </c>
      <c r="C43" s="43" t="s">
        <v>23</v>
      </c>
      <c r="D43" s="115">
        <v>3</v>
      </c>
      <c r="E43" s="161">
        <f t="shared" si="26"/>
        <v>3</v>
      </c>
      <c r="F43" s="45"/>
      <c r="G43" s="45"/>
      <c r="H43" s="2"/>
    </row>
    <row r="44" s="1" customFormat="1" ht="27.95" customHeight="1" spans="1:14">
      <c r="A44" s="28" t="s">
        <v>27</v>
      </c>
      <c r="B44" s="42" t="s">
        <v>41</v>
      </c>
      <c r="C44" s="43" t="s">
        <v>42</v>
      </c>
      <c r="D44" s="115">
        <v>132840.000000001</v>
      </c>
      <c r="E44" s="161">
        <f t="shared" si="26"/>
        <v>132840.000000001</v>
      </c>
      <c r="F44" s="45"/>
      <c r="G44" s="45"/>
      <c r="H44" s="2"/>
    </row>
    <row r="45" s="1" customFormat="1" ht="27.95" customHeight="1" spans="1:14">
      <c r="A45" s="28"/>
      <c r="B45" s="42" t="s">
        <v>90</v>
      </c>
      <c r="C45" s="43" t="s">
        <v>42</v>
      </c>
      <c r="D45" s="115">
        <f>D44</f>
        <v>132840.000000001</v>
      </c>
      <c r="E45" s="161">
        <f t="shared" si="26"/>
        <v>132840.000000001</v>
      </c>
      <c r="F45" s="45"/>
      <c r="G45" s="45"/>
      <c r="H45" s="2"/>
    </row>
    <row r="46" s="1" customFormat="1" ht="27.95" customHeight="1" spans="1:14">
      <c r="A46" s="28" t="s">
        <v>29</v>
      </c>
      <c r="B46" s="42" t="s">
        <v>52</v>
      </c>
      <c r="C46" s="43" t="s">
        <v>53</v>
      </c>
      <c r="D46" s="121">
        <f>D44/D42</f>
        <v>301.224489795921</v>
      </c>
      <c r="E46" s="122">
        <f>E44/E42</f>
        <v>301.224489795921</v>
      </c>
      <c r="F46" s="45"/>
      <c r="G46" s="45"/>
      <c r="H46" s="2"/>
    </row>
    <row r="47" s="1" customFormat="1" ht="27.95" customHeight="1" spans="1:14">
      <c r="A47" s="28" t="s">
        <v>31</v>
      </c>
      <c r="B47" s="42" t="s">
        <v>70</v>
      </c>
      <c r="C47" s="79" t="s">
        <v>68</v>
      </c>
      <c r="D47" s="219">
        <f>D42/3.6/D39/(DAY(DATE(2026,2,0))*24)</f>
        <v>0.299364613880743</v>
      </c>
      <c r="E47" s="220">
        <f>E42/3.6/E39/(DATEDIF(DATE(2026,1,1),DATE(2026,2,1),"D")*24)</f>
        <v>0.299364613880743</v>
      </c>
      <c r="F47" s="45"/>
      <c r="G47" s="45"/>
      <c r="H47" s="2"/>
    </row>
    <row r="48" s="1" customFormat="1" ht="27.95" customHeight="1" spans="1:14">
      <c r="A48" s="28" t="s">
        <v>33</v>
      </c>
      <c r="B48" s="42" t="s">
        <v>72</v>
      </c>
      <c r="C48" s="43" t="s">
        <v>73</v>
      </c>
      <c r="D48" s="125">
        <f>D42/D41</f>
        <v>0.0578356104738848</v>
      </c>
      <c r="E48" s="126">
        <f>E42/E41</f>
        <v>0.0578356104738848</v>
      </c>
      <c r="F48" s="45"/>
      <c r="G48" s="45"/>
      <c r="H48" s="2"/>
    </row>
    <row r="49" s="1" customFormat="1" ht="27.95" customHeight="1" spans="1:10">
      <c r="A49" s="28" t="s">
        <v>37</v>
      </c>
      <c r="B49" s="42" t="s">
        <v>78</v>
      </c>
      <c r="C49" s="43" t="s">
        <v>79</v>
      </c>
      <c r="D49" s="127">
        <f>D44/D41</f>
        <v>17.4215022570315</v>
      </c>
      <c r="E49" s="128">
        <f>E44/E41</f>
        <v>17.4215022570315</v>
      </c>
      <c r="F49" s="45"/>
      <c r="G49" s="45"/>
      <c r="H49" s="2"/>
    </row>
    <row r="50" s="1" customFormat="1" ht="27.95" customHeight="1" spans="1:10">
      <c r="A50" s="129" t="s">
        <v>40</v>
      </c>
      <c r="B50" s="97" t="s">
        <v>81</v>
      </c>
      <c r="C50" s="98" t="s">
        <v>76</v>
      </c>
      <c r="D50" s="130">
        <f>D43*1000/D41</f>
        <v>0.39343952703323</v>
      </c>
      <c r="E50" s="130">
        <f>E43*1000/E41</f>
        <v>0.39343952703323</v>
      </c>
      <c r="F50" s="45"/>
      <c r="G50" s="45"/>
      <c r="H50" s="2"/>
    </row>
    <row r="51" s="1" customFormat="1" ht="18" customHeight="1" spans="1:10">
      <c r="C51" s="4"/>
      <c r="D51" s="5"/>
    </row>
    <row r="52" s="1" customFormat="1" ht="29.25" customHeight="1" spans="1:10">
      <c r="A52" s="108" t="s">
        <v>91</v>
      </c>
      <c r="C52" s="4"/>
      <c r="D52" s="5" t="s">
        <v>84</v>
      </c>
      <c r="E52" s="2"/>
      <c r="F52" s="2"/>
      <c r="G52" s="2"/>
      <c r="H52" s="2"/>
      <c r="I52" s="2"/>
      <c r="J52" s="2"/>
    </row>
    <row r="53" s="1" customFormat="1" ht="31.5" customHeight="1" spans="1:10">
      <c r="A53" s="131" t="s">
        <v>0</v>
      </c>
      <c r="B53" s="132" t="s">
        <v>85</v>
      </c>
      <c r="C53" s="132" t="s">
        <v>2</v>
      </c>
      <c r="D53" s="133" t="s">
        <v>86</v>
      </c>
      <c r="E53" s="134"/>
      <c r="F53" s="135"/>
      <c r="G53" s="136" t="s">
        <v>87</v>
      </c>
      <c r="H53" s="134"/>
      <c r="I53" s="134"/>
    </row>
    <row r="54" s="1" customFormat="1" ht="31.5" customHeight="1" spans="1:10">
      <c r="A54" s="137"/>
      <c r="B54" s="138"/>
      <c r="C54" s="138"/>
      <c r="D54" s="139" t="s">
        <v>92</v>
      </c>
      <c r="E54" s="139" t="s">
        <v>93</v>
      </c>
      <c r="F54" s="140" t="s">
        <v>9</v>
      </c>
      <c r="G54" s="141" t="s">
        <v>92</v>
      </c>
      <c r="H54" s="139" t="s">
        <v>93</v>
      </c>
      <c r="I54" s="142" t="s">
        <v>9</v>
      </c>
    </row>
    <row r="55" s="1" customFormat="1" ht="27.95" customHeight="1" spans="1:10">
      <c r="A55" s="28" t="s">
        <v>11</v>
      </c>
      <c r="B55" s="29" t="s">
        <v>12</v>
      </c>
      <c r="C55" s="30" t="s">
        <v>13</v>
      </c>
      <c r="D55" s="143">
        <v>6</v>
      </c>
      <c r="E55" s="143">
        <v>6.4</v>
      </c>
      <c r="F55" s="144">
        <f t="shared" ref="F55:F61" si="27">SUM(D55:E55)</f>
        <v>12.4</v>
      </c>
      <c r="G55" s="145">
        <f t="shared" ref="G55:G61" si="28">D55</f>
        <v>6</v>
      </c>
      <c r="H55" s="146">
        <f t="shared" ref="H55:H61" si="29">E55</f>
        <v>6.4</v>
      </c>
      <c r="I55" s="146">
        <f t="shared" ref="I55:I61" si="30">SUM(G55:H55)</f>
        <v>12.4</v>
      </c>
    </row>
    <row r="56" s="1" customFormat="1" ht="27.95" customHeight="1" spans="1:10">
      <c r="A56" s="28" t="s">
        <v>14</v>
      </c>
      <c r="B56" s="29" t="s">
        <v>88</v>
      </c>
      <c r="C56" s="30" t="s">
        <v>16</v>
      </c>
      <c r="D56" s="148"/>
      <c r="E56" s="148"/>
      <c r="F56" s="117">
        <f t="shared" si="27"/>
        <v>0</v>
      </c>
      <c r="G56" s="118">
        <f t="shared" si="28"/>
        <v>0</v>
      </c>
      <c r="H56" s="118">
        <f t="shared" si="29"/>
        <v>0</v>
      </c>
      <c r="I56" s="147">
        <f t="shared" si="30"/>
        <v>0</v>
      </c>
    </row>
    <row r="57" s="1" customFormat="1" ht="27.95" customHeight="1" spans="1:10">
      <c r="A57" s="28" t="s">
        <v>19</v>
      </c>
      <c r="B57" s="29" t="s">
        <v>89</v>
      </c>
      <c r="C57" s="30" t="s">
        <v>16</v>
      </c>
      <c r="D57" s="147"/>
      <c r="E57" s="147"/>
      <c r="F57" s="117">
        <f t="shared" si="27"/>
        <v>0</v>
      </c>
      <c r="G57" s="118">
        <f t="shared" si="28"/>
        <v>0</v>
      </c>
      <c r="H57" s="118">
        <f t="shared" si="29"/>
        <v>0</v>
      </c>
      <c r="I57" s="147">
        <f t="shared" si="30"/>
        <v>0</v>
      </c>
    </row>
    <row r="58" s="1" customFormat="1" ht="27.95" customHeight="1" spans="1:10">
      <c r="A58" s="28" t="s">
        <v>21</v>
      </c>
      <c r="B58" s="42" t="s">
        <v>25</v>
      </c>
      <c r="C58" s="43" t="s">
        <v>26</v>
      </c>
      <c r="D58" s="148"/>
      <c r="E58" s="149"/>
      <c r="F58" s="117">
        <f t="shared" si="27"/>
        <v>0</v>
      </c>
      <c r="G58" s="118">
        <f t="shared" si="28"/>
        <v>0</v>
      </c>
      <c r="H58" s="118">
        <f t="shared" si="29"/>
        <v>0</v>
      </c>
      <c r="I58" s="147">
        <f t="shared" si="30"/>
        <v>0</v>
      </c>
    </row>
    <row r="59" s="1" customFormat="1" ht="27.95" customHeight="1" spans="1:10">
      <c r="A59" s="28" t="s">
        <v>24</v>
      </c>
      <c r="B59" s="42" t="s">
        <v>38</v>
      </c>
      <c r="C59" s="43" t="s">
        <v>23</v>
      </c>
      <c r="D59" s="148"/>
      <c r="E59" s="148"/>
      <c r="F59" s="117">
        <f t="shared" si="27"/>
        <v>0</v>
      </c>
      <c r="G59" s="118">
        <f t="shared" si="28"/>
        <v>0</v>
      </c>
      <c r="H59" s="118">
        <f t="shared" si="29"/>
        <v>0</v>
      </c>
      <c r="I59" s="147">
        <f t="shared" si="30"/>
        <v>0</v>
      </c>
    </row>
    <row r="60" s="1" customFormat="1" ht="27.95" customHeight="1" spans="1:10">
      <c r="A60" s="28" t="s">
        <v>27</v>
      </c>
      <c r="B60" s="42" t="s">
        <v>41</v>
      </c>
      <c r="C60" s="43" t="s">
        <v>42</v>
      </c>
      <c r="D60" s="148"/>
      <c r="E60" s="148"/>
      <c r="F60" s="117">
        <f t="shared" si="27"/>
        <v>0</v>
      </c>
      <c r="G60" s="118">
        <f t="shared" si="28"/>
        <v>0</v>
      </c>
      <c r="H60" s="118">
        <f t="shared" si="29"/>
        <v>0</v>
      </c>
      <c r="I60" s="147">
        <f t="shared" si="30"/>
        <v>0</v>
      </c>
    </row>
    <row r="61" s="1" customFormat="1" ht="27.95" customHeight="1" spans="1:10">
      <c r="A61" s="28"/>
      <c r="B61" s="42" t="s">
        <v>90</v>
      </c>
      <c r="C61" s="43" t="s">
        <v>42</v>
      </c>
      <c r="D61" s="148"/>
      <c r="E61" s="148"/>
      <c r="F61" s="117">
        <f t="shared" si="27"/>
        <v>0</v>
      </c>
      <c r="G61" s="118">
        <f t="shared" si="28"/>
        <v>0</v>
      </c>
      <c r="H61" s="118">
        <f t="shared" si="29"/>
        <v>0</v>
      </c>
      <c r="I61" s="147">
        <f t="shared" si="30"/>
        <v>0</v>
      </c>
    </row>
    <row r="62" s="1" customFormat="1" ht="27.95" customHeight="1" spans="1:10">
      <c r="A62" s="28" t="s">
        <v>29</v>
      </c>
      <c r="B62" s="42" t="s">
        <v>52</v>
      </c>
      <c r="C62" s="43" t="s">
        <v>53</v>
      </c>
      <c r="D62" s="151" t="e">
        <f t="shared" ref="D62:I62" si="31">D60/D58</f>
        <v>#DIV/0!</v>
      </c>
      <c r="E62" s="151" t="e">
        <f t="shared" si="31"/>
        <v>#DIV/0!</v>
      </c>
      <c r="F62" s="121" t="e">
        <f t="shared" si="31"/>
        <v>#DIV/0!</v>
      </c>
      <c r="G62" s="152" t="e">
        <f t="shared" si="31"/>
        <v>#DIV/0!</v>
      </c>
      <c r="H62" s="60" t="e">
        <f t="shared" si="31"/>
        <v>#DIV/0!</v>
      </c>
      <c r="I62" s="61" t="e">
        <f t="shared" si="31"/>
        <v>#DIV/0!</v>
      </c>
    </row>
    <row r="63" s="1" customFormat="1" ht="27.95" customHeight="1" spans="1:10">
      <c r="A63" s="28" t="s">
        <v>31</v>
      </c>
      <c r="B63" s="42" t="s">
        <v>70</v>
      </c>
      <c r="C63" s="79" t="s">
        <v>68</v>
      </c>
      <c r="D63" s="207">
        <f>D58/3.6/D55/(DAY(DATE(2026,2,0))*24)</f>
        <v>0</v>
      </c>
      <c r="E63" s="207">
        <f>E58/3.6/E55/(DAY(DATE(2026,2,0))*24)</f>
        <v>0</v>
      </c>
      <c r="F63" s="219">
        <f>F58/3.6/F55/(DAY(DATE(2026,2,0))*24)</f>
        <v>0</v>
      </c>
      <c r="G63" s="218">
        <f>G58/3.6/G55/(DATEDIF(DATE(2026,1,1),DATE(2026,2,1),"D")*24)</f>
        <v>0</v>
      </c>
      <c r="H63" s="207">
        <f>H58/3.6/H55/(DATEDIF(DATE(2026,1,1),DATE(2026,2,1),"D")*24)</f>
        <v>0</v>
      </c>
      <c r="I63" s="217">
        <f>I58/3.6/I55/(DATEDIF(DATE(2026,1,1),DATE(2026,2,1),"D")*24)</f>
        <v>0</v>
      </c>
    </row>
    <row r="64" s="1" customFormat="1" ht="27.95" customHeight="1" spans="1:10">
      <c r="A64" s="28" t="s">
        <v>33</v>
      </c>
      <c r="B64" s="42" t="s">
        <v>72</v>
      </c>
      <c r="C64" s="43" t="s">
        <v>73</v>
      </c>
      <c r="D64" s="87" t="e">
        <f t="shared" ref="D64:I64" si="32">D58/D57</f>
        <v>#DIV/0!</v>
      </c>
      <c r="E64" s="87" t="e">
        <f t="shared" si="32"/>
        <v>#DIV/0!</v>
      </c>
      <c r="F64" s="89" t="e">
        <f t="shared" si="32"/>
        <v>#DIV/0!</v>
      </c>
      <c r="G64" s="153" t="e">
        <f t="shared" si="32"/>
        <v>#DIV/0!</v>
      </c>
      <c r="H64" s="87" t="e">
        <f t="shared" si="32"/>
        <v>#DIV/0!</v>
      </c>
      <c r="I64" s="89" t="e">
        <f t="shared" si="32"/>
        <v>#DIV/0!</v>
      </c>
    </row>
    <row r="65" s="1" customFormat="1" ht="27.95" customHeight="1" spans="1:9">
      <c r="A65" s="28" t="s">
        <v>37</v>
      </c>
      <c r="B65" s="42" t="s">
        <v>78</v>
      </c>
      <c r="C65" s="43" t="s">
        <v>79</v>
      </c>
      <c r="D65" s="91" t="e">
        <f t="shared" ref="D65:I65" si="33">D60/D57</f>
        <v>#DIV/0!</v>
      </c>
      <c r="E65" s="91" t="e">
        <f t="shared" si="33"/>
        <v>#DIV/0!</v>
      </c>
      <c r="F65" s="92" t="e">
        <f t="shared" si="33"/>
        <v>#DIV/0!</v>
      </c>
      <c r="G65" s="154" t="e">
        <f t="shared" si="33"/>
        <v>#DIV/0!</v>
      </c>
      <c r="H65" s="91" t="e">
        <f t="shared" si="33"/>
        <v>#DIV/0!</v>
      </c>
      <c r="I65" s="92" t="e">
        <f t="shared" si="33"/>
        <v>#DIV/0!</v>
      </c>
    </row>
    <row r="66" s="1" customFormat="1" ht="27.95" customHeight="1" spans="1:9">
      <c r="A66" s="129" t="s">
        <v>40</v>
      </c>
      <c r="B66" s="97" t="s">
        <v>81</v>
      </c>
      <c r="C66" s="98" t="s">
        <v>76</v>
      </c>
      <c r="D66" s="100" t="e">
        <f t="shared" ref="D66:I66" si="34">D59*1000/D57</f>
        <v>#DIV/0!</v>
      </c>
      <c r="E66" s="100" t="e">
        <f t="shared" si="34"/>
        <v>#DIV/0!</v>
      </c>
      <c r="F66" s="101" t="e">
        <f t="shared" si="34"/>
        <v>#DIV/0!</v>
      </c>
      <c r="G66" s="155" t="e">
        <f t="shared" si="34"/>
        <v>#DIV/0!</v>
      </c>
      <c r="H66" s="100" t="e">
        <f t="shared" si="34"/>
        <v>#DIV/0!</v>
      </c>
      <c r="I66" s="101" t="e">
        <f t="shared" si="34"/>
        <v>#DIV/0!</v>
      </c>
    </row>
    <row r="67" s="1" customFormat="1" ht="18" customHeight="1" spans="1:9">
      <c r="C67" s="4"/>
      <c r="D67" s="5"/>
    </row>
    <row r="68" s="1" customFormat="1" ht="29.25" customHeight="1" spans="1:9">
      <c r="A68" s="108" t="s">
        <v>94</v>
      </c>
      <c r="C68" s="4"/>
      <c r="D68" s="5"/>
    </row>
    <row r="69" s="1" customFormat="1" ht="30" customHeight="1" spans="1:9">
      <c r="A69" s="131" t="s">
        <v>0</v>
      </c>
      <c r="B69" s="7" t="s">
        <v>1</v>
      </c>
      <c r="C69" s="7" t="s">
        <v>2</v>
      </c>
      <c r="D69" s="133" t="s">
        <v>86</v>
      </c>
      <c r="E69" s="135"/>
      <c r="F69" s="134" t="s">
        <v>87</v>
      </c>
      <c r="G69" s="134"/>
    </row>
    <row r="70" s="1" customFormat="1" ht="30" customHeight="1" spans="1:9">
      <c r="A70" s="137"/>
      <c r="B70" s="14"/>
      <c r="C70" s="14"/>
      <c r="D70" s="139" t="s">
        <v>95</v>
      </c>
      <c r="E70" s="156" t="s">
        <v>96</v>
      </c>
      <c r="F70" s="141" t="s">
        <v>95</v>
      </c>
      <c r="G70" s="142" t="s">
        <v>96</v>
      </c>
    </row>
    <row r="71" s="1" customFormat="1" ht="27.95" customHeight="1" spans="1:9">
      <c r="A71" s="19" t="s">
        <v>11</v>
      </c>
      <c r="B71" s="20" t="s">
        <v>12</v>
      </c>
      <c r="C71" s="21" t="s">
        <v>13</v>
      </c>
      <c r="D71" s="157">
        <v>217</v>
      </c>
      <c r="E71" s="158">
        <v>1.4</v>
      </c>
      <c r="F71" s="159">
        <f t="shared" ref="F71:F77" si="35">D71</f>
        <v>217</v>
      </c>
      <c r="G71" s="160">
        <f>E71</f>
        <v>1.4</v>
      </c>
    </row>
    <row r="72" s="1" customFormat="1" ht="27.95" customHeight="1" spans="1:9">
      <c r="A72" s="28" t="s">
        <v>14</v>
      </c>
      <c r="B72" s="42" t="s">
        <v>22</v>
      </c>
      <c r="C72" s="43" t="s">
        <v>23</v>
      </c>
      <c r="D72" s="148"/>
      <c r="E72" s="115"/>
      <c r="F72" s="161">
        <f t="shared" si="35"/>
        <v>0</v>
      </c>
      <c r="G72" s="162">
        <f>E72</f>
        <v>0</v>
      </c>
    </row>
    <row r="73" s="1" customFormat="1" ht="27.95" customHeight="1" spans="1:9">
      <c r="A73" s="28" t="s">
        <v>19</v>
      </c>
      <c r="B73" s="42" t="s">
        <v>25</v>
      </c>
      <c r="C73" s="43" t="s">
        <v>26</v>
      </c>
      <c r="D73" s="147">
        <f>D72*2.951694</f>
        <v>0</v>
      </c>
      <c r="E73" s="163">
        <f>E72*2.732</f>
        <v>0</v>
      </c>
      <c r="F73" s="161">
        <f t="shared" si="35"/>
        <v>0</v>
      </c>
      <c r="G73" s="162">
        <f>E73</f>
        <v>0</v>
      </c>
    </row>
    <row r="74" s="1" customFormat="1" ht="27.95" customHeight="1" spans="1:9">
      <c r="A74" s="28" t="s">
        <v>21</v>
      </c>
      <c r="B74" s="42" t="s">
        <v>97</v>
      </c>
      <c r="C74" s="43" t="s">
        <v>98</v>
      </c>
      <c r="D74" s="148"/>
      <c r="E74" s="115"/>
      <c r="F74" s="161">
        <f t="shared" si="35"/>
        <v>0</v>
      </c>
      <c r="G74" s="162">
        <f>E74</f>
        <v>0</v>
      </c>
    </row>
    <row r="75" s="1" customFormat="1" ht="27.95" customHeight="1" spans="1:9">
      <c r="A75" s="28" t="s">
        <v>24</v>
      </c>
      <c r="B75" s="42" t="s">
        <v>34</v>
      </c>
      <c r="C75" s="43" t="s">
        <v>23</v>
      </c>
      <c r="D75" s="147">
        <f>D74*D80/29308/1000</f>
        <v>0</v>
      </c>
      <c r="E75" s="117">
        <f>E74*E80/29308/1000</f>
        <v>0</v>
      </c>
      <c r="F75" s="161">
        <f t="shared" si="35"/>
        <v>0</v>
      </c>
      <c r="G75" s="162">
        <f>E75</f>
        <v>0</v>
      </c>
    </row>
    <row r="76" s="1" customFormat="1" ht="27.95" customHeight="1" spans="1:9">
      <c r="A76" s="28" t="s">
        <v>27</v>
      </c>
      <c r="B76" s="42" t="s">
        <v>38</v>
      </c>
      <c r="C76" s="43" t="s">
        <v>23</v>
      </c>
      <c r="D76" s="148"/>
      <c r="E76" s="164"/>
      <c r="F76" s="161">
        <f t="shared" si="35"/>
        <v>0</v>
      </c>
      <c r="G76" s="236"/>
    </row>
    <row r="77" s="1" customFormat="1" ht="27.95" customHeight="1" spans="1:9">
      <c r="A77" s="28" t="s">
        <v>29</v>
      </c>
      <c r="B77" s="42" t="s">
        <v>41</v>
      </c>
      <c r="C77" s="43" t="s">
        <v>42</v>
      </c>
      <c r="D77" s="148"/>
      <c r="E77" s="164"/>
      <c r="F77" s="161">
        <f t="shared" si="35"/>
        <v>0</v>
      </c>
      <c r="G77" s="236"/>
    </row>
    <row r="78" s="1" customFormat="1" ht="27.95" customHeight="1" spans="1:9">
      <c r="A78" s="28" t="s">
        <v>31</v>
      </c>
      <c r="B78" s="42" t="s">
        <v>52</v>
      </c>
      <c r="C78" s="43" t="s">
        <v>53</v>
      </c>
      <c r="D78" s="165" t="e">
        <f>D77/D73</f>
        <v>#DIV/0!</v>
      </c>
      <c r="E78" s="166"/>
      <c r="F78" s="167" t="e">
        <f>F77/F73</f>
        <v>#DIV/0!</v>
      </c>
      <c r="G78" s="168"/>
    </row>
    <row r="79" s="1" customFormat="1" ht="27.95" customHeight="1" spans="1:9">
      <c r="A79" s="28" t="s">
        <v>33</v>
      </c>
      <c r="B79" s="42" t="s">
        <v>55</v>
      </c>
      <c r="C79" s="43" t="s">
        <v>56</v>
      </c>
      <c r="D79" s="60" t="e">
        <f t="shared" ref="D79:G79" si="36">D75*1000/D73</f>
        <v>#DIV/0!</v>
      </c>
      <c r="E79" s="169" t="e">
        <f t="shared" si="36"/>
        <v>#DIV/0!</v>
      </c>
      <c r="F79" s="170" t="e">
        <f t="shared" si="36"/>
        <v>#DIV/0!</v>
      </c>
      <c r="G79" s="61" t="e">
        <f t="shared" si="36"/>
        <v>#DIV/0!</v>
      </c>
      <c r="H79" s="12"/>
    </row>
    <row r="80" s="1" customFormat="1" ht="27.95" customHeight="1" spans="1:9">
      <c r="A80" s="28" t="s">
        <v>37</v>
      </c>
      <c r="B80" s="42" t="s">
        <v>99</v>
      </c>
      <c r="C80" s="43" t="s">
        <v>100</v>
      </c>
      <c r="D80" s="56"/>
      <c r="E80" s="171"/>
      <c r="F80" s="172" t="e">
        <f>F75*29308*1000/F74</f>
        <v>#DIV/0!</v>
      </c>
      <c r="G80" s="147" t="e">
        <f>G75*29308*1000/G74</f>
        <v>#DIV/0!</v>
      </c>
      <c r="H80" s="12"/>
    </row>
    <row r="81" s="1" customFormat="1" ht="27.95" customHeight="1" spans="1:11">
      <c r="A81" s="28" t="s">
        <v>40</v>
      </c>
      <c r="B81" s="42" t="s">
        <v>67</v>
      </c>
      <c r="C81" s="79" t="s">
        <v>68</v>
      </c>
      <c r="D81" s="80" t="e">
        <f t="shared" ref="D81:G81" si="37">D73/(D75*29.308)</f>
        <v>#DIV/0!</v>
      </c>
      <c r="E81" s="173" t="e">
        <f t="shared" si="37"/>
        <v>#DIV/0!</v>
      </c>
      <c r="F81" s="174" t="e">
        <f t="shared" si="37"/>
        <v>#DIV/0!</v>
      </c>
      <c r="G81" s="81" t="e">
        <f t="shared" si="37"/>
        <v>#DIV/0!</v>
      </c>
      <c r="H81" s="12"/>
    </row>
    <row r="82" s="1" customFormat="1" ht="27.95" customHeight="1" spans="1:11">
      <c r="A82" s="129" t="s">
        <v>47</v>
      </c>
      <c r="B82" s="175" t="s">
        <v>70</v>
      </c>
      <c r="C82" s="176" t="s">
        <v>68</v>
      </c>
      <c r="D82" s="221">
        <f>D73/3.6/D71/(DAY(DATE(2026,2,0))*24)</f>
        <v>0</v>
      </c>
      <c r="E82" s="222">
        <f>E73/3.6/E71/(DAY(DATE(2026,2,0))*24)</f>
        <v>0</v>
      </c>
      <c r="F82" s="223">
        <f>F73/3.6/F71/(DATEDIF(DATE(2026,1,1),DATE(2026,2,1),"D")*24)</f>
        <v>0</v>
      </c>
      <c r="G82" s="224">
        <f>G73/3.6/G71/(DATEDIF(DATE(2026,1,1),DATE(2026,2,1),"D")*24)</f>
        <v>0</v>
      </c>
      <c r="H82" s="12"/>
    </row>
    <row r="83" s="1" customFormat="1" ht="18" customHeight="1" spans="1:11">
      <c r="B83" s="181"/>
      <c r="C83" s="181"/>
      <c r="D83" s="5"/>
    </row>
    <row r="84" s="1" customFormat="1" customHeight="1" spans="1:11">
      <c r="A84" s="108" t="s">
        <v>101</v>
      </c>
      <c r="C84" s="4"/>
      <c r="D84" s="5" t="s">
        <v>84</v>
      </c>
      <c r="E84" s="2"/>
      <c r="F84" s="2"/>
      <c r="G84" s="2"/>
      <c r="H84" s="2"/>
      <c r="I84" s="2"/>
    </row>
    <row r="85" s="1" customFormat="1" customHeight="1" spans="1:11">
      <c r="A85" s="131" t="s">
        <v>0</v>
      </c>
      <c r="B85" s="132" t="s">
        <v>85</v>
      </c>
      <c r="C85" s="132" t="s">
        <v>2</v>
      </c>
      <c r="D85" s="182" t="s">
        <v>86</v>
      </c>
      <c r="E85" s="139" t="s">
        <v>87</v>
      </c>
      <c r="F85" s="182" t="s">
        <v>102</v>
      </c>
      <c r="G85" s="182" t="s">
        <v>103</v>
      </c>
      <c r="H85" s="183"/>
      <c r="I85" s="183"/>
    </row>
    <row r="86" s="1" customFormat="1" customHeight="1" spans="1:11">
      <c r="A86" s="137"/>
      <c r="B86" s="138"/>
      <c r="C86" s="138"/>
      <c r="D86" s="182" t="s">
        <v>104</v>
      </c>
      <c r="E86" s="182" t="s">
        <v>104</v>
      </c>
      <c r="F86" s="182"/>
      <c r="G86" s="182"/>
      <c r="H86" s="183"/>
      <c r="I86" s="184"/>
    </row>
    <row r="87" s="1" customFormat="1" customHeight="1" spans="1:11">
      <c r="A87" s="28" t="s">
        <v>11</v>
      </c>
      <c r="B87" s="29" t="s">
        <v>12</v>
      </c>
      <c r="C87" s="30" t="s">
        <v>13</v>
      </c>
      <c r="D87" s="185">
        <v>0.7888</v>
      </c>
      <c r="E87" s="186">
        <f t="shared" ref="E87:E93" si="38">D87</f>
        <v>0.7888</v>
      </c>
      <c r="F87" s="187">
        <f t="shared" ref="F87:F93" si="39">F55+D87</f>
        <v>13.1888</v>
      </c>
      <c r="G87" s="187">
        <f t="shared" ref="G87:G93" si="40">E87+I55</f>
        <v>13.1888</v>
      </c>
      <c r="H87" s="145"/>
      <c r="I87" s="145"/>
    </row>
    <row r="88" s="1" customFormat="1" customHeight="1" spans="1:11">
      <c r="A88" s="28" t="s">
        <v>14</v>
      </c>
      <c r="B88" s="29" t="s">
        <v>88</v>
      </c>
      <c r="C88" s="30" t="s">
        <v>16</v>
      </c>
      <c r="D88" s="188"/>
      <c r="E88" s="189">
        <f t="shared" si="38"/>
        <v>0</v>
      </c>
      <c r="F88" s="192">
        <f t="shared" si="39"/>
        <v>0</v>
      </c>
      <c r="G88" s="192">
        <f t="shared" si="40"/>
        <v>0</v>
      </c>
      <c r="H88" s="116"/>
      <c r="I88" s="116"/>
    </row>
    <row r="89" s="1" customFormat="1" customHeight="1" spans="1:11">
      <c r="A89" s="28" t="s">
        <v>19</v>
      </c>
      <c r="B89" s="29" t="s">
        <v>89</v>
      </c>
      <c r="C89" s="30" t="s">
        <v>16</v>
      </c>
      <c r="D89" s="188"/>
      <c r="E89" s="189">
        <f t="shared" si="38"/>
        <v>0</v>
      </c>
      <c r="F89" s="192">
        <f t="shared" si="39"/>
        <v>0</v>
      </c>
      <c r="G89" s="192">
        <f t="shared" si="40"/>
        <v>0</v>
      </c>
      <c r="H89" s="116"/>
      <c r="I89" s="116"/>
    </row>
    <row r="90" s="1" customFormat="1" customHeight="1" spans="1:11">
      <c r="A90" s="28" t="s">
        <v>21</v>
      </c>
      <c r="B90" s="42" t="s">
        <v>25</v>
      </c>
      <c r="C90" s="43" t="s">
        <v>26</v>
      </c>
      <c r="D90" s="188"/>
      <c r="E90" s="189">
        <f t="shared" si="38"/>
        <v>0</v>
      </c>
      <c r="F90" s="192">
        <f t="shared" si="39"/>
        <v>0</v>
      </c>
      <c r="G90" s="192">
        <f t="shared" si="40"/>
        <v>0</v>
      </c>
      <c r="H90" s="116"/>
      <c r="I90" s="116"/>
    </row>
    <row r="91" s="1" customFormat="1" customHeight="1" spans="1:11">
      <c r="A91" s="28" t="s">
        <v>24</v>
      </c>
      <c r="B91" s="42" t="s">
        <v>38</v>
      </c>
      <c r="C91" s="43" t="s">
        <v>23</v>
      </c>
      <c r="D91" s="188"/>
      <c r="E91" s="186">
        <f t="shared" si="38"/>
        <v>0</v>
      </c>
      <c r="F91" s="192">
        <f t="shared" si="39"/>
        <v>0</v>
      </c>
      <c r="G91" s="192">
        <f t="shared" si="40"/>
        <v>0</v>
      </c>
      <c r="H91" s="116"/>
      <c r="I91" s="116"/>
    </row>
    <row r="92" s="1" customFormat="1" customHeight="1" spans="1:11">
      <c r="A92" s="28" t="s">
        <v>27</v>
      </c>
      <c r="B92" s="42" t="s">
        <v>41</v>
      </c>
      <c r="C92" s="43" t="s">
        <v>42</v>
      </c>
      <c r="D92" s="188"/>
      <c r="E92" s="189">
        <f t="shared" si="38"/>
        <v>0</v>
      </c>
      <c r="F92" s="192">
        <f t="shared" si="39"/>
        <v>0</v>
      </c>
      <c r="G92" s="192">
        <f t="shared" si="40"/>
        <v>0</v>
      </c>
      <c r="H92" s="116"/>
      <c r="I92" s="116"/>
    </row>
    <row r="93" s="1" customFormat="1" customHeight="1" spans="1:11">
      <c r="A93" s="28"/>
      <c r="B93" s="42" t="s">
        <v>90</v>
      </c>
      <c r="C93" s="43" t="s">
        <v>42</v>
      </c>
      <c r="D93" s="188">
        <v>0</v>
      </c>
      <c r="E93" s="186">
        <f t="shared" si="38"/>
        <v>0</v>
      </c>
      <c r="F93" s="192">
        <f t="shared" si="39"/>
        <v>0</v>
      </c>
      <c r="G93" s="192">
        <f t="shared" si="40"/>
        <v>0</v>
      </c>
      <c r="H93" s="116"/>
      <c r="I93" s="116"/>
    </row>
    <row r="94" s="1" customFormat="1" customHeight="1" spans="1:11">
      <c r="A94" s="28" t="s">
        <v>29</v>
      </c>
      <c r="B94" s="42" t="s">
        <v>52</v>
      </c>
      <c r="C94" s="43" t="s">
        <v>53</v>
      </c>
      <c r="D94" s="193" t="e">
        <f t="shared" ref="D94:G94" si="41">D92/D90</f>
        <v>#DIV/0!</v>
      </c>
      <c r="E94" s="193" t="e">
        <f t="shared" si="41"/>
        <v>#DIV/0!</v>
      </c>
      <c r="F94" s="193" t="e">
        <f t="shared" si="41"/>
        <v>#DIV/0!</v>
      </c>
      <c r="G94" s="193" t="e">
        <f t="shared" si="41"/>
        <v>#DIV/0!</v>
      </c>
      <c r="H94" s="122"/>
      <c r="I94" s="122"/>
    </row>
    <row r="95" s="1" customFormat="1" customHeight="1" spans="1:11">
      <c r="A95" s="28" t="s">
        <v>31</v>
      </c>
      <c r="B95" s="42" t="s">
        <v>105</v>
      </c>
      <c r="C95" s="79" t="s">
        <v>68</v>
      </c>
      <c r="D95" s="226">
        <f>D90/3.6/D87/(DAY(DATE(2026,2,0))*24)</f>
        <v>0</v>
      </c>
      <c r="E95" s="217">
        <f>E90/3.6/E87/(DATEDIF(DATE(2026,1,1),DATE(2026,2,1),"D")*24)</f>
        <v>0</v>
      </c>
      <c r="F95" s="226">
        <f>F90/3.6/F87/(DAY(DATE(2026,2,0))*24)</f>
        <v>0</v>
      </c>
      <c r="G95" s="217">
        <f>G90/3.6/G87/(DATEDIF(DATE(2026,1,1),DATE(2026,2,1),"D")*24)</f>
        <v>0</v>
      </c>
      <c r="H95" s="195"/>
      <c r="I95" s="195"/>
      <c r="K95" s="196"/>
    </row>
    <row r="96" s="1" customFormat="1" customHeight="1" spans="1:11">
      <c r="A96" s="28" t="s">
        <v>33</v>
      </c>
      <c r="B96" s="42" t="s">
        <v>72</v>
      </c>
      <c r="C96" s="43" t="s">
        <v>73</v>
      </c>
      <c r="D96" s="197" t="e">
        <f t="shared" ref="D96:G96" si="42">D90/D89</f>
        <v>#DIV/0!</v>
      </c>
      <c r="E96" s="197" t="e">
        <f t="shared" si="42"/>
        <v>#DIV/0!</v>
      </c>
      <c r="F96" s="197" t="e">
        <f t="shared" si="42"/>
        <v>#DIV/0!</v>
      </c>
      <c r="G96" s="197" t="e">
        <f t="shared" si="42"/>
        <v>#DIV/0!</v>
      </c>
      <c r="H96" s="126"/>
      <c r="I96" s="126"/>
    </row>
    <row r="97" s="1" customFormat="1" customHeight="1" spans="1:9">
      <c r="A97" s="28" t="s">
        <v>37</v>
      </c>
      <c r="B97" s="42" t="s">
        <v>78</v>
      </c>
      <c r="C97" s="43" t="s">
        <v>79</v>
      </c>
      <c r="D97" s="198" t="e">
        <f t="shared" ref="D97:G97" si="43">D92/D89</f>
        <v>#DIV/0!</v>
      </c>
      <c r="E97" s="198" t="e">
        <f t="shared" si="43"/>
        <v>#DIV/0!</v>
      </c>
      <c r="F97" s="198" t="e">
        <f t="shared" si="43"/>
        <v>#DIV/0!</v>
      </c>
      <c r="G97" s="198" t="e">
        <f t="shared" si="43"/>
        <v>#DIV/0!</v>
      </c>
      <c r="H97" s="128"/>
      <c r="I97" s="128"/>
    </row>
    <row r="98" s="1" customFormat="1" customHeight="1" spans="1:9">
      <c r="A98" s="129" t="s">
        <v>40</v>
      </c>
      <c r="B98" s="97" t="s">
        <v>81</v>
      </c>
      <c r="C98" s="98" t="s">
        <v>76</v>
      </c>
      <c r="D98" s="198" t="e">
        <f t="shared" ref="D98:G98" si="44">D91*1000/D89</f>
        <v>#DIV/0!</v>
      </c>
      <c r="E98" s="198" t="e">
        <f t="shared" si="44"/>
        <v>#DIV/0!</v>
      </c>
      <c r="F98" s="198" t="e">
        <f t="shared" si="44"/>
        <v>#DIV/0!</v>
      </c>
      <c r="G98" s="198" t="e">
        <f t="shared" si="44"/>
        <v>#DIV/0!</v>
      </c>
      <c r="H98" s="128"/>
      <c r="I98" s="128"/>
    </row>
  </sheetData>
  <mergeCells count="20">
    <mergeCell ref="D1:H1"/>
    <mergeCell ref="I1:M1"/>
    <mergeCell ref="D53:F53"/>
    <mergeCell ref="G53:I53"/>
    <mergeCell ref="D69:E69"/>
    <mergeCell ref="F69:G69"/>
    <mergeCell ref="A1:A2"/>
    <mergeCell ref="A53:A54"/>
    <mergeCell ref="A69:A70"/>
    <mergeCell ref="A85:A86"/>
    <mergeCell ref="B1:B2"/>
    <mergeCell ref="B53:B54"/>
    <mergeCell ref="B69:B70"/>
    <mergeCell ref="B85:B86"/>
    <mergeCell ref="C1:C2"/>
    <mergeCell ref="C53:C54"/>
    <mergeCell ref="C69:C70"/>
    <mergeCell ref="C85:C86"/>
    <mergeCell ref="F85:F86"/>
    <mergeCell ref="G85:G86"/>
  </mergeCells>
  <printOptions horizontalCentered="1"/>
  <pageMargins left="0.748031496062992" right="0.748031496062992" top="1.25984251968504" bottom="0.984251968503937" header="0.78740157480315" footer="0.511811023622047"/>
  <pageSetup paperSize="9" scale="20" orientation="landscape" horizontalDpi="600" verticalDpi="600"/>
  <headerFooter alignWithMargins="0" scaleWithDoc="0">
    <oddHeader>&amp;C&amp;"黑体,常规"&amp;20 2022年1月份集团各锅炉站生产报表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8"/>
  <sheetViews>
    <sheetView showGridLines="0" zoomScale="70" zoomScaleNormal="70" zoomScaleSheetLayoutView="60" workbookViewId="0">
      <pane xSplit="2" ySplit="2" topLeftCell="C3" activePane="bottomRight" state="frozen"/>
      <selection/>
      <selection pane="topRight"/>
      <selection pane="bottomLeft"/>
      <selection pane="bottomRight" activeCell="L36" sqref="L36"/>
    </sheetView>
  </sheetViews>
  <sheetFormatPr defaultColWidth="8.625" defaultRowHeight="15" customHeight="1"/>
  <cols>
    <col min="1" max="1" width="7.375" style="1" customWidth="1"/>
    <col min="2" max="2" width="19.75" style="1" customWidth="1"/>
    <col min="3" max="3" width="13.5" style="4" customWidth="1"/>
    <col min="4" max="4" width="13.45" style="5" customWidth="1"/>
    <col min="5" max="13" width="13.45" style="1" customWidth="1"/>
    <col min="14" max="14" width="22.2083333333333" style="1"/>
    <col min="15" max="16384" width="8.625" style="1"/>
  </cols>
  <sheetData>
    <row r="1" s="1" customFormat="1" ht="39.95" customHeight="1" spans="1:14">
      <c r="A1" s="6" t="s">
        <v>0</v>
      </c>
      <c r="B1" s="7" t="s">
        <v>1</v>
      </c>
      <c r="C1" s="7" t="s">
        <v>2</v>
      </c>
      <c r="D1" s="8" t="s">
        <v>3</v>
      </c>
      <c r="E1" s="9"/>
      <c r="F1" s="9"/>
      <c r="G1" s="9"/>
      <c r="H1" s="10"/>
      <c r="I1" s="11" t="s">
        <v>4</v>
      </c>
      <c r="J1" s="9"/>
      <c r="K1" s="9"/>
      <c r="L1" s="9"/>
      <c r="M1" s="9"/>
      <c r="N1" s="12"/>
    </row>
    <row r="2" s="1" customFormat="1" ht="39.95" customHeight="1" spans="1:14">
      <c r="A2" s="13"/>
      <c r="B2" s="14"/>
      <c r="C2" s="14"/>
      <c r="D2" s="15" t="s">
        <v>5</v>
      </c>
      <c r="E2" s="15" t="s">
        <v>6</v>
      </c>
      <c r="F2" s="15" t="s">
        <v>7</v>
      </c>
      <c r="G2" s="16" t="s">
        <v>8</v>
      </c>
      <c r="H2" s="17" t="s">
        <v>9</v>
      </c>
      <c r="I2" s="18" t="s">
        <v>5</v>
      </c>
      <c r="J2" s="15" t="s">
        <v>6</v>
      </c>
      <c r="K2" s="15" t="s">
        <v>7</v>
      </c>
      <c r="L2" s="16" t="s">
        <v>10</v>
      </c>
      <c r="M2" s="17" t="s">
        <v>9</v>
      </c>
    </row>
    <row r="3" s="1" customFormat="1" ht="18" customHeight="1" spans="1:14">
      <c r="A3" s="19" t="s">
        <v>11</v>
      </c>
      <c r="B3" s="20" t="s">
        <v>12</v>
      </c>
      <c r="C3" s="21" t="s">
        <v>13</v>
      </c>
      <c r="D3" s="22">
        <v>348</v>
      </c>
      <c r="E3" s="23">
        <v>162</v>
      </c>
      <c r="F3" s="23"/>
      <c r="G3" s="24">
        <v>263</v>
      </c>
      <c r="H3" s="25">
        <f t="shared" ref="H3:H12" si="0">E3+F3+G3</f>
        <v>425</v>
      </c>
      <c r="I3" s="26">
        <f t="shared" ref="I3:L3" si="1">D3</f>
        <v>348</v>
      </c>
      <c r="J3" s="22">
        <f t="shared" si="1"/>
        <v>162</v>
      </c>
      <c r="K3" s="22">
        <f t="shared" si="1"/>
        <v>0</v>
      </c>
      <c r="L3" s="27">
        <f t="shared" si="1"/>
        <v>263</v>
      </c>
      <c r="M3" s="25">
        <f t="shared" ref="M3:M12" si="2">J3+K3+L3</f>
        <v>425</v>
      </c>
      <c r="N3" s="12"/>
    </row>
    <row r="4" s="1" customFormat="1" ht="18" customHeight="1" spans="1:14">
      <c r="A4" s="28" t="s">
        <v>14</v>
      </c>
      <c r="B4" s="29" t="s">
        <v>15</v>
      </c>
      <c r="C4" s="30" t="s">
        <v>16</v>
      </c>
      <c r="D4" s="31" t="s">
        <v>17</v>
      </c>
      <c r="E4" s="32"/>
      <c r="F4" s="33"/>
      <c r="G4" s="34"/>
      <c r="H4" s="35">
        <f t="shared" si="0"/>
        <v>0</v>
      </c>
      <c r="I4" s="36" t="str">
        <f t="shared" ref="I4:I6" si="3">D4</f>
        <v> -   </v>
      </c>
      <c r="J4" s="32">
        <f t="shared" ref="J4:L4" si="4">E4</f>
        <v>0</v>
      </c>
      <c r="K4" s="37">
        <f t="shared" si="4"/>
        <v>0</v>
      </c>
      <c r="L4" s="38">
        <f t="shared" si="4"/>
        <v>0</v>
      </c>
      <c r="M4" s="35">
        <f t="shared" si="2"/>
        <v>0</v>
      </c>
      <c r="N4" s="12"/>
    </row>
    <row r="5" s="1" customFormat="1" ht="18" customHeight="1" spans="1:14">
      <c r="A5" s="28"/>
      <c r="B5" s="29" t="s">
        <v>18</v>
      </c>
      <c r="C5" s="30" t="s">
        <v>16</v>
      </c>
      <c r="D5" s="31" t="s">
        <v>17</v>
      </c>
      <c r="E5" s="33">
        <v>55000</v>
      </c>
      <c r="F5" s="39">
        <v>0</v>
      </c>
      <c r="G5" s="40">
        <v>0</v>
      </c>
      <c r="H5" s="35">
        <f t="shared" si="0"/>
        <v>55000</v>
      </c>
      <c r="I5" s="36" t="str">
        <f t="shared" si="3"/>
        <v> -   </v>
      </c>
      <c r="J5" s="32">
        <f t="shared" ref="J5:L5" si="5">E5</f>
        <v>55000</v>
      </c>
      <c r="K5" s="37">
        <f t="shared" si="5"/>
        <v>0</v>
      </c>
      <c r="L5" s="38">
        <f t="shared" si="5"/>
        <v>0</v>
      </c>
      <c r="M5" s="35">
        <f t="shared" si="2"/>
        <v>55000</v>
      </c>
      <c r="N5" s="12"/>
    </row>
    <row r="6" s="1" customFormat="1" ht="18" customHeight="1" spans="1:14">
      <c r="A6" s="28" t="s">
        <v>19</v>
      </c>
      <c r="B6" s="29" t="s">
        <v>20</v>
      </c>
      <c r="C6" s="30" t="s">
        <v>16</v>
      </c>
      <c r="D6" s="31" t="s">
        <v>17</v>
      </c>
      <c r="E6" s="34">
        <f t="shared" ref="E6:G6" si="6">E4</f>
        <v>0</v>
      </c>
      <c r="F6" s="34">
        <f t="shared" si="6"/>
        <v>0</v>
      </c>
      <c r="G6" s="34">
        <f t="shared" si="6"/>
        <v>0</v>
      </c>
      <c r="H6" s="35">
        <f t="shared" si="0"/>
        <v>0</v>
      </c>
      <c r="I6" s="36" t="str">
        <f t="shared" si="3"/>
        <v> -   </v>
      </c>
      <c r="J6" s="41">
        <f t="shared" ref="J6:L6" si="7">E6</f>
        <v>0</v>
      </c>
      <c r="K6" s="41">
        <f t="shared" si="7"/>
        <v>0</v>
      </c>
      <c r="L6" s="41">
        <f t="shared" si="7"/>
        <v>0</v>
      </c>
      <c r="M6" s="35">
        <f t="shared" si="2"/>
        <v>0</v>
      </c>
      <c r="N6" s="12"/>
    </row>
    <row r="7" s="2" customFormat="1" ht="18" customHeight="1" spans="1:14">
      <c r="A7" s="28" t="s">
        <v>21</v>
      </c>
      <c r="B7" s="42" t="s">
        <v>22</v>
      </c>
      <c r="C7" s="43" t="s">
        <v>23</v>
      </c>
      <c r="D7" s="40">
        <v>0</v>
      </c>
      <c r="E7" s="40">
        <v>0</v>
      </c>
      <c r="F7" s="40">
        <v>0</v>
      </c>
      <c r="G7" s="40">
        <v>0</v>
      </c>
      <c r="H7" s="35">
        <f t="shared" si="0"/>
        <v>0</v>
      </c>
      <c r="I7" s="51">
        <f>D7+'26.1'!I7</f>
        <v>0</v>
      </c>
      <c r="J7" s="51">
        <f>E7+'26.1'!J7</f>
        <v>0</v>
      </c>
      <c r="K7" s="51">
        <f>F7+'26.1'!K7</f>
        <v>0</v>
      </c>
      <c r="L7" s="51">
        <f>G7+'26.1'!L7</f>
        <v>0</v>
      </c>
      <c r="M7" s="35">
        <f t="shared" si="2"/>
        <v>0</v>
      </c>
      <c r="N7" s="45"/>
    </row>
    <row r="8" s="2" customFormat="1" ht="18" customHeight="1" spans="1:14">
      <c r="A8" s="28" t="s">
        <v>24</v>
      </c>
      <c r="B8" s="42" t="s">
        <v>25</v>
      </c>
      <c r="C8" s="43" t="s">
        <v>26</v>
      </c>
      <c r="D8" s="46"/>
      <c r="E8" s="40"/>
      <c r="F8" s="39"/>
      <c r="G8" s="34"/>
      <c r="H8" s="35">
        <f t="shared" si="0"/>
        <v>0</v>
      </c>
      <c r="I8" s="51">
        <f>D8+'26.1'!I8</f>
        <v>0</v>
      </c>
      <c r="J8" s="51">
        <f>E8+'26.1'!J8</f>
        <v>0</v>
      </c>
      <c r="K8" s="51">
        <f>F8+'26.1'!K8</f>
        <v>0</v>
      </c>
      <c r="L8" s="51">
        <f>G8+'26.1'!L8</f>
        <v>0</v>
      </c>
      <c r="M8" s="35">
        <f t="shared" si="2"/>
        <v>0</v>
      </c>
      <c r="N8" s="47"/>
    </row>
    <row r="9" s="2" customFormat="1" ht="18" customHeight="1" spans="1:14">
      <c r="A9" s="28" t="s">
        <v>27</v>
      </c>
      <c r="B9" s="42" t="s">
        <v>28</v>
      </c>
      <c r="C9" s="43" t="s">
        <v>26</v>
      </c>
      <c r="D9" s="40"/>
      <c r="E9" s="227">
        <f>[1]售热量!$E$25</f>
        <v>0</v>
      </c>
      <c r="F9" s="39"/>
      <c r="G9" s="39"/>
      <c r="H9" s="35">
        <f t="shared" si="0"/>
        <v>0</v>
      </c>
      <c r="I9" s="51">
        <f>D9+'26.1'!I9</f>
        <v>0</v>
      </c>
      <c r="J9" s="51">
        <f>E9+'26.1'!J9</f>
        <v>0</v>
      </c>
      <c r="K9" s="51">
        <f>F9+'26.1'!K9</f>
        <v>0</v>
      </c>
      <c r="L9" s="51">
        <f>G9+'26.1'!L9</f>
        <v>0</v>
      </c>
      <c r="M9" s="35">
        <f t="shared" si="2"/>
        <v>0</v>
      </c>
      <c r="N9" s="45"/>
    </row>
    <row r="10" s="2" customFormat="1" ht="18" customHeight="1" spans="1:14">
      <c r="A10" s="28" t="s">
        <v>29</v>
      </c>
      <c r="B10" s="42" t="s">
        <v>30</v>
      </c>
      <c r="C10" s="43" t="s">
        <v>23</v>
      </c>
      <c r="D10" s="40"/>
      <c r="E10" s="33"/>
      <c r="F10" s="39"/>
      <c r="G10" s="34"/>
      <c r="H10" s="35">
        <f t="shared" si="0"/>
        <v>0</v>
      </c>
      <c r="I10" s="51">
        <f>D10+'26.1'!I10</f>
        <v>0</v>
      </c>
      <c r="J10" s="51">
        <f>E10+'26.1'!J10</f>
        <v>0</v>
      </c>
      <c r="K10" s="51">
        <f>F10+'26.1'!K10</f>
        <v>0</v>
      </c>
      <c r="L10" s="51">
        <f>G10+'26.1'!L10</f>
        <v>0</v>
      </c>
      <c r="M10" s="35">
        <f t="shared" si="2"/>
        <v>0</v>
      </c>
      <c r="N10" s="45"/>
    </row>
    <row r="11" s="2" customFormat="1" ht="18" customHeight="1" spans="1:14">
      <c r="A11" s="28" t="s">
        <v>31</v>
      </c>
      <c r="B11" s="42" t="s">
        <v>32</v>
      </c>
      <c r="C11" s="43" t="s">
        <v>23</v>
      </c>
      <c r="D11" s="40"/>
      <c r="E11" s="40"/>
      <c r="F11" s="40"/>
      <c r="G11" s="40"/>
      <c r="H11" s="35">
        <f t="shared" si="0"/>
        <v>0</v>
      </c>
      <c r="I11" s="51">
        <f>D11+'26.1'!I11</f>
        <v>0</v>
      </c>
      <c r="J11" s="51">
        <f>E11+'26.1'!J11</f>
        <v>0</v>
      </c>
      <c r="K11" s="51">
        <f>F11+'26.1'!K11</f>
        <v>0</v>
      </c>
      <c r="L11" s="51">
        <f>G11+'26.1'!L11</f>
        <v>0</v>
      </c>
      <c r="M11" s="35">
        <f t="shared" si="2"/>
        <v>0</v>
      </c>
      <c r="N11" s="45"/>
    </row>
    <row r="12" s="2" customFormat="1" ht="18" customHeight="1" spans="1:14">
      <c r="A12" s="28" t="s">
        <v>33</v>
      </c>
      <c r="B12" s="42" t="s">
        <v>34</v>
      </c>
      <c r="C12" s="43" t="s">
        <v>23</v>
      </c>
      <c r="D12" s="46">
        <f t="shared" ref="D12:G12" si="8">D13+D14</f>
        <v>0</v>
      </c>
      <c r="E12" s="46">
        <f t="shared" si="8"/>
        <v>0</v>
      </c>
      <c r="F12" s="46">
        <f t="shared" si="8"/>
        <v>0</v>
      </c>
      <c r="G12" s="46">
        <f t="shared" si="8"/>
        <v>0</v>
      </c>
      <c r="H12" s="35">
        <f t="shared" si="0"/>
        <v>0</v>
      </c>
      <c r="I12" s="51">
        <f>D12+'26.1'!I12</f>
        <v>0</v>
      </c>
      <c r="J12" s="51">
        <f>E12+'26.1'!J12</f>
        <v>0</v>
      </c>
      <c r="K12" s="51">
        <f>F12+'26.1'!K12</f>
        <v>0</v>
      </c>
      <c r="L12" s="51">
        <f>G12+'26.1'!L12</f>
        <v>0</v>
      </c>
      <c r="M12" s="35">
        <f t="shared" si="2"/>
        <v>0</v>
      </c>
      <c r="N12" s="45"/>
    </row>
    <row r="13" s="2" customFormat="1" ht="18" customHeight="1" spans="1:14">
      <c r="A13" s="28"/>
      <c r="B13" s="42" t="s">
        <v>35</v>
      </c>
      <c r="C13" s="43" t="s">
        <v>23</v>
      </c>
      <c r="D13" s="40"/>
      <c r="E13" s="40"/>
      <c r="F13" s="40"/>
      <c r="G13" s="46"/>
      <c r="H13" s="49"/>
      <c r="I13" s="51">
        <f>D13+'26.1'!I13</f>
        <v>0</v>
      </c>
      <c r="J13" s="51">
        <f>E13+'26.1'!J13</f>
        <v>0</v>
      </c>
      <c r="K13" s="51">
        <f>F13+'26.1'!K13</f>
        <v>0</v>
      </c>
      <c r="L13" s="51">
        <f>G13+'26.1'!L13</f>
        <v>0</v>
      </c>
      <c r="M13" s="49"/>
      <c r="N13" s="45"/>
    </row>
    <row r="14" s="2" customFormat="1" ht="18" customHeight="1" spans="1:14">
      <c r="A14" s="28"/>
      <c r="B14" s="42" t="s">
        <v>36</v>
      </c>
      <c r="C14" s="43" t="s">
        <v>23</v>
      </c>
      <c r="D14" s="46"/>
      <c r="E14" s="40"/>
      <c r="F14" s="40"/>
      <c r="G14" s="40"/>
      <c r="H14" s="49"/>
      <c r="I14" s="51">
        <f>D14+'26.1'!I14</f>
        <v>0</v>
      </c>
      <c r="J14" s="51">
        <f>E14+'26.1'!J14</f>
        <v>0</v>
      </c>
      <c r="K14" s="51">
        <f>F14+'26.1'!K14</f>
        <v>0</v>
      </c>
      <c r="L14" s="51">
        <f>G14+'26.1'!L14</f>
        <v>0</v>
      </c>
      <c r="M14" s="49"/>
      <c r="N14" s="45"/>
    </row>
    <row r="15" s="2" customFormat="1" ht="18" customHeight="1" spans="1:14">
      <c r="A15" s="28" t="s">
        <v>37</v>
      </c>
      <c r="B15" s="42" t="s">
        <v>38</v>
      </c>
      <c r="C15" s="43" t="s">
        <v>23</v>
      </c>
      <c r="D15" s="40"/>
      <c r="E15" s="50"/>
      <c r="F15" s="39"/>
      <c r="G15" s="34"/>
      <c r="H15" s="35"/>
      <c r="I15" s="51">
        <f>D15+'26.1'!I15</f>
        <v>0</v>
      </c>
      <c r="J15" s="51">
        <f>E15+'26.1'!J15</f>
        <v>0</v>
      </c>
      <c r="K15" s="51">
        <f>F15+'26.1'!K15</f>
        <v>0</v>
      </c>
      <c r="L15" s="51">
        <f>G15+'26.1'!L15</f>
        <v>0</v>
      </c>
      <c r="M15" s="35">
        <f t="shared" ref="M15:M17" si="9">J15+K15+L15</f>
        <v>0</v>
      </c>
      <c r="N15" s="45"/>
    </row>
    <row r="16" s="2" customFormat="1" ht="18" customHeight="1" spans="1:14">
      <c r="A16" s="28"/>
      <c r="B16" s="42" t="s">
        <v>39</v>
      </c>
      <c r="C16" s="43" t="s">
        <v>23</v>
      </c>
      <c r="D16" s="40"/>
      <c r="E16" s="50"/>
      <c r="F16" s="39"/>
      <c r="G16" s="39"/>
      <c r="H16" s="35"/>
      <c r="I16" s="51">
        <f>D16+'26.1'!I16</f>
        <v>0</v>
      </c>
      <c r="J16" s="51">
        <f>E16+'26.1'!J16</f>
        <v>0</v>
      </c>
      <c r="K16" s="51">
        <f>F16+'26.1'!K16</f>
        <v>0</v>
      </c>
      <c r="L16" s="51">
        <f>G16+'26.1'!L16</f>
        <v>0</v>
      </c>
      <c r="M16" s="35">
        <f t="shared" si="9"/>
        <v>0</v>
      </c>
      <c r="N16" s="45"/>
    </row>
    <row r="17" s="2" customFormat="1" ht="18" customHeight="1" spans="1:14">
      <c r="A17" s="28" t="s">
        <v>40</v>
      </c>
      <c r="B17" s="42" t="s">
        <v>41</v>
      </c>
      <c r="C17" s="43" t="s">
        <v>42</v>
      </c>
      <c r="D17" s="46">
        <f>D18+D19</f>
        <v>0</v>
      </c>
      <c r="E17" s="50"/>
      <c r="F17" s="39"/>
      <c r="G17" s="34"/>
      <c r="H17" s="35"/>
      <c r="I17" s="51">
        <f>D17+'26.1'!I17</f>
        <v>0</v>
      </c>
      <c r="J17" s="51">
        <f>E17+'26.1'!J17</f>
        <v>0</v>
      </c>
      <c r="K17" s="51"/>
      <c r="L17" s="51">
        <f>G17+'26.1'!L17</f>
        <v>0</v>
      </c>
      <c r="M17" s="35">
        <f t="shared" si="9"/>
        <v>0</v>
      </c>
      <c r="N17" s="45"/>
    </row>
    <row r="18" s="2" customFormat="1" ht="18" customHeight="1" spans="1:14">
      <c r="A18" s="28"/>
      <c r="B18" s="42" t="s">
        <v>43</v>
      </c>
      <c r="C18" s="43" t="s">
        <v>42</v>
      </c>
      <c r="D18" s="40"/>
      <c r="E18" s="50"/>
      <c r="F18" s="39"/>
      <c r="G18" s="39"/>
      <c r="H18" s="49"/>
      <c r="I18" s="51">
        <f>D18+'26.1'!I18</f>
        <v>0</v>
      </c>
      <c r="J18" s="51">
        <f>E18+'26.1'!J18</f>
        <v>0</v>
      </c>
      <c r="K18" s="51">
        <f>F18+'26.1'!K18</f>
        <v>0</v>
      </c>
      <c r="L18" s="51">
        <f>G18+'26.1'!L18</f>
        <v>0</v>
      </c>
      <c r="M18" s="49"/>
      <c r="N18" s="45"/>
    </row>
    <row r="19" s="2" customFormat="1" ht="18" customHeight="1" spans="1:14">
      <c r="A19" s="28"/>
      <c r="B19" s="42" t="s">
        <v>44</v>
      </c>
      <c r="C19" s="43" t="s">
        <v>42</v>
      </c>
      <c r="D19" s="40"/>
      <c r="E19" s="34">
        <f t="shared" ref="E19:G19" si="10">E17</f>
        <v>0</v>
      </c>
      <c r="F19" s="34">
        <f t="shared" si="10"/>
        <v>0</v>
      </c>
      <c r="G19" s="34">
        <f t="shared" si="10"/>
        <v>0</v>
      </c>
      <c r="H19" s="49"/>
      <c r="I19" s="51">
        <f>D19+'26.1'!I19</f>
        <v>0</v>
      </c>
      <c r="J19" s="51">
        <f>E19+'26.1'!J19</f>
        <v>0</v>
      </c>
      <c r="K19" s="51">
        <f>F19+'26.1'!K19</f>
        <v>0</v>
      </c>
      <c r="L19" s="51">
        <f>G19+'26.1'!L19</f>
        <v>0</v>
      </c>
      <c r="M19" s="49"/>
      <c r="N19" s="45"/>
    </row>
    <row r="20" s="2" customFormat="1" ht="18" customHeight="1" spans="1:14">
      <c r="A20" s="28"/>
      <c r="B20" s="42" t="s">
        <v>45</v>
      </c>
      <c r="C20" s="43" t="s">
        <v>23</v>
      </c>
      <c r="D20" s="40"/>
      <c r="E20" s="50"/>
      <c r="F20" s="39"/>
      <c r="G20" s="39"/>
      <c r="H20" s="49"/>
      <c r="I20" s="51">
        <f>D20+'26.1'!I20</f>
        <v>0</v>
      </c>
      <c r="J20" s="51">
        <f>E20+'26.1'!J20</f>
        <v>0</v>
      </c>
      <c r="K20" s="51">
        <f>F20+'26.1'!K20</f>
        <v>0</v>
      </c>
      <c r="L20" s="51">
        <f>G20+'26.1'!L20</f>
        <v>0</v>
      </c>
      <c r="M20" s="49"/>
      <c r="N20" s="45"/>
    </row>
    <row r="21" s="2" customFormat="1" ht="18" customHeight="1" spans="1:14">
      <c r="A21" s="28"/>
      <c r="B21" s="42" t="s">
        <v>46</v>
      </c>
      <c r="C21" s="43" t="s">
        <v>42</v>
      </c>
      <c r="D21" s="40"/>
      <c r="E21" s="50"/>
      <c r="F21" s="39"/>
      <c r="G21" s="39"/>
      <c r="H21" s="49"/>
      <c r="I21" s="51">
        <f>D21+'26.1'!I21</f>
        <v>0</v>
      </c>
      <c r="J21" s="51">
        <f>E21+'26.1'!J21</f>
        <v>0</v>
      </c>
      <c r="K21" s="51">
        <f>F21+'26.1'!K21</f>
        <v>0</v>
      </c>
      <c r="L21" s="51">
        <f>G21+'26.1'!L21</f>
        <v>0</v>
      </c>
      <c r="M21" s="49"/>
      <c r="N21" s="45"/>
    </row>
    <row r="22" s="2" customFormat="1" customHeight="1" spans="1:14">
      <c r="A22" s="53" t="s">
        <v>47</v>
      </c>
      <c r="B22" s="54" t="s">
        <v>48</v>
      </c>
      <c r="C22" s="55" t="s">
        <v>23</v>
      </c>
      <c r="D22" s="56"/>
      <c r="E22" s="57"/>
      <c r="F22" s="57"/>
      <c r="G22" s="57"/>
      <c r="H22" s="58"/>
      <c r="I22" s="51">
        <f>D22+'26.1'!I22</f>
        <v>0</v>
      </c>
      <c r="J22" s="51">
        <f>E22+'26.1'!J22</f>
        <v>0</v>
      </c>
      <c r="K22" s="51">
        <f>F22+'26.1'!K22</f>
        <v>0</v>
      </c>
      <c r="L22" s="51">
        <f>G22+'26.1'!L22</f>
        <v>0</v>
      </c>
      <c r="M22" s="59">
        <f t="shared" ref="M22:M27" si="11">J22+K22+L22</f>
        <v>0</v>
      </c>
      <c r="N22" s="1"/>
    </row>
    <row r="23" s="2" customFormat="1" ht="21" customHeight="1" spans="1:14">
      <c r="A23" s="53" t="s">
        <v>49</v>
      </c>
      <c r="B23" s="54" t="s">
        <v>50</v>
      </c>
      <c r="C23" s="55" t="s">
        <v>23</v>
      </c>
      <c r="D23" s="56"/>
      <c r="E23" s="57"/>
      <c r="F23" s="57"/>
      <c r="G23" s="57"/>
      <c r="H23" s="58"/>
      <c r="I23" s="51">
        <f>D23+'26.1'!I23</f>
        <v>0</v>
      </c>
      <c r="J23" s="51">
        <f>E23+'26.1'!J23</f>
        <v>0</v>
      </c>
      <c r="K23" s="51">
        <f>F23+'26.1'!K23</f>
        <v>0</v>
      </c>
      <c r="L23" s="51">
        <f>G23+'26.1'!L23</f>
        <v>0</v>
      </c>
      <c r="M23" s="59">
        <f t="shared" si="11"/>
        <v>0</v>
      </c>
      <c r="N23" s="1"/>
    </row>
    <row r="24" s="2" customFormat="1" ht="18" customHeight="1" spans="1:14">
      <c r="A24" s="53" t="s">
        <v>51</v>
      </c>
      <c r="B24" s="42" t="s">
        <v>52</v>
      </c>
      <c r="C24" s="43" t="s">
        <v>53</v>
      </c>
      <c r="D24" s="60" t="e">
        <f t="shared" ref="D24:M24" si="12">D17/D8</f>
        <v>#DIV/0!</v>
      </c>
      <c r="E24" s="60" t="e">
        <f t="shared" si="12"/>
        <v>#DIV/0!</v>
      </c>
      <c r="F24" s="60" t="e">
        <f t="shared" si="12"/>
        <v>#DIV/0!</v>
      </c>
      <c r="G24" s="60" t="e">
        <f t="shared" si="12"/>
        <v>#DIV/0!</v>
      </c>
      <c r="H24" s="61" t="e">
        <f t="shared" si="12"/>
        <v>#DIV/0!</v>
      </c>
      <c r="I24" s="62" t="e">
        <f t="shared" si="12"/>
        <v>#DIV/0!</v>
      </c>
      <c r="J24" s="60" t="e">
        <f t="shared" si="12"/>
        <v>#DIV/0!</v>
      </c>
      <c r="K24" s="60" t="e">
        <f t="shared" si="12"/>
        <v>#DIV/0!</v>
      </c>
      <c r="L24" s="60" t="e">
        <f t="shared" si="12"/>
        <v>#DIV/0!</v>
      </c>
      <c r="M24" s="61" t="e">
        <f t="shared" si="12"/>
        <v>#DIV/0!</v>
      </c>
      <c r="N24" s="45"/>
    </row>
    <row r="25" s="2" customFormat="1" ht="18" customHeight="1" spans="1:14">
      <c r="A25" s="53" t="s">
        <v>54</v>
      </c>
      <c r="B25" s="42" t="s">
        <v>55</v>
      </c>
      <c r="C25" s="43" t="s">
        <v>56</v>
      </c>
      <c r="D25" s="60" t="e">
        <f t="shared" ref="D25:M25" si="13">D12*1000/D8</f>
        <v>#DIV/0!</v>
      </c>
      <c r="E25" s="60" t="e">
        <f t="shared" si="13"/>
        <v>#DIV/0!</v>
      </c>
      <c r="F25" s="60" t="e">
        <f t="shared" si="13"/>
        <v>#DIV/0!</v>
      </c>
      <c r="G25" s="60" t="e">
        <f t="shared" si="13"/>
        <v>#DIV/0!</v>
      </c>
      <c r="H25" s="61" t="e">
        <f t="shared" si="13"/>
        <v>#DIV/0!</v>
      </c>
      <c r="I25" s="62" t="e">
        <f t="shared" si="13"/>
        <v>#DIV/0!</v>
      </c>
      <c r="J25" s="60" t="e">
        <f t="shared" si="13"/>
        <v>#DIV/0!</v>
      </c>
      <c r="K25" s="60" t="e">
        <f t="shared" si="13"/>
        <v>#DIV/0!</v>
      </c>
      <c r="L25" s="60" t="e">
        <f t="shared" si="13"/>
        <v>#DIV/0!</v>
      </c>
      <c r="M25" s="61" t="e">
        <f t="shared" si="13"/>
        <v>#DIV/0!</v>
      </c>
      <c r="N25" s="45"/>
    </row>
    <row r="26" s="3" customFormat="1" ht="18" customHeight="1" spans="1:14">
      <c r="A26" s="53" t="s">
        <v>57</v>
      </c>
      <c r="B26" s="42" t="s">
        <v>58</v>
      </c>
      <c r="C26" s="63" t="s">
        <v>23</v>
      </c>
      <c r="D26" s="56"/>
      <c r="E26" s="64"/>
      <c r="F26" s="65"/>
      <c r="G26" s="34"/>
      <c r="H26" s="66"/>
      <c r="I26" s="51">
        <f>D26+'26.1'!I26</f>
        <v>0</v>
      </c>
      <c r="J26" s="51">
        <f>E26+'26.1'!J26</f>
        <v>0</v>
      </c>
      <c r="K26" s="51">
        <f>F26+'26.1'!K26</f>
        <v>0</v>
      </c>
      <c r="L26" s="51">
        <f>G26+'26.1'!L26</f>
        <v>0</v>
      </c>
      <c r="M26" s="66">
        <f t="shared" si="11"/>
        <v>0</v>
      </c>
      <c r="N26" s="67"/>
    </row>
    <row r="27" s="3" customFormat="1" ht="18" customHeight="1" spans="1:14">
      <c r="A27" s="53" t="s">
        <v>59</v>
      </c>
      <c r="B27" s="42" t="s">
        <v>60</v>
      </c>
      <c r="C27" s="63" t="s">
        <v>23</v>
      </c>
      <c r="D27" s="50"/>
      <c r="E27" s="68">
        <f t="shared" ref="E27:G27" si="14">J27</f>
        <v>12569.7</v>
      </c>
      <c r="F27" s="68">
        <f t="shared" si="14"/>
        <v>0</v>
      </c>
      <c r="G27" s="68">
        <f t="shared" si="14"/>
        <v>1108.50000000002</v>
      </c>
      <c r="H27" s="69"/>
      <c r="I27" s="70">
        <f>D27</f>
        <v>0</v>
      </c>
      <c r="J27" s="205">
        <f>'26.1'!J27+E26-E10</f>
        <v>12569.7</v>
      </c>
      <c r="K27" s="205">
        <f>'26.1'!K27+F26-F10</f>
        <v>0</v>
      </c>
      <c r="L27" s="205">
        <f>'26.1'!L27+G26-G10</f>
        <v>1108.50000000002</v>
      </c>
      <c r="M27" s="72">
        <f t="shared" si="11"/>
        <v>13678.2</v>
      </c>
      <c r="N27" s="67"/>
    </row>
    <row r="28" s="2" customFormat="1" ht="18" customHeight="1" spans="1:14">
      <c r="A28" s="53" t="s">
        <v>61</v>
      </c>
      <c r="B28" s="42" t="s">
        <v>62</v>
      </c>
      <c r="C28" s="43" t="s">
        <v>63</v>
      </c>
      <c r="D28" s="73" t="e">
        <f>D13*29308/D10</f>
        <v>#DIV/0!</v>
      </c>
      <c r="E28" s="73" t="e">
        <f t="shared" ref="E28:H28" si="15">E12*29308/E10</f>
        <v>#DIV/0!</v>
      </c>
      <c r="F28" s="73" t="e">
        <f t="shared" si="15"/>
        <v>#DIV/0!</v>
      </c>
      <c r="G28" s="73" t="e">
        <f t="shared" si="15"/>
        <v>#DIV/0!</v>
      </c>
      <c r="H28" s="73" t="e">
        <f t="shared" si="15"/>
        <v>#DIV/0!</v>
      </c>
      <c r="I28" s="74" t="e">
        <f>I13*29308/I10</f>
        <v>#DIV/0!</v>
      </c>
      <c r="J28" s="46" t="e">
        <f t="shared" ref="J28:M28" si="16">J12*29308/J10</f>
        <v>#DIV/0!</v>
      </c>
      <c r="K28" s="46" t="e">
        <f t="shared" si="16"/>
        <v>#DIV/0!</v>
      </c>
      <c r="L28" s="46" t="e">
        <f t="shared" si="16"/>
        <v>#DIV/0!</v>
      </c>
      <c r="M28" s="73" t="e">
        <f t="shared" si="16"/>
        <v>#DIV/0!</v>
      </c>
      <c r="N28" s="45"/>
    </row>
    <row r="29" s="2" customFormat="1" ht="18" customHeight="1" spans="1:14">
      <c r="A29" s="53" t="s">
        <v>64</v>
      </c>
      <c r="B29" s="42" t="s">
        <v>65</v>
      </c>
      <c r="C29" s="43" t="s">
        <v>63</v>
      </c>
      <c r="D29" s="75"/>
      <c r="E29" s="40"/>
      <c r="F29" s="40"/>
      <c r="G29" s="76"/>
      <c r="H29" s="77"/>
      <c r="I29" s="78"/>
      <c r="J29" s="40"/>
      <c r="K29" s="40"/>
      <c r="L29" s="76"/>
      <c r="M29" s="77"/>
      <c r="N29" s="45"/>
    </row>
    <row r="30" s="2" customFormat="1" ht="18" customHeight="1" spans="1:14">
      <c r="A30" s="53" t="s">
        <v>66</v>
      </c>
      <c r="B30" s="42" t="s">
        <v>67</v>
      </c>
      <c r="C30" s="79" t="s">
        <v>68</v>
      </c>
      <c r="D30" s="80" t="e">
        <f t="shared" ref="D30:M30" si="17">D8/(D12*29.308)</f>
        <v>#DIV/0!</v>
      </c>
      <c r="E30" s="80" t="e">
        <f t="shared" si="17"/>
        <v>#DIV/0!</v>
      </c>
      <c r="F30" s="80" t="e">
        <f t="shared" si="17"/>
        <v>#DIV/0!</v>
      </c>
      <c r="G30" s="80" t="e">
        <f>(G8-G36)/(G12*29.308)</f>
        <v>#DIV/0!</v>
      </c>
      <c r="H30" s="81" t="e">
        <f t="shared" si="17"/>
        <v>#DIV/0!</v>
      </c>
      <c r="I30" s="82" t="e">
        <f t="shared" si="17"/>
        <v>#DIV/0!</v>
      </c>
      <c r="J30" s="80" t="e">
        <f t="shared" si="17"/>
        <v>#DIV/0!</v>
      </c>
      <c r="K30" s="80" t="e">
        <f t="shared" si="17"/>
        <v>#DIV/0!</v>
      </c>
      <c r="L30" s="80" t="e">
        <f t="shared" si="17"/>
        <v>#DIV/0!</v>
      </c>
      <c r="M30" s="81" t="e">
        <f t="shared" si="17"/>
        <v>#DIV/0!</v>
      </c>
      <c r="N30" s="45"/>
    </row>
    <row r="31" s="2" customFormat="1" ht="18" customHeight="1" spans="1:14">
      <c r="A31" s="53" t="s">
        <v>69</v>
      </c>
      <c r="B31" s="42" t="s">
        <v>70</v>
      </c>
      <c r="C31" s="79" t="s">
        <v>68</v>
      </c>
      <c r="D31" s="207">
        <f>D8/3.6/D3/(DAY(DATE(2026,3,0))*24)</f>
        <v>0</v>
      </c>
      <c r="E31" s="207">
        <f>E8/3.6/E3/(DAY(DATE(2026,3,0))*24)</f>
        <v>0</v>
      </c>
      <c r="F31" s="207" t="e">
        <f>F8/3.6/F3/(DAY(DATE(2026,3,0))*24)</f>
        <v>#DIV/0!</v>
      </c>
      <c r="G31" s="207">
        <f>(G8-G36)/3.6/G3/(DAY(DATE(2026,3,0))*24)</f>
        <v>0</v>
      </c>
      <c r="H31" s="217">
        <f>H8/3.6/H3/(DAY(DATE(2026,3,0))*24)</f>
        <v>0</v>
      </c>
      <c r="I31" s="218">
        <f>I8/3.6/I3/(DATEDIF(DATE(2026,1,1),DATE(2026,3,1),"D")*24)</f>
        <v>0</v>
      </c>
      <c r="J31" s="207">
        <f>J8/3.6/J3/(DATEDIF(DATE(2026,1,1),DATE(2026,3,1),"D")*24)</f>
        <v>0</v>
      </c>
      <c r="K31" s="207" t="e">
        <f>K8/3.6/K3/(DATEDIF(DATE(2026,1,1),DATE(2026,3,1),"D")*24)</f>
        <v>#DIV/0!</v>
      </c>
      <c r="L31" s="207">
        <f>(L8-L36)/3.6/L3/(DATEDIF(DATE(2026,1,1),DATE(2026,3,1),"D")*24)</f>
        <v>0</v>
      </c>
      <c r="M31" s="217">
        <f>M8/3.6/M3/(DATEDIF(DATE(2026,1,1),DATE(2026,3,1),"D")*24)</f>
        <v>0</v>
      </c>
      <c r="N31" s="45"/>
    </row>
    <row r="32" s="2" customFormat="1" ht="18" customHeight="1" spans="1:14">
      <c r="A32" s="53" t="s">
        <v>71</v>
      </c>
      <c r="B32" s="42" t="s">
        <v>72</v>
      </c>
      <c r="C32" s="43" t="s">
        <v>73</v>
      </c>
      <c r="D32" s="86"/>
      <c r="E32" s="87" t="e">
        <f t="shared" ref="E32:H32" si="18">E8/E6</f>
        <v>#DIV/0!</v>
      </c>
      <c r="F32" s="87" t="e">
        <f t="shared" si="18"/>
        <v>#DIV/0!</v>
      </c>
      <c r="G32" s="87" t="e">
        <f t="shared" si="18"/>
        <v>#DIV/0!</v>
      </c>
      <c r="H32" s="87" t="e">
        <f t="shared" si="18"/>
        <v>#DIV/0!</v>
      </c>
      <c r="I32" s="88"/>
      <c r="J32" s="87" t="e">
        <f t="shared" ref="J32:M32" si="19">J8/J6</f>
        <v>#DIV/0!</v>
      </c>
      <c r="K32" s="87" t="e">
        <f t="shared" si="19"/>
        <v>#DIV/0!</v>
      </c>
      <c r="L32" s="87" t="e">
        <f t="shared" si="19"/>
        <v>#DIV/0!</v>
      </c>
      <c r="M32" s="89" t="e">
        <f t="shared" si="19"/>
        <v>#DIV/0!</v>
      </c>
      <c r="N32" s="45"/>
    </row>
    <row r="33" s="2" customFormat="1" ht="18" customHeight="1" spans="1:14">
      <c r="A33" s="53" t="s">
        <v>74</v>
      </c>
      <c r="B33" s="42" t="s">
        <v>75</v>
      </c>
      <c r="C33" s="43" t="s">
        <v>76</v>
      </c>
      <c r="D33" s="90"/>
      <c r="E33" s="91" t="e">
        <f t="shared" ref="E33:H33" si="20">E12*1000/E6</f>
        <v>#DIV/0!</v>
      </c>
      <c r="F33" s="91" t="e">
        <f t="shared" si="20"/>
        <v>#DIV/0!</v>
      </c>
      <c r="G33" s="91" t="e">
        <f t="shared" si="20"/>
        <v>#DIV/0!</v>
      </c>
      <c r="H33" s="92" t="e">
        <f t="shared" si="20"/>
        <v>#DIV/0!</v>
      </c>
      <c r="I33" s="93"/>
      <c r="J33" s="91" t="e">
        <f t="shared" ref="J33:M33" si="21">J12*1000/J6</f>
        <v>#DIV/0!</v>
      </c>
      <c r="K33" s="91" t="e">
        <f t="shared" si="21"/>
        <v>#DIV/0!</v>
      </c>
      <c r="L33" s="91" t="e">
        <f t="shared" si="21"/>
        <v>#DIV/0!</v>
      </c>
      <c r="M33" s="92" t="e">
        <f t="shared" si="21"/>
        <v>#DIV/0!</v>
      </c>
      <c r="N33" s="45"/>
    </row>
    <row r="34" s="2" customFormat="1" ht="18" customHeight="1" spans="1:14">
      <c r="A34" s="53" t="s">
        <v>77</v>
      </c>
      <c r="B34" s="42" t="s">
        <v>78</v>
      </c>
      <c r="C34" s="43" t="s">
        <v>79</v>
      </c>
      <c r="D34" s="94"/>
      <c r="E34" s="91" t="e">
        <f t="shared" ref="E34:H34" si="22">E17/E6</f>
        <v>#DIV/0!</v>
      </c>
      <c r="F34" s="91" t="e">
        <f t="shared" si="22"/>
        <v>#DIV/0!</v>
      </c>
      <c r="G34" s="91" t="e">
        <f t="shared" si="22"/>
        <v>#DIV/0!</v>
      </c>
      <c r="H34" s="92" t="e">
        <f t="shared" si="22"/>
        <v>#DIV/0!</v>
      </c>
      <c r="I34" s="95"/>
      <c r="J34" s="91" t="e">
        <f t="shared" ref="J34:M34" si="23">J17/J6</f>
        <v>#DIV/0!</v>
      </c>
      <c r="K34" s="91" t="e">
        <f t="shared" si="23"/>
        <v>#DIV/0!</v>
      </c>
      <c r="L34" s="91" t="e">
        <f t="shared" si="23"/>
        <v>#DIV/0!</v>
      </c>
      <c r="M34" s="92" t="e">
        <f t="shared" si="23"/>
        <v>#DIV/0!</v>
      </c>
      <c r="N34" s="45"/>
    </row>
    <row r="35" s="2" customFormat="1" ht="18" customHeight="1" spans="1:14">
      <c r="A35" s="96" t="s">
        <v>80</v>
      </c>
      <c r="B35" s="97" t="s">
        <v>81</v>
      </c>
      <c r="C35" s="98" t="s">
        <v>76</v>
      </c>
      <c r="D35" s="99"/>
      <c r="E35" s="100" t="e">
        <f t="shared" ref="E35:H35" si="24">E15*1000/E6</f>
        <v>#DIV/0!</v>
      </c>
      <c r="F35" s="100" t="e">
        <f t="shared" si="24"/>
        <v>#DIV/0!</v>
      </c>
      <c r="G35" s="100" t="e">
        <f t="shared" si="24"/>
        <v>#DIV/0!</v>
      </c>
      <c r="H35" s="101" t="e">
        <f t="shared" si="24"/>
        <v>#DIV/0!</v>
      </c>
      <c r="I35" s="102"/>
      <c r="J35" s="100" t="e">
        <f t="shared" ref="J35:M35" si="25">J15*1000/J6</f>
        <v>#DIV/0!</v>
      </c>
      <c r="K35" s="100" t="e">
        <f t="shared" si="25"/>
        <v>#DIV/0!</v>
      </c>
      <c r="L35" s="100" t="e">
        <f t="shared" si="25"/>
        <v>#DIV/0!</v>
      </c>
      <c r="M35" s="101" t="e">
        <f t="shared" si="25"/>
        <v>#DIV/0!</v>
      </c>
      <c r="N35" s="45"/>
    </row>
    <row r="36" s="2" customFormat="1" ht="21" customHeight="1" spans="1:14">
      <c r="A36" s="103"/>
      <c r="B36" s="104" t="s">
        <v>82</v>
      </c>
      <c r="C36" s="105" t="s">
        <v>26</v>
      </c>
      <c r="D36" s="106"/>
      <c r="E36" s="106"/>
      <c r="F36" s="106"/>
      <c r="G36" s="106"/>
      <c r="H36" s="107"/>
      <c r="I36" s="106"/>
      <c r="J36" s="106"/>
      <c r="K36" s="106"/>
      <c r="L36" s="106">
        <f>G36+'26.1'!G36</f>
        <v>0</v>
      </c>
      <c r="M36" s="107"/>
    </row>
    <row r="37" s="1" customFormat="1" ht="29.25" customHeight="1" spans="1:14">
      <c r="A37" s="108" t="s">
        <v>83</v>
      </c>
      <c r="C37" s="4"/>
      <c r="D37" s="5" t="s">
        <v>84</v>
      </c>
      <c r="E37" s="2"/>
      <c r="F37" s="2"/>
      <c r="G37" s="2"/>
      <c r="H37" s="2"/>
      <c r="I37" s="2"/>
      <c r="J37" s="2"/>
    </row>
    <row r="38" s="1" customFormat="1" ht="31.5" customHeight="1" spans="1:14">
      <c r="A38" s="109" t="s">
        <v>0</v>
      </c>
      <c r="B38" s="110" t="s">
        <v>85</v>
      </c>
      <c r="C38" s="110" t="s">
        <v>2</v>
      </c>
      <c r="D38" s="111" t="s">
        <v>86</v>
      </c>
      <c r="E38" s="112" t="s">
        <v>87</v>
      </c>
      <c r="F38" s="2"/>
      <c r="G38" s="2"/>
      <c r="H38" s="2"/>
    </row>
    <row r="39" s="1" customFormat="1" ht="27.95" customHeight="1" spans="1:14">
      <c r="A39" s="28" t="s">
        <v>11</v>
      </c>
      <c r="B39" s="29" t="s">
        <v>12</v>
      </c>
      <c r="C39" s="30" t="s">
        <v>13</v>
      </c>
      <c r="D39" s="113">
        <v>0.55</v>
      </c>
      <c r="E39" s="114">
        <v>0.55</v>
      </c>
      <c r="F39" s="2"/>
      <c r="G39" s="2"/>
      <c r="H39" s="2"/>
    </row>
    <row r="40" s="1" customFormat="1" ht="27.95" customHeight="1" spans="1:14">
      <c r="A40" s="28" t="s">
        <v>14</v>
      </c>
      <c r="B40" s="29" t="s">
        <v>88</v>
      </c>
      <c r="C40" s="30" t="s">
        <v>16</v>
      </c>
      <c r="D40" s="115"/>
      <c r="E40" s="116">
        <f>D40</f>
        <v>0</v>
      </c>
      <c r="F40" s="45"/>
      <c r="G40" s="45"/>
      <c r="H40" s="2"/>
    </row>
    <row r="41" s="1" customFormat="1" ht="27.95" customHeight="1" spans="1:14">
      <c r="A41" s="28" t="s">
        <v>19</v>
      </c>
      <c r="B41" s="29" t="s">
        <v>89</v>
      </c>
      <c r="C41" s="30" t="s">
        <v>16</v>
      </c>
      <c r="D41" s="117"/>
      <c r="E41" s="118">
        <f>D41</f>
        <v>0</v>
      </c>
      <c r="F41" s="45"/>
      <c r="G41" s="45"/>
      <c r="H41" s="2"/>
    </row>
    <row r="42" s="1" customFormat="1" ht="27.95" customHeight="1" spans="1:14">
      <c r="A42" s="28" t="s">
        <v>21</v>
      </c>
      <c r="B42" s="42" t="s">
        <v>25</v>
      </c>
      <c r="C42" s="43" t="s">
        <v>26</v>
      </c>
      <c r="D42" s="119"/>
      <c r="E42" s="209">
        <f>D42+'26.1'!E42</f>
        <v>441</v>
      </c>
      <c r="F42" s="45"/>
      <c r="G42" s="45"/>
      <c r="H42" s="2"/>
    </row>
    <row r="43" s="1" customFormat="1" ht="27.95" customHeight="1" spans="1:14">
      <c r="A43" s="28" t="s">
        <v>24</v>
      </c>
      <c r="B43" s="42" t="s">
        <v>38</v>
      </c>
      <c r="C43" s="43" t="s">
        <v>23</v>
      </c>
      <c r="D43" s="115"/>
      <c r="E43" s="209">
        <f>D43+'26.1'!E43</f>
        <v>3</v>
      </c>
      <c r="F43" s="45"/>
      <c r="G43" s="45"/>
      <c r="H43" s="2"/>
    </row>
    <row r="44" s="1" customFormat="1" ht="27.95" customHeight="1" spans="1:14">
      <c r="A44" s="28" t="s">
        <v>27</v>
      </c>
      <c r="B44" s="42" t="s">
        <v>41</v>
      </c>
      <c r="C44" s="43" t="s">
        <v>42</v>
      </c>
      <c r="D44" s="115"/>
      <c r="E44" s="209">
        <f>D44+'26.1'!E44</f>
        <v>132840.000000001</v>
      </c>
      <c r="F44" s="45"/>
      <c r="G44" s="45"/>
      <c r="H44" s="2"/>
    </row>
    <row r="45" s="1" customFormat="1" ht="27.95" customHeight="1" spans="1:14">
      <c r="A45" s="28"/>
      <c r="B45" s="42" t="s">
        <v>90</v>
      </c>
      <c r="C45" s="43" t="s">
        <v>42</v>
      </c>
      <c r="D45" s="115">
        <f>D44</f>
        <v>0</v>
      </c>
      <c r="E45" s="209">
        <f>D45+'26.1'!E45</f>
        <v>132840.000000001</v>
      </c>
      <c r="F45" s="45"/>
      <c r="G45" s="45"/>
      <c r="H45" s="2"/>
    </row>
    <row r="46" s="1" customFormat="1" ht="27.95" customHeight="1" spans="1:14">
      <c r="A46" s="28" t="s">
        <v>29</v>
      </c>
      <c r="B46" s="42" t="s">
        <v>52</v>
      </c>
      <c r="C46" s="43" t="s">
        <v>53</v>
      </c>
      <c r="D46" s="121" t="e">
        <f>D44/D42</f>
        <v>#DIV/0!</v>
      </c>
      <c r="E46" s="122">
        <f>E44/E42</f>
        <v>301.224489795921</v>
      </c>
      <c r="F46" s="45"/>
      <c r="G46" s="45"/>
      <c r="H46" s="2"/>
    </row>
    <row r="47" s="1" customFormat="1" ht="27.95" customHeight="1" spans="1:14">
      <c r="A47" s="28" t="s">
        <v>31</v>
      </c>
      <c r="B47" s="42" t="s">
        <v>70</v>
      </c>
      <c r="C47" s="79" t="s">
        <v>68</v>
      </c>
      <c r="D47" s="219">
        <f>D42/3.6/D39/(DAY(DATE(2026,3,0))*24)</f>
        <v>0</v>
      </c>
      <c r="E47" s="220">
        <f>E42/3.6/E39/(DATEDIF(DATE(2026,1,1),DATE(2026,3,1),"D")*24)</f>
        <v>0.157293271700051</v>
      </c>
      <c r="F47" s="45"/>
      <c r="G47" s="45"/>
      <c r="H47" s="2"/>
    </row>
    <row r="48" s="1" customFormat="1" ht="27.95" customHeight="1" spans="1:14">
      <c r="A48" s="28" t="s">
        <v>33</v>
      </c>
      <c r="B48" s="42" t="s">
        <v>72</v>
      </c>
      <c r="C48" s="43" t="s">
        <v>73</v>
      </c>
      <c r="D48" s="125" t="e">
        <f>D42/D41</f>
        <v>#DIV/0!</v>
      </c>
      <c r="E48" s="126" t="e">
        <f>E42/E41</f>
        <v>#DIV/0!</v>
      </c>
      <c r="F48" s="45"/>
      <c r="G48" s="45"/>
      <c r="H48" s="2"/>
    </row>
    <row r="49" s="1" customFormat="1" ht="27.95" customHeight="1" spans="1:10">
      <c r="A49" s="28" t="s">
        <v>37</v>
      </c>
      <c r="B49" s="42" t="s">
        <v>78</v>
      </c>
      <c r="C49" s="43" t="s">
        <v>79</v>
      </c>
      <c r="D49" s="127" t="e">
        <f>D44/D41</f>
        <v>#DIV/0!</v>
      </c>
      <c r="E49" s="128" t="e">
        <f>E44/E41</f>
        <v>#DIV/0!</v>
      </c>
      <c r="F49" s="45"/>
      <c r="G49" s="45"/>
      <c r="H49" s="2"/>
    </row>
    <row r="50" s="1" customFormat="1" ht="27.95" customHeight="1" spans="1:10">
      <c r="A50" s="129" t="s">
        <v>40</v>
      </c>
      <c r="B50" s="97" t="s">
        <v>81</v>
      </c>
      <c r="C50" s="98" t="s">
        <v>76</v>
      </c>
      <c r="D50" s="130" t="e">
        <f>D43*1000/D41</f>
        <v>#DIV/0!</v>
      </c>
      <c r="E50" s="130" t="e">
        <f>E43*1000/E41</f>
        <v>#DIV/0!</v>
      </c>
      <c r="F50" s="45"/>
      <c r="G50" s="45"/>
      <c r="H50" s="2"/>
    </row>
    <row r="51" s="1" customFormat="1" ht="18" customHeight="1" spans="1:10">
      <c r="C51" s="4"/>
      <c r="D51" s="5"/>
    </row>
    <row r="52" s="1" customFormat="1" ht="29.25" customHeight="1" spans="1:10">
      <c r="A52" s="108" t="s">
        <v>91</v>
      </c>
      <c r="C52" s="4"/>
      <c r="D52" s="5" t="s">
        <v>84</v>
      </c>
      <c r="E52" s="2"/>
      <c r="F52" s="2"/>
      <c r="G52" s="2"/>
      <c r="H52" s="2"/>
      <c r="I52" s="2"/>
      <c r="J52" s="2"/>
    </row>
    <row r="53" s="1" customFormat="1" ht="31.5" customHeight="1" spans="1:10">
      <c r="A53" s="131" t="s">
        <v>0</v>
      </c>
      <c r="B53" s="132" t="s">
        <v>85</v>
      </c>
      <c r="C53" s="132" t="s">
        <v>2</v>
      </c>
      <c r="D53" s="133" t="s">
        <v>86</v>
      </c>
      <c r="E53" s="134"/>
      <c r="F53" s="135"/>
      <c r="G53" s="136" t="s">
        <v>87</v>
      </c>
      <c r="H53" s="134"/>
      <c r="I53" s="134"/>
    </row>
    <row r="54" s="1" customFormat="1" ht="31.5" customHeight="1" spans="1:10">
      <c r="A54" s="137"/>
      <c r="B54" s="138"/>
      <c r="C54" s="138"/>
      <c r="D54" s="139" t="s">
        <v>92</v>
      </c>
      <c r="E54" s="139" t="s">
        <v>93</v>
      </c>
      <c r="F54" s="140" t="s">
        <v>9</v>
      </c>
      <c r="G54" s="141" t="s">
        <v>92</v>
      </c>
      <c r="H54" s="139" t="s">
        <v>93</v>
      </c>
      <c r="I54" s="142" t="s">
        <v>9</v>
      </c>
    </row>
    <row r="55" s="1" customFormat="1" ht="27.95" customHeight="1" spans="1:10">
      <c r="A55" s="28" t="s">
        <v>11</v>
      </c>
      <c r="B55" s="29" t="s">
        <v>12</v>
      </c>
      <c r="C55" s="30" t="s">
        <v>13</v>
      </c>
      <c r="D55" s="143">
        <v>6</v>
      </c>
      <c r="E55" s="143">
        <v>6.4</v>
      </c>
      <c r="F55" s="144">
        <f t="shared" ref="F55:F61" si="26">SUM(D55:E55)</f>
        <v>12.4</v>
      </c>
      <c r="G55" s="145">
        <f t="shared" ref="G55:G61" si="27">D55</f>
        <v>6</v>
      </c>
      <c r="H55" s="146">
        <f t="shared" ref="H55:H61" si="28">E55</f>
        <v>6.4</v>
      </c>
      <c r="I55" s="146">
        <f t="shared" ref="I55:I61" si="29">SUM(G55:H55)</f>
        <v>12.4</v>
      </c>
    </row>
    <row r="56" s="1" customFormat="1" ht="27.95" customHeight="1" spans="1:10">
      <c r="A56" s="28" t="s">
        <v>14</v>
      </c>
      <c r="B56" s="29" t="s">
        <v>88</v>
      </c>
      <c r="C56" s="30" t="s">
        <v>16</v>
      </c>
      <c r="D56" s="148"/>
      <c r="E56" s="148"/>
      <c r="F56" s="117">
        <f t="shared" si="26"/>
        <v>0</v>
      </c>
      <c r="G56" s="118">
        <f t="shared" si="27"/>
        <v>0</v>
      </c>
      <c r="H56" s="118">
        <f t="shared" si="28"/>
        <v>0</v>
      </c>
      <c r="I56" s="147">
        <f t="shared" si="29"/>
        <v>0</v>
      </c>
    </row>
    <row r="57" s="1" customFormat="1" ht="27.95" customHeight="1" spans="1:10">
      <c r="A57" s="28" t="s">
        <v>19</v>
      </c>
      <c r="B57" s="29" t="s">
        <v>89</v>
      </c>
      <c r="C57" s="30" t="s">
        <v>16</v>
      </c>
      <c r="D57" s="147"/>
      <c r="E57" s="147"/>
      <c r="F57" s="117">
        <f t="shared" si="26"/>
        <v>0</v>
      </c>
      <c r="G57" s="118">
        <f t="shared" si="27"/>
        <v>0</v>
      </c>
      <c r="H57" s="118">
        <f t="shared" si="28"/>
        <v>0</v>
      </c>
      <c r="I57" s="147">
        <f t="shared" si="29"/>
        <v>0</v>
      </c>
    </row>
    <row r="58" s="1" customFormat="1" ht="27.95" customHeight="1" spans="1:10">
      <c r="A58" s="28" t="s">
        <v>21</v>
      </c>
      <c r="B58" s="42" t="s">
        <v>25</v>
      </c>
      <c r="C58" s="43" t="s">
        <v>26</v>
      </c>
      <c r="D58" s="148"/>
      <c r="E58" s="149"/>
      <c r="F58" s="117">
        <f t="shared" si="26"/>
        <v>0</v>
      </c>
      <c r="G58" s="211">
        <f>D58+'26.1'!G58</f>
        <v>0</v>
      </c>
      <c r="H58" s="211">
        <f>E58+'26.1'!H58</f>
        <v>0</v>
      </c>
      <c r="I58" s="147">
        <f t="shared" si="29"/>
        <v>0</v>
      </c>
    </row>
    <row r="59" s="1" customFormat="1" ht="27.95" customHeight="1" spans="1:10">
      <c r="A59" s="28" t="s">
        <v>24</v>
      </c>
      <c r="B59" s="42" t="s">
        <v>38</v>
      </c>
      <c r="C59" s="43" t="s">
        <v>23</v>
      </c>
      <c r="D59" s="148"/>
      <c r="E59" s="148"/>
      <c r="F59" s="117">
        <f t="shared" si="26"/>
        <v>0</v>
      </c>
      <c r="G59" s="211">
        <f>D59+'26.1'!G59</f>
        <v>0</v>
      </c>
      <c r="H59" s="211">
        <f>E59+'26.1'!H59</f>
        <v>0</v>
      </c>
      <c r="I59" s="147">
        <f t="shared" si="29"/>
        <v>0</v>
      </c>
    </row>
    <row r="60" s="1" customFormat="1" ht="27.95" customHeight="1" spans="1:10">
      <c r="A60" s="28" t="s">
        <v>27</v>
      </c>
      <c r="B60" s="42" t="s">
        <v>41</v>
      </c>
      <c r="C60" s="43" t="s">
        <v>42</v>
      </c>
      <c r="D60" s="148"/>
      <c r="E60" s="148"/>
      <c r="F60" s="117">
        <f t="shared" si="26"/>
        <v>0</v>
      </c>
      <c r="G60" s="211">
        <f>D60+'26.1'!G60</f>
        <v>0</v>
      </c>
      <c r="H60" s="211">
        <f>E60+'26.1'!H60</f>
        <v>0</v>
      </c>
      <c r="I60" s="147">
        <f t="shared" si="29"/>
        <v>0</v>
      </c>
    </row>
    <row r="61" s="1" customFormat="1" ht="27.95" customHeight="1" spans="1:10">
      <c r="A61" s="28"/>
      <c r="B61" s="42" t="s">
        <v>90</v>
      </c>
      <c r="C61" s="43" t="s">
        <v>42</v>
      </c>
      <c r="D61" s="148"/>
      <c r="E61" s="148"/>
      <c r="F61" s="117">
        <f t="shared" si="26"/>
        <v>0</v>
      </c>
      <c r="G61" s="211">
        <f>D61+'26.1'!G61</f>
        <v>0</v>
      </c>
      <c r="H61" s="211">
        <f>E61+'26.1'!H61</f>
        <v>0</v>
      </c>
      <c r="I61" s="147">
        <f t="shared" si="29"/>
        <v>0</v>
      </c>
    </row>
    <row r="62" s="1" customFormat="1" ht="27.95" customHeight="1" spans="1:10">
      <c r="A62" s="28" t="s">
        <v>29</v>
      </c>
      <c r="B62" s="42" t="s">
        <v>52</v>
      </c>
      <c r="C62" s="43" t="s">
        <v>53</v>
      </c>
      <c r="D62" s="151" t="e">
        <f t="shared" ref="D62:I62" si="30">D60/D58</f>
        <v>#DIV/0!</v>
      </c>
      <c r="E62" s="151" t="e">
        <f t="shared" si="30"/>
        <v>#DIV/0!</v>
      </c>
      <c r="F62" s="121" t="e">
        <f t="shared" si="30"/>
        <v>#DIV/0!</v>
      </c>
      <c r="G62" s="152" t="e">
        <f t="shared" si="30"/>
        <v>#DIV/0!</v>
      </c>
      <c r="H62" s="60" t="e">
        <f t="shared" si="30"/>
        <v>#DIV/0!</v>
      </c>
      <c r="I62" s="61" t="e">
        <f t="shared" si="30"/>
        <v>#DIV/0!</v>
      </c>
    </row>
    <row r="63" s="1" customFormat="1" ht="27.95" customHeight="1" spans="1:10">
      <c r="A63" s="28" t="s">
        <v>31</v>
      </c>
      <c r="B63" s="42" t="s">
        <v>70</v>
      </c>
      <c r="C63" s="79" t="s">
        <v>68</v>
      </c>
      <c r="D63" s="207">
        <f>D58/3.6/D55/(DAY(DATE(2026,3,0))*24)</f>
        <v>0</v>
      </c>
      <c r="E63" s="207">
        <f>E58/3.6/E55/(DAY(DATE(2026,3,0))*24)</f>
        <v>0</v>
      </c>
      <c r="F63" s="219">
        <f>F58/3.6/F55/(DAY(DATE(2026,3,0))*24)</f>
        <v>0</v>
      </c>
      <c r="G63" s="218">
        <f>G58/3.6/G55/(DATEDIF(DATE(2026,1,1),DATE(2026,3,1),"D")*24)</f>
        <v>0</v>
      </c>
      <c r="H63" s="207">
        <f>H58/3.6/H55/(DATEDIF(DATE(2026,1,1),DATE(2026,3,1),"D")*24)</f>
        <v>0</v>
      </c>
      <c r="I63" s="217">
        <f>I58/3.6/I55/(DATEDIF(DATE(2026,1,1),DATE(2026,3,1),"D")*24)</f>
        <v>0</v>
      </c>
    </row>
    <row r="64" s="1" customFormat="1" ht="27.95" customHeight="1" spans="1:10">
      <c r="A64" s="28" t="s">
        <v>33</v>
      </c>
      <c r="B64" s="42" t="s">
        <v>72</v>
      </c>
      <c r="C64" s="43" t="s">
        <v>73</v>
      </c>
      <c r="D64" s="87" t="e">
        <f t="shared" ref="D64:I64" si="31">D58/D57</f>
        <v>#DIV/0!</v>
      </c>
      <c r="E64" s="87" t="e">
        <f t="shared" si="31"/>
        <v>#DIV/0!</v>
      </c>
      <c r="F64" s="89" t="e">
        <f t="shared" si="31"/>
        <v>#DIV/0!</v>
      </c>
      <c r="G64" s="153" t="e">
        <f t="shared" si="31"/>
        <v>#DIV/0!</v>
      </c>
      <c r="H64" s="87" t="e">
        <f t="shared" si="31"/>
        <v>#DIV/0!</v>
      </c>
      <c r="I64" s="89" t="e">
        <f t="shared" si="31"/>
        <v>#DIV/0!</v>
      </c>
    </row>
    <row r="65" s="1" customFormat="1" ht="27.95" customHeight="1" spans="1:9">
      <c r="A65" s="28" t="s">
        <v>37</v>
      </c>
      <c r="B65" s="42" t="s">
        <v>78</v>
      </c>
      <c r="C65" s="43" t="s">
        <v>79</v>
      </c>
      <c r="D65" s="91" t="e">
        <f t="shared" ref="D65:I65" si="32">D60/D57</f>
        <v>#DIV/0!</v>
      </c>
      <c r="E65" s="91" t="e">
        <f t="shared" si="32"/>
        <v>#DIV/0!</v>
      </c>
      <c r="F65" s="92" t="e">
        <f t="shared" si="32"/>
        <v>#DIV/0!</v>
      </c>
      <c r="G65" s="154" t="e">
        <f t="shared" si="32"/>
        <v>#DIV/0!</v>
      </c>
      <c r="H65" s="91" t="e">
        <f t="shared" si="32"/>
        <v>#DIV/0!</v>
      </c>
      <c r="I65" s="92" t="e">
        <f t="shared" si="32"/>
        <v>#DIV/0!</v>
      </c>
    </row>
    <row r="66" s="1" customFormat="1" ht="27.95" customHeight="1" spans="1:9">
      <c r="A66" s="129" t="s">
        <v>40</v>
      </c>
      <c r="B66" s="97" t="s">
        <v>81</v>
      </c>
      <c r="C66" s="98" t="s">
        <v>76</v>
      </c>
      <c r="D66" s="100" t="e">
        <f t="shared" ref="D66:I66" si="33">D59*1000/D57</f>
        <v>#DIV/0!</v>
      </c>
      <c r="E66" s="100" t="e">
        <f t="shared" si="33"/>
        <v>#DIV/0!</v>
      </c>
      <c r="F66" s="101" t="e">
        <f t="shared" si="33"/>
        <v>#DIV/0!</v>
      </c>
      <c r="G66" s="155" t="e">
        <f t="shared" si="33"/>
        <v>#DIV/0!</v>
      </c>
      <c r="H66" s="100" t="e">
        <f t="shared" si="33"/>
        <v>#DIV/0!</v>
      </c>
      <c r="I66" s="101" t="e">
        <f t="shared" si="33"/>
        <v>#DIV/0!</v>
      </c>
    </row>
    <row r="67" s="1" customFormat="1" ht="18" customHeight="1" spans="1:9">
      <c r="C67" s="4"/>
      <c r="D67" s="5"/>
    </row>
    <row r="68" s="1" customFormat="1" ht="29.25" customHeight="1" spans="1:9">
      <c r="A68" s="108" t="s">
        <v>94</v>
      </c>
      <c r="C68" s="4"/>
      <c r="D68" s="5"/>
    </row>
    <row r="69" s="1" customFormat="1" ht="30" customHeight="1" spans="1:9">
      <c r="A69" s="131" t="s">
        <v>0</v>
      </c>
      <c r="B69" s="7" t="s">
        <v>1</v>
      </c>
      <c r="C69" s="7" t="s">
        <v>2</v>
      </c>
      <c r="D69" s="133" t="s">
        <v>86</v>
      </c>
      <c r="E69" s="135"/>
      <c r="F69" s="134" t="s">
        <v>87</v>
      </c>
      <c r="G69" s="134"/>
    </row>
    <row r="70" s="1" customFormat="1" ht="30" customHeight="1" spans="1:9">
      <c r="A70" s="137"/>
      <c r="B70" s="14"/>
      <c r="C70" s="14"/>
      <c r="D70" s="139" t="s">
        <v>95</v>
      </c>
      <c r="E70" s="156" t="s">
        <v>96</v>
      </c>
      <c r="F70" s="141" t="s">
        <v>95</v>
      </c>
      <c r="G70" s="142" t="s">
        <v>96</v>
      </c>
    </row>
    <row r="71" s="1" customFormat="1" ht="27.95" customHeight="1" spans="1:9">
      <c r="A71" s="19" t="s">
        <v>11</v>
      </c>
      <c r="B71" s="20" t="s">
        <v>12</v>
      </c>
      <c r="C71" s="21" t="s">
        <v>13</v>
      </c>
      <c r="D71" s="157">
        <v>217</v>
      </c>
      <c r="E71" s="158">
        <v>1.4</v>
      </c>
      <c r="F71" s="159">
        <f>D71</f>
        <v>217</v>
      </c>
      <c r="G71" s="160">
        <f t="shared" ref="G71:G75" si="34">E71</f>
        <v>1.4</v>
      </c>
    </row>
    <row r="72" s="1" customFormat="1" ht="27.95" customHeight="1" spans="1:9">
      <c r="A72" s="28" t="s">
        <v>14</v>
      </c>
      <c r="B72" s="42" t="s">
        <v>22</v>
      </c>
      <c r="C72" s="43" t="s">
        <v>23</v>
      </c>
      <c r="D72" s="148"/>
      <c r="E72" s="115"/>
      <c r="F72" s="161">
        <f>D72</f>
        <v>0</v>
      </c>
      <c r="G72" s="162">
        <f t="shared" si="34"/>
        <v>0</v>
      </c>
    </row>
    <row r="73" s="1" customFormat="1" ht="27.95" customHeight="1" spans="1:9">
      <c r="A73" s="28" t="s">
        <v>19</v>
      </c>
      <c r="B73" s="42" t="s">
        <v>25</v>
      </c>
      <c r="C73" s="43" t="s">
        <v>26</v>
      </c>
      <c r="D73" s="147">
        <f>D72*2.951694</f>
        <v>0</v>
      </c>
      <c r="E73" s="163">
        <f>E72*2.732</f>
        <v>0</v>
      </c>
      <c r="F73" s="209">
        <f>D73+'26.1'!F73</f>
        <v>0</v>
      </c>
      <c r="G73" s="209">
        <f>E73+'26.1'!G73</f>
        <v>0</v>
      </c>
    </row>
    <row r="74" s="1" customFormat="1" ht="27.95" customHeight="1" spans="1:9">
      <c r="A74" s="28" t="s">
        <v>21</v>
      </c>
      <c r="B74" s="42" t="s">
        <v>97</v>
      </c>
      <c r="C74" s="43" t="s">
        <v>98</v>
      </c>
      <c r="D74" s="148"/>
      <c r="E74" s="115"/>
      <c r="F74" s="209">
        <f>D74+'26.1'!F74</f>
        <v>0</v>
      </c>
      <c r="G74" s="209">
        <f>E74+'26.1'!G74</f>
        <v>0</v>
      </c>
    </row>
    <row r="75" s="1" customFormat="1" ht="27.95" customHeight="1" spans="1:9">
      <c r="A75" s="28" t="s">
        <v>24</v>
      </c>
      <c r="B75" s="42" t="s">
        <v>34</v>
      </c>
      <c r="C75" s="43" t="s">
        <v>23</v>
      </c>
      <c r="D75" s="147">
        <f>D74*D80/29308/1000</f>
        <v>0</v>
      </c>
      <c r="E75" s="117">
        <f>E74*E80/29308/1000</f>
        <v>0</v>
      </c>
      <c r="F75" s="209">
        <f>D75+'26.1'!F75</f>
        <v>0</v>
      </c>
      <c r="G75" s="209">
        <f>E75+'26.1'!G75</f>
        <v>0</v>
      </c>
    </row>
    <row r="76" s="1" customFormat="1" ht="27.95" customHeight="1" spans="1:9">
      <c r="A76" s="28" t="s">
        <v>27</v>
      </c>
      <c r="B76" s="42" t="s">
        <v>38</v>
      </c>
      <c r="C76" s="43" t="s">
        <v>23</v>
      </c>
      <c r="D76" s="148"/>
      <c r="E76" s="164"/>
      <c r="F76" s="209">
        <f>D76+'26.1'!F76</f>
        <v>0</v>
      </c>
      <c r="G76" s="209">
        <f>E76+'26.1'!G76</f>
        <v>0</v>
      </c>
    </row>
    <row r="77" s="1" customFormat="1" ht="27.95" customHeight="1" spans="1:9">
      <c r="A77" s="28" t="s">
        <v>29</v>
      </c>
      <c r="B77" s="42" t="s">
        <v>41</v>
      </c>
      <c r="C77" s="43" t="s">
        <v>42</v>
      </c>
      <c r="D77" s="148"/>
      <c r="E77" s="164"/>
      <c r="F77" s="209">
        <f>D77+'26.1'!F77</f>
        <v>0</v>
      </c>
      <c r="G77" s="209">
        <f>E77+'26.1'!G77</f>
        <v>0</v>
      </c>
    </row>
    <row r="78" s="1" customFormat="1" ht="27.95" customHeight="1" spans="1:9">
      <c r="A78" s="28" t="s">
        <v>31</v>
      </c>
      <c r="B78" s="42" t="s">
        <v>52</v>
      </c>
      <c r="C78" s="43" t="s">
        <v>53</v>
      </c>
      <c r="D78" s="165" t="e">
        <f>D77/D73</f>
        <v>#DIV/0!</v>
      </c>
      <c r="E78" s="166"/>
      <c r="F78" s="167" t="e">
        <f>F77/F73</f>
        <v>#DIV/0!</v>
      </c>
      <c r="G78" s="168"/>
    </row>
    <row r="79" s="1" customFormat="1" ht="27.95" customHeight="1" spans="1:9">
      <c r="A79" s="28" t="s">
        <v>33</v>
      </c>
      <c r="B79" s="42" t="s">
        <v>55</v>
      </c>
      <c r="C79" s="43" t="s">
        <v>56</v>
      </c>
      <c r="D79" s="60" t="e">
        <f t="shared" ref="D79:G79" si="35">D75*1000/D73</f>
        <v>#DIV/0!</v>
      </c>
      <c r="E79" s="169" t="e">
        <f t="shared" si="35"/>
        <v>#DIV/0!</v>
      </c>
      <c r="F79" s="170" t="e">
        <f t="shared" si="35"/>
        <v>#DIV/0!</v>
      </c>
      <c r="G79" s="61" t="e">
        <f t="shared" si="35"/>
        <v>#DIV/0!</v>
      </c>
      <c r="H79" s="12"/>
    </row>
    <row r="80" s="1" customFormat="1" ht="27.95" customHeight="1" spans="1:9">
      <c r="A80" s="28" t="s">
        <v>37</v>
      </c>
      <c r="B80" s="42" t="s">
        <v>99</v>
      </c>
      <c r="C80" s="43" t="s">
        <v>100</v>
      </c>
      <c r="D80" s="56"/>
      <c r="E80" s="171"/>
      <c r="F80" s="172" t="e">
        <f>F75*29308*1000/F74</f>
        <v>#DIV/0!</v>
      </c>
      <c r="G80" s="147" t="e">
        <f>G75*29308*1000/G74</f>
        <v>#DIV/0!</v>
      </c>
      <c r="H80" s="12"/>
    </row>
    <row r="81" s="1" customFormat="1" ht="27.95" customHeight="1" spans="1:11">
      <c r="A81" s="28" t="s">
        <v>40</v>
      </c>
      <c r="B81" s="42" t="s">
        <v>67</v>
      </c>
      <c r="C81" s="79" t="s">
        <v>68</v>
      </c>
      <c r="D81" s="80" t="e">
        <f t="shared" ref="D81:G81" si="36">D73/(D75*29.308)</f>
        <v>#DIV/0!</v>
      </c>
      <c r="E81" s="173" t="e">
        <f t="shared" si="36"/>
        <v>#DIV/0!</v>
      </c>
      <c r="F81" s="174" t="e">
        <f t="shared" si="36"/>
        <v>#DIV/0!</v>
      </c>
      <c r="G81" s="81" t="e">
        <f t="shared" si="36"/>
        <v>#DIV/0!</v>
      </c>
      <c r="H81" s="12"/>
    </row>
    <row r="82" s="1" customFormat="1" ht="27.95" customHeight="1" spans="1:11">
      <c r="A82" s="129" t="s">
        <v>47</v>
      </c>
      <c r="B82" s="175" t="s">
        <v>70</v>
      </c>
      <c r="C82" s="176" t="s">
        <v>68</v>
      </c>
      <c r="D82" s="221">
        <f>D73/3.6/D71/(DAY(DATE(2026,3,0))*24)</f>
        <v>0</v>
      </c>
      <c r="E82" s="222">
        <f>E73/3.6/E71/(DAY(DATE(2026,3,0))*24)</f>
        <v>0</v>
      </c>
      <c r="F82" s="223">
        <f>F73/3.6/F71/(DATEDIF(DATE(2026,1,1),DATE(2026,3,1),"D")*24)</f>
        <v>0</v>
      </c>
      <c r="G82" s="224">
        <f>G73/3.6/G71/(DATEDIF(DATE(2026,1,1),DATE(2026,3,1),"D")*24)</f>
        <v>0</v>
      </c>
      <c r="H82" s="12"/>
    </row>
    <row r="83" s="1" customFormat="1" ht="18" customHeight="1" spans="1:11">
      <c r="B83" s="181"/>
      <c r="C83" s="181"/>
      <c r="D83" s="5"/>
    </row>
    <row r="84" s="1" customFormat="1" customHeight="1" spans="1:11">
      <c r="A84" s="108" t="s">
        <v>101</v>
      </c>
      <c r="C84" s="4"/>
      <c r="D84" s="5" t="s">
        <v>84</v>
      </c>
      <c r="E84" s="2"/>
      <c r="F84" s="2"/>
      <c r="G84" s="2"/>
      <c r="H84" s="2"/>
      <c r="I84" s="2"/>
    </row>
    <row r="85" s="1" customFormat="1" customHeight="1" spans="1:11">
      <c r="A85" s="131" t="s">
        <v>0</v>
      </c>
      <c r="B85" s="132" t="s">
        <v>85</v>
      </c>
      <c r="C85" s="132" t="s">
        <v>2</v>
      </c>
      <c r="D85" s="182" t="s">
        <v>86</v>
      </c>
      <c r="E85" s="139" t="s">
        <v>87</v>
      </c>
      <c r="F85" s="182" t="s">
        <v>102</v>
      </c>
      <c r="G85" s="182" t="s">
        <v>103</v>
      </c>
      <c r="H85" s="183"/>
      <c r="I85" s="183"/>
    </row>
    <row r="86" s="1" customFormat="1" customHeight="1" spans="1:11">
      <c r="A86" s="137"/>
      <c r="B86" s="138"/>
      <c r="C86" s="138"/>
      <c r="D86" s="182" t="s">
        <v>104</v>
      </c>
      <c r="E86" s="182" t="s">
        <v>104</v>
      </c>
      <c r="F86" s="182"/>
      <c r="G86" s="182"/>
      <c r="H86" s="183"/>
      <c r="I86" s="184"/>
    </row>
    <row r="87" s="1" customFormat="1" customHeight="1" spans="1:11">
      <c r="A87" s="28" t="s">
        <v>11</v>
      </c>
      <c r="B87" s="29" t="s">
        <v>12</v>
      </c>
      <c r="C87" s="30" t="s">
        <v>13</v>
      </c>
      <c r="D87" s="185">
        <v>0.7888</v>
      </c>
      <c r="E87" s="186">
        <f t="shared" ref="E87:E93" si="37">D87</f>
        <v>0.7888</v>
      </c>
      <c r="F87" s="187">
        <f t="shared" ref="F87:F93" si="38">F55+D87</f>
        <v>13.1888</v>
      </c>
      <c r="G87" s="187">
        <f t="shared" ref="G87:G93" si="39">E87+I55</f>
        <v>13.1888</v>
      </c>
      <c r="H87" s="145"/>
      <c r="I87" s="145"/>
    </row>
    <row r="88" s="1" customFormat="1" customHeight="1" spans="1:11">
      <c r="A88" s="28" t="s">
        <v>14</v>
      </c>
      <c r="B88" s="29" t="s">
        <v>88</v>
      </c>
      <c r="C88" s="30" t="s">
        <v>16</v>
      </c>
      <c r="D88" s="188"/>
      <c r="E88" s="189">
        <f t="shared" si="37"/>
        <v>0</v>
      </c>
      <c r="F88" s="192">
        <f t="shared" si="38"/>
        <v>0</v>
      </c>
      <c r="G88" s="192">
        <f t="shared" si="39"/>
        <v>0</v>
      </c>
      <c r="H88" s="116"/>
      <c r="I88" s="116"/>
    </row>
    <row r="89" s="1" customFormat="1" customHeight="1" spans="1:11">
      <c r="A89" s="28" t="s">
        <v>19</v>
      </c>
      <c r="B89" s="29" t="s">
        <v>89</v>
      </c>
      <c r="C89" s="30" t="s">
        <v>16</v>
      </c>
      <c r="D89" s="188"/>
      <c r="E89" s="189">
        <f t="shared" si="37"/>
        <v>0</v>
      </c>
      <c r="F89" s="192">
        <f t="shared" si="38"/>
        <v>0</v>
      </c>
      <c r="G89" s="192">
        <f t="shared" si="39"/>
        <v>0</v>
      </c>
      <c r="H89" s="116"/>
      <c r="I89" s="116"/>
    </row>
    <row r="90" s="1" customFormat="1" customHeight="1" spans="1:11">
      <c r="A90" s="28" t="s">
        <v>21</v>
      </c>
      <c r="B90" s="42" t="s">
        <v>25</v>
      </c>
      <c r="C90" s="43" t="s">
        <v>26</v>
      </c>
      <c r="D90" s="188"/>
      <c r="E90" s="214">
        <f>D90+'26.1'!E90</f>
        <v>0</v>
      </c>
      <c r="F90" s="192">
        <f t="shared" si="38"/>
        <v>0</v>
      </c>
      <c r="G90" s="192">
        <f t="shared" si="39"/>
        <v>0</v>
      </c>
      <c r="H90" s="116"/>
      <c r="I90" s="116"/>
    </row>
    <row r="91" s="1" customFormat="1" customHeight="1" spans="1:11">
      <c r="A91" s="28" t="s">
        <v>24</v>
      </c>
      <c r="B91" s="42" t="s">
        <v>38</v>
      </c>
      <c r="C91" s="43" t="s">
        <v>23</v>
      </c>
      <c r="D91" s="188"/>
      <c r="E91" s="214">
        <f>D91+'26.1'!E91</f>
        <v>0</v>
      </c>
      <c r="F91" s="192">
        <f t="shared" si="38"/>
        <v>0</v>
      </c>
      <c r="G91" s="192">
        <f t="shared" si="39"/>
        <v>0</v>
      </c>
      <c r="H91" s="116"/>
      <c r="I91" s="116"/>
    </row>
    <row r="92" s="1" customFormat="1" customHeight="1" spans="1:11">
      <c r="A92" s="28" t="s">
        <v>27</v>
      </c>
      <c r="B92" s="42" t="s">
        <v>41</v>
      </c>
      <c r="C92" s="43" t="s">
        <v>42</v>
      </c>
      <c r="D92" s="188"/>
      <c r="E92" s="214">
        <f>D92+'26.1'!E92</f>
        <v>0</v>
      </c>
      <c r="F92" s="192">
        <f t="shared" si="38"/>
        <v>0</v>
      </c>
      <c r="G92" s="192">
        <f t="shared" si="39"/>
        <v>0</v>
      </c>
      <c r="H92" s="116"/>
      <c r="I92" s="116"/>
    </row>
    <row r="93" s="1" customFormat="1" customHeight="1" spans="1:11">
      <c r="A93" s="28"/>
      <c r="B93" s="42" t="s">
        <v>90</v>
      </c>
      <c r="C93" s="43" t="s">
        <v>42</v>
      </c>
      <c r="D93" s="188">
        <v>0</v>
      </c>
      <c r="E93" s="214">
        <f>D93+'26.1'!E93</f>
        <v>0</v>
      </c>
      <c r="F93" s="192">
        <f t="shared" si="38"/>
        <v>0</v>
      </c>
      <c r="G93" s="192">
        <f t="shared" si="39"/>
        <v>0</v>
      </c>
      <c r="H93" s="116"/>
      <c r="I93" s="116"/>
    </row>
    <row r="94" s="1" customFormat="1" customHeight="1" spans="1:11">
      <c r="A94" s="28" t="s">
        <v>29</v>
      </c>
      <c r="B94" s="42" t="s">
        <v>52</v>
      </c>
      <c r="C94" s="43" t="s">
        <v>53</v>
      </c>
      <c r="D94" s="193" t="e">
        <f t="shared" ref="D94:G94" si="40">D92/D90</f>
        <v>#DIV/0!</v>
      </c>
      <c r="E94" s="193" t="e">
        <f t="shared" si="40"/>
        <v>#DIV/0!</v>
      </c>
      <c r="F94" s="193" t="e">
        <f t="shared" si="40"/>
        <v>#DIV/0!</v>
      </c>
      <c r="G94" s="193" t="e">
        <f t="shared" si="40"/>
        <v>#DIV/0!</v>
      </c>
      <c r="H94" s="122"/>
      <c r="I94" s="122"/>
    </row>
    <row r="95" s="1" customFormat="1" customHeight="1" spans="1:11">
      <c r="A95" s="28" t="s">
        <v>31</v>
      </c>
      <c r="B95" s="42" t="s">
        <v>105</v>
      </c>
      <c r="C95" s="79" t="s">
        <v>68</v>
      </c>
      <c r="D95" s="226">
        <f>D90/3.6/D87/(DAY(DATE(2026,3,0))*24)</f>
        <v>0</v>
      </c>
      <c r="E95" s="217">
        <f>E90/3.6/E87/(DATEDIF(DATE(2026,1,1),DATE(2026,3,1),"D")*24)</f>
        <v>0</v>
      </c>
      <c r="F95" s="226">
        <f>F90/3.6/F87/(DAY(DATE(2026,3,0))*24)</f>
        <v>0</v>
      </c>
      <c r="G95" s="217">
        <f>G90/3.6/G87/(DATEDIF(DATE(2026,1,1),DATE(2026,3,1),"D")*24)</f>
        <v>0</v>
      </c>
      <c r="H95" s="195"/>
      <c r="I95" s="195"/>
      <c r="K95" s="196"/>
    </row>
    <row r="96" s="1" customFormat="1" customHeight="1" spans="1:11">
      <c r="A96" s="28" t="s">
        <v>33</v>
      </c>
      <c r="B96" s="42" t="s">
        <v>72</v>
      </c>
      <c r="C96" s="43" t="s">
        <v>73</v>
      </c>
      <c r="D96" s="197" t="e">
        <f t="shared" ref="D96:G96" si="41">D90/D89</f>
        <v>#DIV/0!</v>
      </c>
      <c r="E96" s="197" t="e">
        <f t="shared" si="41"/>
        <v>#DIV/0!</v>
      </c>
      <c r="F96" s="197" t="e">
        <f t="shared" si="41"/>
        <v>#DIV/0!</v>
      </c>
      <c r="G96" s="197" t="e">
        <f t="shared" si="41"/>
        <v>#DIV/0!</v>
      </c>
      <c r="H96" s="126"/>
      <c r="I96" s="126"/>
    </row>
    <row r="97" s="1" customFormat="1" customHeight="1" spans="1:9">
      <c r="A97" s="28" t="s">
        <v>37</v>
      </c>
      <c r="B97" s="42" t="s">
        <v>78</v>
      </c>
      <c r="C97" s="43" t="s">
        <v>79</v>
      </c>
      <c r="D97" s="198" t="e">
        <f t="shared" ref="D97:G97" si="42">D92/D89</f>
        <v>#DIV/0!</v>
      </c>
      <c r="E97" s="198" t="e">
        <f t="shared" si="42"/>
        <v>#DIV/0!</v>
      </c>
      <c r="F97" s="198" t="e">
        <f t="shared" si="42"/>
        <v>#DIV/0!</v>
      </c>
      <c r="G97" s="198" t="e">
        <f t="shared" si="42"/>
        <v>#DIV/0!</v>
      </c>
      <c r="H97" s="128"/>
      <c r="I97" s="128"/>
    </row>
    <row r="98" s="1" customFormat="1" customHeight="1" spans="1:9">
      <c r="A98" s="129" t="s">
        <v>40</v>
      </c>
      <c r="B98" s="97" t="s">
        <v>81</v>
      </c>
      <c r="C98" s="98" t="s">
        <v>76</v>
      </c>
      <c r="D98" s="198" t="e">
        <f t="shared" ref="D98:G98" si="43">D91*1000/D89</f>
        <v>#DIV/0!</v>
      </c>
      <c r="E98" s="198" t="e">
        <f t="shared" si="43"/>
        <v>#DIV/0!</v>
      </c>
      <c r="F98" s="198" t="e">
        <f t="shared" si="43"/>
        <v>#DIV/0!</v>
      </c>
      <c r="G98" s="198" t="e">
        <f t="shared" si="43"/>
        <v>#DIV/0!</v>
      </c>
      <c r="H98" s="128"/>
      <c r="I98" s="128"/>
    </row>
  </sheetData>
  <mergeCells count="20">
    <mergeCell ref="D1:H1"/>
    <mergeCell ref="I1:M1"/>
    <mergeCell ref="D53:F53"/>
    <mergeCell ref="G53:I53"/>
    <mergeCell ref="D69:E69"/>
    <mergeCell ref="F69:G69"/>
    <mergeCell ref="A1:A2"/>
    <mergeCell ref="A53:A54"/>
    <mergeCell ref="A69:A70"/>
    <mergeCell ref="A85:A86"/>
    <mergeCell ref="B1:B2"/>
    <mergeCell ref="B53:B54"/>
    <mergeCell ref="B69:B70"/>
    <mergeCell ref="B85:B86"/>
    <mergeCell ref="C1:C2"/>
    <mergeCell ref="C53:C54"/>
    <mergeCell ref="C69:C70"/>
    <mergeCell ref="C85:C86"/>
    <mergeCell ref="F85:F86"/>
    <mergeCell ref="G85:G86"/>
  </mergeCells>
  <pageMargins left="0.748031496062992" right="0.748031496062992" top="0.984251968503937" bottom="0.984251968503937" header="0.511811023622047" footer="0.511811023622047"/>
  <pageSetup paperSize="9" scale="40" orientation="landscape" horizontalDpi="600" verticalDpi="600"/>
  <headerFooter alignWithMargins="0" scaleWithDoc="0">
    <oddHeader>&amp;C&amp;20 2023年2月份集团各锅炉站生产报表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8"/>
  <sheetViews>
    <sheetView showGridLines="0" zoomScale="70" zoomScaleNormal="70" zoomScaleSheetLayoutView="60" workbookViewId="0">
      <pane xSplit="2" ySplit="2" topLeftCell="C12" activePane="bottomRight" state="frozen"/>
      <selection/>
      <selection pane="topRight"/>
      <selection pane="bottomLeft"/>
      <selection pane="bottomRight" activeCell="L36" sqref="L36"/>
    </sheetView>
  </sheetViews>
  <sheetFormatPr defaultColWidth="8.625" defaultRowHeight="15" customHeight="1"/>
  <cols>
    <col min="1" max="1" width="7.375" style="1" customWidth="1"/>
    <col min="2" max="2" width="19.75" style="1" customWidth="1"/>
    <col min="3" max="3" width="13.5" style="4" customWidth="1"/>
    <col min="4" max="4" width="13.45" style="5" customWidth="1"/>
    <col min="5" max="13" width="13.45" style="1" customWidth="1"/>
    <col min="14" max="14" width="22.2083333333333" style="1"/>
    <col min="15" max="16384" width="8.625" style="1"/>
  </cols>
  <sheetData>
    <row r="1" s="1" customFormat="1" ht="39.95" customHeight="1" spans="1:14">
      <c r="A1" s="6" t="s">
        <v>0</v>
      </c>
      <c r="B1" s="7" t="s">
        <v>1</v>
      </c>
      <c r="C1" s="7" t="s">
        <v>2</v>
      </c>
      <c r="D1" s="8" t="s">
        <v>3</v>
      </c>
      <c r="E1" s="9"/>
      <c r="F1" s="9"/>
      <c r="G1" s="9"/>
      <c r="H1" s="10"/>
      <c r="I1" s="11" t="s">
        <v>4</v>
      </c>
      <c r="J1" s="9"/>
      <c r="K1" s="9"/>
      <c r="L1" s="9"/>
      <c r="M1" s="9"/>
      <c r="N1" s="12"/>
    </row>
    <row r="2" s="1" customFormat="1" ht="39.95" customHeight="1" spans="1:14">
      <c r="A2" s="13"/>
      <c r="B2" s="14"/>
      <c r="C2" s="14"/>
      <c r="D2" s="15" t="s">
        <v>5</v>
      </c>
      <c r="E2" s="15" t="s">
        <v>6</v>
      </c>
      <c r="F2" s="15" t="s">
        <v>7</v>
      </c>
      <c r="G2" s="16" t="s">
        <v>8</v>
      </c>
      <c r="H2" s="17" t="s">
        <v>9</v>
      </c>
      <c r="I2" s="18" t="s">
        <v>5</v>
      </c>
      <c r="J2" s="15" t="s">
        <v>6</v>
      </c>
      <c r="K2" s="15" t="s">
        <v>7</v>
      </c>
      <c r="L2" s="16" t="s">
        <v>10</v>
      </c>
      <c r="M2" s="17" t="s">
        <v>9</v>
      </c>
    </row>
    <row r="3" s="1" customFormat="1" ht="18" customHeight="1" spans="1:14">
      <c r="A3" s="19" t="s">
        <v>11</v>
      </c>
      <c r="B3" s="20" t="s">
        <v>12</v>
      </c>
      <c r="C3" s="21" t="s">
        <v>13</v>
      </c>
      <c r="D3" s="22">
        <v>348</v>
      </c>
      <c r="E3" s="23">
        <v>162</v>
      </c>
      <c r="F3" s="23"/>
      <c r="G3" s="24">
        <v>263</v>
      </c>
      <c r="H3" s="25">
        <f t="shared" ref="H3:H12" si="0">E3+F3+G3</f>
        <v>425</v>
      </c>
      <c r="I3" s="26">
        <f t="shared" ref="I3:L3" si="1">D3</f>
        <v>348</v>
      </c>
      <c r="J3" s="22">
        <f t="shared" si="1"/>
        <v>162</v>
      </c>
      <c r="K3" s="22">
        <f t="shared" si="1"/>
        <v>0</v>
      </c>
      <c r="L3" s="27">
        <f t="shared" si="1"/>
        <v>263</v>
      </c>
      <c r="M3" s="25">
        <f t="shared" ref="M3:M12" si="2">J3+K3+L3</f>
        <v>425</v>
      </c>
      <c r="N3" s="12"/>
    </row>
    <row r="4" s="1" customFormat="1" ht="18" customHeight="1" spans="1:14">
      <c r="A4" s="28" t="s">
        <v>14</v>
      </c>
      <c r="B4" s="29" t="s">
        <v>15</v>
      </c>
      <c r="C4" s="30" t="s">
        <v>16</v>
      </c>
      <c r="D4" s="31" t="s">
        <v>17</v>
      </c>
      <c r="E4" s="32"/>
      <c r="F4" s="33"/>
      <c r="G4" s="34"/>
      <c r="H4" s="35">
        <f t="shared" si="0"/>
        <v>0</v>
      </c>
      <c r="I4" s="36" t="str">
        <f t="shared" ref="I4:L4" si="3">D4</f>
        <v> -   </v>
      </c>
      <c r="J4" s="32">
        <f t="shared" si="3"/>
        <v>0</v>
      </c>
      <c r="K4" s="37">
        <f t="shared" si="3"/>
        <v>0</v>
      </c>
      <c r="L4" s="38">
        <f t="shared" si="3"/>
        <v>0</v>
      </c>
      <c r="M4" s="35">
        <f t="shared" si="2"/>
        <v>0</v>
      </c>
      <c r="N4" s="12"/>
    </row>
    <row r="5" s="1" customFormat="1" ht="18" customHeight="1" spans="1:14">
      <c r="A5" s="28"/>
      <c r="B5" s="29" t="s">
        <v>18</v>
      </c>
      <c r="C5" s="30" t="s">
        <v>16</v>
      </c>
      <c r="D5" s="31" t="s">
        <v>17</v>
      </c>
      <c r="E5" s="33">
        <v>55000</v>
      </c>
      <c r="F5" s="39">
        <v>0</v>
      </c>
      <c r="G5" s="40">
        <v>0</v>
      </c>
      <c r="H5" s="35">
        <f t="shared" si="0"/>
        <v>55000</v>
      </c>
      <c r="I5" s="36" t="str">
        <f t="shared" ref="I5:L5" si="4">D5</f>
        <v> -   </v>
      </c>
      <c r="J5" s="32">
        <f t="shared" si="4"/>
        <v>55000</v>
      </c>
      <c r="K5" s="37">
        <f t="shared" si="4"/>
        <v>0</v>
      </c>
      <c r="L5" s="38">
        <f t="shared" si="4"/>
        <v>0</v>
      </c>
      <c r="M5" s="35">
        <f t="shared" si="2"/>
        <v>55000</v>
      </c>
      <c r="N5" s="12"/>
    </row>
    <row r="6" s="1" customFormat="1" ht="18" customHeight="1" spans="1:14">
      <c r="A6" s="28" t="s">
        <v>19</v>
      </c>
      <c r="B6" s="29" t="s">
        <v>20</v>
      </c>
      <c r="C6" s="30" t="s">
        <v>16</v>
      </c>
      <c r="D6" s="31" t="s">
        <v>17</v>
      </c>
      <c r="E6" s="34">
        <f t="shared" ref="E6:G6" si="5">E4</f>
        <v>0</v>
      </c>
      <c r="F6" s="34">
        <f t="shared" si="5"/>
        <v>0</v>
      </c>
      <c r="G6" s="34">
        <f t="shared" si="5"/>
        <v>0</v>
      </c>
      <c r="H6" s="35">
        <f t="shared" si="0"/>
        <v>0</v>
      </c>
      <c r="I6" s="36" t="str">
        <f t="shared" ref="I6:L6" si="6">D6</f>
        <v> -   </v>
      </c>
      <c r="J6" s="41">
        <f t="shared" si="6"/>
        <v>0</v>
      </c>
      <c r="K6" s="41">
        <f t="shared" si="6"/>
        <v>0</v>
      </c>
      <c r="L6" s="41">
        <f t="shared" si="6"/>
        <v>0</v>
      </c>
      <c r="M6" s="35">
        <f t="shared" si="2"/>
        <v>0</v>
      </c>
      <c r="N6" s="12"/>
    </row>
    <row r="7" s="2" customFormat="1" ht="18" customHeight="1" spans="1:14">
      <c r="A7" s="28" t="s">
        <v>21</v>
      </c>
      <c r="B7" s="42" t="s">
        <v>22</v>
      </c>
      <c r="C7" s="43" t="s">
        <v>23</v>
      </c>
      <c r="D7" s="40">
        <v>0</v>
      </c>
      <c r="E7" s="40">
        <v>0</v>
      </c>
      <c r="F7" s="40">
        <v>0</v>
      </c>
      <c r="G7" s="40"/>
      <c r="H7" s="35">
        <f t="shared" si="0"/>
        <v>0</v>
      </c>
      <c r="I7" s="52">
        <f>D7+'26.2'!I7</f>
        <v>0</v>
      </c>
      <c r="J7" s="52">
        <f>E7+'26.2'!J7</f>
        <v>0</v>
      </c>
      <c r="K7" s="52">
        <f>F7+'26.2'!K7</f>
        <v>0</v>
      </c>
      <c r="L7" s="52">
        <f>G7+'26.2'!L7</f>
        <v>0</v>
      </c>
      <c r="M7" s="35">
        <f t="shared" si="2"/>
        <v>0</v>
      </c>
      <c r="N7" s="45"/>
    </row>
    <row r="8" s="2" customFormat="1" ht="18" customHeight="1" spans="1:14">
      <c r="A8" s="28" t="s">
        <v>24</v>
      </c>
      <c r="B8" s="42" t="s">
        <v>25</v>
      </c>
      <c r="C8" s="43" t="s">
        <v>26</v>
      </c>
      <c r="D8" s="46"/>
      <c r="E8" s="40"/>
      <c r="F8" s="39"/>
      <c r="G8" s="34"/>
      <c r="H8" s="35">
        <f t="shared" si="0"/>
        <v>0</v>
      </c>
      <c r="I8" s="52">
        <f>D8+'26.2'!I8</f>
        <v>0</v>
      </c>
      <c r="J8" s="52">
        <f>E8+'26.2'!J8</f>
        <v>0</v>
      </c>
      <c r="K8" s="52">
        <f>F8+'26.2'!K8</f>
        <v>0</v>
      </c>
      <c r="L8" s="52">
        <f>G8+'26.2'!L8</f>
        <v>0</v>
      </c>
      <c r="M8" s="35">
        <f t="shared" si="2"/>
        <v>0</v>
      </c>
      <c r="N8" s="47"/>
    </row>
    <row r="9" s="2" customFormat="1" ht="18" customHeight="1" spans="1:14">
      <c r="A9" s="28" t="s">
        <v>27</v>
      </c>
      <c r="B9" s="42" t="s">
        <v>28</v>
      </c>
      <c r="C9" s="43" t="s">
        <v>26</v>
      </c>
      <c r="D9" s="40"/>
      <c r="E9" s="48">
        <f>[1]售热量!$G$25</f>
        <v>0</v>
      </c>
      <c r="F9" s="39"/>
      <c r="G9" s="39"/>
      <c r="H9" s="35">
        <f t="shared" si="0"/>
        <v>0</v>
      </c>
      <c r="I9" s="52">
        <f>D9+'26.2'!I9</f>
        <v>0</v>
      </c>
      <c r="J9" s="52">
        <f>E9+'26.2'!J9</f>
        <v>0</v>
      </c>
      <c r="K9" s="52">
        <f>F9+'26.2'!K9</f>
        <v>0</v>
      </c>
      <c r="L9" s="52">
        <f>G9+'26.2'!L9</f>
        <v>0</v>
      </c>
      <c r="M9" s="35">
        <f t="shared" si="2"/>
        <v>0</v>
      </c>
      <c r="N9" s="45"/>
    </row>
    <row r="10" s="2" customFormat="1" ht="18" customHeight="1" spans="1:14">
      <c r="A10" s="28" t="s">
        <v>29</v>
      </c>
      <c r="B10" s="42" t="s">
        <v>30</v>
      </c>
      <c r="C10" s="43" t="s">
        <v>23</v>
      </c>
      <c r="D10" s="40"/>
      <c r="E10" s="33"/>
      <c r="F10" s="39"/>
      <c r="G10" s="34"/>
      <c r="H10" s="35">
        <f t="shared" si="0"/>
        <v>0</v>
      </c>
      <c r="I10" s="52">
        <f>D10+'26.2'!I10</f>
        <v>0</v>
      </c>
      <c r="J10" s="52">
        <f>E10+'26.2'!J10</f>
        <v>0</v>
      </c>
      <c r="K10" s="52">
        <f>F10+'26.2'!K10</f>
        <v>0</v>
      </c>
      <c r="L10" s="52">
        <f>G10+'26.2'!L10</f>
        <v>0</v>
      </c>
      <c r="M10" s="35">
        <f t="shared" si="2"/>
        <v>0</v>
      </c>
      <c r="N10" s="45"/>
    </row>
    <row r="11" s="2" customFormat="1" ht="18" customHeight="1" spans="1:14">
      <c r="A11" s="28" t="s">
        <v>31</v>
      </c>
      <c r="B11" s="42" t="s">
        <v>32</v>
      </c>
      <c r="C11" s="43" t="s">
        <v>23</v>
      </c>
      <c r="D11" s="40"/>
      <c r="E11" s="40"/>
      <c r="F11" s="40"/>
      <c r="G11" s="40"/>
      <c r="H11" s="35">
        <f t="shared" si="0"/>
        <v>0</v>
      </c>
      <c r="I11" s="52">
        <f>D11+'26.2'!I11</f>
        <v>0</v>
      </c>
      <c r="J11" s="52">
        <f>E11+'26.2'!J11</f>
        <v>0</v>
      </c>
      <c r="K11" s="52">
        <f>F11+'26.2'!K11</f>
        <v>0</v>
      </c>
      <c r="L11" s="52">
        <f>G11+'26.2'!L11</f>
        <v>0</v>
      </c>
      <c r="M11" s="35">
        <f t="shared" si="2"/>
        <v>0</v>
      </c>
      <c r="N11" s="45"/>
    </row>
    <row r="12" s="2" customFormat="1" ht="18" customHeight="1" spans="1:14">
      <c r="A12" s="28" t="s">
        <v>33</v>
      </c>
      <c r="B12" s="42" t="s">
        <v>34</v>
      </c>
      <c r="C12" s="43" t="s">
        <v>23</v>
      </c>
      <c r="D12" s="46">
        <f t="shared" ref="D12:G12" si="7">D13+D14</f>
        <v>0</v>
      </c>
      <c r="E12" s="46">
        <f t="shared" si="7"/>
        <v>0</v>
      </c>
      <c r="F12" s="46">
        <f t="shared" si="7"/>
        <v>0</v>
      </c>
      <c r="G12" s="46">
        <f t="shared" si="7"/>
        <v>0</v>
      </c>
      <c r="H12" s="35">
        <f t="shared" si="0"/>
        <v>0</v>
      </c>
      <c r="I12" s="52">
        <f>D12+'26.2'!I12</f>
        <v>0</v>
      </c>
      <c r="J12" s="52">
        <f>E12+'26.2'!J12</f>
        <v>0</v>
      </c>
      <c r="K12" s="52">
        <f>F12+'26.2'!K12</f>
        <v>0</v>
      </c>
      <c r="L12" s="52">
        <f>G12+'26.2'!L12</f>
        <v>0</v>
      </c>
      <c r="M12" s="35">
        <f t="shared" si="2"/>
        <v>0</v>
      </c>
      <c r="N12" s="45"/>
    </row>
    <row r="13" s="2" customFormat="1" ht="18" customHeight="1" spans="1:14">
      <c r="A13" s="28"/>
      <c r="B13" s="42" t="s">
        <v>35</v>
      </c>
      <c r="C13" s="43" t="s">
        <v>23</v>
      </c>
      <c r="D13" s="40"/>
      <c r="E13" s="40"/>
      <c r="F13" s="40"/>
      <c r="G13" s="46"/>
      <c r="H13" s="49"/>
      <c r="I13" s="52">
        <f>D13+'26.2'!I13</f>
        <v>0</v>
      </c>
      <c r="J13" s="52">
        <f>E13+'26.2'!J13</f>
        <v>0</v>
      </c>
      <c r="K13" s="52">
        <f>F13+'26.2'!K13</f>
        <v>0</v>
      </c>
      <c r="L13" s="52">
        <f>G13+'26.2'!L13</f>
        <v>0</v>
      </c>
      <c r="M13" s="49"/>
      <c r="N13" s="45"/>
    </row>
    <row r="14" s="2" customFormat="1" ht="18" customHeight="1" spans="1:14">
      <c r="A14" s="28"/>
      <c r="B14" s="42" t="s">
        <v>36</v>
      </c>
      <c r="C14" s="43" t="s">
        <v>23</v>
      </c>
      <c r="D14" s="46"/>
      <c r="E14" s="40"/>
      <c r="F14" s="40"/>
      <c r="G14" s="40"/>
      <c r="H14" s="49"/>
      <c r="I14" s="52">
        <f>D14+'26.2'!I14</f>
        <v>0</v>
      </c>
      <c r="J14" s="52">
        <f>E14+'26.2'!J14</f>
        <v>0</v>
      </c>
      <c r="K14" s="52">
        <f>F14+'26.2'!K14</f>
        <v>0</v>
      </c>
      <c r="L14" s="52">
        <f>G14+'26.2'!L14</f>
        <v>0</v>
      </c>
      <c r="M14" s="49"/>
      <c r="N14" s="45"/>
    </row>
    <row r="15" s="2" customFormat="1" ht="18" customHeight="1" spans="1:14">
      <c r="A15" s="28" t="s">
        <v>37</v>
      </c>
      <c r="B15" s="42" t="s">
        <v>38</v>
      </c>
      <c r="C15" s="43" t="s">
        <v>23</v>
      </c>
      <c r="D15" s="40"/>
      <c r="E15" s="50"/>
      <c r="F15" s="39"/>
      <c r="G15" s="34"/>
      <c r="H15" s="35"/>
      <c r="I15" s="52">
        <f>D15+'26.2'!I15</f>
        <v>0</v>
      </c>
      <c r="J15" s="52">
        <f>E15+'26.2'!J15</f>
        <v>0</v>
      </c>
      <c r="K15" s="52">
        <f>F15+'26.2'!K15</f>
        <v>0</v>
      </c>
      <c r="L15" s="52">
        <f>G15+'26.2'!L15</f>
        <v>0</v>
      </c>
      <c r="M15" s="35">
        <f t="shared" ref="M15:M17" si="8">J15+K15+L15</f>
        <v>0</v>
      </c>
      <c r="N15" s="45"/>
    </row>
    <row r="16" s="2" customFormat="1" ht="18" customHeight="1" spans="1:14">
      <c r="A16" s="28"/>
      <c r="B16" s="42" t="s">
        <v>39</v>
      </c>
      <c r="C16" s="43" t="s">
        <v>23</v>
      </c>
      <c r="D16" s="40"/>
      <c r="E16" s="50"/>
      <c r="F16" s="39"/>
      <c r="G16" s="39"/>
      <c r="H16" s="35"/>
      <c r="I16" s="52">
        <f>D16+'26.2'!I16</f>
        <v>0</v>
      </c>
      <c r="J16" s="52">
        <f>E16+'26.2'!J16</f>
        <v>0</v>
      </c>
      <c r="K16" s="52">
        <f>F16+'26.2'!K16</f>
        <v>0</v>
      </c>
      <c r="L16" s="52">
        <f>G16+'26.2'!L16</f>
        <v>0</v>
      </c>
      <c r="M16" s="35">
        <f t="shared" si="8"/>
        <v>0</v>
      </c>
      <c r="N16" s="45"/>
    </row>
    <row r="17" s="2" customFormat="1" ht="18" customHeight="1" spans="1:14">
      <c r="A17" s="28" t="s">
        <v>40</v>
      </c>
      <c r="B17" s="42" t="s">
        <v>41</v>
      </c>
      <c r="C17" s="43" t="s">
        <v>42</v>
      </c>
      <c r="D17" s="46"/>
      <c r="E17" s="50"/>
      <c r="F17" s="39"/>
      <c r="G17" s="34"/>
      <c r="H17" s="35"/>
      <c r="I17" s="52">
        <f>D17+'26.2'!I17</f>
        <v>0</v>
      </c>
      <c r="J17" s="52">
        <f>E17+'26.2'!J17</f>
        <v>0</v>
      </c>
      <c r="K17" s="51"/>
      <c r="L17" s="52">
        <f>G17+'26.2'!L17</f>
        <v>0</v>
      </c>
      <c r="M17" s="35">
        <f t="shared" si="8"/>
        <v>0</v>
      </c>
      <c r="N17" s="45"/>
    </row>
    <row r="18" s="2" customFormat="1" ht="18" customHeight="1" spans="1:14">
      <c r="A18" s="28"/>
      <c r="B18" s="42" t="s">
        <v>43</v>
      </c>
      <c r="C18" s="43" t="s">
        <v>42</v>
      </c>
      <c r="D18" s="40"/>
      <c r="E18" s="50"/>
      <c r="F18" s="39"/>
      <c r="G18" s="39"/>
      <c r="H18" s="49"/>
      <c r="I18" s="52">
        <f>D18+'26.2'!I18</f>
        <v>0</v>
      </c>
      <c r="J18" s="52">
        <f>E18+'26.2'!J18</f>
        <v>0</v>
      </c>
      <c r="K18" s="52">
        <f>F18+'26.2'!K18</f>
        <v>0</v>
      </c>
      <c r="L18" s="52">
        <f>G18+'26.2'!L18</f>
        <v>0</v>
      </c>
      <c r="M18" s="49"/>
      <c r="N18" s="45"/>
    </row>
    <row r="19" s="2" customFormat="1" ht="18" customHeight="1" spans="1:14">
      <c r="A19" s="28"/>
      <c r="B19" s="42" t="s">
        <v>44</v>
      </c>
      <c r="C19" s="43" t="s">
        <v>42</v>
      </c>
      <c r="D19" s="40"/>
      <c r="E19" s="34"/>
      <c r="F19" s="34"/>
      <c r="G19" s="34"/>
      <c r="H19" s="49"/>
      <c r="I19" s="52">
        <f>D19+'26.2'!I19</f>
        <v>0</v>
      </c>
      <c r="J19" s="52"/>
      <c r="K19" s="52">
        <f>F19+'26.2'!K19</f>
        <v>0</v>
      </c>
      <c r="L19" s="52">
        <f>G19+'26.2'!L19</f>
        <v>0</v>
      </c>
      <c r="M19" s="49"/>
      <c r="N19" s="45"/>
    </row>
    <row r="20" s="2" customFormat="1" ht="18" customHeight="1" spans="1:14">
      <c r="A20" s="28"/>
      <c r="B20" s="42" t="s">
        <v>45</v>
      </c>
      <c r="C20" s="43" t="s">
        <v>23</v>
      </c>
      <c r="D20" s="40"/>
      <c r="E20" s="50"/>
      <c r="F20" s="39"/>
      <c r="G20" s="39"/>
      <c r="H20" s="49"/>
      <c r="I20" s="52">
        <f>D20+'26.2'!I20</f>
        <v>0</v>
      </c>
      <c r="J20" s="52">
        <f>E20+'26.2'!J20</f>
        <v>0</v>
      </c>
      <c r="K20" s="52">
        <f>F20+'26.2'!K20</f>
        <v>0</v>
      </c>
      <c r="L20" s="52">
        <f>G20+'26.2'!L20</f>
        <v>0</v>
      </c>
      <c r="M20" s="49"/>
      <c r="N20" s="45"/>
    </row>
    <row r="21" s="2" customFormat="1" ht="18" customHeight="1" spans="1:14">
      <c r="A21" s="28"/>
      <c r="B21" s="42" t="s">
        <v>46</v>
      </c>
      <c r="C21" s="43" t="s">
        <v>42</v>
      </c>
      <c r="D21" s="40"/>
      <c r="E21" s="50"/>
      <c r="F21" s="39"/>
      <c r="G21" s="39"/>
      <c r="H21" s="49"/>
      <c r="I21" s="52">
        <f>D21+'26.2'!I21</f>
        <v>0</v>
      </c>
      <c r="J21" s="52">
        <f>E21+'26.2'!J21</f>
        <v>0</v>
      </c>
      <c r="K21" s="52">
        <f>F21+'26.2'!K21</f>
        <v>0</v>
      </c>
      <c r="L21" s="52">
        <f>G21+'26.2'!L21</f>
        <v>0</v>
      </c>
      <c r="M21" s="49"/>
      <c r="N21" s="45"/>
    </row>
    <row r="22" s="2" customFormat="1" customHeight="1" spans="1:14">
      <c r="A22" s="53" t="s">
        <v>47</v>
      </c>
      <c r="B22" s="54" t="s">
        <v>48</v>
      </c>
      <c r="C22" s="55" t="s">
        <v>23</v>
      </c>
      <c r="D22" s="56"/>
      <c r="E22" s="57"/>
      <c r="F22" s="57"/>
      <c r="G22" s="57"/>
      <c r="H22" s="58"/>
      <c r="I22" s="52">
        <f>D22+'26.2'!I22</f>
        <v>0</v>
      </c>
      <c r="J22" s="52">
        <f>E22+'26.2'!J22</f>
        <v>0</v>
      </c>
      <c r="K22" s="52">
        <f>F22+'26.2'!K22</f>
        <v>0</v>
      </c>
      <c r="L22" s="52">
        <f>G22+'26.2'!L22</f>
        <v>0</v>
      </c>
      <c r="M22" s="59">
        <f t="shared" ref="M22:M27" si="9">J22+K22+L22</f>
        <v>0</v>
      </c>
      <c r="N22" s="1"/>
    </row>
    <row r="23" s="2" customFormat="1" ht="21" customHeight="1" spans="1:14">
      <c r="A23" s="53" t="s">
        <v>49</v>
      </c>
      <c r="B23" s="54" t="s">
        <v>50</v>
      </c>
      <c r="C23" s="55" t="s">
        <v>23</v>
      </c>
      <c r="D23" s="56"/>
      <c r="E23" s="57"/>
      <c r="F23" s="57"/>
      <c r="G23" s="57"/>
      <c r="H23" s="58"/>
      <c r="I23" s="52">
        <f>D23+'26.2'!I23</f>
        <v>0</v>
      </c>
      <c r="J23" s="52">
        <f>E23+'26.2'!J23</f>
        <v>0</v>
      </c>
      <c r="K23" s="52">
        <f>F23+'26.2'!K23</f>
        <v>0</v>
      </c>
      <c r="L23" s="52">
        <f>G23+'26.2'!L23</f>
        <v>0</v>
      </c>
      <c r="M23" s="59">
        <f t="shared" si="9"/>
        <v>0</v>
      </c>
      <c r="N23" s="1"/>
    </row>
    <row r="24" s="2" customFormat="1" ht="18" customHeight="1" spans="1:14">
      <c r="A24" s="53" t="s">
        <v>51</v>
      </c>
      <c r="B24" s="42" t="s">
        <v>52</v>
      </c>
      <c r="C24" s="43" t="s">
        <v>53</v>
      </c>
      <c r="D24" s="60" t="e">
        <f t="shared" ref="D24:M24" si="10">D17/D8</f>
        <v>#DIV/0!</v>
      </c>
      <c r="E24" s="60" t="e">
        <f t="shared" si="10"/>
        <v>#DIV/0!</v>
      </c>
      <c r="F24" s="60" t="e">
        <f t="shared" si="10"/>
        <v>#DIV/0!</v>
      </c>
      <c r="G24" s="60" t="e">
        <f t="shared" si="10"/>
        <v>#DIV/0!</v>
      </c>
      <c r="H24" s="61" t="e">
        <f t="shared" si="10"/>
        <v>#DIV/0!</v>
      </c>
      <c r="I24" s="62" t="e">
        <f t="shared" si="10"/>
        <v>#DIV/0!</v>
      </c>
      <c r="J24" s="60" t="e">
        <f t="shared" si="10"/>
        <v>#DIV/0!</v>
      </c>
      <c r="K24" s="60" t="e">
        <f t="shared" si="10"/>
        <v>#DIV/0!</v>
      </c>
      <c r="L24" s="60" t="e">
        <f t="shared" si="10"/>
        <v>#DIV/0!</v>
      </c>
      <c r="M24" s="61" t="e">
        <f t="shared" si="10"/>
        <v>#DIV/0!</v>
      </c>
      <c r="N24" s="45"/>
    </row>
    <row r="25" s="2" customFormat="1" ht="18" customHeight="1" spans="1:14">
      <c r="A25" s="53" t="s">
        <v>54</v>
      </c>
      <c r="B25" s="42" t="s">
        <v>55</v>
      </c>
      <c r="C25" s="43" t="s">
        <v>56</v>
      </c>
      <c r="D25" s="60" t="e">
        <f t="shared" ref="D25:M25" si="11">D12*1000/D8</f>
        <v>#DIV/0!</v>
      </c>
      <c r="E25" s="60" t="e">
        <f t="shared" si="11"/>
        <v>#DIV/0!</v>
      </c>
      <c r="F25" s="60" t="e">
        <f t="shared" si="11"/>
        <v>#DIV/0!</v>
      </c>
      <c r="G25" s="60" t="e">
        <f t="shared" si="11"/>
        <v>#DIV/0!</v>
      </c>
      <c r="H25" s="61" t="e">
        <f t="shared" si="11"/>
        <v>#DIV/0!</v>
      </c>
      <c r="I25" s="62" t="e">
        <f t="shared" si="11"/>
        <v>#DIV/0!</v>
      </c>
      <c r="J25" s="60" t="e">
        <f t="shared" si="11"/>
        <v>#DIV/0!</v>
      </c>
      <c r="K25" s="60" t="e">
        <f t="shared" si="11"/>
        <v>#DIV/0!</v>
      </c>
      <c r="L25" s="60" t="e">
        <f t="shared" si="11"/>
        <v>#DIV/0!</v>
      </c>
      <c r="M25" s="61" t="e">
        <f t="shared" si="11"/>
        <v>#DIV/0!</v>
      </c>
      <c r="N25" s="45"/>
    </row>
    <row r="26" s="3" customFormat="1" ht="18" customHeight="1" spans="1:14">
      <c r="A26" s="53" t="s">
        <v>57</v>
      </c>
      <c r="B26" s="42" t="s">
        <v>58</v>
      </c>
      <c r="C26" s="63" t="s">
        <v>23</v>
      </c>
      <c r="D26" s="56"/>
      <c r="E26" s="64"/>
      <c r="F26" s="65"/>
      <c r="G26" s="34"/>
      <c r="H26" s="66"/>
      <c r="I26" s="52">
        <f>D26+'26.2'!I26</f>
        <v>0</v>
      </c>
      <c r="J26" s="52">
        <f>E26+'26.2'!J26</f>
        <v>0</v>
      </c>
      <c r="K26" s="52">
        <f>F26+'26.2'!K26</f>
        <v>0</v>
      </c>
      <c r="L26" s="52">
        <f>G26+'26.2'!L26</f>
        <v>0</v>
      </c>
      <c r="M26" s="66">
        <f t="shared" si="9"/>
        <v>0</v>
      </c>
      <c r="N26" s="67"/>
    </row>
    <row r="27" s="3" customFormat="1" ht="18" customHeight="1" spans="1:14">
      <c r="A27" s="53" t="s">
        <v>59</v>
      </c>
      <c r="B27" s="42" t="s">
        <v>60</v>
      </c>
      <c r="C27" s="63" t="s">
        <v>23</v>
      </c>
      <c r="D27" s="50"/>
      <c r="E27" s="68">
        <f t="shared" ref="E27:G27" si="12">J27</f>
        <v>12569.7</v>
      </c>
      <c r="F27" s="68">
        <f t="shared" si="12"/>
        <v>0</v>
      </c>
      <c r="G27" s="68">
        <f t="shared" si="12"/>
        <v>1108.50000000002</v>
      </c>
      <c r="H27" s="69"/>
      <c r="I27" s="70">
        <f>D27</f>
        <v>0</v>
      </c>
      <c r="J27" s="216">
        <f>'26.2'!J27+E26-E10</f>
        <v>12569.7</v>
      </c>
      <c r="K27" s="216">
        <f>'26.2'!K27+F26-F10</f>
        <v>0</v>
      </c>
      <c r="L27" s="216">
        <f>'26.2'!L27+G26-G10</f>
        <v>1108.50000000002</v>
      </c>
      <c r="M27" s="72">
        <f t="shared" si="9"/>
        <v>13678.2</v>
      </c>
      <c r="N27" s="67"/>
    </row>
    <row r="28" s="2" customFormat="1" ht="18" customHeight="1" spans="1:14">
      <c r="A28" s="53" t="s">
        <v>61</v>
      </c>
      <c r="B28" s="42" t="s">
        <v>62</v>
      </c>
      <c r="C28" s="43" t="s">
        <v>63</v>
      </c>
      <c r="D28" s="73" t="e">
        <f>D13*29308/D10</f>
        <v>#DIV/0!</v>
      </c>
      <c r="E28" s="73" t="e">
        <f t="shared" ref="E28:H28" si="13">E12*29308/E10</f>
        <v>#DIV/0!</v>
      </c>
      <c r="F28" s="73" t="e">
        <f t="shared" si="13"/>
        <v>#DIV/0!</v>
      </c>
      <c r="G28" s="73" t="e">
        <f t="shared" si="13"/>
        <v>#DIV/0!</v>
      </c>
      <c r="H28" s="73" t="e">
        <f t="shared" si="13"/>
        <v>#DIV/0!</v>
      </c>
      <c r="I28" s="74" t="e">
        <f>I13*29308/I10</f>
        <v>#DIV/0!</v>
      </c>
      <c r="J28" s="46" t="e">
        <f t="shared" ref="J28:M28" si="14">J12*29308/J10</f>
        <v>#DIV/0!</v>
      </c>
      <c r="K28" s="46" t="e">
        <f t="shared" si="14"/>
        <v>#DIV/0!</v>
      </c>
      <c r="L28" s="46" t="e">
        <f t="shared" si="14"/>
        <v>#DIV/0!</v>
      </c>
      <c r="M28" s="73" t="e">
        <f t="shared" si="14"/>
        <v>#DIV/0!</v>
      </c>
      <c r="N28" s="45"/>
    </row>
    <row r="29" s="2" customFormat="1" ht="18" customHeight="1" spans="1:14">
      <c r="A29" s="53" t="s">
        <v>64</v>
      </c>
      <c r="B29" s="42" t="s">
        <v>65</v>
      </c>
      <c r="C29" s="43" t="s">
        <v>63</v>
      </c>
      <c r="D29" s="75"/>
      <c r="E29" s="40"/>
      <c r="F29" s="40"/>
      <c r="G29" s="76"/>
      <c r="H29" s="77"/>
      <c r="I29" s="78"/>
      <c r="J29" s="40"/>
      <c r="K29" s="40"/>
      <c r="L29" s="76"/>
      <c r="M29" s="77"/>
      <c r="N29" s="45"/>
    </row>
    <row r="30" s="2" customFormat="1" ht="18" customHeight="1" spans="1:14">
      <c r="A30" s="53" t="s">
        <v>66</v>
      </c>
      <c r="B30" s="42" t="s">
        <v>67</v>
      </c>
      <c r="C30" s="79" t="s">
        <v>68</v>
      </c>
      <c r="D30" s="80" t="e">
        <f t="shared" ref="D30:M30" si="15">D8/(D12*29.308)</f>
        <v>#DIV/0!</v>
      </c>
      <c r="E30" s="80" t="e">
        <f t="shared" si="15"/>
        <v>#DIV/0!</v>
      </c>
      <c r="F30" s="80" t="e">
        <f t="shared" si="15"/>
        <v>#DIV/0!</v>
      </c>
      <c r="G30" s="80" t="e">
        <f>(G8-G36)/(G12*29.308)</f>
        <v>#DIV/0!</v>
      </c>
      <c r="H30" s="81" t="e">
        <f t="shared" si="15"/>
        <v>#DIV/0!</v>
      </c>
      <c r="I30" s="82" t="e">
        <f t="shared" si="15"/>
        <v>#DIV/0!</v>
      </c>
      <c r="J30" s="80" t="e">
        <f t="shared" si="15"/>
        <v>#DIV/0!</v>
      </c>
      <c r="K30" s="80" t="e">
        <f t="shared" si="15"/>
        <v>#DIV/0!</v>
      </c>
      <c r="L30" s="80" t="e">
        <f t="shared" si="15"/>
        <v>#DIV/0!</v>
      </c>
      <c r="M30" s="81" t="e">
        <f t="shared" si="15"/>
        <v>#DIV/0!</v>
      </c>
      <c r="N30" s="45"/>
    </row>
    <row r="31" s="2" customFormat="1" ht="18" customHeight="1" spans="1:14">
      <c r="A31" s="53" t="s">
        <v>69</v>
      </c>
      <c r="B31" s="42" t="s">
        <v>70</v>
      </c>
      <c r="C31" s="79" t="s">
        <v>68</v>
      </c>
      <c r="D31" s="207">
        <f>D8/3.6/D3/(DAY(DATE(2026,4,0))*24)</f>
        <v>0</v>
      </c>
      <c r="E31" s="207">
        <f>E8/3.6/E3/(DAY(DATE(2026,4,0))*24)</f>
        <v>0</v>
      </c>
      <c r="F31" s="207" t="e">
        <f>F8/3.6/F3/(DAY(DATE(2026,4,0))*24)</f>
        <v>#DIV/0!</v>
      </c>
      <c r="G31" s="207">
        <f>(G8-G36)/3.6/G3/(DAY(DATE(2026,4,0))*24)</f>
        <v>0</v>
      </c>
      <c r="H31" s="217">
        <f>H8/3.6/H3/(DAY(DATE(2026,4,0))*24)</f>
        <v>0</v>
      </c>
      <c r="I31" s="218">
        <f>I8/3.6/I3/(DATEDIF(DATE(2026,1,1),DATE(2026,4,1),"D")*24)</f>
        <v>0</v>
      </c>
      <c r="J31" s="207">
        <f>J8/3.6/J3/(DATEDIF(DATE(2026,1,1),DATE(2026,4,1),"D")*24)</f>
        <v>0</v>
      </c>
      <c r="K31" s="207" t="e">
        <f>K8/3.6/K3/(DATEDIF(DATE(2026,1,1),DATE(2026,4,1),"D")*24)</f>
        <v>#DIV/0!</v>
      </c>
      <c r="L31" s="207">
        <f>(L8-L36)/3.6/L3/(DATEDIF(DATE(2026,1,1),DATE(2026,4,1),"D")*24)</f>
        <v>0</v>
      </c>
      <c r="M31" s="217">
        <f>M8/3.6/M3/(DATEDIF(DATE(2026,1,1),DATE(2026,4,1),"D")*24)</f>
        <v>0</v>
      </c>
      <c r="N31" s="45"/>
    </row>
    <row r="32" s="2" customFormat="1" ht="18" customHeight="1" spans="1:14">
      <c r="A32" s="53" t="s">
        <v>71</v>
      </c>
      <c r="B32" s="42" t="s">
        <v>72</v>
      </c>
      <c r="C32" s="43" t="s">
        <v>73</v>
      </c>
      <c r="D32" s="86"/>
      <c r="E32" s="87" t="e">
        <f t="shared" ref="E32:H32" si="16">E8/E6</f>
        <v>#DIV/0!</v>
      </c>
      <c r="F32" s="87" t="e">
        <f t="shared" si="16"/>
        <v>#DIV/0!</v>
      </c>
      <c r="G32" s="87" t="e">
        <f t="shared" si="16"/>
        <v>#DIV/0!</v>
      </c>
      <c r="H32" s="87" t="e">
        <f t="shared" si="16"/>
        <v>#DIV/0!</v>
      </c>
      <c r="I32" s="88"/>
      <c r="J32" s="87" t="e">
        <f t="shared" ref="J32:M32" si="17">J8/J6</f>
        <v>#DIV/0!</v>
      </c>
      <c r="K32" s="87" t="e">
        <f t="shared" si="17"/>
        <v>#DIV/0!</v>
      </c>
      <c r="L32" s="87" t="e">
        <f t="shared" si="17"/>
        <v>#DIV/0!</v>
      </c>
      <c r="M32" s="89" t="e">
        <f t="shared" si="17"/>
        <v>#DIV/0!</v>
      </c>
      <c r="N32" s="45"/>
    </row>
    <row r="33" s="2" customFormat="1" ht="18" customHeight="1" spans="1:14">
      <c r="A33" s="53" t="s">
        <v>74</v>
      </c>
      <c r="B33" s="42" t="s">
        <v>75</v>
      </c>
      <c r="C33" s="43" t="s">
        <v>76</v>
      </c>
      <c r="D33" s="90"/>
      <c r="E33" s="91" t="e">
        <f t="shared" ref="E33:H33" si="18">E12*1000/E6</f>
        <v>#DIV/0!</v>
      </c>
      <c r="F33" s="91" t="e">
        <f t="shared" si="18"/>
        <v>#DIV/0!</v>
      </c>
      <c r="G33" s="91" t="e">
        <f t="shared" si="18"/>
        <v>#DIV/0!</v>
      </c>
      <c r="H33" s="92" t="e">
        <f t="shared" si="18"/>
        <v>#DIV/0!</v>
      </c>
      <c r="I33" s="93"/>
      <c r="J33" s="91" t="e">
        <f t="shared" ref="J33:M33" si="19">J12*1000/J6</f>
        <v>#DIV/0!</v>
      </c>
      <c r="K33" s="91" t="e">
        <f t="shared" si="19"/>
        <v>#DIV/0!</v>
      </c>
      <c r="L33" s="91" t="e">
        <f t="shared" si="19"/>
        <v>#DIV/0!</v>
      </c>
      <c r="M33" s="92" t="e">
        <f t="shared" si="19"/>
        <v>#DIV/0!</v>
      </c>
      <c r="N33" s="45"/>
    </row>
    <row r="34" s="2" customFormat="1" ht="18" customHeight="1" spans="1:14">
      <c r="A34" s="53" t="s">
        <v>77</v>
      </c>
      <c r="B34" s="42" t="s">
        <v>78</v>
      </c>
      <c r="C34" s="43" t="s">
        <v>79</v>
      </c>
      <c r="D34" s="94"/>
      <c r="E34" s="91" t="e">
        <f t="shared" ref="E34:H34" si="20">E17/E6</f>
        <v>#DIV/0!</v>
      </c>
      <c r="F34" s="91" t="e">
        <f t="shared" si="20"/>
        <v>#DIV/0!</v>
      </c>
      <c r="G34" s="91" t="e">
        <f t="shared" si="20"/>
        <v>#DIV/0!</v>
      </c>
      <c r="H34" s="92" t="e">
        <f t="shared" si="20"/>
        <v>#DIV/0!</v>
      </c>
      <c r="I34" s="95"/>
      <c r="J34" s="91" t="e">
        <f t="shared" ref="J34:M34" si="21">J17/J6</f>
        <v>#DIV/0!</v>
      </c>
      <c r="K34" s="91" t="e">
        <f t="shared" si="21"/>
        <v>#DIV/0!</v>
      </c>
      <c r="L34" s="91" t="e">
        <f t="shared" si="21"/>
        <v>#DIV/0!</v>
      </c>
      <c r="M34" s="92" t="e">
        <f t="shared" si="21"/>
        <v>#DIV/0!</v>
      </c>
      <c r="N34" s="45"/>
    </row>
    <row r="35" s="2" customFormat="1" ht="18" customHeight="1" spans="1:14">
      <c r="A35" s="96" t="s">
        <v>80</v>
      </c>
      <c r="B35" s="97" t="s">
        <v>81</v>
      </c>
      <c r="C35" s="98" t="s">
        <v>76</v>
      </c>
      <c r="D35" s="99"/>
      <c r="E35" s="100" t="e">
        <f t="shared" ref="E35:H35" si="22">E15*1000/E6</f>
        <v>#DIV/0!</v>
      </c>
      <c r="F35" s="100" t="e">
        <f t="shared" si="22"/>
        <v>#DIV/0!</v>
      </c>
      <c r="G35" s="100" t="e">
        <f t="shared" si="22"/>
        <v>#DIV/0!</v>
      </c>
      <c r="H35" s="101" t="e">
        <f t="shared" si="22"/>
        <v>#DIV/0!</v>
      </c>
      <c r="I35" s="102"/>
      <c r="J35" s="100" t="e">
        <f t="shared" ref="J35:M35" si="23">J15*1000/J6</f>
        <v>#DIV/0!</v>
      </c>
      <c r="K35" s="100" t="e">
        <f t="shared" si="23"/>
        <v>#DIV/0!</v>
      </c>
      <c r="L35" s="100" t="e">
        <f t="shared" si="23"/>
        <v>#DIV/0!</v>
      </c>
      <c r="M35" s="101" t="e">
        <f t="shared" si="23"/>
        <v>#DIV/0!</v>
      </c>
      <c r="N35" s="45"/>
    </row>
    <row r="36" s="2" customFormat="1" ht="21" customHeight="1" spans="1:14">
      <c r="A36" s="103"/>
      <c r="B36" s="104" t="s">
        <v>82</v>
      </c>
      <c r="C36" s="105" t="s">
        <v>26</v>
      </c>
      <c r="D36" s="106"/>
      <c r="E36" s="106"/>
      <c r="F36" s="106"/>
      <c r="G36" s="106"/>
      <c r="H36" s="107"/>
      <c r="I36" s="106"/>
      <c r="J36" s="106"/>
      <c r="K36" s="106"/>
      <c r="L36" s="52">
        <f>G36+'26.2'!L36</f>
        <v>0</v>
      </c>
      <c r="M36" s="107"/>
    </row>
    <row r="37" s="1" customFormat="1" ht="29.25" customHeight="1" spans="1:14">
      <c r="A37" s="108" t="s">
        <v>83</v>
      </c>
      <c r="C37" s="4"/>
      <c r="D37" s="5" t="s">
        <v>84</v>
      </c>
      <c r="E37" s="2"/>
      <c r="F37" s="2"/>
      <c r="G37" s="2"/>
      <c r="H37" s="2"/>
      <c r="I37" s="2"/>
      <c r="J37" s="2"/>
    </row>
    <row r="38" s="1" customFormat="1" ht="31.5" customHeight="1" spans="1:14">
      <c r="A38" s="109" t="s">
        <v>0</v>
      </c>
      <c r="B38" s="110" t="s">
        <v>85</v>
      </c>
      <c r="C38" s="110" t="s">
        <v>2</v>
      </c>
      <c r="D38" s="111" t="s">
        <v>86</v>
      </c>
      <c r="E38" s="112" t="s">
        <v>87</v>
      </c>
      <c r="F38" s="2"/>
      <c r="G38" s="2"/>
      <c r="H38" s="2"/>
    </row>
    <row r="39" s="1" customFormat="1" ht="27.95" customHeight="1" spans="1:14">
      <c r="A39" s="28" t="s">
        <v>11</v>
      </c>
      <c r="B39" s="29" t="s">
        <v>12</v>
      </c>
      <c r="C39" s="30" t="s">
        <v>13</v>
      </c>
      <c r="D39" s="113">
        <v>0.55</v>
      </c>
      <c r="E39" s="114">
        <v>0.55</v>
      </c>
      <c r="F39" s="2"/>
      <c r="G39" s="2"/>
      <c r="H39" s="2"/>
    </row>
    <row r="40" s="1" customFormat="1" ht="27.95" customHeight="1" spans="1:14">
      <c r="A40" s="28" t="s">
        <v>14</v>
      </c>
      <c r="B40" s="29" t="s">
        <v>88</v>
      </c>
      <c r="C40" s="30" t="s">
        <v>16</v>
      </c>
      <c r="D40" s="115"/>
      <c r="E40" s="116">
        <f>D40</f>
        <v>0</v>
      </c>
      <c r="F40" s="45"/>
      <c r="G40" s="45"/>
      <c r="H40" s="2"/>
    </row>
    <row r="41" s="1" customFormat="1" ht="27.95" customHeight="1" spans="1:14">
      <c r="A41" s="28" t="s">
        <v>19</v>
      </c>
      <c r="B41" s="29" t="s">
        <v>89</v>
      </c>
      <c r="C41" s="30" t="s">
        <v>16</v>
      </c>
      <c r="D41" s="117"/>
      <c r="E41" s="118">
        <f>D41</f>
        <v>0</v>
      </c>
      <c r="F41" s="45"/>
      <c r="G41" s="45"/>
      <c r="H41" s="2"/>
    </row>
    <row r="42" s="1" customFormat="1" ht="27.95" customHeight="1" spans="1:14">
      <c r="A42" s="28" t="s">
        <v>21</v>
      </c>
      <c r="B42" s="42" t="s">
        <v>25</v>
      </c>
      <c r="C42" s="43" t="s">
        <v>26</v>
      </c>
      <c r="D42" s="119"/>
      <c r="E42" s="161">
        <f>D42+'26.2'!E42</f>
        <v>441</v>
      </c>
      <c r="F42" s="45"/>
      <c r="G42" s="45"/>
      <c r="H42" s="2"/>
    </row>
    <row r="43" s="1" customFormat="1" ht="27.95" customHeight="1" spans="1:14">
      <c r="A43" s="28" t="s">
        <v>24</v>
      </c>
      <c r="B43" s="42" t="s">
        <v>38</v>
      </c>
      <c r="C43" s="43" t="s">
        <v>23</v>
      </c>
      <c r="D43" s="115"/>
      <c r="E43" s="161">
        <f>D43+'26.2'!E43</f>
        <v>3</v>
      </c>
      <c r="F43" s="45"/>
      <c r="G43" s="45"/>
      <c r="H43" s="2"/>
    </row>
    <row r="44" s="1" customFormat="1" ht="27.95" customHeight="1" spans="1:14">
      <c r="A44" s="28" t="s">
        <v>27</v>
      </c>
      <c r="B44" s="42" t="s">
        <v>41</v>
      </c>
      <c r="C44" s="43" t="s">
        <v>42</v>
      </c>
      <c r="D44" s="115"/>
      <c r="E44" s="161">
        <f>D44+'26.2'!E44</f>
        <v>132840.000000001</v>
      </c>
      <c r="F44" s="45"/>
      <c r="G44" s="45"/>
      <c r="H44" s="2"/>
    </row>
    <row r="45" s="1" customFormat="1" ht="27.95" customHeight="1" spans="1:14">
      <c r="A45" s="28"/>
      <c r="B45" s="42" t="s">
        <v>90</v>
      </c>
      <c r="C45" s="43" t="s">
        <v>42</v>
      </c>
      <c r="D45" s="115"/>
      <c r="E45" s="161">
        <f>D45+'26.2'!E45</f>
        <v>132840.000000001</v>
      </c>
      <c r="F45" s="45"/>
      <c r="G45" s="45"/>
      <c r="H45" s="2"/>
    </row>
    <row r="46" s="1" customFormat="1" ht="27.95" customHeight="1" spans="1:14">
      <c r="A46" s="28" t="s">
        <v>29</v>
      </c>
      <c r="B46" s="42" t="s">
        <v>52</v>
      </c>
      <c r="C46" s="43" t="s">
        <v>53</v>
      </c>
      <c r="D46" s="121" t="e">
        <f>D44/D42</f>
        <v>#DIV/0!</v>
      </c>
      <c r="E46" s="122">
        <f>E44/E42</f>
        <v>301.224489795921</v>
      </c>
      <c r="F46" s="45"/>
      <c r="G46" s="45"/>
      <c r="H46" s="2"/>
    </row>
    <row r="47" s="1" customFormat="1" ht="27.95" customHeight="1" spans="1:14">
      <c r="A47" s="28" t="s">
        <v>31</v>
      </c>
      <c r="B47" s="42" t="s">
        <v>70</v>
      </c>
      <c r="C47" s="79" t="s">
        <v>68</v>
      </c>
      <c r="D47" s="219">
        <f>D42/3.6/D39/(DAY(DATE(2026,4,0))*24)</f>
        <v>0</v>
      </c>
      <c r="E47" s="220">
        <f>E42/3.6/E39/(DATEDIF(DATE(2026,1,1),DATE(2026,4,1),"D")*24)</f>
        <v>0.103114478114478</v>
      </c>
      <c r="F47" s="45"/>
      <c r="G47" s="45"/>
      <c r="H47" s="2"/>
    </row>
    <row r="48" s="1" customFormat="1" ht="27.95" customHeight="1" spans="1:14">
      <c r="A48" s="28" t="s">
        <v>33</v>
      </c>
      <c r="B48" s="42" t="s">
        <v>72</v>
      </c>
      <c r="C48" s="43" t="s">
        <v>73</v>
      </c>
      <c r="D48" s="125" t="e">
        <f>D42/D41</f>
        <v>#DIV/0!</v>
      </c>
      <c r="E48" s="126" t="e">
        <f>E42/E41</f>
        <v>#DIV/0!</v>
      </c>
      <c r="F48" s="45"/>
      <c r="G48" s="45"/>
      <c r="H48" s="2"/>
    </row>
    <row r="49" s="1" customFormat="1" ht="27.95" customHeight="1" spans="1:10">
      <c r="A49" s="28" t="s">
        <v>37</v>
      </c>
      <c r="B49" s="42" t="s">
        <v>78</v>
      </c>
      <c r="C49" s="43" t="s">
        <v>79</v>
      </c>
      <c r="D49" s="127" t="e">
        <f>D44/D41</f>
        <v>#DIV/0!</v>
      </c>
      <c r="E49" s="128" t="e">
        <f>E44/E41</f>
        <v>#DIV/0!</v>
      </c>
      <c r="F49" s="45"/>
      <c r="G49" s="45"/>
      <c r="H49" s="2"/>
    </row>
    <row r="50" s="1" customFormat="1" ht="27.95" customHeight="1" spans="1:10">
      <c r="A50" s="129" t="s">
        <v>40</v>
      </c>
      <c r="B50" s="97" t="s">
        <v>81</v>
      </c>
      <c r="C50" s="98" t="s">
        <v>76</v>
      </c>
      <c r="D50" s="130" t="e">
        <f>D43*1000/D41</f>
        <v>#DIV/0!</v>
      </c>
      <c r="E50" s="130" t="e">
        <f>E43*1000/E41</f>
        <v>#DIV/0!</v>
      </c>
      <c r="F50" s="45"/>
      <c r="G50" s="45"/>
      <c r="H50" s="2"/>
    </row>
    <row r="51" s="1" customFormat="1" ht="18" customHeight="1" spans="1:10">
      <c r="C51" s="4"/>
      <c r="D51" s="5"/>
    </row>
    <row r="52" s="1" customFormat="1" ht="29.25" customHeight="1" spans="1:10">
      <c r="A52" s="108" t="s">
        <v>91</v>
      </c>
      <c r="C52" s="4"/>
      <c r="D52" s="5" t="s">
        <v>84</v>
      </c>
      <c r="E52" s="2"/>
      <c r="F52" s="2"/>
      <c r="G52" s="2"/>
      <c r="H52" s="2"/>
      <c r="I52" s="2"/>
      <c r="J52" s="2"/>
    </row>
    <row r="53" s="1" customFormat="1" ht="31.5" customHeight="1" spans="1:10">
      <c r="A53" s="131" t="s">
        <v>0</v>
      </c>
      <c r="B53" s="132" t="s">
        <v>85</v>
      </c>
      <c r="C53" s="132" t="s">
        <v>2</v>
      </c>
      <c r="D53" s="133" t="s">
        <v>86</v>
      </c>
      <c r="E53" s="134"/>
      <c r="F53" s="135"/>
      <c r="G53" s="136" t="s">
        <v>87</v>
      </c>
      <c r="H53" s="134"/>
      <c r="I53" s="134"/>
    </row>
    <row r="54" s="1" customFormat="1" ht="31.5" customHeight="1" spans="1:10">
      <c r="A54" s="137"/>
      <c r="B54" s="138"/>
      <c r="C54" s="138"/>
      <c r="D54" s="139" t="s">
        <v>92</v>
      </c>
      <c r="E54" s="139" t="s">
        <v>93</v>
      </c>
      <c r="F54" s="140" t="s">
        <v>9</v>
      </c>
      <c r="G54" s="141" t="s">
        <v>92</v>
      </c>
      <c r="H54" s="139" t="s">
        <v>93</v>
      </c>
      <c r="I54" s="142" t="s">
        <v>9</v>
      </c>
    </row>
    <row r="55" s="1" customFormat="1" ht="27.95" customHeight="1" spans="1:10">
      <c r="A55" s="28" t="s">
        <v>11</v>
      </c>
      <c r="B55" s="29" t="s">
        <v>12</v>
      </c>
      <c r="C55" s="30" t="s">
        <v>13</v>
      </c>
      <c r="D55" s="143">
        <v>6</v>
      </c>
      <c r="E55" s="143">
        <v>6.4</v>
      </c>
      <c r="F55" s="144">
        <f t="shared" ref="F55:F61" si="24">SUM(D55:E55)</f>
        <v>12.4</v>
      </c>
      <c r="G55" s="145">
        <f t="shared" ref="G55:G57" si="25">D55</f>
        <v>6</v>
      </c>
      <c r="H55" s="146">
        <f t="shared" ref="H55:H57" si="26">E55</f>
        <v>6.4</v>
      </c>
      <c r="I55" s="146">
        <f t="shared" ref="I55:I61" si="27">SUM(G55:H55)</f>
        <v>12.4</v>
      </c>
    </row>
    <row r="56" s="1" customFormat="1" ht="27.95" customHeight="1" spans="1:10">
      <c r="A56" s="28" t="s">
        <v>14</v>
      </c>
      <c r="B56" s="29" t="s">
        <v>88</v>
      </c>
      <c r="C56" s="30" t="s">
        <v>16</v>
      </c>
      <c r="D56" s="148"/>
      <c r="E56" s="148"/>
      <c r="F56" s="117">
        <f t="shared" si="24"/>
        <v>0</v>
      </c>
      <c r="G56" s="118">
        <f t="shared" si="25"/>
        <v>0</v>
      </c>
      <c r="H56" s="118">
        <f t="shared" si="26"/>
        <v>0</v>
      </c>
      <c r="I56" s="147">
        <f t="shared" si="27"/>
        <v>0</v>
      </c>
    </row>
    <row r="57" s="1" customFormat="1" ht="27.95" customHeight="1" spans="1:10">
      <c r="A57" s="28" t="s">
        <v>19</v>
      </c>
      <c r="B57" s="29" t="s">
        <v>89</v>
      </c>
      <c r="C57" s="30" t="s">
        <v>16</v>
      </c>
      <c r="D57" s="147"/>
      <c r="E57" s="147"/>
      <c r="F57" s="117">
        <f t="shared" si="24"/>
        <v>0</v>
      </c>
      <c r="G57" s="118">
        <f t="shared" si="25"/>
        <v>0</v>
      </c>
      <c r="H57" s="118">
        <f t="shared" si="26"/>
        <v>0</v>
      </c>
      <c r="I57" s="147">
        <f t="shared" si="27"/>
        <v>0</v>
      </c>
    </row>
    <row r="58" s="1" customFormat="1" ht="27.95" customHeight="1" spans="1:10">
      <c r="A58" s="28" t="s">
        <v>21</v>
      </c>
      <c r="B58" s="42" t="s">
        <v>25</v>
      </c>
      <c r="C58" s="43" t="s">
        <v>26</v>
      </c>
      <c r="D58" s="148"/>
      <c r="E58" s="149"/>
      <c r="F58" s="117">
        <f t="shared" si="24"/>
        <v>0</v>
      </c>
      <c r="G58" s="118">
        <f>D58+'26.2'!G58</f>
        <v>0</v>
      </c>
      <c r="H58" s="118">
        <f>E58+'26.2'!H58</f>
        <v>0</v>
      </c>
      <c r="I58" s="147">
        <f t="shared" si="27"/>
        <v>0</v>
      </c>
    </row>
    <row r="59" s="1" customFormat="1" ht="27.95" customHeight="1" spans="1:10">
      <c r="A59" s="28" t="s">
        <v>24</v>
      </c>
      <c r="B59" s="42" t="s">
        <v>38</v>
      </c>
      <c r="C59" s="43" t="s">
        <v>23</v>
      </c>
      <c r="D59" s="148"/>
      <c r="E59" s="148"/>
      <c r="F59" s="117">
        <f t="shared" si="24"/>
        <v>0</v>
      </c>
      <c r="G59" s="118">
        <f>D59+'26.2'!G59</f>
        <v>0</v>
      </c>
      <c r="H59" s="118">
        <f>E59+'26.2'!H59</f>
        <v>0</v>
      </c>
      <c r="I59" s="147">
        <f t="shared" si="27"/>
        <v>0</v>
      </c>
    </row>
    <row r="60" s="1" customFormat="1" ht="27.95" customHeight="1" spans="1:10">
      <c r="A60" s="28" t="s">
        <v>27</v>
      </c>
      <c r="B60" s="42" t="s">
        <v>41</v>
      </c>
      <c r="C60" s="43" t="s">
        <v>42</v>
      </c>
      <c r="D60" s="148"/>
      <c r="E60" s="148"/>
      <c r="F60" s="117">
        <f t="shared" si="24"/>
        <v>0</v>
      </c>
      <c r="G60" s="118">
        <f>D60+'26.2'!G60</f>
        <v>0</v>
      </c>
      <c r="H60" s="118">
        <f>E60+'26.2'!H60</f>
        <v>0</v>
      </c>
      <c r="I60" s="147">
        <f t="shared" si="27"/>
        <v>0</v>
      </c>
    </row>
    <row r="61" s="1" customFormat="1" ht="27.95" customHeight="1" spans="1:10">
      <c r="A61" s="28"/>
      <c r="B61" s="42" t="s">
        <v>90</v>
      </c>
      <c r="C61" s="43" t="s">
        <v>42</v>
      </c>
      <c r="D61" s="148"/>
      <c r="E61" s="148"/>
      <c r="F61" s="117">
        <f t="shared" si="24"/>
        <v>0</v>
      </c>
      <c r="G61" s="118">
        <f>D61+'26.2'!G61</f>
        <v>0</v>
      </c>
      <c r="H61" s="118">
        <f>E61+'26.2'!H61</f>
        <v>0</v>
      </c>
      <c r="I61" s="147">
        <f t="shared" si="27"/>
        <v>0</v>
      </c>
    </row>
    <row r="62" s="1" customFormat="1" ht="27.95" customHeight="1" spans="1:10">
      <c r="A62" s="28" t="s">
        <v>29</v>
      </c>
      <c r="B62" s="42" t="s">
        <v>52</v>
      </c>
      <c r="C62" s="43" t="s">
        <v>53</v>
      </c>
      <c r="D62" s="151" t="e">
        <f t="shared" ref="D62:I62" si="28">D60/D58</f>
        <v>#DIV/0!</v>
      </c>
      <c r="E62" s="151" t="e">
        <f t="shared" si="28"/>
        <v>#DIV/0!</v>
      </c>
      <c r="F62" s="121" t="e">
        <f t="shared" si="28"/>
        <v>#DIV/0!</v>
      </c>
      <c r="G62" s="152" t="e">
        <f t="shared" si="28"/>
        <v>#DIV/0!</v>
      </c>
      <c r="H62" s="60" t="e">
        <f t="shared" si="28"/>
        <v>#DIV/0!</v>
      </c>
      <c r="I62" s="61" t="e">
        <f t="shared" si="28"/>
        <v>#DIV/0!</v>
      </c>
    </row>
    <row r="63" s="1" customFormat="1" ht="27.95" customHeight="1" spans="1:10">
      <c r="A63" s="28" t="s">
        <v>31</v>
      </c>
      <c r="B63" s="42" t="s">
        <v>70</v>
      </c>
      <c r="C63" s="79" t="s">
        <v>68</v>
      </c>
      <c r="D63" s="207">
        <f>D58/3.6/D55/(DAY(DATE(2026,4,0))*24)</f>
        <v>0</v>
      </c>
      <c r="E63" s="207">
        <f>E58/3.6/E55/(DAY(DATE(2026,4,0))*24)</f>
        <v>0</v>
      </c>
      <c r="F63" s="219">
        <f>F58/3.6/F55/(DAY(DATE(2026,4,0))*24)</f>
        <v>0</v>
      </c>
      <c r="G63" s="218">
        <f>G58/3.6/G55/(DATEDIF(DATE(2026,1,1),DATE(2026,4,1),"D")*24)</f>
        <v>0</v>
      </c>
      <c r="H63" s="207">
        <f>H58/3.6/H55/(DATEDIF(DATE(2026,1,1),DATE(2026,4,1),"D")*24)</f>
        <v>0</v>
      </c>
      <c r="I63" s="217">
        <f>I58/3.6/I55/(DATEDIF(DATE(2026,1,1),DATE(2026,4,1),"D")*24)</f>
        <v>0</v>
      </c>
    </row>
    <row r="64" s="1" customFormat="1" ht="27.95" customHeight="1" spans="1:10">
      <c r="A64" s="28" t="s">
        <v>33</v>
      </c>
      <c r="B64" s="42" t="s">
        <v>72</v>
      </c>
      <c r="C64" s="43" t="s">
        <v>73</v>
      </c>
      <c r="D64" s="87" t="e">
        <f t="shared" ref="D64:I64" si="29">D58/D57</f>
        <v>#DIV/0!</v>
      </c>
      <c r="E64" s="87" t="e">
        <f t="shared" si="29"/>
        <v>#DIV/0!</v>
      </c>
      <c r="F64" s="89" t="e">
        <f t="shared" si="29"/>
        <v>#DIV/0!</v>
      </c>
      <c r="G64" s="153" t="e">
        <f t="shared" si="29"/>
        <v>#DIV/0!</v>
      </c>
      <c r="H64" s="87" t="e">
        <f t="shared" si="29"/>
        <v>#DIV/0!</v>
      </c>
      <c r="I64" s="89" t="e">
        <f t="shared" si="29"/>
        <v>#DIV/0!</v>
      </c>
    </row>
    <row r="65" s="1" customFormat="1" ht="27.95" customHeight="1" spans="1:9">
      <c r="A65" s="28" t="s">
        <v>37</v>
      </c>
      <c r="B65" s="42" t="s">
        <v>78</v>
      </c>
      <c r="C65" s="43" t="s">
        <v>79</v>
      </c>
      <c r="D65" s="91" t="e">
        <f t="shared" ref="D65:I65" si="30">D60/D57</f>
        <v>#DIV/0!</v>
      </c>
      <c r="E65" s="91" t="e">
        <f t="shared" si="30"/>
        <v>#DIV/0!</v>
      </c>
      <c r="F65" s="92" t="e">
        <f t="shared" si="30"/>
        <v>#DIV/0!</v>
      </c>
      <c r="G65" s="154" t="e">
        <f t="shared" si="30"/>
        <v>#DIV/0!</v>
      </c>
      <c r="H65" s="91" t="e">
        <f t="shared" si="30"/>
        <v>#DIV/0!</v>
      </c>
      <c r="I65" s="92" t="e">
        <f t="shared" si="30"/>
        <v>#DIV/0!</v>
      </c>
    </row>
    <row r="66" s="1" customFormat="1" ht="27.95" customHeight="1" spans="1:9">
      <c r="A66" s="129" t="s">
        <v>40</v>
      </c>
      <c r="B66" s="97" t="s">
        <v>81</v>
      </c>
      <c r="C66" s="98" t="s">
        <v>76</v>
      </c>
      <c r="D66" s="100" t="e">
        <f t="shared" ref="D66:I66" si="31">D59*1000/D57</f>
        <v>#DIV/0!</v>
      </c>
      <c r="E66" s="100" t="e">
        <f t="shared" si="31"/>
        <v>#DIV/0!</v>
      </c>
      <c r="F66" s="101" t="e">
        <f t="shared" si="31"/>
        <v>#DIV/0!</v>
      </c>
      <c r="G66" s="155" t="e">
        <f t="shared" si="31"/>
        <v>#DIV/0!</v>
      </c>
      <c r="H66" s="100" t="e">
        <f t="shared" si="31"/>
        <v>#DIV/0!</v>
      </c>
      <c r="I66" s="101" t="e">
        <f t="shared" si="31"/>
        <v>#DIV/0!</v>
      </c>
    </row>
    <row r="67" s="1" customFormat="1" ht="18" customHeight="1" spans="1:9">
      <c r="C67" s="4"/>
      <c r="D67" s="5"/>
    </row>
    <row r="68" s="1" customFormat="1" ht="29.25" customHeight="1" spans="1:9">
      <c r="A68" s="108" t="s">
        <v>94</v>
      </c>
      <c r="C68" s="4"/>
      <c r="D68" s="5"/>
    </row>
    <row r="69" s="1" customFormat="1" ht="30" customHeight="1" spans="1:9">
      <c r="A69" s="131" t="s">
        <v>0</v>
      </c>
      <c r="B69" s="7" t="s">
        <v>1</v>
      </c>
      <c r="C69" s="7" t="s">
        <v>2</v>
      </c>
      <c r="D69" s="133" t="s">
        <v>86</v>
      </c>
      <c r="E69" s="135"/>
      <c r="F69" s="134" t="s">
        <v>87</v>
      </c>
      <c r="G69" s="134"/>
    </row>
    <row r="70" s="1" customFormat="1" ht="30" customHeight="1" spans="1:9">
      <c r="A70" s="137"/>
      <c r="B70" s="14"/>
      <c r="C70" s="14"/>
      <c r="D70" s="139" t="s">
        <v>95</v>
      </c>
      <c r="E70" s="156" t="s">
        <v>96</v>
      </c>
      <c r="F70" s="141" t="s">
        <v>95</v>
      </c>
      <c r="G70" s="142" t="s">
        <v>96</v>
      </c>
    </row>
    <row r="71" s="1" customFormat="1" ht="27.95" customHeight="1" spans="1:9">
      <c r="A71" s="19" t="s">
        <v>11</v>
      </c>
      <c r="B71" s="20" t="s">
        <v>12</v>
      </c>
      <c r="C71" s="21" t="s">
        <v>13</v>
      </c>
      <c r="D71" s="157">
        <v>217</v>
      </c>
      <c r="E71" s="158">
        <v>1.4</v>
      </c>
      <c r="F71" s="159">
        <f>D71</f>
        <v>217</v>
      </c>
      <c r="G71" s="160">
        <f>E71</f>
        <v>1.4</v>
      </c>
    </row>
    <row r="72" s="1" customFormat="1" ht="27.95" customHeight="1" spans="1:9">
      <c r="A72" s="28" t="s">
        <v>14</v>
      </c>
      <c r="B72" s="42" t="s">
        <v>22</v>
      </c>
      <c r="C72" s="43" t="s">
        <v>23</v>
      </c>
      <c r="D72" s="148"/>
      <c r="E72" s="115"/>
      <c r="F72" s="161">
        <f>D72</f>
        <v>0</v>
      </c>
      <c r="G72" s="162">
        <f>E72</f>
        <v>0</v>
      </c>
    </row>
    <row r="73" s="1" customFormat="1" ht="27.95" customHeight="1" spans="1:9">
      <c r="A73" s="28" t="s">
        <v>19</v>
      </c>
      <c r="B73" s="42" t="s">
        <v>25</v>
      </c>
      <c r="C73" s="43" t="s">
        <v>26</v>
      </c>
      <c r="D73" s="147">
        <f>D72*2.951694</f>
        <v>0</v>
      </c>
      <c r="E73" s="163">
        <f>E72*2.732</f>
        <v>0</v>
      </c>
      <c r="F73" s="161">
        <f>D73+'26.2'!F73</f>
        <v>0</v>
      </c>
      <c r="G73" s="161">
        <f>E73+'26.2'!G73</f>
        <v>0</v>
      </c>
    </row>
    <row r="74" s="1" customFormat="1" ht="27.95" customHeight="1" spans="1:9">
      <c r="A74" s="28" t="s">
        <v>21</v>
      </c>
      <c r="B74" s="42" t="s">
        <v>97</v>
      </c>
      <c r="C74" s="43" t="s">
        <v>98</v>
      </c>
      <c r="D74" s="148"/>
      <c r="E74" s="115"/>
      <c r="F74" s="161">
        <f>D74+'26.2'!F74</f>
        <v>0</v>
      </c>
      <c r="G74" s="161">
        <f>E74+'26.2'!G74</f>
        <v>0</v>
      </c>
    </row>
    <row r="75" s="1" customFormat="1" ht="27.95" customHeight="1" spans="1:9">
      <c r="A75" s="28" t="s">
        <v>24</v>
      </c>
      <c r="B75" s="42" t="s">
        <v>34</v>
      </c>
      <c r="C75" s="43" t="s">
        <v>23</v>
      </c>
      <c r="D75" s="147">
        <f>D74*D80/29308/1000</f>
        <v>0</v>
      </c>
      <c r="E75" s="117">
        <f>E74*E80/29308/1000</f>
        <v>0</v>
      </c>
      <c r="F75" s="161">
        <f>D75+'26.2'!F75</f>
        <v>0</v>
      </c>
      <c r="G75" s="161">
        <f>E75+'26.2'!G75</f>
        <v>0</v>
      </c>
    </row>
    <row r="76" s="1" customFormat="1" ht="27.95" customHeight="1" spans="1:9">
      <c r="A76" s="28" t="s">
        <v>27</v>
      </c>
      <c r="B76" s="42" t="s">
        <v>38</v>
      </c>
      <c r="C76" s="43" t="s">
        <v>23</v>
      </c>
      <c r="D76" s="148"/>
      <c r="E76" s="164"/>
      <c r="F76" s="161">
        <f>D76+'26.2'!F76</f>
        <v>0</v>
      </c>
      <c r="G76" s="161">
        <f>E76+'26.2'!G76</f>
        <v>0</v>
      </c>
    </row>
    <row r="77" s="1" customFormat="1" ht="27.95" customHeight="1" spans="1:9">
      <c r="A77" s="28" t="s">
        <v>29</v>
      </c>
      <c r="B77" s="42" t="s">
        <v>41</v>
      </c>
      <c r="C77" s="43" t="s">
        <v>42</v>
      </c>
      <c r="D77" s="148"/>
      <c r="E77" s="164"/>
      <c r="F77" s="161">
        <f>D77+'26.2'!F77</f>
        <v>0</v>
      </c>
      <c r="G77" s="161">
        <f>E77+'26.2'!G77</f>
        <v>0</v>
      </c>
    </row>
    <row r="78" s="1" customFormat="1" ht="27.95" customHeight="1" spans="1:9">
      <c r="A78" s="28" t="s">
        <v>31</v>
      </c>
      <c r="B78" s="42" t="s">
        <v>52</v>
      </c>
      <c r="C78" s="43" t="s">
        <v>53</v>
      </c>
      <c r="D78" s="165" t="e">
        <f>D77/D73</f>
        <v>#DIV/0!</v>
      </c>
      <c r="E78" s="166"/>
      <c r="F78" s="167" t="e">
        <f>F77/F73</f>
        <v>#DIV/0!</v>
      </c>
      <c r="G78" s="168"/>
    </row>
    <row r="79" s="1" customFormat="1" ht="27.95" customHeight="1" spans="1:9">
      <c r="A79" s="28" t="s">
        <v>33</v>
      </c>
      <c r="B79" s="42" t="s">
        <v>55</v>
      </c>
      <c r="C79" s="43" t="s">
        <v>56</v>
      </c>
      <c r="D79" s="60" t="e">
        <f t="shared" ref="D79:G79" si="32">D75*1000/D73</f>
        <v>#DIV/0!</v>
      </c>
      <c r="E79" s="169" t="e">
        <f t="shared" si="32"/>
        <v>#DIV/0!</v>
      </c>
      <c r="F79" s="170" t="e">
        <f t="shared" si="32"/>
        <v>#DIV/0!</v>
      </c>
      <c r="G79" s="61" t="e">
        <f t="shared" si="32"/>
        <v>#DIV/0!</v>
      </c>
      <c r="H79" s="12"/>
    </row>
    <row r="80" s="1" customFormat="1" ht="27.95" customHeight="1" spans="1:9">
      <c r="A80" s="28" t="s">
        <v>37</v>
      </c>
      <c r="B80" s="42" t="s">
        <v>99</v>
      </c>
      <c r="C80" s="43" t="s">
        <v>100</v>
      </c>
      <c r="D80" s="56"/>
      <c r="E80" s="171"/>
      <c r="F80" s="172" t="e">
        <f>F75*29308*1000/F74</f>
        <v>#DIV/0!</v>
      </c>
      <c r="G80" s="147" t="e">
        <f>G75*29308*1000/G74</f>
        <v>#DIV/0!</v>
      </c>
      <c r="H80" s="12"/>
    </row>
    <row r="81" s="1" customFormat="1" ht="27.95" customHeight="1" spans="1:11">
      <c r="A81" s="28" t="s">
        <v>40</v>
      </c>
      <c r="B81" s="42" t="s">
        <v>67</v>
      </c>
      <c r="C81" s="79" t="s">
        <v>68</v>
      </c>
      <c r="D81" s="80" t="e">
        <f t="shared" ref="D81:G81" si="33">D73/(D75*29.308)</f>
        <v>#DIV/0!</v>
      </c>
      <c r="E81" s="173" t="e">
        <f t="shared" si="33"/>
        <v>#DIV/0!</v>
      </c>
      <c r="F81" s="174" t="e">
        <f t="shared" si="33"/>
        <v>#DIV/0!</v>
      </c>
      <c r="G81" s="81" t="e">
        <f t="shared" si="33"/>
        <v>#DIV/0!</v>
      </c>
      <c r="H81" s="12"/>
    </row>
    <row r="82" s="1" customFormat="1" ht="27.95" customHeight="1" spans="1:11">
      <c r="A82" s="129" t="s">
        <v>47</v>
      </c>
      <c r="B82" s="175" t="s">
        <v>70</v>
      </c>
      <c r="C82" s="176" t="s">
        <v>68</v>
      </c>
      <c r="D82" s="221">
        <f>D73/3.6/D71/(DAY(DATE(2026,4,0))*24)</f>
        <v>0</v>
      </c>
      <c r="E82" s="222">
        <f>E73/3.6/E71/(DAY(DATE(2026,4,0))*24)</f>
        <v>0</v>
      </c>
      <c r="F82" s="223">
        <f>F73/3.6/F71/(DATEDIF(DATE(2026,1,1),DATE(2026,4,1),"D")*24)</f>
        <v>0</v>
      </c>
      <c r="G82" s="224">
        <f>G73/3.6/G71/(DATEDIF(DATE(2026,1,1),DATE(2026,4,1),"D")*24)</f>
        <v>0</v>
      </c>
      <c r="H82" s="12"/>
    </row>
    <row r="83" s="1" customFormat="1" ht="18" customHeight="1" spans="1:11">
      <c r="B83" s="181"/>
      <c r="C83" s="181"/>
      <c r="D83" s="5"/>
    </row>
    <row r="84" s="1" customFormat="1" customHeight="1" spans="1:11">
      <c r="A84" s="108" t="s">
        <v>101</v>
      </c>
      <c r="C84" s="4"/>
      <c r="D84" s="5" t="s">
        <v>84</v>
      </c>
      <c r="E84" s="2"/>
      <c r="F84" s="2"/>
      <c r="G84" s="2"/>
      <c r="H84" s="2"/>
      <c r="I84" s="2"/>
    </row>
    <row r="85" s="1" customFormat="1" customHeight="1" spans="1:11">
      <c r="A85" s="131" t="s">
        <v>0</v>
      </c>
      <c r="B85" s="132" t="s">
        <v>85</v>
      </c>
      <c r="C85" s="132" t="s">
        <v>2</v>
      </c>
      <c r="D85" s="182" t="s">
        <v>86</v>
      </c>
      <c r="E85" s="139" t="s">
        <v>87</v>
      </c>
      <c r="F85" s="182" t="s">
        <v>102</v>
      </c>
      <c r="G85" s="182" t="s">
        <v>103</v>
      </c>
      <c r="H85" s="183"/>
      <c r="I85" s="183"/>
    </row>
    <row r="86" s="1" customFormat="1" customHeight="1" spans="1:11">
      <c r="A86" s="137"/>
      <c r="B86" s="138"/>
      <c r="C86" s="138"/>
      <c r="D86" s="182" t="s">
        <v>104</v>
      </c>
      <c r="E86" s="182" t="s">
        <v>104</v>
      </c>
      <c r="F86" s="182"/>
      <c r="G86" s="182"/>
      <c r="H86" s="183"/>
      <c r="I86" s="184"/>
    </row>
    <row r="87" s="1" customFormat="1" customHeight="1" spans="1:11">
      <c r="A87" s="28" t="s">
        <v>11</v>
      </c>
      <c r="B87" s="29" t="s">
        <v>12</v>
      </c>
      <c r="C87" s="30" t="s">
        <v>13</v>
      </c>
      <c r="D87" s="185">
        <v>0.7888</v>
      </c>
      <c r="E87" s="186">
        <f t="shared" ref="E87:E89" si="34">D87</f>
        <v>0.7888</v>
      </c>
      <c r="F87" s="187">
        <f t="shared" ref="F87:F93" si="35">F55+D87</f>
        <v>13.1888</v>
      </c>
      <c r="G87" s="187">
        <f t="shared" ref="G87:G93" si="36">E87+I55</f>
        <v>13.1888</v>
      </c>
      <c r="H87" s="145"/>
      <c r="I87" s="145"/>
    </row>
    <row r="88" s="1" customFormat="1" customHeight="1" spans="1:11">
      <c r="A88" s="28" t="s">
        <v>14</v>
      </c>
      <c r="B88" s="29" t="s">
        <v>88</v>
      </c>
      <c r="C88" s="30" t="s">
        <v>16</v>
      </c>
      <c r="D88" s="188"/>
      <c r="E88" s="189">
        <f t="shared" si="34"/>
        <v>0</v>
      </c>
      <c r="F88" s="192">
        <f t="shared" si="35"/>
        <v>0</v>
      </c>
      <c r="G88" s="192">
        <f t="shared" si="36"/>
        <v>0</v>
      </c>
      <c r="H88" s="116"/>
      <c r="I88" s="116"/>
    </row>
    <row r="89" s="1" customFormat="1" customHeight="1" spans="1:11">
      <c r="A89" s="28" t="s">
        <v>19</v>
      </c>
      <c r="B89" s="29" t="s">
        <v>89</v>
      </c>
      <c r="C89" s="30" t="s">
        <v>16</v>
      </c>
      <c r="D89" s="188"/>
      <c r="E89" s="189">
        <f t="shared" si="34"/>
        <v>0</v>
      </c>
      <c r="F89" s="192">
        <f t="shared" si="35"/>
        <v>0</v>
      </c>
      <c r="G89" s="192">
        <f t="shared" si="36"/>
        <v>0</v>
      </c>
      <c r="H89" s="116"/>
      <c r="I89" s="116"/>
    </row>
    <row r="90" s="1" customFormat="1" customHeight="1" spans="1:11">
      <c r="A90" s="28" t="s">
        <v>21</v>
      </c>
      <c r="B90" s="42" t="s">
        <v>25</v>
      </c>
      <c r="C90" s="43" t="s">
        <v>26</v>
      </c>
      <c r="D90" s="188"/>
      <c r="E90" s="225">
        <f>D90+'26.2'!E90</f>
        <v>0</v>
      </c>
      <c r="F90" s="192">
        <f t="shared" si="35"/>
        <v>0</v>
      </c>
      <c r="G90" s="192">
        <f t="shared" si="36"/>
        <v>0</v>
      </c>
      <c r="H90" s="116"/>
      <c r="I90" s="116"/>
    </row>
    <row r="91" s="1" customFormat="1" customHeight="1" spans="1:11">
      <c r="A91" s="28" t="s">
        <v>24</v>
      </c>
      <c r="B91" s="42" t="s">
        <v>38</v>
      </c>
      <c r="C91" s="43" t="s">
        <v>23</v>
      </c>
      <c r="D91" s="188"/>
      <c r="E91" s="225">
        <f>D91+'26.2'!E91</f>
        <v>0</v>
      </c>
      <c r="F91" s="192">
        <f t="shared" si="35"/>
        <v>0</v>
      </c>
      <c r="G91" s="192">
        <f t="shared" si="36"/>
        <v>0</v>
      </c>
      <c r="H91" s="116"/>
      <c r="I91" s="116"/>
    </row>
    <row r="92" s="1" customFormat="1" customHeight="1" spans="1:11">
      <c r="A92" s="28" t="s">
        <v>27</v>
      </c>
      <c r="B92" s="42" t="s">
        <v>41</v>
      </c>
      <c r="C92" s="43" t="s">
        <v>42</v>
      </c>
      <c r="D92" s="188"/>
      <c r="E92" s="225">
        <f>D92+'26.2'!E92</f>
        <v>0</v>
      </c>
      <c r="F92" s="192">
        <f t="shared" si="35"/>
        <v>0</v>
      </c>
      <c r="G92" s="192">
        <f t="shared" si="36"/>
        <v>0</v>
      </c>
      <c r="H92" s="116"/>
      <c r="I92" s="116"/>
    </row>
    <row r="93" s="1" customFormat="1" customHeight="1" spans="1:11">
      <c r="A93" s="28"/>
      <c r="B93" s="42" t="s">
        <v>90</v>
      </c>
      <c r="C93" s="43" t="s">
        <v>42</v>
      </c>
      <c r="D93" s="188"/>
      <c r="E93" s="225">
        <f>D93+'26.2'!E93</f>
        <v>0</v>
      </c>
      <c r="F93" s="192">
        <f t="shared" si="35"/>
        <v>0</v>
      </c>
      <c r="G93" s="192">
        <f t="shared" si="36"/>
        <v>0</v>
      </c>
      <c r="H93" s="116"/>
      <c r="I93" s="116"/>
    </row>
    <row r="94" s="1" customFormat="1" customHeight="1" spans="1:11">
      <c r="A94" s="28" t="s">
        <v>29</v>
      </c>
      <c r="B94" s="42" t="s">
        <v>52</v>
      </c>
      <c r="C94" s="43" t="s">
        <v>53</v>
      </c>
      <c r="D94" s="193" t="e">
        <f t="shared" ref="D94:G94" si="37">D92/D90</f>
        <v>#DIV/0!</v>
      </c>
      <c r="E94" s="193" t="e">
        <f t="shared" si="37"/>
        <v>#DIV/0!</v>
      </c>
      <c r="F94" s="193" t="e">
        <f t="shared" si="37"/>
        <v>#DIV/0!</v>
      </c>
      <c r="G94" s="193" t="e">
        <f t="shared" si="37"/>
        <v>#DIV/0!</v>
      </c>
      <c r="H94" s="122"/>
      <c r="I94" s="122"/>
    </row>
    <row r="95" s="1" customFormat="1" customHeight="1" spans="1:11">
      <c r="A95" s="28" t="s">
        <v>31</v>
      </c>
      <c r="B95" s="42" t="s">
        <v>105</v>
      </c>
      <c r="C95" s="79" t="s">
        <v>68</v>
      </c>
      <c r="D95" s="226">
        <f>D90/3.6/D87/(DAY(DATE(2026,4,0))*24)</f>
        <v>0</v>
      </c>
      <c r="E95" s="217">
        <f>E90/3.6/E87/(DATEDIF(DATE(2026,1,1),DATE(2026,4,1),"D")*24)</f>
        <v>0</v>
      </c>
      <c r="F95" s="226">
        <f>F90/3.6/F87/(DAY(DATE(2026,4,0))*24)</f>
        <v>0</v>
      </c>
      <c r="G95" s="217">
        <f>G90/3.6/G87/(DATEDIF(DATE(2026,1,1),DATE(2026,4,1),"D")*24)</f>
        <v>0</v>
      </c>
      <c r="H95" s="195"/>
      <c r="I95" s="195"/>
      <c r="K95" s="196"/>
    </row>
    <row r="96" s="1" customFormat="1" customHeight="1" spans="1:11">
      <c r="A96" s="28" t="s">
        <v>33</v>
      </c>
      <c r="B96" s="42" t="s">
        <v>72</v>
      </c>
      <c r="C96" s="43" t="s">
        <v>73</v>
      </c>
      <c r="D96" s="197" t="e">
        <f t="shared" ref="D96:G96" si="38">D90/D89</f>
        <v>#DIV/0!</v>
      </c>
      <c r="E96" s="197" t="e">
        <f t="shared" si="38"/>
        <v>#DIV/0!</v>
      </c>
      <c r="F96" s="197" t="e">
        <f t="shared" si="38"/>
        <v>#DIV/0!</v>
      </c>
      <c r="G96" s="197" t="e">
        <f t="shared" si="38"/>
        <v>#DIV/0!</v>
      </c>
      <c r="H96" s="126"/>
      <c r="I96" s="126"/>
    </row>
    <row r="97" s="1" customFormat="1" customHeight="1" spans="1:9">
      <c r="A97" s="28" t="s">
        <v>37</v>
      </c>
      <c r="B97" s="42" t="s">
        <v>78</v>
      </c>
      <c r="C97" s="43" t="s">
        <v>79</v>
      </c>
      <c r="D97" s="198" t="e">
        <f t="shared" ref="D97:G97" si="39">D92/D89</f>
        <v>#DIV/0!</v>
      </c>
      <c r="E97" s="198" t="e">
        <f t="shared" si="39"/>
        <v>#DIV/0!</v>
      </c>
      <c r="F97" s="198" t="e">
        <f t="shared" si="39"/>
        <v>#DIV/0!</v>
      </c>
      <c r="G97" s="198" t="e">
        <f t="shared" si="39"/>
        <v>#DIV/0!</v>
      </c>
      <c r="H97" s="128"/>
      <c r="I97" s="128"/>
    </row>
    <row r="98" s="1" customFormat="1" customHeight="1" spans="1:9">
      <c r="A98" s="129" t="s">
        <v>40</v>
      </c>
      <c r="B98" s="97" t="s">
        <v>81</v>
      </c>
      <c r="C98" s="98" t="s">
        <v>76</v>
      </c>
      <c r="D98" s="198" t="e">
        <f t="shared" ref="D98:G98" si="40">D91*1000/D89</f>
        <v>#DIV/0!</v>
      </c>
      <c r="E98" s="198" t="e">
        <f t="shared" si="40"/>
        <v>#DIV/0!</v>
      </c>
      <c r="F98" s="198" t="e">
        <f t="shared" si="40"/>
        <v>#DIV/0!</v>
      </c>
      <c r="G98" s="198" t="e">
        <f t="shared" si="40"/>
        <v>#DIV/0!</v>
      </c>
      <c r="H98" s="128"/>
      <c r="I98" s="128"/>
    </row>
  </sheetData>
  <mergeCells count="20">
    <mergeCell ref="D1:H1"/>
    <mergeCell ref="I1:M1"/>
    <mergeCell ref="D53:F53"/>
    <mergeCell ref="G53:I53"/>
    <mergeCell ref="D69:E69"/>
    <mergeCell ref="F69:G69"/>
    <mergeCell ref="A1:A2"/>
    <mergeCell ref="A53:A54"/>
    <mergeCell ref="A69:A70"/>
    <mergeCell ref="A85:A86"/>
    <mergeCell ref="B1:B2"/>
    <mergeCell ref="B53:B54"/>
    <mergeCell ref="B69:B70"/>
    <mergeCell ref="B85:B86"/>
    <mergeCell ref="C1:C2"/>
    <mergeCell ref="C53:C54"/>
    <mergeCell ref="C69:C70"/>
    <mergeCell ref="C85:C86"/>
    <mergeCell ref="F85:F86"/>
    <mergeCell ref="G85:G86"/>
  </mergeCells>
  <pageMargins left="0.748031496062992" right="0.748031496062992" top="0.984251968503937" bottom="0.984251968503937" header="0.511811023622047" footer="0.511811023622047"/>
  <pageSetup paperSize="9" scale="40" orientation="landscape" horizontalDpi="600" verticalDpi="600"/>
  <headerFooter alignWithMargins="0" scaleWithDoc="0">
    <oddHeader>&amp;C&amp;20 2023年2月份集团各锅炉站生产报表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8"/>
  <sheetViews>
    <sheetView showGridLines="0" zoomScale="70" zoomScaleNormal="70" zoomScaleSheetLayoutView="60" workbookViewId="0">
      <pane xSplit="2" ySplit="2" topLeftCell="C12" activePane="bottomRight" state="frozen"/>
      <selection/>
      <selection pane="topRight"/>
      <selection pane="bottomLeft"/>
      <selection pane="bottomRight" activeCell="L36" sqref="L36"/>
    </sheetView>
  </sheetViews>
  <sheetFormatPr defaultColWidth="8.625" defaultRowHeight="15" customHeight="1"/>
  <cols>
    <col min="1" max="1" width="7.375" style="1" customWidth="1"/>
    <col min="2" max="2" width="19.75" style="1" customWidth="1"/>
    <col min="3" max="3" width="13.5" style="4" customWidth="1"/>
    <col min="4" max="4" width="13.45" style="5" customWidth="1"/>
    <col min="5" max="13" width="13.45" style="1" customWidth="1"/>
    <col min="14" max="14" width="22.2083333333333" style="1"/>
    <col min="15" max="16384" width="8.625" style="1"/>
  </cols>
  <sheetData>
    <row r="1" s="1" customFormat="1" ht="39.95" customHeight="1" spans="1:14">
      <c r="A1" s="6" t="s">
        <v>0</v>
      </c>
      <c r="B1" s="7" t="s">
        <v>1</v>
      </c>
      <c r="C1" s="7" t="s">
        <v>2</v>
      </c>
      <c r="D1" s="8" t="s">
        <v>3</v>
      </c>
      <c r="E1" s="9"/>
      <c r="F1" s="9"/>
      <c r="G1" s="9"/>
      <c r="H1" s="10"/>
      <c r="I1" s="11" t="s">
        <v>4</v>
      </c>
      <c r="J1" s="9"/>
      <c r="K1" s="9"/>
      <c r="L1" s="9"/>
      <c r="M1" s="9"/>
      <c r="N1" s="12"/>
    </row>
    <row r="2" s="1" customFormat="1" ht="39.95" customHeight="1" spans="1:14">
      <c r="A2" s="13"/>
      <c r="B2" s="14"/>
      <c r="C2" s="14"/>
      <c r="D2" s="15" t="s">
        <v>5</v>
      </c>
      <c r="E2" s="15" t="s">
        <v>6</v>
      </c>
      <c r="F2" s="15" t="s">
        <v>7</v>
      </c>
      <c r="G2" s="16" t="s">
        <v>8</v>
      </c>
      <c r="H2" s="17" t="s">
        <v>9</v>
      </c>
      <c r="I2" s="18" t="s">
        <v>5</v>
      </c>
      <c r="J2" s="15" t="s">
        <v>6</v>
      </c>
      <c r="K2" s="15" t="s">
        <v>7</v>
      </c>
      <c r="L2" s="16" t="s">
        <v>10</v>
      </c>
      <c r="M2" s="17" t="s">
        <v>9</v>
      </c>
    </row>
    <row r="3" s="1" customFormat="1" ht="18" customHeight="1" spans="1:14">
      <c r="A3" s="19" t="s">
        <v>11</v>
      </c>
      <c r="B3" s="20" t="s">
        <v>12</v>
      </c>
      <c r="C3" s="21" t="s">
        <v>13</v>
      </c>
      <c r="D3" s="22">
        <v>348</v>
      </c>
      <c r="E3" s="23">
        <v>162</v>
      </c>
      <c r="F3" s="23"/>
      <c r="G3" s="24">
        <v>263</v>
      </c>
      <c r="H3" s="25">
        <f t="shared" ref="H3:H7" si="0">E3+F3+G3</f>
        <v>425</v>
      </c>
      <c r="I3" s="26">
        <f t="shared" ref="I3:L3" si="1">D3</f>
        <v>348</v>
      </c>
      <c r="J3" s="22">
        <f t="shared" si="1"/>
        <v>162</v>
      </c>
      <c r="K3" s="22">
        <f t="shared" si="1"/>
        <v>0</v>
      </c>
      <c r="L3" s="27">
        <f t="shared" si="1"/>
        <v>263</v>
      </c>
      <c r="M3" s="25">
        <f t="shared" ref="M3:M12" si="2">J3+K3+L3</f>
        <v>425</v>
      </c>
      <c r="N3" s="12"/>
    </row>
    <row r="4" s="1" customFormat="1" ht="18" customHeight="1" spans="1:14">
      <c r="A4" s="28" t="s">
        <v>14</v>
      </c>
      <c r="B4" s="29" t="s">
        <v>15</v>
      </c>
      <c r="C4" s="30" t="s">
        <v>16</v>
      </c>
      <c r="D4" s="31" t="s">
        <v>17</v>
      </c>
      <c r="E4" s="32"/>
      <c r="F4" s="33"/>
      <c r="G4" s="34"/>
      <c r="H4" s="35"/>
      <c r="I4" s="36" t="str">
        <f t="shared" ref="I4:L4" si="3">D4</f>
        <v> -   </v>
      </c>
      <c r="J4" s="32">
        <f t="shared" si="3"/>
        <v>0</v>
      </c>
      <c r="K4" s="37">
        <f t="shared" si="3"/>
        <v>0</v>
      </c>
      <c r="L4" s="38">
        <f t="shared" si="3"/>
        <v>0</v>
      </c>
      <c r="M4" s="35">
        <f t="shared" si="2"/>
        <v>0</v>
      </c>
      <c r="N4" s="12"/>
    </row>
    <row r="5" s="1" customFormat="1" ht="18" customHeight="1" spans="1:14">
      <c r="A5" s="28"/>
      <c r="B5" s="29" t="s">
        <v>18</v>
      </c>
      <c r="C5" s="30" t="s">
        <v>16</v>
      </c>
      <c r="D5" s="31" t="s">
        <v>17</v>
      </c>
      <c r="E5" s="33">
        <v>55000</v>
      </c>
      <c r="F5" s="39">
        <v>0</v>
      </c>
      <c r="G5" s="40">
        <v>0</v>
      </c>
      <c r="H5" s="35">
        <f t="shared" si="0"/>
        <v>55000</v>
      </c>
      <c r="I5" s="36" t="str">
        <f t="shared" ref="I5:L5" si="4">D5</f>
        <v> -   </v>
      </c>
      <c r="J5" s="32">
        <f t="shared" si="4"/>
        <v>55000</v>
      </c>
      <c r="K5" s="37">
        <f t="shared" si="4"/>
        <v>0</v>
      </c>
      <c r="L5" s="38">
        <f t="shared" si="4"/>
        <v>0</v>
      </c>
      <c r="M5" s="35">
        <f t="shared" si="2"/>
        <v>55000</v>
      </c>
      <c r="N5" s="12"/>
    </row>
    <row r="6" s="1" customFormat="1" ht="18" customHeight="1" spans="1:14">
      <c r="A6" s="28" t="s">
        <v>19</v>
      </c>
      <c r="B6" s="29" t="s">
        <v>20</v>
      </c>
      <c r="C6" s="30" t="s">
        <v>16</v>
      </c>
      <c r="D6" s="31" t="s">
        <v>17</v>
      </c>
      <c r="E6" s="34">
        <f t="shared" ref="E6:G6" si="5">E4</f>
        <v>0</v>
      </c>
      <c r="F6" s="34">
        <f t="shared" si="5"/>
        <v>0</v>
      </c>
      <c r="G6" s="34">
        <f t="shared" si="5"/>
        <v>0</v>
      </c>
      <c r="H6" s="35">
        <f t="shared" si="0"/>
        <v>0</v>
      </c>
      <c r="I6" s="36" t="str">
        <f t="shared" ref="I6:L6" si="6">D6</f>
        <v> -   </v>
      </c>
      <c r="J6" s="41">
        <f t="shared" si="6"/>
        <v>0</v>
      </c>
      <c r="K6" s="41">
        <f t="shared" si="6"/>
        <v>0</v>
      </c>
      <c r="L6" s="41">
        <f t="shared" si="6"/>
        <v>0</v>
      </c>
      <c r="M6" s="35">
        <f t="shared" si="2"/>
        <v>0</v>
      </c>
      <c r="N6" s="12"/>
    </row>
    <row r="7" s="2" customFormat="1" ht="18" customHeight="1" spans="1:14">
      <c r="A7" s="28" t="s">
        <v>21</v>
      </c>
      <c r="B7" s="42" t="s">
        <v>22</v>
      </c>
      <c r="C7" s="43" t="s">
        <v>23</v>
      </c>
      <c r="D7" s="40">
        <v>0</v>
      </c>
      <c r="E7" s="40">
        <v>0</v>
      </c>
      <c r="F7" s="40">
        <v>0</v>
      </c>
      <c r="G7" s="40"/>
      <c r="H7" s="35">
        <f t="shared" si="0"/>
        <v>0</v>
      </c>
      <c r="I7" s="51">
        <f>D7+'26.3'!I7</f>
        <v>0</v>
      </c>
      <c r="J7" s="51">
        <f>E7+'26.3'!J7</f>
        <v>0</v>
      </c>
      <c r="K7" s="51">
        <f>F7+'26.3'!K7</f>
        <v>0</v>
      </c>
      <c r="L7" s="51">
        <f>G7+'26.3'!L7</f>
        <v>0</v>
      </c>
      <c r="M7" s="35">
        <f t="shared" si="2"/>
        <v>0</v>
      </c>
      <c r="N7" s="45"/>
    </row>
    <row r="8" s="2" customFormat="1" ht="18" customHeight="1" spans="1:14">
      <c r="A8" s="28" t="s">
        <v>24</v>
      </c>
      <c r="B8" s="42" t="s">
        <v>25</v>
      </c>
      <c r="C8" s="43" t="s">
        <v>26</v>
      </c>
      <c r="D8" s="46"/>
      <c r="E8" s="40"/>
      <c r="F8" s="39"/>
      <c r="G8" s="34"/>
      <c r="H8" s="35"/>
      <c r="I8" s="51">
        <f>D8+'26.3'!I8</f>
        <v>0</v>
      </c>
      <c r="J8" s="51">
        <f>E8+'26.3'!J8</f>
        <v>0</v>
      </c>
      <c r="K8" s="51">
        <f>F8+'26.3'!K8</f>
        <v>0</v>
      </c>
      <c r="L8" s="51">
        <f>G8+'26.3'!L8</f>
        <v>0</v>
      </c>
      <c r="M8" s="35">
        <f t="shared" si="2"/>
        <v>0</v>
      </c>
      <c r="N8" s="47"/>
    </row>
    <row r="9" s="2" customFormat="1" ht="18" customHeight="1" spans="1:14">
      <c r="A9" s="28" t="s">
        <v>27</v>
      </c>
      <c r="B9" s="42" t="s">
        <v>28</v>
      </c>
      <c r="C9" s="43" t="s">
        <v>26</v>
      </c>
      <c r="D9" s="40">
        <v>0</v>
      </c>
      <c r="E9" s="48">
        <f>[1]售热量!$I$25</f>
        <v>0</v>
      </c>
      <c r="F9" s="39"/>
      <c r="G9" s="39"/>
      <c r="H9" s="35">
        <f t="shared" ref="H9:H12" si="7">E9+F9+G9</f>
        <v>0</v>
      </c>
      <c r="I9" s="51">
        <f>D9+'26.3'!I9</f>
        <v>0</v>
      </c>
      <c r="J9" s="51">
        <f>E9+'26.3'!J9</f>
        <v>0</v>
      </c>
      <c r="K9" s="51">
        <f>F9+'26.3'!K9</f>
        <v>0</v>
      </c>
      <c r="L9" s="51">
        <f>G9+'26.3'!L9</f>
        <v>0</v>
      </c>
      <c r="M9" s="35">
        <f t="shared" si="2"/>
        <v>0</v>
      </c>
      <c r="N9" s="45"/>
    </row>
    <row r="10" s="2" customFormat="1" ht="18" customHeight="1" spans="1:14">
      <c r="A10" s="28" t="s">
        <v>29</v>
      </c>
      <c r="B10" s="42" t="s">
        <v>30</v>
      </c>
      <c r="C10" s="43" t="s">
        <v>23</v>
      </c>
      <c r="D10" s="40"/>
      <c r="E10" s="33"/>
      <c r="F10" s="39"/>
      <c r="G10" s="34"/>
      <c r="H10" s="35">
        <f t="shared" si="7"/>
        <v>0</v>
      </c>
      <c r="I10" s="51">
        <f>D10+'26.3'!I10</f>
        <v>0</v>
      </c>
      <c r="J10" s="51">
        <f>E10+'26.3'!J10</f>
        <v>0</v>
      </c>
      <c r="K10" s="51">
        <f>F10+'26.3'!K10</f>
        <v>0</v>
      </c>
      <c r="L10" s="51">
        <f>G10+'26.3'!L10</f>
        <v>0</v>
      </c>
      <c r="M10" s="35">
        <f t="shared" si="2"/>
        <v>0</v>
      </c>
      <c r="N10" s="45"/>
    </row>
    <row r="11" s="2" customFormat="1" ht="18" customHeight="1" spans="1:14">
      <c r="A11" s="28" t="s">
        <v>31</v>
      </c>
      <c r="B11" s="42" t="s">
        <v>32</v>
      </c>
      <c r="C11" s="43" t="s">
        <v>23</v>
      </c>
      <c r="D11" s="40"/>
      <c r="E11" s="40"/>
      <c r="F11" s="40"/>
      <c r="G11" s="40"/>
      <c r="H11" s="35">
        <f t="shared" si="7"/>
        <v>0</v>
      </c>
      <c r="I11" s="51">
        <f>D11+'26.3'!I11</f>
        <v>0</v>
      </c>
      <c r="J11" s="51">
        <f>E11+'26.3'!J11</f>
        <v>0</v>
      </c>
      <c r="K11" s="51">
        <f>F11+'26.3'!K11</f>
        <v>0</v>
      </c>
      <c r="L11" s="51">
        <f>G11+'26.3'!L11</f>
        <v>0</v>
      </c>
      <c r="M11" s="35">
        <f t="shared" si="2"/>
        <v>0</v>
      </c>
      <c r="N11" s="45"/>
    </row>
    <row r="12" s="2" customFormat="1" ht="18" customHeight="1" spans="1:14">
      <c r="A12" s="28" t="s">
        <v>33</v>
      </c>
      <c r="B12" s="42" t="s">
        <v>34</v>
      </c>
      <c r="C12" s="43" t="s">
        <v>23</v>
      </c>
      <c r="D12" s="46">
        <f t="shared" ref="D12:G12" si="8">D13+D14</f>
        <v>0</v>
      </c>
      <c r="E12" s="46">
        <f t="shared" si="8"/>
        <v>0</v>
      </c>
      <c r="F12" s="46">
        <f t="shared" si="8"/>
        <v>0</v>
      </c>
      <c r="G12" s="46">
        <f t="shared" si="8"/>
        <v>0</v>
      </c>
      <c r="H12" s="35">
        <f t="shared" si="7"/>
        <v>0</v>
      </c>
      <c r="I12" s="51">
        <f>D12+'26.3'!I12</f>
        <v>0</v>
      </c>
      <c r="J12" s="51">
        <f>E12+'26.3'!J12</f>
        <v>0</v>
      </c>
      <c r="K12" s="51">
        <f>F12+'26.3'!K12</f>
        <v>0</v>
      </c>
      <c r="L12" s="51">
        <f>G12+'26.3'!L12</f>
        <v>0</v>
      </c>
      <c r="M12" s="35">
        <f t="shared" si="2"/>
        <v>0</v>
      </c>
      <c r="N12" s="45"/>
    </row>
    <row r="13" s="2" customFormat="1" ht="18" customHeight="1" spans="1:14">
      <c r="A13" s="28"/>
      <c r="B13" s="42" t="s">
        <v>35</v>
      </c>
      <c r="C13" s="43" t="s">
        <v>23</v>
      </c>
      <c r="D13" s="40"/>
      <c r="E13" s="40"/>
      <c r="F13" s="40"/>
      <c r="G13" s="46"/>
      <c r="H13" s="49"/>
      <c r="I13" s="51">
        <f>D13+'26.3'!I13</f>
        <v>0</v>
      </c>
      <c r="J13" s="51">
        <f>E13+'26.3'!J13</f>
        <v>0</v>
      </c>
      <c r="K13" s="51">
        <f>F13+'26.3'!K13</f>
        <v>0</v>
      </c>
      <c r="L13" s="51">
        <f>G13+'26.3'!L13</f>
        <v>0</v>
      </c>
      <c r="M13" s="49"/>
      <c r="N13" s="45"/>
    </row>
    <row r="14" s="2" customFormat="1" ht="18" customHeight="1" spans="1:14">
      <c r="A14" s="28"/>
      <c r="B14" s="42" t="s">
        <v>36</v>
      </c>
      <c r="C14" s="43" t="s">
        <v>23</v>
      </c>
      <c r="D14" s="46"/>
      <c r="E14" s="40"/>
      <c r="F14" s="40"/>
      <c r="G14" s="40"/>
      <c r="H14" s="49"/>
      <c r="I14" s="51">
        <f>D14+'26.3'!I14</f>
        <v>0</v>
      </c>
      <c r="J14" s="51">
        <f>E14+'26.3'!J14</f>
        <v>0</v>
      </c>
      <c r="K14" s="51">
        <f>F14+'26.3'!K14</f>
        <v>0</v>
      </c>
      <c r="L14" s="51">
        <f>G14+'26.3'!L14</f>
        <v>0</v>
      </c>
      <c r="M14" s="49"/>
      <c r="N14" s="45"/>
    </row>
    <row r="15" s="2" customFormat="1" ht="18" customHeight="1" spans="1:14">
      <c r="A15" s="28" t="s">
        <v>37</v>
      </c>
      <c r="B15" s="42" t="s">
        <v>38</v>
      </c>
      <c r="C15" s="43" t="s">
        <v>23</v>
      </c>
      <c r="D15" s="40"/>
      <c r="E15" s="50"/>
      <c r="F15" s="39"/>
      <c r="G15" s="34"/>
      <c r="H15" s="35"/>
      <c r="I15" s="51">
        <f>D15+'26.3'!I15</f>
        <v>0</v>
      </c>
      <c r="J15" s="51">
        <f>E15+'26.3'!J15</f>
        <v>0</v>
      </c>
      <c r="K15" s="51">
        <f>F15+'26.3'!K15</f>
        <v>0</v>
      </c>
      <c r="L15" s="51">
        <f>G15+'26.3'!L15</f>
        <v>0</v>
      </c>
      <c r="M15" s="35">
        <f t="shared" ref="M15:M17" si="9">J15+K15+L15</f>
        <v>0</v>
      </c>
      <c r="N15" s="45"/>
    </row>
    <row r="16" s="2" customFormat="1" ht="18" customHeight="1" spans="1:14">
      <c r="A16" s="28"/>
      <c r="B16" s="42" t="s">
        <v>39</v>
      </c>
      <c r="C16" s="43" t="s">
        <v>23</v>
      </c>
      <c r="D16" s="40"/>
      <c r="E16" s="50"/>
      <c r="F16" s="39"/>
      <c r="G16" s="39"/>
      <c r="H16" s="35"/>
      <c r="I16" s="51">
        <f>D16+'26.3'!I16</f>
        <v>0</v>
      </c>
      <c r="J16" s="51">
        <f>E16+'26.3'!J16</f>
        <v>0</v>
      </c>
      <c r="K16" s="51">
        <f>F16+'26.3'!K16</f>
        <v>0</v>
      </c>
      <c r="L16" s="51">
        <f>G16+'26.3'!L16</f>
        <v>0</v>
      </c>
      <c r="M16" s="35">
        <f t="shared" si="9"/>
        <v>0</v>
      </c>
      <c r="N16" s="45"/>
    </row>
    <row r="17" s="2" customFormat="1" ht="18" customHeight="1" spans="1:14">
      <c r="A17" s="28" t="s">
        <v>40</v>
      </c>
      <c r="B17" s="42" t="s">
        <v>41</v>
      </c>
      <c r="C17" s="43" t="s">
        <v>42</v>
      </c>
      <c r="D17" s="46"/>
      <c r="E17" s="50"/>
      <c r="F17" s="39"/>
      <c r="G17" s="34"/>
      <c r="H17" s="35"/>
      <c r="I17" s="51">
        <f>D17+'26.3'!I17</f>
        <v>0</v>
      </c>
      <c r="J17" s="51">
        <f>E17+'26.3'!J17</f>
        <v>0</v>
      </c>
      <c r="K17" s="51"/>
      <c r="L17" s="51">
        <f>G17+'26.3'!L17</f>
        <v>0</v>
      </c>
      <c r="M17" s="35">
        <f t="shared" si="9"/>
        <v>0</v>
      </c>
      <c r="N17" s="45"/>
    </row>
    <row r="18" s="2" customFormat="1" ht="18" customHeight="1" spans="1:14">
      <c r="A18" s="28"/>
      <c r="B18" s="42" t="s">
        <v>43</v>
      </c>
      <c r="C18" s="43" t="s">
        <v>42</v>
      </c>
      <c r="D18" s="40"/>
      <c r="E18" s="50"/>
      <c r="F18" s="39"/>
      <c r="G18" s="39"/>
      <c r="H18" s="49"/>
      <c r="I18" s="51">
        <f>D18+'26.3'!I18</f>
        <v>0</v>
      </c>
      <c r="J18" s="51">
        <f>E18+'26.3'!J18</f>
        <v>0</v>
      </c>
      <c r="K18" s="51">
        <f>F18+'26.3'!K18</f>
        <v>0</v>
      </c>
      <c r="L18" s="51">
        <f>G18+'26.3'!L18</f>
        <v>0</v>
      </c>
      <c r="M18" s="49"/>
      <c r="N18" s="45"/>
    </row>
    <row r="19" s="2" customFormat="1" ht="18" customHeight="1" spans="1:14">
      <c r="A19" s="28"/>
      <c r="B19" s="42" t="s">
        <v>44</v>
      </c>
      <c r="C19" s="43" t="s">
        <v>42</v>
      </c>
      <c r="D19" s="40"/>
      <c r="E19" s="34"/>
      <c r="F19" s="34"/>
      <c r="G19" s="34"/>
      <c r="H19" s="49"/>
      <c r="I19" s="51">
        <f>D19+'26.3'!I19</f>
        <v>0</v>
      </c>
      <c r="J19" s="52"/>
      <c r="K19" s="51">
        <f>F19+'26.3'!K19</f>
        <v>0</v>
      </c>
      <c r="L19" s="51">
        <f>G19+'26.3'!L19</f>
        <v>0</v>
      </c>
      <c r="M19" s="49"/>
      <c r="N19" s="45"/>
    </row>
    <row r="20" s="2" customFormat="1" ht="18" customHeight="1" spans="1:14">
      <c r="A20" s="28"/>
      <c r="B20" s="42" t="s">
        <v>45</v>
      </c>
      <c r="C20" s="43" t="s">
        <v>23</v>
      </c>
      <c r="D20" s="40"/>
      <c r="E20" s="50"/>
      <c r="F20" s="39"/>
      <c r="G20" s="39"/>
      <c r="H20" s="49"/>
      <c r="I20" s="51">
        <f>D20+'26.3'!I20</f>
        <v>0</v>
      </c>
      <c r="J20" s="51">
        <f>E20+'26.3'!J20</f>
        <v>0</v>
      </c>
      <c r="K20" s="51">
        <f>F20+'26.3'!K20</f>
        <v>0</v>
      </c>
      <c r="L20" s="51">
        <f>G20+'26.3'!L20</f>
        <v>0</v>
      </c>
      <c r="M20" s="49"/>
      <c r="N20" s="45"/>
    </row>
    <row r="21" s="2" customFormat="1" ht="18" customHeight="1" spans="1:14">
      <c r="A21" s="28"/>
      <c r="B21" s="42" t="s">
        <v>46</v>
      </c>
      <c r="C21" s="43" t="s">
        <v>42</v>
      </c>
      <c r="D21" s="40"/>
      <c r="E21" s="50"/>
      <c r="F21" s="39"/>
      <c r="G21" s="39"/>
      <c r="H21" s="49"/>
      <c r="I21" s="51">
        <f>D21+'26.3'!I21</f>
        <v>0</v>
      </c>
      <c r="J21" s="51">
        <f>E21+'26.3'!J21</f>
        <v>0</v>
      </c>
      <c r="K21" s="51">
        <f>F21+'26.3'!K21</f>
        <v>0</v>
      </c>
      <c r="L21" s="51">
        <f>G21+'26.3'!L21</f>
        <v>0</v>
      </c>
      <c r="M21" s="49"/>
      <c r="N21" s="45"/>
    </row>
    <row r="22" s="2" customFormat="1" customHeight="1" spans="1:14">
      <c r="A22" s="53" t="s">
        <v>47</v>
      </c>
      <c r="B22" s="54" t="s">
        <v>48</v>
      </c>
      <c r="C22" s="55" t="s">
        <v>23</v>
      </c>
      <c r="D22" s="56"/>
      <c r="E22" s="57"/>
      <c r="F22" s="57"/>
      <c r="G22" s="57"/>
      <c r="H22" s="58"/>
      <c r="I22" s="51">
        <f>D22+'26.3'!I22</f>
        <v>0</v>
      </c>
      <c r="J22" s="51">
        <f>E22+'26.3'!J22</f>
        <v>0</v>
      </c>
      <c r="K22" s="51">
        <f>F22+'26.3'!K22</f>
        <v>0</v>
      </c>
      <c r="L22" s="51">
        <f>G22+'26.3'!L22</f>
        <v>0</v>
      </c>
      <c r="M22" s="59">
        <f t="shared" ref="M22:M27" si="10">J22+K22+L22</f>
        <v>0</v>
      </c>
      <c r="N22" s="1"/>
    </row>
    <row r="23" s="2" customFormat="1" ht="21" customHeight="1" spans="1:14">
      <c r="A23" s="53" t="s">
        <v>49</v>
      </c>
      <c r="B23" s="54" t="s">
        <v>50</v>
      </c>
      <c r="C23" s="55" t="s">
        <v>23</v>
      </c>
      <c r="D23" s="56"/>
      <c r="E23" s="57"/>
      <c r="F23" s="57"/>
      <c r="G23" s="57"/>
      <c r="H23" s="58"/>
      <c r="I23" s="51">
        <f>D23+'26.3'!I23</f>
        <v>0</v>
      </c>
      <c r="J23" s="51">
        <f>E23+'26.3'!J23</f>
        <v>0</v>
      </c>
      <c r="K23" s="51">
        <f>F23+'26.3'!K23</f>
        <v>0</v>
      </c>
      <c r="L23" s="51">
        <f>G23+'26.3'!L23</f>
        <v>0</v>
      </c>
      <c r="M23" s="59">
        <f t="shared" si="10"/>
        <v>0</v>
      </c>
      <c r="N23" s="1"/>
    </row>
    <row r="24" s="2" customFormat="1" ht="18" customHeight="1" spans="1:14">
      <c r="A24" s="53" t="s">
        <v>51</v>
      </c>
      <c r="B24" s="42" t="s">
        <v>52</v>
      </c>
      <c r="C24" s="43" t="s">
        <v>53</v>
      </c>
      <c r="D24" s="60" t="e">
        <f t="shared" ref="D24:M24" si="11">D17/D8</f>
        <v>#DIV/0!</v>
      </c>
      <c r="E24" s="60" t="e">
        <f t="shared" si="11"/>
        <v>#DIV/0!</v>
      </c>
      <c r="F24" s="60" t="e">
        <f t="shared" si="11"/>
        <v>#DIV/0!</v>
      </c>
      <c r="G24" s="60" t="e">
        <f t="shared" si="11"/>
        <v>#DIV/0!</v>
      </c>
      <c r="H24" s="61" t="e">
        <f t="shared" si="11"/>
        <v>#DIV/0!</v>
      </c>
      <c r="I24" s="62" t="e">
        <f t="shared" si="11"/>
        <v>#DIV/0!</v>
      </c>
      <c r="J24" s="60" t="e">
        <f t="shared" si="11"/>
        <v>#DIV/0!</v>
      </c>
      <c r="K24" s="60" t="e">
        <f t="shared" si="11"/>
        <v>#DIV/0!</v>
      </c>
      <c r="L24" s="60" t="e">
        <f t="shared" si="11"/>
        <v>#DIV/0!</v>
      </c>
      <c r="M24" s="61" t="e">
        <f t="shared" si="11"/>
        <v>#DIV/0!</v>
      </c>
      <c r="N24" s="45"/>
    </row>
    <row r="25" s="2" customFormat="1" ht="18" customHeight="1" spans="1:14">
      <c r="A25" s="53" t="s">
        <v>54</v>
      </c>
      <c r="B25" s="42" t="s">
        <v>55</v>
      </c>
      <c r="C25" s="43" t="s">
        <v>56</v>
      </c>
      <c r="D25" s="60" t="e">
        <f t="shared" ref="D25:M25" si="12">D12*1000/D8</f>
        <v>#DIV/0!</v>
      </c>
      <c r="E25" s="60" t="e">
        <f t="shared" si="12"/>
        <v>#DIV/0!</v>
      </c>
      <c r="F25" s="60" t="e">
        <f t="shared" si="12"/>
        <v>#DIV/0!</v>
      </c>
      <c r="G25" s="60" t="e">
        <f t="shared" si="12"/>
        <v>#DIV/0!</v>
      </c>
      <c r="H25" s="61" t="e">
        <f t="shared" si="12"/>
        <v>#DIV/0!</v>
      </c>
      <c r="I25" s="62" t="e">
        <f t="shared" si="12"/>
        <v>#DIV/0!</v>
      </c>
      <c r="J25" s="60" t="e">
        <f t="shared" si="12"/>
        <v>#DIV/0!</v>
      </c>
      <c r="K25" s="60" t="e">
        <f t="shared" si="12"/>
        <v>#DIV/0!</v>
      </c>
      <c r="L25" s="60" t="e">
        <f t="shared" si="12"/>
        <v>#DIV/0!</v>
      </c>
      <c r="M25" s="61" t="e">
        <f t="shared" si="12"/>
        <v>#DIV/0!</v>
      </c>
      <c r="N25" s="45"/>
    </row>
    <row r="26" s="3" customFormat="1" ht="18" customHeight="1" spans="1:14">
      <c r="A26" s="53" t="s">
        <v>57</v>
      </c>
      <c r="B26" s="42" t="s">
        <v>58</v>
      </c>
      <c r="C26" s="63" t="s">
        <v>23</v>
      </c>
      <c r="D26" s="56"/>
      <c r="E26" s="64"/>
      <c r="F26" s="65"/>
      <c r="G26" s="34"/>
      <c r="H26" s="66"/>
      <c r="I26" s="51">
        <f>D26+'26.3'!I26</f>
        <v>0</v>
      </c>
      <c r="J26" s="51">
        <f>E26+'26.3'!J26</f>
        <v>0</v>
      </c>
      <c r="K26" s="51">
        <f>F26+'26.3'!K26</f>
        <v>0</v>
      </c>
      <c r="L26" s="51">
        <f>G26+'26.3'!L26</f>
        <v>0</v>
      </c>
      <c r="M26" s="66">
        <f t="shared" si="10"/>
        <v>0</v>
      </c>
      <c r="N26" s="67"/>
    </row>
    <row r="27" s="3" customFormat="1" ht="18" customHeight="1" spans="1:14">
      <c r="A27" s="53" t="s">
        <v>59</v>
      </c>
      <c r="B27" s="42" t="s">
        <v>60</v>
      </c>
      <c r="C27" s="63" t="s">
        <v>23</v>
      </c>
      <c r="D27" s="50"/>
      <c r="E27" s="68">
        <f>J27</f>
        <v>12569.7</v>
      </c>
      <c r="F27" s="68"/>
      <c r="G27" s="68">
        <f>L27</f>
        <v>1108.50000000002</v>
      </c>
      <c r="H27" s="69"/>
      <c r="I27" s="70">
        <f>D27</f>
        <v>0</v>
      </c>
      <c r="J27" s="205">
        <f>'26.3'!J27+E26-E10</f>
        <v>12569.7</v>
      </c>
      <c r="K27" s="205">
        <f>'26.3'!K27+F26-F10</f>
        <v>0</v>
      </c>
      <c r="L27" s="205">
        <f>'26.3'!L27+G26-G10</f>
        <v>1108.50000000002</v>
      </c>
      <c r="M27" s="72">
        <f t="shared" si="10"/>
        <v>13678.2</v>
      </c>
      <c r="N27" s="67"/>
    </row>
    <row r="28" s="2" customFormat="1" ht="18" customHeight="1" spans="1:14">
      <c r="A28" s="53" t="s">
        <v>61</v>
      </c>
      <c r="B28" s="42" t="s">
        <v>62</v>
      </c>
      <c r="C28" s="43" t="s">
        <v>63</v>
      </c>
      <c r="D28" s="73" t="e">
        <f>D13*29308/D10</f>
        <v>#DIV/0!</v>
      </c>
      <c r="E28" s="73" t="e">
        <f t="shared" ref="E28:H28" si="13">E12*29308/E10</f>
        <v>#DIV/0!</v>
      </c>
      <c r="F28" s="73" t="e">
        <f t="shared" si="13"/>
        <v>#DIV/0!</v>
      </c>
      <c r="G28" s="73" t="e">
        <f t="shared" si="13"/>
        <v>#DIV/0!</v>
      </c>
      <c r="H28" s="73" t="e">
        <f t="shared" si="13"/>
        <v>#DIV/0!</v>
      </c>
      <c r="I28" s="74" t="e">
        <f>I13*29308/I10</f>
        <v>#DIV/0!</v>
      </c>
      <c r="J28" s="46" t="e">
        <f t="shared" ref="J28:M28" si="14">J12*29308/J10</f>
        <v>#DIV/0!</v>
      </c>
      <c r="K28" s="46" t="e">
        <f t="shared" si="14"/>
        <v>#DIV/0!</v>
      </c>
      <c r="L28" s="46" t="e">
        <f t="shared" si="14"/>
        <v>#DIV/0!</v>
      </c>
      <c r="M28" s="73" t="e">
        <f t="shared" si="14"/>
        <v>#DIV/0!</v>
      </c>
      <c r="N28" s="45"/>
    </row>
    <row r="29" s="2" customFormat="1" ht="18" customHeight="1" spans="1:14">
      <c r="A29" s="53" t="s">
        <v>64</v>
      </c>
      <c r="B29" s="42" t="s">
        <v>65</v>
      </c>
      <c r="C29" s="43" t="s">
        <v>63</v>
      </c>
      <c r="D29" s="75"/>
      <c r="E29" s="40"/>
      <c r="F29" s="40"/>
      <c r="G29" s="76"/>
      <c r="H29" s="77"/>
      <c r="I29" s="78"/>
      <c r="J29" s="40"/>
      <c r="K29" s="40"/>
      <c r="L29" s="76"/>
      <c r="M29" s="77"/>
      <c r="N29" s="45"/>
    </row>
    <row r="30" s="2" customFormat="1" ht="18" customHeight="1" spans="1:14">
      <c r="A30" s="53" t="s">
        <v>66</v>
      </c>
      <c r="B30" s="42" t="s">
        <v>67</v>
      </c>
      <c r="C30" s="79" t="s">
        <v>68</v>
      </c>
      <c r="D30" s="80" t="e">
        <f t="shared" ref="D30:M30" si="15">D8/(D12*29.308)</f>
        <v>#DIV/0!</v>
      </c>
      <c r="E30" s="80" t="e">
        <f t="shared" si="15"/>
        <v>#DIV/0!</v>
      </c>
      <c r="F30" s="80" t="e">
        <f t="shared" si="15"/>
        <v>#DIV/0!</v>
      </c>
      <c r="G30" s="80" t="e">
        <f>(G8-G36)/(G12*29.308)</f>
        <v>#DIV/0!</v>
      </c>
      <c r="H30" s="81" t="e">
        <f t="shared" si="15"/>
        <v>#DIV/0!</v>
      </c>
      <c r="I30" s="82" t="e">
        <f t="shared" si="15"/>
        <v>#DIV/0!</v>
      </c>
      <c r="J30" s="80" t="e">
        <f t="shared" si="15"/>
        <v>#DIV/0!</v>
      </c>
      <c r="K30" s="80" t="e">
        <f t="shared" si="15"/>
        <v>#DIV/0!</v>
      </c>
      <c r="L30" s="80" t="e">
        <f t="shared" si="15"/>
        <v>#DIV/0!</v>
      </c>
      <c r="M30" s="81" t="e">
        <f t="shared" si="15"/>
        <v>#DIV/0!</v>
      </c>
      <c r="N30" s="45"/>
    </row>
    <row r="31" s="2" customFormat="1" ht="18" customHeight="1" spans="1:14">
      <c r="A31" s="53" t="s">
        <v>69</v>
      </c>
      <c r="B31" s="42" t="s">
        <v>70</v>
      </c>
      <c r="C31" s="79" t="s">
        <v>68</v>
      </c>
      <c r="D31" s="206">
        <f t="shared" ref="D31:H31" si="16">D8/3.6/D3/(5*24)</f>
        <v>0</v>
      </c>
      <c r="E31" s="206">
        <f t="shared" si="16"/>
        <v>0</v>
      </c>
      <c r="F31" s="206" t="e">
        <f t="shared" si="16"/>
        <v>#DIV/0!</v>
      </c>
      <c r="G31" s="207">
        <f>(G8-G36)/3.6/G3/(DAY(DATE(2026,5,0))*24)</f>
        <v>0</v>
      </c>
      <c r="H31" s="208">
        <f t="shared" si="16"/>
        <v>0</v>
      </c>
      <c r="I31" s="85">
        <f>I8/3.6/I3/(DATEDIF(DATE(2026,1,1),DATE(2026,5,1),"D")*24)</f>
        <v>0</v>
      </c>
      <c r="J31" s="83">
        <f>J8/3.6/J3/(DATEDIF(DATE(2026,1,1),DATE(2026,5,1),"D")*24)</f>
        <v>0</v>
      </c>
      <c r="K31" s="83" t="e">
        <f>K8/3.6/K3/(DATEDIF(DATE(2026,1,1),DATE(2026,5,1),"D")*24)</f>
        <v>#DIV/0!</v>
      </c>
      <c r="L31" s="83">
        <f>(L8-L36)/3.6/L3/(DATEDIF(DATE(2026,1,1),DATE(2026,5,1),"D")*24)</f>
        <v>0</v>
      </c>
      <c r="M31" s="84">
        <f>M8/3.6/M3/(DATEDIF(DATE(2026,1,1),DATE(2026,5,1),"D")*24)</f>
        <v>0</v>
      </c>
      <c r="N31" s="45"/>
    </row>
    <row r="32" s="2" customFormat="1" ht="18" customHeight="1" spans="1:14">
      <c r="A32" s="53" t="s">
        <v>71</v>
      </c>
      <c r="B32" s="42" t="s">
        <v>72</v>
      </c>
      <c r="C32" s="43" t="s">
        <v>73</v>
      </c>
      <c r="D32" s="86"/>
      <c r="E32" s="87" t="e">
        <f t="shared" ref="E32:H32" si="17">E8/E6</f>
        <v>#DIV/0!</v>
      </c>
      <c r="F32" s="87" t="e">
        <f t="shared" si="17"/>
        <v>#DIV/0!</v>
      </c>
      <c r="G32" s="87" t="e">
        <f t="shared" si="17"/>
        <v>#DIV/0!</v>
      </c>
      <c r="H32" s="87" t="e">
        <f t="shared" si="17"/>
        <v>#DIV/0!</v>
      </c>
      <c r="I32" s="88"/>
      <c r="J32" s="87" t="e">
        <f t="shared" ref="J32:M32" si="18">J8/J6</f>
        <v>#DIV/0!</v>
      </c>
      <c r="K32" s="87" t="e">
        <f t="shared" si="18"/>
        <v>#DIV/0!</v>
      </c>
      <c r="L32" s="87" t="e">
        <f t="shared" si="18"/>
        <v>#DIV/0!</v>
      </c>
      <c r="M32" s="89" t="e">
        <f t="shared" si="18"/>
        <v>#DIV/0!</v>
      </c>
      <c r="N32" s="45"/>
    </row>
    <row r="33" s="2" customFormat="1" ht="18" customHeight="1" spans="1:14">
      <c r="A33" s="53" t="s">
        <v>74</v>
      </c>
      <c r="B33" s="42" t="s">
        <v>75</v>
      </c>
      <c r="C33" s="43" t="s">
        <v>76</v>
      </c>
      <c r="D33" s="90"/>
      <c r="E33" s="91" t="e">
        <f t="shared" ref="E33:H33" si="19">E12*1000/E6</f>
        <v>#DIV/0!</v>
      </c>
      <c r="F33" s="91" t="e">
        <f t="shared" si="19"/>
        <v>#DIV/0!</v>
      </c>
      <c r="G33" s="91" t="e">
        <f t="shared" si="19"/>
        <v>#DIV/0!</v>
      </c>
      <c r="H33" s="92" t="e">
        <f t="shared" si="19"/>
        <v>#DIV/0!</v>
      </c>
      <c r="I33" s="93"/>
      <c r="J33" s="91" t="e">
        <f t="shared" ref="J33:M33" si="20">J12*1000/J6</f>
        <v>#DIV/0!</v>
      </c>
      <c r="K33" s="91" t="e">
        <f t="shared" si="20"/>
        <v>#DIV/0!</v>
      </c>
      <c r="L33" s="91" t="e">
        <f t="shared" si="20"/>
        <v>#DIV/0!</v>
      </c>
      <c r="M33" s="92" t="e">
        <f t="shared" si="20"/>
        <v>#DIV/0!</v>
      </c>
      <c r="N33" s="45"/>
    </row>
    <row r="34" s="2" customFormat="1" ht="18" customHeight="1" spans="1:14">
      <c r="A34" s="53" t="s">
        <v>77</v>
      </c>
      <c r="B34" s="42" t="s">
        <v>78</v>
      </c>
      <c r="C34" s="43" t="s">
        <v>79</v>
      </c>
      <c r="D34" s="94"/>
      <c r="E34" s="91" t="e">
        <f t="shared" ref="E34:H34" si="21">E17/E6</f>
        <v>#DIV/0!</v>
      </c>
      <c r="F34" s="91" t="e">
        <f t="shared" si="21"/>
        <v>#DIV/0!</v>
      </c>
      <c r="G34" s="91" t="e">
        <f t="shared" si="21"/>
        <v>#DIV/0!</v>
      </c>
      <c r="H34" s="92" t="e">
        <f t="shared" si="21"/>
        <v>#DIV/0!</v>
      </c>
      <c r="I34" s="95"/>
      <c r="J34" s="91" t="e">
        <f t="shared" ref="J34:M34" si="22">J17/J6</f>
        <v>#DIV/0!</v>
      </c>
      <c r="K34" s="91" t="e">
        <f t="shared" si="22"/>
        <v>#DIV/0!</v>
      </c>
      <c r="L34" s="91" t="e">
        <f t="shared" si="22"/>
        <v>#DIV/0!</v>
      </c>
      <c r="M34" s="92" t="e">
        <f t="shared" si="22"/>
        <v>#DIV/0!</v>
      </c>
      <c r="N34" s="45"/>
    </row>
    <row r="35" s="2" customFormat="1" ht="18" customHeight="1" spans="1:14">
      <c r="A35" s="96" t="s">
        <v>80</v>
      </c>
      <c r="B35" s="97" t="s">
        <v>81</v>
      </c>
      <c r="C35" s="98" t="s">
        <v>76</v>
      </c>
      <c r="D35" s="99"/>
      <c r="E35" s="100" t="e">
        <f t="shared" ref="E35:H35" si="23">E15*1000/E6</f>
        <v>#DIV/0!</v>
      </c>
      <c r="F35" s="100" t="e">
        <f t="shared" si="23"/>
        <v>#DIV/0!</v>
      </c>
      <c r="G35" s="100" t="e">
        <f t="shared" si="23"/>
        <v>#DIV/0!</v>
      </c>
      <c r="H35" s="101" t="e">
        <f t="shared" si="23"/>
        <v>#DIV/0!</v>
      </c>
      <c r="I35" s="102"/>
      <c r="J35" s="100" t="e">
        <f t="shared" ref="J35:M35" si="24">J15*1000/J6</f>
        <v>#DIV/0!</v>
      </c>
      <c r="K35" s="100" t="e">
        <f t="shared" si="24"/>
        <v>#DIV/0!</v>
      </c>
      <c r="L35" s="100" t="e">
        <f t="shared" si="24"/>
        <v>#DIV/0!</v>
      </c>
      <c r="M35" s="101" t="e">
        <f t="shared" si="24"/>
        <v>#DIV/0!</v>
      </c>
      <c r="N35" s="45"/>
    </row>
    <row r="36" s="2" customFormat="1" ht="21" customHeight="1" spans="1:14">
      <c r="A36" s="103"/>
      <c r="B36" s="104" t="s">
        <v>82</v>
      </c>
      <c r="C36" s="105" t="s">
        <v>26</v>
      </c>
      <c r="D36" s="106"/>
      <c r="E36" s="106"/>
      <c r="F36" s="106"/>
      <c r="G36" s="106"/>
      <c r="H36" s="107"/>
      <c r="I36" s="106"/>
      <c r="J36" s="106"/>
      <c r="K36" s="106"/>
      <c r="L36" s="51">
        <f>G36+'26.3'!L36</f>
        <v>0</v>
      </c>
      <c r="M36" s="107"/>
    </row>
    <row r="37" s="1" customFormat="1" ht="29.25" customHeight="1" spans="1:14">
      <c r="A37" s="108" t="s">
        <v>83</v>
      </c>
      <c r="C37" s="4"/>
      <c r="D37" s="5" t="s">
        <v>84</v>
      </c>
      <c r="E37" s="2"/>
      <c r="F37" s="2"/>
      <c r="G37" s="2"/>
      <c r="H37" s="2"/>
      <c r="I37" s="2"/>
      <c r="J37" s="2"/>
    </row>
    <row r="38" s="1" customFormat="1" ht="31.5" customHeight="1" spans="1:14">
      <c r="A38" s="109" t="s">
        <v>0</v>
      </c>
      <c r="B38" s="110" t="s">
        <v>85</v>
      </c>
      <c r="C38" s="110" t="s">
        <v>2</v>
      </c>
      <c r="D38" s="111" t="s">
        <v>86</v>
      </c>
      <c r="E38" s="112" t="s">
        <v>87</v>
      </c>
      <c r="F38" s="2"/>
      <c r="G38" s="2"/>
      <c r="H38" s="2"/>
    </row>
    <row r="39" s="1" customFormat="1" ht="27.95" customHeight="1" spans="1:14">
      <c r="A39" s="28" t="s">
        <v>11</v>
      </c>
      <c r="B39" s="29" t="s">
        <v>12</v>
      </c>
      <c r="C39" s="30" t="s">
        <v>13</v>
      </c>
      <c r="D39" s="113">
        <v>0.55</v>
      </c>
      <c r="E39" s="114">
        <v>0.55</v>
      </c>
      <c r="F39" s="2"/>
      <c r="G39" s="2"/>
      <c r="H39" s="2"/>
    </row>
    <row r="40" s="1" customFormat="1" ht="27.95" customHeight="1" spans="1:14">
      <c r="A40" s="28" t="s">
        <v>14</v>
      </c>
      <c r="B40" s="29" t="s">
        <v>88</v>
      </c>
      <c r="C40" s="30" t="s">
        <v>16</v>
      </c>
      <c r="D40" s="115"/>
      <c r="E40" s="116">
        <f>D40</f>
        <v>0</v>
      </c>
      <c r="F40" s="45"/>
      <c r="G40" s="45"/>
      <c r="H40" s="2"/>
    </row>
    <row r="41" s="1" customFormat="1" ht="27.95" customHeight="1" spans="1:14">
      <c r="A41" s="28" t="s">
        <v>19</v>
      </c>
      <c r="B41" s="29" t="s">
        <v>89</v>
      </c>
      <c r="C41" s="30" t="s">
        <v>16</v>
      </c>
      <c r="D41" s="117"/>
      <c r="E41" s="118">
        <f>D41</f>
        <v>0</v>
      </c>
      <c r="F41" s="45"/>
      <c r="G41" s="45"/>
      <c r="H41" s="2"/>
    </row>
    <row r="42" s="1" customFormat="1" ht="27.95" customHeight="1" spans="1:14">
      <c r="A42" s="28" t="s">
        <v>21</v>
      </c>
      <c r="B42" s="42" t="s">
        <v>25</v>
      </c>
      <c r="C42" s="43" t="s">
        <v>26</v>
      </c>
      <c r="D42" s="119"/>
      <c r="E42" s="209">
        <f>D42+'26.3'!E42</f>
        <v>441</v>
      </c>
      <c r="F42" s="45"/>
      <c r="G42" s="45"/>
      <c r="H42" s="2"/>
    </row>
    <row r="43" s="1" customFormat="1" ht="27.95" customHeight="1" spans="1:14">
      <c r="A43" s="28" t="s">
        <v>24</v>
      </c>
      <c r="B43" s="42" t="s">
        <v>38</v>
      </c>
      <c r="C43" s="43" t="s">
        <v>23</v>
      </c>
      <c r="D43" s="115"/>
      <c r="E43" s="209">
        <f>D43+'26.3'!E43</f>
        <v>3</v>
      </c>
      <c r="F43" s="45"/>
      <c r="G43" s="45"/>
      <c r="H43" s="2"/>
    </row>
    <row r="44" s="1" customFormat="1" ht="27.95" customHeight="1" spans="1:14">
      <c r="A44" s="28" t="s">
        <v>27</v>
      </c>
      <c r="B44" s="42" t="s">
        <v>41</v>
      </c>
      <c r="C44" s="43" t="s">
        <v>42</v>
      </c>
      <c r="D44" s="115"/>
      <c r="E44" s="209">
        <f>D44+'26.3'!E44</f>
        <v>132840.000000001</v>
      </c>
      <c r="F44" s="45"/>
      <c r="G44" s="45"/>
      <c r="H44" s="2"/>
    </row>
    <row r="45" s="1" customFormat="1" ht="27.95" customHeight="1" spans="1:14">
      <c r="A45" s="28"/>
      <c r="B45" s="42" t="s">
        <v>90</v>
      </c>
      <c r="C45" s="43" t="s">
        <v>42</v>
      </c>
      <c r="D45" s="115">
        <f>D44</f>
        <v>0</v>
      </c>
      <c r="E45" s="209">
        <f>D45+'26.3'!E45</f>
        <v>132840.000000001</v>
      </c>
      <c r="F45" s="45"/>
      <c r="G45" s="45"/>
      <c r="H45" s="2"/>
    </row>
    <row r="46" s="1" customFormat="1" ht="27.95" customHeight="1" spans="1:14">
      <c r="A46" s="28" t="s">
        <v>29</v>
      </c>
      <c r="B46" s="42" t="s">
        <v>52</v>
      </c>
      <c r="C46" s="43" t="s">
        <v>53</v>
      </c>
      <c r="D46" s="121" t="e">
        <f>D44/D42</f>
        <v>#DIV/0!</v>
      </c>
      <c r="E46" s="122">
        <f>E44/E42</f>
        <v>301.224489795921</v>
      </c>
      <c r="F46" s="45"/>
      <c r="G46" s="45"/>
      <c r="H46" s="2"/>
    </row>
    <row r="47" s="1" customFormat="1" ht="27.95" customHeight="1" spans="1:14">
      <c r="A47" s="28" t="s">
        <v>31</v>
      </c>
      <c r="B47" s="42" t="s">
        <v>70</v>
      </c>
      <c r="C47" s="79" t="s">
        <v>68</v>
      </c>
      <c r="D47" s="210">
        <f>D42/3.6/D39/(5*24)</f>
        <v>0</v>
      </c>
      <c r="E47" s="124">
        <f>E42/3.6/E39/(DATEDIF(DATE(2026,1,1),DATE(2026,5,1),"D")*24)</f>
        <v>0.0773358585858586</v>
      </c>
      <c r="F47" s="45"/>
      <c r="G47" s="45"/>
      <c r="H47" s="2"/>
    </row>
    <row r="48" s="1" customFormat="1" ht="27.95" customHeight="1" spans="1:14">
      <c r="A48" s="28" t="s">
        <v>33</v>
      </c>
      <c r="B48" s="42" t="s">
        <v>72</v>
      </c>
      <c r="C48" s="43" t="s">
        <v>73</v>
      </c>
      <c r="D48" s="125" t="e">
        <f>D42/D41</f>
        <v>#DIV/0!</v>
      </c>
      <c r="E48" s="126" t="e">
        <f>E42/E41</f>
        <v>#DIV/0!</v>
      </c>
      <c r="F48" s="45"/>
      <c r="G48" s="45"/>
      <c r="H48" s="2"/>
    </row>
    <row r="49" s="1" customFormat="1" ht="27.95" customHeight="1" spans="1:10">
      <c r="A49" s="28" t="s">
        <v>37</v>
      </c>
      <c r="B49" s="42" t="s">
        <v>78</v>
      </c>
      <c r="C49" s="43" t="s">
        <v>79</v>
      </c>
      <c r="D49" s="127" t="e">
        <f>D44/D41</f>
        <v>#DIV/0!</v>
      </c>
      <c r="E49" s="128" t="e">
        <f>E44/E41</f>
        <v>#DIV/0!</v>
      </c>
      <c r="F49" s="45"/>
      <c r="G49" s="45"/>
      <c r="H49" s="2"/>
    </row>
    <row r="50" s="1" customFormat="1" ht="27.95" customHeight="1" spans="1:10">
      <c r="A50" s="129" t="s">
        <v>40</v>
      </c>
      <c r="B50" s="97" t="s">
        <v>81</v>
      </c>
      <c r="C50" s="98" t="s">
        <v>76</v>
      </c>
      <c r="D50" s="130" t="e">
        <f>D43*1000/D41</f>
        <v>#DIV/0!</v>
      </c>
      <c r="E50" s="130" t="e">
        <f>E43*1000/E41</f>
        <v>#DIV/0!</v>
      </c>
      <c r="F50" s="45"/>
      <c r="G50" s="45"/>
      <c r="H50" s="2"/>
    </row>
    <row r="51" s="1" customFormat="1" ht="18" customHeight="1" spans="1:10">
      <c r="C51" s="4"/>
      <c r="D51" s="5"/>
    </row>
    <row r="52" s="1" customFormat="1" ht="29.25" customHeight="1" spans="1:10">
      <c r="A52" s="108" t="s">
        <v>91</v>
      </c>
      <c r="C52" s="4"/>
      <c r="D52" s="5" t="s">
        <v>84</v>
      </c>
      <c r="E52" s="2"/>
      <c r="F52" s="2"/>
      <c r="G52" s="2"/>
      <c r="H52" s="2"/>
      <c r="I52" s="2"/>
      <c r="J52" s="2"/>
    </row>
    <row r="53" s="1" customFormat="1" ht="31.5" customHeight="1" spans="1:10">
      <c r="A53" s="131" t="s">
        <v>0</v>
      </c>
      <c r="B53" s="132" t="s">
        <v>85</v>
      </c>
      <c r="C53" s="132" t="s">
        <v>2</v>
      </c>
      <c r="D53" s="133" t="s">
        <v>86</v>
      </c>
      <c r="E53" s="134"/>
      <c r="F53" s="135"/>
      <c r="G53" s="136" t="s">
        <v>87</v>
      </c>
      <c r="H53" s="134"/>
      <c r="I53" s="134"/>
    </row>
    <row r="54" s="1" customFormat="1" ht="31.5" customHeight="1" spans="1:10">
      <c r="A54" s="137"/>
      <c r="B54" s="138"/>
      <c r="C54" s="138"/>
      <c r="D54" s="139" t="s">
        <v>92</v>
      </c>
      <c r="E54" s="139" t="s">
        <v>93</v>
      </c>
      <c r="F54" s="140" t="s">
        <v>9</v>
      </c>
      <c r="G54" s="141" t="s">
        <v>92</v>
      </c>
      <c r="H54" s="139" t="s">
        <v>93</v>
      </c>
      <c r="I54" s="142" t="s">
        <v>9</v>
      </c>
    </row>
    <row r="55" s="1" customFormat="1" ht="27.95" customHeight="1" spans="1:10">
      <c r="A55" s="28" t="s">
        <v>11</v>
      </c>
      <c r="B55" s="29" t="s">
        <v>12</v>
      </c>
      <c r="C55" s="30" t="s">
        <v>13</v>
      </c>
      <c r="D55" s="143">
        <v>6</v>
      </c>
      <c r="E55" s="143">
        <v>6.4</v>
      </c>
      <c r="F55" s="144">
        <f t="shared" ref="F55:F61" si="25">SUM(D55:E55)</f>
        <v>12.4</v>
      </c>
      <c r="G55" s="145">
        <f t="shared" ref="G55:G57" si="26">D55</f>
        <v>6</v>
      </c>
      <c r="H55" s="146">
        <f t="shared" ref="H55:H57" si="27">E55</f>
        <v>6.4</v>
      </c>
      <c r="I55" s="146">
        <f t="shared" ref="I55:I61" si="28">SUM(G55:H55)</f>
        <v>12.4</v>
      </c>
    </row>
    <row r="56" s="1" customFormat="1" ht="27.95" customHeight="1" spans="1:10">
      <c r="A56" s="28" t="s">
        <v>14</v>
      </c>
      <c r="B56" s="29" t="s">
        <v>88</v>
      </c>
      <c r="C56" s="30" t="s">
        <v>16</v>
      </c>
      <c r="D56" s="148"/>
      <c r="E56" s="148"/>
      <c r="F56" s="117">
        <f t="shared" si="25"/>
        <v>0</v>
      </c>
      <c r="G56" s="118">
        <f t="shared" si="26"/>
        <v>0</v>
      </c>
      <c r="H56" s="118">
        <f t="shared" si="27"/>
        <v>0</v>
      </c>
      <c r="I56" s="147">
        <f t="shared" si="28"/>
        <v>0</v>
      </c>
    </row>
    <row r="57" s="1" customFormat="1" ht="27.95" customHeight="1" spans="1:10">
      <c r="A57" s="28" t="s">
        <v>19</v>
      </c>
      <c r="B57" s="29" t="s">
        <v>89</v>
      </c>
      <c r="C57" s="30" t="s">
        <v>16</v>
      </c>
      <c r="D57" s="147"/>
      <c r="E57" s="147"/>
      <c r="F57" s="117">
        <f t="shared" si="25"/>
        <v>0</v>
      </c>
      <c r="G57" s="118">
        <f t="shared" si="26"/>
        <v>0</v>
      </c>
      <c r="H57" s="118">
        <f t="shared" si="27"/>
        <v>0</v>
      </c>
      <c r="I57" s="147">
        <f t="shared" si="28"/>
        <v>0</v>
      </c>
    </row>
    <row r="58" s="1" customFormat="1" ht="27.95" customHeight="1" spans="1:10">
      <c r="A58" s="28" t="s">
        <v>21</v>
      </c>
      <c r="B58" s="42" t="s">
        <v>25</v>
      </c>
      <c r="C58" s="43" t="s">
        <v>26</v>
      </c>
      <c r="D58" s="148"/>
      <c r="E58" s="149"/>
      <c r="F58" s="117">
        <f t="shared" si="25"/>
        <v>0</v>
      </c>
      <c r="G58" s="211">
        <f>D58+'26.3'!G58</f>
        <v>0</v>
      </c>
      <c r="H58" s="211">
        <f>E58+'26.3'!H58</f>
        <v>0</v>
      </c>
      <c r="I58" s="147">
        <f t="shared" si="28"/>
        <v>0</v>
      </c>
    </row>
    <row r="59" s="1" customFormat="1" ht="27.95" customHeight="1" spans="1:10">
      <c r="A59" s="28" t="s">
        <v>24</v>
      </c>
      <c r="B59" s="42" t="s">
        <v>38</v>
      </c>
      <c r="C59" s="43" t="s">
        <v>23</v>
      </c>
      <c r="D59" s="148"/>
      <c r="E59" s="148"/>
      <c r="F59" s="117">
        <f t="shared" si="25"/>
        <v>0</v>
      </c>
      <c r="G59" s="211">
        <f>D59+'26.3'!G59</f>
        <v>0</v>
      </c>
      <c r="H59" s="211">
        <f>E59+'26.3'!H59</f>
        <v>0</v>
      </c>
      <c r="I59" s="147">
        <f t="shared" si="28"/>
        <v>0</v>
      </c>
    </row>
    <row r="60" s="1" customFormat="1" ht="27.95" customHeight="1" spans="1:10">
      <c r="A60" s="28" t="s">
        <v>27</v>
      </c>
      <c r="B60" s="42" t="s">
        <v>41</v>
      </c>
      <c r="C60" s="43" t="s">
        <v>42</v>
      </c>
      <c r="D60" s="148"/>
      <c r="E60" s="148"/>
      <c r="F60" s="117">
        <f t="shared" si="25"/>
        <v>0</v>
      </c>
      <c r="G60" s="211">
        <f>D60+'26.3'!G60</f>
        <v>0</v>
      </c>
      <c r="H60" s="211">
        <f>E60+'26.3'!H60</f>
        <v>0</v>
      </c>
      <c r="I60" s="147">
        <f t="shared" si="28"/>
        <v>0</v>
      </c>
    </row>
    <row r="61" s="1" customFormat="1" ht="27.95" customHeight="1" spans="1:10">
      <c r="A61" s="28"/>
      <c r="B61" s="42" t="s">
        <v>90</v>
      </c>
      <c r="C61" s="43" t="s">
        <v>42</v>
      </c>
      <c r="D61" s="148"/>
      <c r="E61" s="148"/>
      <c r="F61" s="117">
        <f t="shared" si="25"/>
        <v>0</v>
      </c>
      <c r="G61" s="211">
        <f>D61+'26.3'!G61</f>
        <v>0</v>
      </c>
      <c r="H61" s="211">
        <f>E61+'26.3'!H61</f>
        <v>0</v>
      </c>
      <c r="I61" s="147">
        <f t="shared" si="28"/>
        <v>0</v>
      </c>
    </row>
    <row r="62" s="1" customFormat="1" ht="27.95" customHeight="1" spans="1:10">
      <c r="A62" s="28" t="s">
        <v>29</v>
      </c>
      <c r="B62" s="42" t="s">
        <v>52</v>
      </c>
      <c r="C62" s="43" t="s">
        <v>53</v>
      </c>
      <c r="D62" s="151" t="e">
        <f t="shared" ref="D62:I62" si="29">D60/D58</f>
        <v>#DIV/0!</v>
      </c>
      <c r="E62" s="151" t="e">
        <f t="shared" si="29"/>
        <v>#DIV/0!</v>
      </c>
      <c r="F62" s="121" t="e">
        <f t="shared" si="29"/>
        <v>#DIV/0!</v>
      </c>
      <c r="G62" s="152" t="e">
        <f t="shared" si="29"/>
        <v>#DIV/0!</v>
      </c>
      <c r="H62" s="60" t="e">
        <f t="shared" si="29"/>
        <v>#DIV/0!</v>
      </c>
      <c r="I62" s="61" t="e">
        <f t="shared" si="29"/>
        <v>#DIV/0!</v>
      </c>
    </row>
    <row r="63" s="1" customFormat="1" ht="27.95" customHeight="1" spans="1:10">
      <c r="A63" s="28" t="s">
        <v>31</v>
      </c>
      <c r="B63" s="42" t="s">
        <v>70</v>
      </c>
      <c r="C63" s="79" t="s">
        <v>68</v>
      </c>
      <c r="D63" s="206">
        <f t="shared" ref="D63:F63" si="30">D58/3.6/D55/(5*24)</f>
        <v>0</v>
      </c>
      <c r="E63" s="206">
        <f t="shared" si="30"/>
        <v>0</v>
      </c>
      <c r="F63" s="210">
        <f t="shared" si="30"/>
        <v>0</v>
      </c>
      <c r="G63" s="85">
        <f>G58/3.6/G55/(DATEDIF(DATE(2026,1,1),DATE(2026,5,1),"D")*24)</f>
        <v>0</v>
      </c>
      <c r="H63" s="83">
        <f>H58/3.6/H55/(DATEDIF(DATE(2026,1,1),DATE(2026,5,1),"D")*24)</f>
        <v>0</v>
      </c>
      <c r="I63" s="84">
        <f>I58/3.6/I55/(DATEDIF(DATE(2026,1,1),DATE(2026,5,1),"D")*24)</f>
        <v>0</v>
      </c>
    </row>
    <row r="64" s="1" customFormat="1" ht="27.95" customHeight="1" spans="1:10">
      <c r="A64" s="28" t="s">
        <v>33</v>
      </c>
      <c r="B64" s="42" t="s">
        <v>72</v>
      </c>
      <c r="C64" s="43" t="s">
        <v>73</v>
      </c>
      <c r="D64" s="87" t="e">
        <f t="shared" ref="D64:I64" si="31">D58/D57</f>
        <v>#DIV/0!</v>
      </c>
      <c r="E64" s="87" t="e">
        <f t="shared" si="31"/>
        <v>#DIV/0!</v>
      </c>
      <c r="F64" s="89" t="e">
        <f t="shared" si="31"/>
        <v>#DIV/0!</v>
      </c>
      <c r="G64" s="153" t="e">
        <f t="shared" si="31"/>
        <v>#DIV/0!</v>
      </c>
      <c r="H64" s="87" t="e">
        <f t="shared" si="31"/>
        <v>#DIV/0!</v>
      </c>
      <c r="I64" s="89" t="e">
        <f t="shared" si="31"/>
        <v>#DIV/0!</v>
      </c>
    </row>
    <row r="65" s="1" customFormat="1" ht="27.95" customHeight="1" spans="1:9">
      <c r="A65" s="28" t="s">
        <v>37</v>
      </c>
      <c r="B65" s="42" t="s">
        <v>78</v>
      </c>
      <c r="C65" s="43" t="s">
        <v>79</v>
      </c>
      <c r="D65" s="91" t="e">
        <f t="shared" ref="D65:I65" si="32">D60/D57</f>
        <v>#DIV/0!</v>
      </c>
      <c r="E65" s="91" t="e">
        <f t="shared" si="32"/>
        <v>#DIV/0!</v>
      </c>
      <c r="F65" s="92" t="e">
        <f t="shared" si="32"/>
        <v>#DIV/0!</v>
      </c>
      <c r="G65" s="154" t="e">
        <f t="shared" si="32"/>
        <v>#DIV/0!</v>
      </c>
      <c r="H65" s="91" t="e">
        <f t="shared" si="32"/>
        <v>#DIV/0!</v>
      </c>
      <c r="I65" s="92" t="e">
        <f t="shared" si="32"/>
        <v>#DIV/0!</v>
      </c>
    </row>
    <row r="66" s="1" customFormat="1" ht="27.95" customHeight="1" spans="1:9">
      <c r="A66" s="129" t="s">
        <v>40</v>
      </c>
      <c r="B66" s="97" t="s">
        <v>81</v>
      </c>
      <c r="C66" s="98" t="s">
        <v>76</v>
      </c>
      <c r="D66" s="100" t="e">
        <f t="shared" ref="D66:I66" si="33">D59*1000/D57</f>
        <v>#DIV/0!</v>
      </c>
      <c r="E66" s="100" t="e">
        <f t="shared" si="33"/>
        <v>#DIV/0!</v>
      </c>
      <c r="F66" s="101" t="e">
        <f t="shared" si="33"/>
        <v>#DIV/0!</v>
      </c>
      <c r="G66" s="155" t="e">
        <f t="shared" si="33"/>
        <v>#DIV/0!</v>
      </c>
      <c r="H66" s="100" t="e">
        <f t="shared" si="33"/>
        <v>#DIV/0!</v>
      </c>
      <c r="I66" s="101" t="e">
        <f t="shared" si="33"/>
        <v>#DIV/0!</v>
      </c>
    </row>
    <row r="67" s="1" customFormat="1" ht="18" customHeight="1" spans="1:9">
      <c r="C67" s="4"/>
      <c r="D67" s="5"/>
    </row>
    <row r="68" s="1" customFormat="1" ht="29.25" customHeight="1" spans="1:9">
      <c r="A68" s="108" t="s">
        <v>94</v>
      </c>
      <c r="C68" s="4"/>
      <c r="D68" s="5"/>
    </row>
    <row r="69" s="1" customFormat="1" ht="30" customHeight="1" spans="1:9">
      <c r="A69" s="131" t="s">
        <v>0</v>
      </c>
      <c r="B69" s="7" t="s">
        <v>1</v>
      </c>
      <c r="C69" s="7" t="s">
        <v>2</v>
      </c>
      <c r="D69" s="133" t="s">
        <v>86</v>
      </c>
      <c r="E69" s="135"/>
      <c r="F69" s="134" t="s">
        <v>87</v>
      </c>
      <c r="G69" s="134"/>
    </row>
    <row r="70" s="1" customFormat="1" ht="30" customHeight="1" spans="1:9">
      <c r="A70" s="137"/>
      <c r="B70" s="14"/>
      <c r="C70" s="14"/>
      <c r="D70" s="139" t="s">
        <v>95</v>
      </c>
      <c r="E70" s="156" t="s">
        <v>96</v>
      </c>
      <c r="F70" s="141" t="s">
        <v>95</v>
      </c>
      <c r="G70" s="142" t="s">
        <v>96</v>
      </c>
    </row>
    <row r="71" s="1" customFormat="1" ht="27.95" customHeight="1" spans="1:9">
      <c r="A71" s="19" t="s">
        <v>11</v>
      </c>
      <c r="B71" s="20" t="s">
        <v>12</v>
      </c>
      <c r="C71" s="21" t="s">
        <v>13</v>
      </c>
      <c r="D71" s="157">
        <v>217</v>
      </c>
      <c r="E71" s="158">
        <v>1.4</v>
      </c>
      <c r="F71" s="159">
        <f>D71</f>
        <v>217</v>
      </c>
      <c r="G71" s="160">
        <f>E71</f>
        <v>1.4</v>
      </c>
    </row>
    <row r="72" s="1" customFormat="1" ht="27.95" customHeight="1" spans="1:9">
      <c r="A72" s="28" t="s">
        <v>14</v>
      </c>
      <c r="B72" s="42" t="s">
        <v>22</v>
      </c>
      <c r="C72" s="43" t="s">
        <v>23</v>
      </c>
      <c r="D72" s="148"/>
      <c r="E72" s="115"/>
      <c r="F72" s="161">
        <f>D72</f>
        <v>0</v>
      </c>
      <c r="G72" s="162">
        <f>E72</f>
        <v>0</v>
      </c>
    </row>
    <row r="73" s="1" customFormat="1" ht="27.95" customHeight="1" spans="1:9">
      <c r="A73" s="28" t="s">
        <v>19</v>
      </c>
      <c r="B73" s="42" t="s">
        <v>25</v>
      </c>
      <c r="C73" s="43" t="s">
        <v>26</v>
      </c>
      <c r="D73" s="147">
        <f>D72*2.951694</f>
        <v>0</v>
      </c>
      <c r="E73" s="163">
        <f>E72*2.732</f>
        <v>0</v>
      </c>
      <c r="F73" s="209">
        <f>D73+'26.3'!F73</f>
        <v>0</v>
      </c>
      <c r="G73" s="209">
        <f>E73+'26.3'!G73</f>
        <v>0</v>
      </c>
    </row>
    <row r="74" s="1" customFormat="1" ht="27.95" customHeight="1" spans="1:9">
      <c r="A74" s="28" t="s">
        <v>21</v>
      </c>
      <c r="B74" s="42" t="s">
        <v>97</v>
      </c>
      <c r="C74" s="43" t="s">
        <v>98</v>
      </c>
      <c r="D74" s="148"/>
      <c r="E74" s="115"/>
      <c r="F74" s="209">
        <f>D74+'26.3'!F74</f>
        <v>0</v>
      </c>
      <c r="G74" s="209">
        <f>E74+'26.3'!G74</f>
        <v>0</v>
      </c>
    </row>
    <row r="75" s="1" customFormat="1" ht="27.95" customHeight="1" spans="1:9">
      <c r="A75" s="28" t="s">
        <v>24</v>
      </c>
      <c r="B75" s="42" t="s">
        <v>34</v>
      </c>
      <c r="C75" s="43" t="s">
        <v>23</v>
      </c>
      <c r="D75" s="147">
        <f>D74*D80/29308/1000</f>
        <v>0</v>
      </c>
      <c r="E75" s="117">
        <f>E74*E80/29308/1000</f>
        <v>0</v>
      </c>
      <c r="F75" s="209">
        <f>D75+'26.3'!F75</f>
        <v>0</v>
      </c>
      <c r="G75" s="209">
        <f>E75+'26.3'!G75</f>
        <v>0</v>
      </c>
    </row>
    <row r="76" s="1" customFormat="1" ht="27.95" customHeight="1" spans="1:9">
      <c r="A76" s="28" t="s">
        <v>27</v>
      </c>
      <c r="B76" s="42" t="s">
        <v>38</v>
      </c>
      <c r="C76" s="43" t="s">
        <v>23</v>
      </c>
      <c r="D76" s="148"/>
      <c r="E76" s="164"/>
      <c r="F76" s="209">
        <f>D76+'26.3'!F76</f>
        <v>0</v>
      </c>
      <c r="G76" s="209">
        <f>E76+'26.3'!G76</f>
        <v>0</v>
      </c>
    </row>
    <row r="77" s="1" customFormat="1" ht="27.95" customHeight="1" spans="1:9">
      <c r="A77" s="28" t="s">
        <v>29</v>
      </c>
      <c r="B77" s="42" t="s">
        <v>41</v>
      </c>
      <c r="C77" s="43" t="s">
        <v>42</v>
      </c>
      <c r="D77" s="148"/>
      <c r="E77" s="164"/>
      <c r="F77" s="209">
        <f>D77+'26.3'!F77</f>
        <v>0</v>
      </c>
      <c r="G77" s="209">
        <f>E77+'26.3'!G77</f>
        <v>0</v>
      </c>
    </row>
    <row r="78" s="1" customFormat="1" ht="27.95" customHeight="1" spans="1:9">
      <c r="A78" s="28" t="s">
        <v>31</v>
      </c>
      <c r="B78" s="42" t="s">
        <v>52</v>
      </c>
      <c r="C78" s="43" t="s">
        <v>53</v>
      </c>
      <c r="D78" s="165" t="e">
        <f>D77/D73</f>
        <v>#DIV/0!</v>
      </c>
      <c r="E78" s="166"/>
      <c r="F78" s="167" t="e">
        <f>F77/F73</f>
        <v>#DIV/0!</v>
      </c>
      <c r="G78" s="168"/>
    </row>
    <row r="79" s="1" customFormat="1" ht="27.95" customHeight="1" spans="1:9">
      <c r="A79" s="28" t="s">
        <v>33</v>
      </c>
      <c r="B79" s="42" t="s">
        <v>55</v>
      </c>
      <c r="C79" s="43" t="s">
        <v>56</v>
      </c>
      <c r="D79" s="60" t="e">
        <f t="shared" ref="D79:G79" si="34">D75*1000/D73</f>
        <v>#DIV/0!</v>
      </c>
      <c r="E79" s="169" t="e">
        <f t="shared" si="34"/>
        <v>#DIV/0!</v>
      </c>
      <c r="F79" s="170" t="e">
        <f t="shared" si="34"/>
        <v>#DIV/0!</v>
      </c>
      <c r="G79" s="61" t="e">
        <f t="shared" si="34"/>
        <v>#DIV/0!</v>
      </c>
      <c r="H79" s="12"/>
    </row>
    <row r="80" s="1" customFormat="1" ht="27.95" customHeight="1" spans="1:9">
      <c r="A80" s="28" t="s">
        <v>37</v>
      </c>
      <c r="B80" s="42" t="s">
        <v>99</v>
      </c>
      <c r="C80" s="43" t="s">
        <v>100</v>
      </c>
      <c r="D80" s="56"/>
      <c r="E80" s="171"/>
      <c r="F80" s="172" t="e">
        <f>F75*29308*1000/F74</f>
        <v>#DIV/0!</v>
      </c>
      <c r="G80" s="147" t="e">
        <f>G75*29308*1000/G74</f>
        <v>#DIV/0!</v>
      </c>
      <c r="H80" s="12"/>
    </row>
    <row r="81" s="1" customFormat="1" ht="27.95" customHeight="1" spans="1:11">
      <c r="A81" s="28" t="s">
        <v>40</v>
      </c>
      <c r="B81" s="42" t="s">
        <v>67</v>
      </c>
      <c r="C81" s="79" t="s">
        <v>68</v>
      </c>
      <c r="D81" s="80" t="e">
        <f t="shared" ref="D81:G81" si="35">D73/(D75*29.308)</f>
        <v>#DIV/0!</v>
      </c>
      <c r="E81" s="173" t="e">
        <f t="shared" si="35"/>
        <v>#DIV/0!</v>
      </c>
      <c r="F81" s="174" t="e">
        <f t="shared" si="35"/>
        <v>#DIV/0!</v>
      </c>
      <c r="G81" s="81" t="e">
        <f t="shared" si="35"/>
        <v>#DIV/0!</v>
      </c>
      <c r="H81" s="12"/>
    </row>
    <row r="82" s="1" customFormat="1" ht="27.95" customHeight="1" spans="1:11">
      <c r="A82" s="129" t="s">
        <v>47</v>
      </c>
      <c r="B82" s="175" t="s">
        <v>70</v>
      </c>
      <c r="C82" s="176" t="s">
        <v>68</v>
      </c>
      <c r="D82" s="212">
        <f>D73/3.6/D71/(5*24)</f>
        <v>0</v>
      </c>
      <c r="E82" s="213">
        <f>E73/3.6/E71/(5*24)</f>
        <v>0</v>
      </c>
      <c r="F82" s="179">
        <f>F73/3.6/F71/(DATEDIF(DATE(2026,1,1),DATE(2026,5,1),"D")*24)</f>
        <v>0</v>
      </c>
      <c r="G82" s="180">
        <f>G73/3.6/G71/(DATEDIF(DATE(2026,1,1),DATE(2026,5,1),"D")*24)</f>
        <v>0</v>
      </c>
      <c r="H82" s="12"/>
    </row>
    <row r="83" s="1" customFormat="1" ht="18" customHeight="1" spans="1:11">
      <c r="B83" s="181"/>
      <c r="C83" s="181"/>
      <c r="D83" s="5"/>
    </row>
    <row r="84" s="1" customFormat="1" customHeight="1" spans="1:11">
      <c r="A84" s="108" t="s">
        <v>101</v>
      </c>
      <c r="C84" s="4"/>
      <c r="D84" s="5" t="s">
        <v>84</v>
      </c>
      <c r="E84" s="2"/>
      <c r="F84" s="2"/>
      <c r="G84" s="2"/>
      <c r="H84" s="2"/>
      <c r="I84" s="2"/>
    </row>
    <row r="85" s="1" customFormat="1" customHeight="1" spans="1:11">
      <c r="A85" s="131" t="s">
        <v>0</v>
      </c>
      <c r="B85" s="132" t="s">
        <v>85</v>
      </c>
      <c r="C85" s="132" t="s">
        <v>2</v>
      </c>
      <c r="D85" s="182" t="s">
        <v>86</v>
      </c>
      <c r="E85" s="139" t="s">
        <v>87</v>
      </c>
      <c r="F85" s="182" t="s">
        <v>102</v>
      </c>
      <c r="G85" s="182" t="s">
        <v>103</v>
      </c>
      <c r="H85" s="183"/>
      <c r="I85" s="183"/>
    </row>
    <row r="86" s="1" customFormat="1" customHeight="1" spans="1:11">
      <c r="A86" s="137"/>
      <c r="B86" s="138"/>
      <c r="C86" s="138"/>
      <c r="D86" s="182" t="s">
        <v>104</v>
      </c>
      <c r="E86" s="182" t="s">
        <v>104</v>
      </c>
      <c r="F86" s="182"/>
      <c r="G86" s="182"/>
      <c r="H86" s="183"/>
      <c r="I86" s="184"/>
    </row>
    <row r="87" s="1" customFormat="1" customHeight="1" spans="1:11">
      <c r="A87" s="28" t="s">
        <v>11</v>
      </c>
      <c r="B87" s="29" t="s">
        <v>12</v>
      </c>
      <c r="C87" s="30" t="s">
        <v>13</v>
      </c>
      <c r="D87" s="185">
        <v>0.7888</v>
      </c>
      <c r="E87" s="186">
        <f t="shared" ref="E87:E89" si="36">D87</f>
        <v>0.7888</v>
      </c>
      <c r="F87" s="187">
        <f t="shared" ref="F87:F93" si="37">F55+D87</f>
        <v>13.1888</v>
      </c>
      <c r="G87" s="187">
        <f t="shared" ref="G87:G93" si="38">E87+I55</f>
        <v>13.1888</v>
      </c>
      <c r="H87" s="145"/>
      <c r="I87" s="145"/>
    </row>
    <row r="88" s="1" customFormat="1" customHeight="1" spans="1:11">
      <c r="A88" s="28" t="s">
        <v>14</v>
      </c>
      <c r="B88" s="29" t="s">
        <v>88</v>
      </c>
      <c r="C88" s="30" t="s">
        <v>16</v>
      </c>
      <c r="D88" s="188"/>
      <c r="E88" s="189">
        <f t="shared" si="36"/>
        <v>0</v>
      </c>
      <c r="F88" s="190">
        <v>83197.81</v>
      </c>
      <c r="G88" s="190">
        <v>83197.81</v>
      </c>
      <c r="H88" s="116"/>
      <c r="I88" s="116"/>
    </row>
    <row r="89" s="1" customFormat="1" customHeight="1" spans="1:11">
      <c r="A89" s="28" t="s">
        <v>19</v>
      </c>
      <c r="B89" s="29" t="s">
        <v>89</v>
      </c>
      <c r="C89" s="30" t="s">
        <v>16</v>
      </c>
      <c r="D89" s="188"/>
      <c r="E89" s="189">
        <f t="shared" si="36"/>
        <v>0</v>
      </c>
      <c r="F89" s="190">
        <v>83197.81</v>
      </c>
      <c r="G89" s="190">
        <v>83197.81</v>
      </c>
      <c r="H89" s="116"/>
      <c r="I89" s="116"/>
    </row>
    <row r="90" s="1" customFormat="1" customHeight="1" spans="1:11">
      <c r="A90" s="28" t="s">
        <v>21</v>
      </c>
      <c r="B90" s="42" t="s">
        <v>25</v>
      </c>
      <c r="C90" s="43" t="s">
        <v>26</v>
      </c>
      <c r="D90" s="188"/>
      <c r="E90" s="214">
        <f>D90+'26.3'!E90</f>
        <v>0</v>
      </c>
      <c r="F90" s="192">
        <f t="shared" si="37"/>
        <v>0</v>
      </c>
      <c r="G90" s="192">
        <f t="shared" si="38"/>
        <v>0</v>
      </c>
      <c r="H90" s="116"/>
      <c r="I90" s="116"/>
    </row>
    <row r="91" s="1" customFormat="1" customHeight="1" spans="1:11">
      <c r="A91" s="28" t="s">
        <v>24</v>
      </c>
      <c r="B91" s="42" t="s">
        <v>38</v>
      </c>
      <c r="C91" s="43" t="s">
        <v>23</v>
      </c>
      <c r="D91" s="188"/>
      <c r="E91" s="214">
        <f>D91+'26.3'!E91</f>
        <v>0</v>
      </c>
      <c r="F91" s="192">
        <f t="shared" si="37"/>
        <v>0</v>
      </c>
      <c r="G91" s="192">
        <f t="shared" si="38"/>
        <v>0</v>
      </c>
      <c r="H91" s="116"/>
      <c r="I91" s="116"/>
    </row>
    <row r="92" s="1" customFormat="1" customHeight="1" spans="1:11">
      <c r="A92" s="28" t="s">
        <v>27</v>
      </c>
      <c r="B92" s="42" t="s">
        <v>41</v>
      </c>
      <c r="C92" s="43" t="s">
        <v>42</v>
      </c>
      <c r="D92" s="188"/>
      <c r="E92" s="214">
        <f>D92+'26.3'!E92</f>
        <v>0</v>
      </c>
      <c r="F92" s="192">
        <f t="shared" si="37"/>
        <v>0</v>
      </c>
      <c r="G92" s="192">
        <f t="shared" si="38"/>
        <v>0</v>
      </c>
      <c r="H92" s="116"/>
      <c r="I92" s="116"/>
    </row>
    <row r="93" s="1" customFormat="1" customHeight="1" spans="1:11">
      <c r="A93" s="28"/>
      <c r="B93" s="42" t="s">
        <v>90</v>
      </c>
      <c r="C93" s="43" t="s">
        <v>42</v>
      </c>
      <c r="D93" s="188"/>
      <c r="E93" s="214">
        <f>D93+'26.3'!E93</f>
        <v>0</v>
      </c>
      <c r="F93" s="192">
        <f t="shared" si="37"/>
        <v>0</v>
      </c>
      <c r="G93" s="192">
        <f t="shared" si="38"/>
        <v>0</v>
      </c>
      <c r="H93" s="116"/>
      <c r="I93" s="116"/>
    </row>
    <row r="94" s="1" customFormat="1" customHeight="1" spans="1:11">
      <c r="A94" s="28" t="s">
        <v>29</v>
      </c>
      <c r="B94" s="42" t="s">
        <v>52</v>
      </c>
      <c r="C94" s="43" t="s">
        <v>53</v>
      </c>
      <c r="D94" s="193" t="e">
        <f t="shared" ref="D94:G94" si="39">D92/D90</f>
        <v>#DIV/0!</v>
      </c>
      <c r="E94" s="193" t="e">
        <f t="shared" si="39"/>
        <v>#DIV/0!</v>
      </c>
      <c r="F94" s="193" t="e">
        <f t="shared" si="39"/>
        <v>#DIV/0!</v>
      </c>
      <c r="G94" s="193" t="e">
        <f t="shared" si="39"/>
        <v>#DIV/0!</v>
      </c>
      <c r="H94" s="122"/>
      <c r="I94" s="122"/>
    </row>
    <row r="95" s="1" customFormat="1" customHeight="1" spans="1:11">
      <c r="A95" s="28" t="s">
        <v>31</v>
      </c>
      <c r="B95" s="42" t="s">
        <v>105</v>
      </c>
      <c r="C95" s="79" t="s">
        <v>68</v>
      </c>
      <c r="D95" s="215">
        <f>D90/3.6/D87/(5*24)</f>
        <v>0</v>
      </c>
      <c r="E95" s="84">
        <f>E90/3.6/E87/(DATEDIF(DATE(2026,1,1),DATE(2026,5,1),"D")*24)</f>
        <v>0</v>
      </c>
      <c r="F95" s="215">
        <f>F90/3.6/F87/(5*24)</f>
        <v>0</v>
      </c>
      <c r="G95" s="84">
        <f>G90/3.6/G87/(DATEDIF(DATE(2026,1,1),DATE(2026,5,1),"D")*24)</f>
        <v>0</v>
      </c>
      <c r="H95" s="195"/>
      <c r="I95" s="195"/>
      <c r="K95" s="196"/>
    </row>
    <row r="96" s="1" customFormat="1" customHeight="1" spans="1:11">
      <c r="A96" s="28" t="s">
        <v>33</v>
      </c>
      <c r="B96" s="42" t="s">
        <v>72</v>
      </c>
      <c r="C96" s="43" t="s">
        <v>73</v>
      </c>
      <c r="D96" s="197" t="e">
        <f t="shared" ref="D96:G96" si="40">D90/D89</f>
        <v>#DIV/0!</v>
      </c>
      <c r="E96" s="197" t="e">
        <f t="shared" si="40"/>
        <v>#DIV/0!</v>
      </c>
      <c r="F96" s="197">
        <f t="shared" si="40"/>
        <v>0</v>
      </c>
      <c r="G96" s="197">
        <f t="shared" si="40"/>
        <v>0</v>
      </c>
      <c r="H96" s="126"/>
      <c r="I96" s="126"/>
    </row>
    <row r="97" s="1" customFormat="1" customHeight="1" spans="1:9">
      <c r="A97" s="28" t="s">
        <v>37</v>
      </c>
      <c r="B97" s="42" t="s">
        <v>78</v>
      </c>
      <c r="C97" s="43" t="s">
        <v>79</v>
      </c>
      <c r="D97" s="198" t="e">
        <f t="shared" ref="D97:G97" si="41">D92/D89</f>
        <v>#DIV/0!</v>
      </c>
      <c r="E97" s="198" t="e">
        <f t="shared" si="41"/>
        <v>#DIV/0!</v>
      </c>
      <c r="F97" s="198">
        <f t="shared" si="41"/>
        <v>0</v>
      </c>
      <c r="G97" s="198">
        <f t="shared" si="41"/>
        <v>0</v>
      </c>
      <c r="H97" s="128"/>
      <c r="I97" s="128"/>
    </row>
    <row r="98" s="1" customFormat="1" customHeight="1" spans="1:9">
      <c r="A98" s="129" t="s">
        <v>40</v>
      </c>
      <c r="B98" s="97" t="s">
        <v>81</v>
      </c>
      <c r="C98" s="98" t="s">
        <v>76</v>
      </c>
      <c r="D98" s="198" t="e">
        <f t="shared" ref="D98:G98" si="42">D91*1000/D89</f>
        <v>#DIV/0!</v>
      </c>
      <c r="E98" s="198" t="e">
        <f t="shared" si="42"/>
        <v>#DIV/0!</v>
      </c>
      <c r="F98" s="198">
        <f t="shared" si="42"/>
        <v>0</v>
      </c>
      <c r="G98" s="198">
        <f t="shared" si="42"/>
        <v>0</v>
      </c>
      <c r="H98" s="128"/>
      <c r="I98" s="128"/>
    </row>
  </sheetData>
  <mergeCells count="20">
    <mergeCell ref="D1:H1"/>
    <mergeCell ref="I1:M1"/>
    <mergeCell ref="D53:F53"/>
    <mergeCell ref="G53:I53"/>
    <mergeCell ref="D69:E69"/>
    <mergeCell ref="F69:G69"/>
    <mergeCell ref="A1:A2"/>
    <mergeCell ref="A53:A54"/>
    <mergeCell ref="A69:A70"/>
    <mergeCell ref="A85:A86"/>
    <mergeCell ref="B1:B2"/>
    <mergeCell ref="B53:B54"/>
    <mergeCell ref="B69:B70"/>
    <mergeCell ref="B85:B86"/>
    <mergeCell ref="C1:C2"/>
    <mergeCell ref="C53:C54"/>
    <mergeCell ref="C69:C70"/>
    <mergeCell ref="C85:C86"/>
    <mergeCell ref="F85:F86"/>
    <mergeCell ref="G85:G86"/>
  </mergeCells>
  <pageMargins left="0.747916666666667" right="0.747916666666667" top="0.984027777777778" bottom="0.984027777777778" header="0.511805555555556" footer="0.511805555555556"/>
  <pageSetup paperSize="9" scale="40" orientation="landscape" horizontalDpi="600" verticalDpi="600"/>
  <headerFooter alignWithMargins="0" scaleWithDoc="0">
    <oddHeader>&amp;C&amp;20 2022年4月份集团各锅炉站生产报表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8"/>
  <sheetViews>
    <sheetView showGridLines="0" zoomScale="70" zoomScaleNormal="70" zoomScaleSheetLayoutView="60" workbookViewId="0">
      <pane xSplit="2" ySplit="2" topLeftCell="C15" activePane="bottomRight" state="frozen"/>
      <selection/>
      <selection pane="topRight"/>
      <selection pane="bottomLeft"/>
      <selection pane="bottomRight" activeCell="L36" sqref="L36"/>
    </sheetView>
  </sheetViews>
  <sheetFormatPr defaultColWidth="8.625" defaultRowHeight="15" customHeight="1"/>
  <cols>
    <col min="1" max="1" width="7.375" style="1" customWidth="1"/>
    <col min="2" max="2" width="19.75" style="1" customWidth="1"/>
    <col min="3" max="3" width="13.5" style="4" customWidth="1"/>
    <col min="4" max="4" width="13.45" style="5" customWidth="1"/>
    <col min="5" max="13" width="13.45" style="1" customWidth="1"/>
    <col min="14" max="14" width="22.2083333333333" style="1"/>
    <col min="15" max="16384" width="8.625" style="1"/>
  </cols>
  <sheetData>
    <row r="1" s="1" customFormat="1" ht="39.95" customHeight="1" spans="1:14">
      <c r="A1" s="6" t="s">
        <v>0</v>
      </c>
      <c r="B1" s="7" t="s">
        <v>1</v>
      </c>
      <c r="C1" s="7" t="s">
        <v>2</v>
      </c>
      <c r="D1" s="8" t="s">
        <v>3</v>
      </c>
      <c r="E1" s="9"/>
      <c r="F1" s="9"/>
      <c r="G1" s="9"/>
      <c r="H1" s="10"/>
      <c r="I1" s="11" t="s">
        <v>4</v>
      </c>
      <c r="J1" s="9"/>
      <c r="K1" s="9"/>
      <c r="L1" s="9"/>
      <c r="M1" s="9"/>
      <c r="N1" s="12"/>
    </row>
    <row r="2" s="1" customFormat="1" ht="39.95" customHeight="1" spans="1:14">
      <c r="A2" s="13"/>
      <c r="B2" s="14"/>
      <c r="C2" s="14"/>
      <c r="D2" s="15" t="s">
        <v>5</v>
      </c>
      <c r="E2" s="15" t="s">
        <v>6</v>
      </c>
      <c r="F2" s="15" t="s">
        <v>7</v>
      </c>
      <c r="G2" s="16" t="s">
        <v>8</v>
      </c>
      <c r="H2" s="17" t="s">
        <v>9</v>
      </c>
      <c r="I2" s="18" t="s">
        <v>5</v>
      </c>
      <c r="J2" s="15" t="s">
        <v>6</v>
      </c>
      <c r="K2" s="15" t="s">
        <v>7</v>
      </c>
      <c r="L2" s="16" t="s">
        <v>10</v>
      </c>
      <c r="M2" s="17" t="s">
        <v>9</v>
      </c>
    </row>
    <row r="3" s="1" customFormat="1" ht="18" customHeight="1" spans="1:14">
      <c r="A3" s="19" t="s">
        <v>11</v>
      </c>
      <c r="B3" s="20" t="s">
        <v>12</v>
      </c>
      <c r="C3" s="21" t="s">
        <v>13</v>
      </c>
      <c r="D3" s="22">
        <v>348</v>
      </c>
      <c r="E3" s="23">
        <v>162</v>
      </c>
      <c r="F3" s="23"/>
      <c r="G3" s="24">
        <v>263</v>
      </c>
      <c r="H3" s="25">
        <f t="shared" ref="H3:H7" si="0">E3+F3+G3</f>
        <v>425</v>
      </c>
      <c r="I3" s="26">
        <f t="shared" ref="I3:L3" si="1">D3</f>
        <v>348</v>
      </c>
      <c r="J3" s="22">
        <f t="shared" si="1"/>
        <v>162</v>
      </c>
      <c r="K3" s="22">
        <f t="shared" si="1"/>
        <v>0</v>
      </c>
      <c r="L3" s="27">
        <f t="shared" si="1"/>
        <v>263</v>
      </c>
      <c r="M3" s="25">
        <f t="shared" ref="M3:M12" si="2">J3+K3+L3</f>
        <v>425</v>
      </c>
      <c r="N3" s="12"/>
    </row>
    <row r="4" s="1" customFormat="1" ht="18" customHeight="1" spans="1:14">
      <c r="A4" s="28" t="s">
        <v>14</v>
      </c>
      <c r="B4" s="29" t="s">
        <v>15</v>
      </c>
      <c r="C4" s="30" t="s">
        <v>16</v>
      </c>
      <c r="D4" s="31" t="s">
        <v>17</v>
      </c>
      <c r="E4" s="32"/>
      <c r="F4" s="33"/>
      <c r="G4" s="34"/>
      <c r="H4" s="35"/>
      <c r="I4" s="36" t="str">
        <f t="shared" ref="I4:L4" si="3">D4</f>
        <v> -   </v>
      </c>
      <c r="J4" s="32">
        <f t="shared" si="3"/>
        <v>0</v>
      </c>
      <c r="K4" s="37">
        <f t="shared" si="3"/>
        <v>0</v>
      </c>
      <c r="L4" s="38">
        <f t="shared" si="3"/>
        <v>0</v>
      </c>
      <c r="M4" s="35">
        <f t="shared" si="2"/>
        <v>0</v>
      </c>
      <c r="N4" s="12"/>
    </row>
    <row r="5" s="1" customFormat="1" ht="18" customHeight="1" spans="1:14">
      <c r="A5" s="28"/>
      <c r="B5" s="29" t="s">
        <v>18</v>
      </c>
      <c r="C5" s="30" t="s">
        <v>16</v>
      </c>
      <c r="D5" s="31" t="s">
        <v>17</v>
      </c>
      <c r="E5" s="33">
        <v>55000</v>
      </c>
      <c r="F5" s="39">
        <v>0</v>
      </c>
      <c r="G5" s="40">
        <v>0</v>
      </c>
      <c r="H5" s="35">
        <f t="shared" si="0"/>
        <v>55000</v>
      </c>
      <c r="I5" s="36" t="str">
        <f t="shared" ref="I5:L5" si="4">D5</f>
        <v> -   </v>
      </c>
      <c r="J5" s="32">
        <f t="shared" si="4"/>
        <v>55000</v>
      </c>
      <c r="K5" s="37">
        <f t="shared" si="4"/>
        <v>0</v>
      </c>
      <c r="L5" s="38">
        <f t="shared" si="4"/>
        <v>0</v>
      </c>
      <c r="M5" s="35">
        <f t="shared" si="2"/>
        <v>55000</v>
      </c>
      <c r="N5" s="12"/>
    </row>
    <row r="6" s="1" customFormat="1" ht="18" customHeight="1" spans="1:14">
      <c r="A6" s="28" t="s">
        <v>19</v>
      </c>
      <c r="B6" s="29" t="s">
        <v>20</v>
      </c>
      <c r="C6" s="30" t="s">
        <v>16</v>
      </c>
      <c r="D6" s="31" t="s">
        <v>17</v>
      </c>
      <c r="E6" s="34">
        <f t="shared" ref="E6:G6" si="5">E4</f>
        <v>0</v>
      </c>
      <c r="F6" s="34">
        <f t="shared" si="5"/>
        <v>0</v>
      </c>
      <c r="G6" s="34">
        <f t="shared" si="5"/>
        <v>0</v>
      </c>
      <c r="H6" s="35">
        <f t="shared" si="0"/>
        <v>0</v>
      </c>
      <c r="I6" s="36" t="str">
        <f t="shared" ref="I6:L6" si="6">D6</f>
        <v> -   </v>
      </c>
      <c r="J6" s="41">
        <f t="shared" si="6"/>
        <v>0</v>
      </c>
      <c r="K6" s="41">
        <f t="shared" si="6"/>
        <v>0</v>
      </c>
      <c r="L6" s="41">
        <f t="shared" si="6"/>
        <v>0</v>
      </c>
      <c r="M6" s="35">
        <f t="shared" si="2"/>
        <v>0</v>
      </c>
      <c r="N6" s="12"/>
    </row>
    <row r="7" s="2" customFormat="1" ht="18" customHeight="1" spans="1:14">
      <c r="A7" s="28" t="s">
        <v>21</v>
      </c>
      <c r="B7" s="42" t="s">
        <v>22</v>
      </c>
      <c r="C7" s="43" t="s">
        <v>23</v>
      </c>
      <c r="D7" s="40">
        <v>0</v>
      </c>
      <c r="E7" s="40">
        <v>0</v>
      </c>
      <c r="F7" s="40">
        <v>0</v>
      </c>
      <c r="G7" s="40"/>
      <c r="H7" s="35">
        <f t="shared" si="0"/>
        <v>0</v>
      </c>
      <c r="I7" s="199">
        <f>D7+'26.4'!I7</f>
        <v>0</v>
      </c>
      <c r="J7" s="199">
        <f>E7+'26.4'!J7</f>
        <v>0</v>
      </c>
      <c r="K7" s="199">
        <f>F7+'26.4'!K7</f>
        <v>0</v>
      </c>
      <c r="L7" s="199">
        <f>G7+'26.4'!L7</f>
        <v>0</v>
      </c>
      <c r="M7" s="35">
        <f t="shared" si="2"/>
        <v>0</v>
      </c>
      <c r="N7" s="45"/>
    </row>
    <row r="8" s="2" customFormat="1" ht="18" customHeight="1" spans="1:14">
      <c r="A8" s="28" t="s">
        <v>24</v>
      </c>
      <c r="B8" s="42" t="s">
        <v>25</v>
      </c>
      <c r="C8" s="43" t="s">
        <v>26</v>
      </c>
      <c r="D8" s="46"/>
      <c r="E8" s="40"/>
      <c r="F8" s="39"/>
      <c r="G8" s="34"/>
      <c r="H8" s="35"/>
      <c r="I8" s="199">
        <f>D8+'26.4'!I8</f>
        <v>0</v>
      </c>
      <c r="J8" s="199">
        <f>E8+'26.4'!J8</f>
        <v>0</v>
      </c>
      <c r="K8" s="199">
        <f>F8+'26.4'!K8</f>
        <v>0</v>
      </c>
      <c r="L8" s="199">
        <f>G8+'26.4'!L8</f>
        <v>0</v>
      </c>
      <c r="M8" s="35">
        <f t="shared" si="2"/>
        <v>0</v>
      </c>
      <c r="N8" s="47"/>
    </row>
    <row r="9" s="2" customFormat="1" ht="18" customHeight="1" spans="1:14">
      <c r="A9" s="28" t="s">
        <v>27</v>
      </c>
      <c r="B9" s="42" t="s">
        <v>28</v>
      </c>
      <c r="C9" s="43" t="s">
        <v>26</v>
      </c>
      <c r="D9" s="40">
        <v>0</v>
      </c>
      <c r="E9" s="48">
        <f>[1]售热量!$K$25</f>
        <v>0</v>
      </c>
      <c r="F9" s="39"/>
      <c r="G9" s="39"/>
      <c r="H9" s="35">
        <f t="shared" ref="H9:H12" si="7">E9+F9+G9</f>
        <v>0</v>
      </c>
      <c r="I9" s="199">
        <f>D9+'26.4'!I9</f>
        <v>0</v>
      </c>
      <c r="J9" s="199">
        <f>E9+'26.4'!J9</f>
        <v>0</v>
      </c>
      <c r="K9" s="199">
        <f>F9+'26.4'!K9</f>
        <v>0</v>
      </c>
      <c r="L9" s="199">
        <f>G9+'26.4'!L9</f>
        <v>0</v>
      </c>
      <c r="M9" s="35">
        <f t="shared" si="2"/>
        <v>0</v>
      </c>
      <c r="N9" s="45"/>
    </row>
    <row r="10" s="2" customFormat="1" ht="18" customHeight="1" spans="1:14">
      <c r="A10" s="28" t="s">
        <v>29</v>
      </c>
      <c r="B10" s="42" t="s">
        <v>30</v>
      </c>
      <c r="C10" s="43" t="s">
        <v>23</v>
      </c>
      <c r="D10" s="40"/>
      <c r="E10" s="33"/>
      <c r="F10" s="39"/>
      <c r="G10" s="34"/>
      <c r="H10" s="35">
        <f t="shared" si="7"/>
        <v>0</v>
      </c>
      <c r="I10" s="199">
        <f>D10+'26.4'!I10</f>
        <v>0</v>
      </c>
      <c r="J10" s="199">
        <f>E10+'26.4'!J10</f>
        <v>0</v>
      </c>
      <c r="K10" s="199">
        <f>F10+'26.4'!K10</f>
        <v>0</v>
      </c>
      <c r="L10" s="199">
        <f>G10+'26.4'!L10</f>
        <v>0</v>
      </c>
      <c r="M10" s="35">
        <f t="shared" si="2"/>
        <v>0</v>
      </c>
      <c r="N10" s="45"/>
    </row>
    <row r="11" s="2" customFormat="1" ht="18" customHeight="1" spans="1:14">
      <c r="A11" s="28" t="s">
        <v>31</v>
      </c>
      <c r="B11" s="42" t="s">
        <v>32</v>
      </c>
      <c r="C11" s="43" t="s">
        <v>23</v>
      </c>
      <c r="D11" s="40"/>
      <c r="E11" s="40">
        <v>0</v>
      </c>
      <c r="F11" s="40"/>
      <c r="G11" s="40"/>
      <c r="H11" s="35">
        <f t="shared" si="7"/>
        <v>0</v>
      </c>
      <c r="I11" s="199">
        <f>D11+'26.4'!I11</f>
        <v>0</v>
      </c>
      <c r="J11" s="199">
        <f>E11+'26.4'!J11</f>
        <v>0</v>
      </c>
      <c r="K11" s="199">
        <f>F11+'26.4'!K11</f>
        <v>0</v>
      </c>
      <c r="L11" s="199">
        <f>G11+'26.4'!L11</f>
        <v>0</v>
      </c>
      <c r="M11" s="35">
        <f t="shared" si="2"/>
        <v>0</v>
      </c>
      <c r="N11" s="45"/>
    </row>
    <row r="12" s="2" customFormat="1" ht="18" customHeight="1" spans="1:14">
      <c r="A12" s="28" t="s">
        <v>33</v>
      </c>
      <c r="B12" s="42" t="s">
        <v>34</v>
      </c>
      <c r="C12" s="43" t="s">
        <v>23</v>
      </c>
      <c r="D12" s="46">
        <f t="shared" ref="D12:G12" si="8">D13+D14</f>
        <v>0</v>
      </c>
      <c r="E12" s="46">
        <f t="shared" si="8"/>
        <v>0</v>
      </c>
      <c r="F12" s="46">
        <f t="shared" si="8"/>
        <v>0</v>
      </c>
      <c r="G12" s="46">
        <f t="shared" si="8"/>
        <v>0</v>
      </c>
      <c r="H12" s="35">
        <f t="shared" si="7"/>
        <v>0</v>
      </c>
      <c r="I12" s="199">
        <f>D12+'26.4'!I12</f>
        <v>0</v>
      </c>
      <c r="J12" s="199">
        <f>E12+'26.4'!J12</f>
        <v>0</v>
      </c>
      <c r="K12" s="199">
        <f>F12+'26.4'!K12</f>
        <v>0</v>
      </c>
      <c r="L12" s="199">
        <f>G12+'26.4'!L12</f>
        <v>0</v>
      </c>
      <c r="M12" s="35">
        <f t="shared" si="2"/>
        <v>0</v>
      </c>
      <c r="N12" s="45"/>
    </row>
    <row r="13" s="2" customFormat="1" ht="18" customHeight="1" spans="1:14">
      <c r="A13" s="28"/>
      <c r="B13" s="42" t="s">
        <v>35</v>
      </c>
      <c r="C13" s="43" t="s">
        <v>23</v>
      </c>
      <c r="D13" s="40"/>
      <c r="E13" s="40"/>
      <c r="F13" s="40"/>
      <c r="G13" s="46"/>
      <c r="H13" s="49"/>
      <c r="I13" s="199">
        <f>D13+'26.4'!I13</f>
        <v>0</v>
      </c>
      <c r="J13" s="199">
        <f>E13+'26.4'!J13</f>
        <v>0</v>
      </c>
      <c r="K13" s="199">
        <f>F13+'26.4'!K13</f>
        <v>0</v>
      </c>
      <c r="L13" s="199">
        <f>G13+'26.4'!L13</f>
        <v>0</v>
      </c>
      <c r="M13" s="49"/>
      <c r="N13" s="45"/>
    </row>
    <row r="14" s="2" customFormat="1" ht="18" customHeight="1" spans="1:14">
      <c r="A14" s="28"/>
      <c r="B14" s="42" t="s">
        <v>36</v>
      </c>
      <c r="C14" s="43" t="s">
        <v>23</v>
      </c>
      <c r="D14" s="46"/>
      <c r="E14" s="40"/>
      <c r="F14" s="40"/>
      <c r="G14" s="40"/>
      <c r="H14" s="49"/>
      <c r="I14" s="199">
        <f>D14+'26.4'!I14</f>
        <v>0</v>
      </c>
      <c r="J14" s="199">
        <f>E14+'26.4'!J14</f>
        <v>0</v>
      </c>
      <c r="K14" s="199">
        <f>F14+'26.4'!K14</f>
        <v>0</v>
      </c>
      <c r="L14" s="199">
        <f>G14+'26.4'!L14</f>
        <v>0</v>
      </c>
      <c r="M14" s="49"/>
      <c r="N14" s="45"/>
    </row>
    <row r="15" s="2" customFormat="1" ht="18" customHeight="1" spans="1:14">
      <c r="A15" s="28" t="s">
        <v>37</v>
      </c>
      <c r="B15" s="42" t="s">
        <v>38</v>
      </c>
      <c r="C15" s="43" t="s">
        <v>23</v>
      </c>
      <c r="D15" s="40"/>
      <c r="E15" s="50"/>
      <c r="F15" s="39"/>
      <c r="G15" s="34"/>
      <c r="H15" s="35"/>
      <c r="I15" s="199">
        <f>D15+'26.4'!I15</f>
        <v>0</v>
      </c>
      <c r="J15" s="199">
        <f>E15+'26.4'!J15</f>
        <v>0</v>
      </c>
      <c r="K15" s="199">
        <f>F15+'26.4'!K15</f>
        <v>0</v>
      </c>
      <c r="L15" s="199">
        <f>G15+'26.4'!L15</f>
        <v>0</v>
      </c>
      <c r="M15" s="35">
        <f t="shared" ref="M15:M17" si="9">J15+K15+L15</f>
        <v>0</v>
      </c>
      <c r="N15" s="45"/>
    </row>
    <row r="16" s="2" customFormat="1" ht="18" customHeight="1" spans="1:14">
      <c r="A16" s="28"/>
      <c r="B16" s="42" t="s">
        <v>39</v>
      </c>
      <c r="C16" s="43" t="s">
        <v>23</v>
      </c>
      <c r="D16" s="40"/>
      <c r="E16" s="50"/>
      <c r="F16" s="39"/>
      <c r="G16" s="39"/>
      <c r="H16" s="35"/>
      <c r="I16" s="199">
        <f>D16+'26.4'!I16</f>
        <v>0</v>
      </c>
      <c r="J16" s="199">
        <f>E16+'26.4'!J16</f>
        <v>0</v>
      </c>
      <c r="K16" s="199">
        <f>F16+'26.4'!K16</f>
        <v>0</v>
      </c>
      <c r="L16" s="199">
        <f>G16+'26.4'!L16</f>
        <v>0</v>
      </c>
      <c r="M16" s="35">
        <f t="shared" si="9"/>
        <v>0</v>
      </c>
      <c r="N16" s="45"/>
    </row>
    <row r="17" s="2" customFormat="1" ht="18" customHeight="1" spans="1:14">
      <c r="A17" s="28" t="s">
        <v>40</v>
      </c>
      <c r="B17" s="42" t="s">
        <v>41</v>
      </c>
      <c r="C17" s="43" t="s">
        <v>42</v>
      </c>
      <c r="D17" s="46"/>
      <c r="E17" s="50"/>
      <c r="F17" s="39"/>
      <c r="G17" s="34"/>
      <c r="H17" s="35"/>
      <c r="I17" s="199">
        <f>D17+'26.4'!I17</f>
        <v>0</v>
      </c>
      <c r="J17" s="199">
        <f>E17+'26.4'!J17</f>
        <v>0</v>
      </c>
      <c r="K17" s="51"/>
      <c r="L17" s="199">
        <f>G17+'26.4'!L17</f>
        <v>0</v>
      </c>
      <c r="M17" s="35">
        <f t="shared" si="9"/>
        <v>0</v>
      </c>
      <c r="N17" s="45"/>
    </row>
    <row r="18" s="2" customFormat="1" ht="18" customHeight="1" spans="1:14">
      <c r="A18" s="28"/>
      <c r="B18" s="42" t="s">
        <v>43</v>
      </c>
      <c r="C18" s="43" t="s">
        <v>42</v>
      </c>
      <c r="D18" s="40"/>
      <c r="E18" s="50"/>
      <c r="F18" s="39"/>
      <c r="G18" s="39"/>
      <c r="H18" s="49"/>
      <c r="I18" s="199">
        <f>D18+'26.4'!I18</f>
        <v>0</v>
      </c>
      <c r="J18" s="199">
        <f>E18+'26.4'!J18</f>
        <v>0</v>
      </c>
      <c r="K18" s="199">
        <f>F18+'26.4'!K18</f>
        <v>0</v>
      </c>
      <c r="L18" s="199">
        <f>G18+'26.4'!L18</f>
        <v>0</v>
      </c>
      <c r="M18" s="49"/>
      <c r="N18" s="45"/>
    </row>
    <row r="19" s="2" customFormat="1" ht="18" customHeight="1" spans="1:14">
      <c r="A19" s="28"/>
      <c r="B19" s="42" t="s">
        <v>44</v>
      </c>
      <c r="C19" s="43" t="s">
        <v>42</v>
      </c>
      <c r="D19" s="40"/>
      <c r="E19" s="34"/>
      <c r="F19" s="34"/>
      <c r="G19" s="34"/>
      <c r="H19" s="49"/>
      <c r="I19" s="199">
        <f>D19+'26.4'!I19</f>
        <v>0</v>
      </c>
      <c r="J19" s="52"/>
      <c r="K19" s="199">
        <f>F19+'26.4'!K19</f>
        <v>0</v>
      </c>
      <c r="L19" s="199">
        <f>G19+'26.4'!L19</f>
        <v>0</v>
      </c>
      <c r="M19" s="49"/>
      <c r="N19" s="45"/>
    </row>
    <row r="20" s="2" customFormat="1" ht="18" customHeight="1" spans="1:14">
      <c r="A20" s="28"/>
      <c r="B20" s="42" t="s">
        <v>45</v>
      </c>
      <c r="C20" s="43" t="s">
        <v>23</v>
      </c>
      <c r="D20" s="40"/>
      <c r="E20" s="50"/>
      <c r="F20" s="39"/>
      <c r="G20" s="39"/>
      <c r="H20" s="49"/>
      <c r="I20" s="199">
        <f>D20+'26.4'!I20</f>
        <v>0</v>
      </c>
      <c r="J20" s="199">
        <f>E20+'26.4'!J20</f>
        <v>0</v>
      </c>
      <c r="K20" s="199">
        <f>F20+'26.4'!K20</f>
        <v>0</v>
      </c>
      <c r="L20" s="199">
        <f>G20+'26.4'!L20</f>
        <v>0</v>
      </c>
      <c r="M20" s="49"/>
      <c r="N20" s="45"/>
    </row>
    <row r="21" s="2" customFormat="1" ht="18" customHeight="1" spans="1:14">
      <c r="A21" s="28"/>
      <c r="B21" s="42" t="s">
        <v>46</v>
      </c>
      <c r="C21" s="43" t="s">
        <v>42</v>
      </c>
      <c r="D21" s="40"/>
      <c r="E21" s="50"/>
      <c r="F21" s="39"/>
      <c r="G21" s="39"/>
      <c r="H21" s="49"/>
      <c r="I21" s="199">
        <f>D21+'26.4'!I21</f>
        <v>0</v>
      </c>
      <c r="J21" s="199">
        <f>E21+'26.4'!J21</f>
        <v>0</v>
      </c>
      <c r="K21" s="199">
        <f>F21+'26.4'!K21</f>
        <v>0</v>
      </c>
      <c r="L21" s="199">
        <f>G21+'26.4'!L21</f>
        <v>0</v>
      </c>
      <c r="M21" s="49"/>
      <c r="N21" s="45"/>
    </row>
    <row r="22" s="2" customFormat="1" customHeight="1" spans="1:14">
      <c r="A22" s="53" t="s">
        <v>47</v>
      </c>
      <c r="B22" s="54" t="s">
        <v>48</v>
      </c>
      <c r="C22" s="55" t="s">
        <v>23</v>
      </c>
      <c r="D22" s="56"/>
      <c r="E22" s="57"/>
      <c r="F22" s="57"/>
      <c r="G22" s="57"/>
      <c r="H22" s="58"/>
      <c r="I22" s="199">
        <f>D22+'26.4'!I22</f>
        <v>0</v>
      </c>
      <c r="J22" s="199">
        <f>E22+'26.4'!J22</f>
        <v>0</v>
      </c>
      <c r="K22" s="199">
        <f>F22+'26.4'!K22</f>
        <v>0</v>
      </c>
      <c r="L22" s="199">
        <f>G22+'26.4'!L22</f>
        <v>0</v>
      </c>
      <c r="M22" s="59">
        <f t="shared" ref="M22:M27" si="10">J22+K22+L22</f>
        <v>0</v>
      </c>
      <c r="N22" s="1"/>
    </row>
    <row r="23" s="2" customFormat="1" ht="21" customHeight="1" spans="1:14">
      <c r="A23" s="53" t="s">
        <v>49</v>
      </c>
      <c r="B23" s="54" t="s">
        <v>50</v>
      </c>
      <c r="C23" s="55" t="s">
        <v>23</v>
      </c>
      <c r="D23" s="56"/>
      <c r="E23" s="57"/>
      <c r="F23" s="57"/>
      <c r="G23" s="57"/>
      <c r="H23" s="58"/>
      <c r="I23" s="199">
        <f>D23+'26.4'!I23</f>
        <v>0</v>
      </c>
      <c r="J23" s="199">
        <f>E23+'26.4'!J23</f>
        <v>0</v>
      </c>
      <c r="K23" s="199">
        <f>F23+'26.4'!K23</f>
        <v>0</v>
      </c>
      <c r="L23" s="199">
        <f>G23+'26.4'!L23</f>
        <v>0</v>
      </c>
      <c r="M23" s="59">
        <f t="shared" si="10"/>
        <v>0</v>
      </c>
      <c r="N23" s="1"/>
    </row>
    <row r="24" s="2" customFormat="1" ht="18" customHeight="1" spans="1:14">
      <c r="A24" s="53" t="s">
        <v>51</v>
      </c>
      <c r="B24" s="42" t="s">
        <v>52</v>
      </c>
      <c r="C24" s="43" t="s">
        <v>53</v>
      </c>
      <c r="D24" s="60" t="e">
        <f t="shared" ref="D24:M24" si="11">D17/D8</f>
        <v>#DIV/0!</v>
      </c>
      <c r="E24" s="60" t="e">
        <f t="shared" si="11"/>
        <v>#DIV/0!</v>
      </c>
      <c r="F24" s="60" t="e">
        <f t="shared" si="11"/>
        <v>#DIV/0!</v>
      </c>
      <c r="G24" s="60" t="e">
        <f t="shared" si="11"/>
        <v>#DIV/0!</v>
      </c>
      <c r="H24" s="61" t="e">
        <f t="shared" si="11"/>
        <v>#DIV/0!</v>
      </c>
      <c r="I24" s="62" t="e">
        <f t="shared" si="11"/>
        <v>#DIV/0!</v>
      </c>
      <c r="J24" s="60" t="e">
        <f t="shared" si="11"/>
        <v>#DIV/0!</v>
      </c>
      <c r="K24" s="60" t="e">
        <f t="shared" si="11"/>
        <v>#DIV/0!</v>
      </c>
      <c r="L24" s="60" t="e">
        <f t="shared" si="11"/>
        <v>#DIV/0!</v>
      </c>
      <c r="M24" s="61" t="e">
        <f t="shared" si="11"/>
        <v>#DIV/0!</v>
      </c>
      <c r="N24" s="45"/>
    </row>
    <row r="25" s="2" customFormat="1" ht="18" customHeight="1" spans="1:14">
      <c r="A25" s="53" t="s">
        <v>54</v>
      </c>
      <c r="B25" s="42" t="s">
        <v>55</v>
      </c>
      <c r="C25" s="43" t="s">
        <v>56</v>
      </c>
      <c r="D25" s="60" t="e">
        <f t="shared" ref="D25:M25" si="12">D12*1000/D8</f>
        <v>#DIV/0!</v>
      </c>
      <c r="E25" s="60" t="e">
        <f t="shared" si="12"/>
        <v>#DIV/0!</v>
      </c>
      <c r="F25" s="60" t="e">
        <f t="shared" si="12"/>
        <v>#DIV/0!</v>
      </c>
      <c r="G25" s="60" t="e">
        <f t="shared" si="12"/>
        <v>#DIV/0!</v>
      </c>
      <c r="H25" s="61" t="e">
        <f t="shared" si="12"/>
        <v>#DIV/0!</v>
      </c>
      <c r="I25" s="62" t="e">
        <f t="shared" si="12"/>
        <v>#DIV/0!</v>
      </c>
      <c r="J25" s="60" t="e">
        <f t="shared" si="12"/>
        <v>#DIV/0!</v>
      </c>
      <c r="K25" s="60" t="e">
        <f t="shared" si="12"/>
        <v>#DIV/0!</v>
      </c>
      <c r="L25" s="60" t="e">
        <f t="shared" si="12"/>
        <v>#DIV/0!</v>
      </c>
      <c r="M25" s="61" t="e">
        <f t="shared" si="12"/>
        <v>#DIV/0!</v>
      </c>
      <c r="N25" s="45"/>
    </row>
    <row r="26" s="3" customFormat="1" ht="18" customHeight="1" spans="1:14">
      <c r="A26" s="53" t="s">
        <v>57</v>
      </c>
      <c r="B26" s="42" t="s">
        <v>58</v>
      </c>
      <c r="C26" s="63" t="s">
        <v>23</v>
      </c>
      <c r="D26" s="56"/>
      <c r="E26" s="64"/>
      <c r="F26" s="65"/>
      <c r="G26" s="34"/>
      <c r="H26" s="66"/>
      <c r="I26" s="199">
        <f>D26+'26.4'!I26</f>
        <v>0</v>
      </c>
      <c r="J26" s="199">
        <f>E26+'26.4'!J26</f>
        <v>0</v>
      </c>
      <c r="K26" s="199">
        <f>F26+'26.4'!K26</f>
        <v>0</v>
      </c>
      <c r="L26" s="199">
        <f>G26+'26.4'!L26</f>
        <v>0</v>
      </c>
      <c r="M26" s="66">
        <f t="shared" si="10"/>
        <v>0</v>
      </c>
      <c r="N26" s="67"/>
    </row>
    <row r="27" s="3" customFormat="1" ht="18" customHeight="1" spans="1:14">
      <c r="A27" s="53" t="s">
        <v>59</v>
      </c>
      <c r="B27" s="42" t="s">
        <v>60</v>
      </c>
      <c r="C27" s="63" t="s">
        <v>23</v>
      </c>
      <c r="D27" s="50"/>
      <c r="E27" s="68">
        <f>J27</f>
        <v>12569.7</v>
      </c>
      <c r="F27" s="68"/>
      <c r="G27" s="68">
        <f>L27</f>
        <v>1108.50000000002</v>
      </c>
      <c r="H27" s="69"/>
      <c r="I27" s="70">
        <f>D27</f>
        <v>0</v>
      </c>
      <c r="J27" s="201">
        <f>'26.4'!J27+E26-E10</f>
        <v>12569.7</v>
      </c>
      <c r="K27" s="201">
        <f>'26.4'!K27+F26-F10</f>
        <v>0</v>
      </c>
      <c r="L27" s="201">
        <f>'26.4'!L27+G26-G10</f>
        <v>1108.50000000002</v>
      </c>
      <c r="M27" s="72">
        <f t="shared" si="10"/>
        <v>13678.2</v>
      </c>
      <c r="N27" s="67"/>
    </row>
    <row r="28" s="2" customFormat="1" ht="18" customHeight="1" spans="1:14">
      <c r="A28" s="53" t="s">
        <v>61</v>
      </c>
      <c r="B28" s="42" t="s">
        <v>62</v>
      </c>
      <c r="C28" s="43" t="s">
        <v>63</v>
      </c>
      <c r="D28" s="73" t="e">
        <f>D13*29308/D10</f>
        <v>#DIV/0!</v>
      </c>
      <c r="E28" s="73" t="e">
        <f t="shared" ref="E28:H28" si="13">E12*29308/E10</f>
        <v>#DIV/0!</v>
      </c>
      <c r="F28" s="73" t="e">
        <f t="shared" si="13"/>
        <v>#DIV/0!</v>
      </c>
      <c r="G28" s="73" t="e">
        <f t="shared" si="13"/>
        <v>#DIV/0!</v>
      </c>
      <c r="H28" s="73" t="e">
        <f t="shared" si="13"/>
        <v>#DIV/0!</v>
      </c>
      <c r="I28" s="74" t="e">
        <f>I13*29308/I10</f>
        <v>#DIV/0!</v>
      </c>
      <c r="J28" s="46" t="e">
        <f t="shared" ref="J28:M28" si="14">J12*29308/J10</f>
        <v>#DIV/0!</v>
      </c>
      <c r="K28" s="46" t="e">
        <f t="shared" si="14"/>
        <v>#DIV/0!</v>
      </c>
      <c r="L28" s="46" t="e">
        <f t="shared" si="14"/>
        <v>#DIV/0!</v>
      </c>
      <c r="M28" s="73" t="e">
        <f t="shared" si="14"/>
        <v>#DIV/0!</v>
      </c>
      <c r="N28" s="45"/>
    </row>
    <row r="29" s="2" customFormat="1" ht="18" customHeight="1" spans="1:14">
      <c r="A29" s="53" t="s">
        <v>64</v>
      </c>
      <c r="B29" s="42" t="s">
        <v>65</v>
      </c>
      <c r="C29" s="43" t="s">
        <v>63</v>
      </c>
      <c r="D29" s="75"/>
      <c r="E29" s="40"/>
      <c r="F29" s="40"/>
      <c r="G29" s="76"/>
      <c r="H29" s="77"/>
      <c r="I29" s="78"/>
      <c r="J29" s="40"/>
      <c r="K29" s="40"/>
      <c r="L29" s="76"/>
      <c r="M29" s="77"/>
      <c r="N29" s="45"/>
    </row>
    <row r="30" s="2" customFormat="1" ht="18" customHeight="1" spans="1:14">
      <c r="A30" s="53" t="s">
        <v>66</v>
      </c>
      <c r="B30" s="42" t="s">
        <v>67</v>
      </c>
      <c r="C30" s="79" t="s">
        <v>68</v>
      </c>
      <c r="D30" s="80" t="e">
        <f t="shared" ref="D30:M30" si="15">D8/(D12*29.308)</f>
        <v>#DIV/0!</v>
      </c>
      <c r="E30" s="80" t="e">
        <f t="shared" si="15"/>
        <v>#DIV/0!</v>
      </c>
      <c r="F30" s="80" t="e">
        <f t="shared" si="15"/>
        <v>#DIV/0!</v>
      </c>
      <c r="G30" s="80" t="e">
        <f>(G8-G36)/(G12*29.308)</f>
        <v>#DIV/0!</v>
      </c>
      <c r="H30" s="81" t="e">
        <f t="shared" si="15"/>
        <v>#DIV/0!</v>
      </c>
      <c r="I30" s="82" t="e">
        <f t="shared" si="15"/>
        <v>#DIV/0!</v>
      </c>
      <c r="J30" s="80" t="e">
        <f t="shared" si="15"/>
        <v>#DIV/0!</v>
      </c>
      <c r="K30" s="80" t="e">
        <f t="shared" si="15"/>
        <v>#DIV/0!</v>
      </c>
      <c r="L30" s="80" t="e">
        <f t="shared" si="15"/>
        <v>#DIV/0!</v>
      </c>
      <c r="M30" s="81" t="e">
        <f t="shared" si="15"/>
        <v>#DIV/0!</v>
      </c>
      <c r="N30" s="45"/>
    </row>
    <row r="31" s="2" customFormat="1" ht="18" customHeight="1" spans="1:14">
      <c r="A31" s="53" t="s">
        <v>69</v>
      </c>
      <c r="B31" s="42" t="s">
        <v>70</v>
      </c>
      <c r="C31" s="79" t="s">
        <v>68</v>
      </c>
      <c r="D31" s="83">
        <f>D8/3.6/D3/(DAY(DATE(2026,6,0))*24)</f>
        <v>0</v>
      </c>
      <c r="E31" s="83">
        <f>E8/3.6/E3/(DAY(DATE(2026,6,0))*24)</f>
        <v>0</v>
      </c>
      <c r="F31" s="83" t="e">
        <f>F8/3.6/F3/(DAY(DATE(2026,6,0))*24)</f>
        <v>#DIV/0!</v>
      </c>
      <c r="G31" s="83">
        <f>(G8-G36)/3.6/G3/(DAY(DATE(2026,6,0))*24)</f>
        <v>0</v>
      </c>
      <c r="H31" s="84">
        <f>H8/3.6/H3/(DAY(DATE(2026,6,0))*24)</f>
        <v>0</v>
      </c>
      <c r="I31" s="85">
        <f>I8/3.6/I3/(DATEDIF(DATE(2026,1,1),DATE(2026,6,1),"D")*24)</f>
        <v>0</v>
      </c>
      <c r="J31" s="83">
        <f>J8/3.6/J3/(DATEDIF(DATE(2026,1,1),DATE(2026,6,1),"D")*24)</f>
        <v>0</v>
      </c>
      <c r="K31" s="83" t="e">
        <f>K8/3.6/K3/(DATEDIF(DATE(2026,1,1),DATE(2026,6,1),"D")*24)</f>
        <v>#DIV/0!</v>
      </c>
      <c r="L31" s="83">
        <f>(L8-L36)/3.6/L3/(DATEDIF(DATE(2026,1,1),DATE(2026,6,1),"D")*24)</f>
        <v>0</v>
      </c>
      <c r="M31" s="84">
        <f>M8/3.6/M3/(DATEDIF(DATE(2026,1,1),DATE(2026,6,1),"D")*24)</f>
        <v>0</v>
      </c>
      <c r="N31" s="45"/>
    </row>
    <row r="32" s="2" customFormat="1" ht="18" customHeight="1" spans="1:14">
      <c r="A32" s="53" t="s">
        <v>71</v>
      </c>
      <c r="B32" s="42" t="s">
        <v>72</v>
      </c>
      <c r="C32" s="43" t="s">
        <v>73</v>
      </c>
      <c r="D32" s="86"/>
      <c r="E32" s="87" t="e">
        <f t="shared" ref="E32:H32" si="16">E8/E6</f>
        <v>#DIV/0!</v>
      </c>
      <c r="F32" s="87" t="e">
        <f t="shared" si="16"/>
        <v>#DIV/0!</v>
      </c>
      <c r="G32" s="87" t="e">
        <f t="shared" si="16"/>
        <v>#DIV/0!</v>
      </c>
      <c r="H32" s="87" t="e">
        <f t="shared" si="16"/>
        <v>#DIV/0!</v>
      </c>
      <c r="I32" s="88"/>
      <c r="J32" s="87" t="e">
        <f t="shared" ref="J32:M32" si="17">J8/J6</f>
        <v>#DIV/0!</v>
      </c>
      <c r="K32" s="87" t="e">
        <f t="shared" si="17"/>
        <v>#DIV/0!</v>
      </c>
      <c r="L32" s="87" t="e">
        <f t="shared" si="17"/>
        <v>#DIV/0!</v>
      </c>
      <c r="M32" s="89" t="e">
        <f t="shared" si="17"/>
        <v>#DIV/0!</v>
      </c>
      <c r="N32" s="45"/>
    </row>
    <row r="33" s="2" customFormat="1" ht="18" customHeight="1" spans="1:14">
      <c r="A33" s="53" t="s">
        <v>74</v>
      </c>
      <c r="B33" s="42" t="s">
        <v>75</v>
      </c>
      <c r="C33" s="43" t="s">
        <v>76</v>
      </c>
      <c r="D33" s="90"/>
      <c r="E33" s="91" t="e">
        <f t="shared" ref="E33:H33" si="18">E12*1000/E6</f>
        <v>#DIV/0!</v>
      </c>
      <c r="F33" s="91" t="e">
        <f t="shared" si="18"/>
        <v>#DIV/0!</v>
      </c>
      <c r="G33" s="91" t="e">
        <f t="shared" si="18"/>
        <v>#DIV/0!</v>
      </c>
      <c r="H33" s="92" t="e">
        <f t="shared" si="18"/>
        <v>#DIV/0!</v>
      </c>
      <c r="I33" s="93"/>
      <c r="J33" s="91" t="e">
        <f t="shared" ref="J33:M33" si="19">J12*1000/J6</f>
        <v>#DIV/0!</v>
      </c>
      <c r="K33" s="91" t="e">
        <f t="shared" si="19"/>
        <v>#DIV/0!</v>
      </c>
      <c r="L33" s="91" t="e">
        <f t="shared" si="19"/>
        <v>#DIV/0!</v>
      </c>
      <c r="M33" s="92" t="e">
        <f t="shared" si="19"/>
        <v>#DIV/0!</v>
      </c>
      <c r="N33" s="45"/>
    </row>
    <row r="34" s="2" customFormat="1" ht="18" customHeight="1" spans="1:14">
      <c r="A34" s="53" t="s">
        <v>77</v>
      </c>
      <c r="B34" s="42" t="s">
        <v>78</v>
      </c>
      <c r="C34" s="43" t="s">
        <v>79</v>
      </c>
      <c r="D34" s="94"/>
      <c r="E34" s="91" t="e">
        <f t="shared" ref="E34:H34" si="20">E17/E6</f>
        <v>#DIV/0!</v>
      </c>
      <c r="F34" s="91" t="e">
        <f t="shared" si="20"/>
        <v>#DIV/0!</v>
      </c>
      <c r="G34" s="91" t="e">
        <f t="shared" si="20"/>
        <v>#DIV/0!</v>
      </c>
      <c r="H34" s="92" t="e">
        <f t="shared" si="20"/>
        <v>#DIV/0!</v>
      </c>
      <c r="I34" s="95"/>
      <c r="J34" s="91" t="e">
        <f t="shared" ref="J34:M34" si="21">J17/J6</f>
        <v>#DIV/0!</v>
      </c>
      <c r="K34" s="91" t="e">
        <f t="shared" si="21"/>
        <v>#DIV/0!</v>
      </c>
      <c r="L34" s="91" t="e">
        <f t="shared" si="21"/>
        <v>#DIV/0!</v>
      </c>
      <c r="M34" s="92" t="e">
        <f t="shared" si="21"/>
        <v>#DIV/0!</v>
      </c>
      <c r="N34" s="45"/>
    </row>
    <row r="35" s="2" customFormat="1" ht="18" customHeight="1" spans="1:14">
      <c r="A35" s="96" t="s">
        <v>80</v>
      </c>
      <c r="B35" s="97" t="s">
        <v>81</v>
      </c>
      <c r="C35" s="98" t="s">
        <v>76</v>
      </c>
      <c r="D35" s="99"/>
      <c r="E35" s="100" t="e">
        <f t="shared" ref="E35:H35" si="22">E15*1000/E6</f>
        <v>#DIV/0!</v>
      </c>
      <c r="F35" s="100" t="e">
        <f t="shared" si="22"/>
        <v>#DIV/0!</v>
      </c>
      <c r="G35" s="100" t="e">
        <f t="shared" si="22"/>
        <v>#DIV/0!</v>
      </c>
      <c r="H35" s="101" t="e">
        <f t="shared" si="22"/>
        <v>#DIV/0!</v>
      </c>
      <c r="I35" s="102"/>
      <c r="J35" s="100" t="e">
        <f t="shared" ref="J35:M35" si="23">J15*1000/J6</f>
        <v>#DIV/0!</v>
      </c>
      <c r="K35" s="100" t="e">
        <f t="shared" si="23"/>
        <v>#DIV/0!</v>
      </c>
      <c r="L35" s="100" t="e">
        <f t="shared" si="23"/>
        <v>#DIV/0!</v>
      </c>
      <c r="M35" s="101" t="e">
        <f t="shared" si="23"/>
        <v>#DIV/0!</v>
      </c>
      <c r="N35" s="45"/>
    </row>
    <row r="36" s="2" customFormat="1" ht="21" customHeight="1" spans="1:14">
      <c r="A36" s="103"/>
      <c r="B36" s="104" t="s">
        <v>82</v>
      </c>
      <c r="C36" s="105" t="s">
        <v>26</v>
      </c>
      <c r="D36" s="106"/>
      <c r="E36" s="106"/>
      <c r="F36" s="106"/>
      <c r="G36" s="106"/>
      <c r="H36" s="107"/>
      <c r="I36" s="106"/>
      <c r="J36" s="106"/>
      <c r="K36" s="106"/>
      <c r="L36" s="199">
        <f>G36+'26.4'!L36</f>
        <v>0</v>
      </c>
      <c r="M36" s="107"/>
    </row>
    <row r="37" s="1" customFormat="1" ht="29.25" customHeight="1" spans="1:14">
      <c r="A37" s="108" t="s">
        <v>83</v>
      </c>
      <c r="C37" s="4"/>
      <c r="D37" s="5" t="s">
        <v>84</v>
      </c>
      <c r="E37" s="2"/>
      <c r="F37" s="2"/>
      <c r="G37" s="2"/>
      <c r="H37" s="2"/>
      <c r="I37" s="2"/>
      <c r="J37" s="2"/>
    </row>
    <row r="38" s="1" customFormat="1" ht="31.5" customHeight="1" spans="1:14">
      <c r="A38" s="109" t="s">
        <v>0</v>
      </c>
      <c r="B38" s="110" t="s">
        <v>85</v>
      </c>
      <c r="C38" s="110" t="s">
        <v>2</v>
      </c>
      <c r="D38" s="111" t="s">
        <v>86</v>
      </c>
      <c r="E38" s="112" t="s">
        <v>87</v>
      </c>
      <c r="F38" s="2"/>
      <c r="G38" s="2"/>
      <c r="H38" s="2"/>
    </row>
    <row r="39" s="1" customFormat="1" ht="27.95" customHeight="1" spans="1:14">
      <c r="A39" s="28" t="s">
        <v>11</v>
      </c>
      <c r="B39" s="29" t="s">
        <v>12</v>
      </c>
      <c r="C39" s="30" t="s">
        <v>13</v>
      </c>
      <c r="D39" s="113">
        <v>0.55</v>
      </c>
      <c r="E39" s="114">
        <v>0.55</v>
      </c>
      <c r="F39" s="2"/>
      <c r="G39" s="2"/>
      <c r="H39" s="2"/>
    </row>
    <row r="40" s="1" customFormat="1" ht="27.95" customHeight="1" spans="1:14">
      <c r="A40" s="28" t="s">
        <v>14</v>
      </c>
      <c r="B40" s="29" t="s">
        <v>88</v>
      </c>
      <c r="C40" s="30" t="s">
        <v>16</v>
      </c>
      <c r="D40" s="115"/>
      <c r="E40" s="116">
        <f>D40</f>
        <v>0</v>
      </c>
      <c r="F40" s="45"/>
      <c r="G40" s="45"/>
      <c r="H40" s="2"/>
    </row>
    <row r="41" s="1" customFormat="1" ht="27.95" customHeight="1" spans="1:14">
      <c r="A41" s="28" t="s">
        <v>19</v>
      </c>
      <c r="B41" s="29" t="s">
        <v>89</v>
      </c>
      <c r="C41" s="30" t="s">
        <v>16</v>
      </c>
      <c r="D41" s="117"/>
      <c r="E41" s="118">
        <f>D41</f>
        <v>0</v>
      </c>
      <c r="F41" s="45"/>
      <c r="G41" s="45"/>
      <c r="H41" s="2"/>
    </row>
    <row r="42" s="1" customFormat="1" ht="27.95" customHeight="1" spans="1:14">
      <c r="A42" s="28" t="s">
        <v>21</v>
      </c>
      <c r="B42" s="42" t="s">
        <v>25</v>
      </c>
      <c r="C42" s="43" t="s">
        <v>26</v>
      </c>
      <c r="D42" s="119"/>
      <c r="E42" s="202">
        <f>D42+'26.4'!E42</f>
        <v>441</v>
      </c>
      <c r="F42" s="45"/>
      <c r="G42" s="45"/>
      <c r="H42" s="2"/>
    </row>
    <row r="43" s="1" customFormat="1" ht="27.95" customHeight="1" spans="1:14">
      <c r="A43" s="28" t="s">
        <v>24</v>
      </c>
      <c r="B43" s="42" t="s">
        <v>38</v>
      </c>
      <c r="C43" s="43" t="s">
        <v>23</v>
      </c>
      <c r="D43" s="115"/>
      <c r="E43" s="202">
        <f>D43+'26.4'!E43</f>
        <v>3</v>
      </c>
      <c r="F43" s="45"/>
      <c r="G43" s="45"/>
      <c r="H43" s="2"/>
    </row>
    <row r="44" s="1" customFormat="1" ht="27.95" customHeight="1" spans="1:14">
      <c r="A44" s="28" t="s">
        <v>27</v>
      </c>
      <c r="B44" s="42" t="s">
        <v>41</v>
      </c>
      <c r="C44" s="43" t="s">
        <v>42</v>
      </c>
      <c r="D44" s="115"/>
      <c r="E44" s="202">
        <f>D44+'26.4'!E44</f>
        <v>132840.000000001</v>
      </c>
      <c r="F44" s="45"/>
      <c r="G44" s="45"/>
      <c r="H44" s="2"/>
    </row>
    <row r="45" s="1" customFormat="1" ht="27.95" customHeight="1" spans="1:14">
      <c r="A45" s="28"/>
      <c r="B45" s="42" t="s">
        <v>90</v>
      </c>
      <c r="C45" s="43" t="s">
        <v>42</v>
      </c>
      <c r="D45" s="115">
        <f>D44</f>
        <v>0</v>
      </c>
      <c r="E45" s="202">
        <f>D45+'26.4'!E45</f>
        <v>132840.000000001</v>
      </c>
      <c r="F45" s="45"/>
      <c r="G45" s="45"/>
      <c r="H45" s="2"/>
    </row>
    <row r="46" s="1" customFormat="1" ht="27.95" customHeight="1" spans="1:14">
      <c r="A46" s="28" t="s">
        <v>29</v>
      </c>
      <c r="B46" s="42" t="s">
        <v>52</v>
      </c>
      <c r="C46" s="43" t="s">
        <v>53</v>
      </c>
      <c r="D46" s="121" t="e">
        <f>D44/D42</f>
        <v>#DIV/0!</v>
      </c>
      <c r="E46" s="122">
        <f>E44/E42</f>
        <v>301.224489795921</v>
      </c>
      <c r="F46" s="45"/>
      <c r="G46" s="45"/>
      <c r="H46" s="2"/>
    </row>
    <row r="47" s="1" customFormat="1" ht="27.95" customHeight="1" spans="1:14">
      <c r="A47" s="28" t="s">
        <v>31</v>
      </c>
      <c r="B47" s="42" t="s">
        <v>70</v>
      </c>
      <c r="C47" s="79" t="s">
        <v>68</v>
      </c>
      <c r="D47" s="123">
        <f>D42/3.6/D39/(DAY(DATE(2026,6,0))*24)</f>
        <v>0</v>
      </c>
      <c r="E47" s="124">
        <f>E42/3.6/E39/(DATEDIF(DATE(2026,1,1),DATE(2026,6,1),"D")*24)</f>
        <v>0.061458960465583</v>
      </c>
      <c r="F47" s="45"/>
      <c r="G47" s="45"/>
      <c r="H47" s="2"/>
    </row>
    <row r="48" s="1" customFormat="1" ht="27.95" customHeight="1" spans="1:14">
      <c r="A48" s="28" t="s">
        <v>33</v>
      </c>
      <c r="B48" s="42" t="s">
        <v>72</v>
      </c>
      <c r="C48" s="43" t="s">
        <v>73</v>
      </c>
      <c r="D48" s="125" t="e">
        <f>D42/D41</f>
        <v>#DIV/0!</v>
      </c>
      <c r="E48" s="126" t="e">
        <f>E42/E41</f>
        <v>#DIV/0!</v>
      </c>
      <c r="F48" s="45"/>
      <c r="G48" s="45"/>
      <c r="H48" s="2"/>
    </row>
    <row r="49" s="1" customFormat="1" ht="27.95" customHeight="1" spans="1:10">
      <c r="A49" s="28" t="s">
        <v>37</v>
      </c>
      <c r="B49" s="42" t="s">
        <v>78</v>
      </c>
      <c r="C49" s="43" t="s">
        <v>79</v>
      </c>
      <c r="D49" s="127" t="e">
        <f>D44/D41</f>
        <v>#DIV/0!</v>
      </c>
      <c r="E49" s="128" t="e">
        <f>E44/E41</f>
        <v>#DIV/0!</v>
      </c>
      <c r="F49" s="45"/>
      <c r="G49" s="45"/>
      <c r="H49" s="2"/>
    </row>
    <row r="50" s="1" customFormat="1" ht="27.95" customHeight="1" spans="1:10">
      <c r="A50" s="129" t="s">
        <v>40</v>
      </c>
      <c r="B50" s="97" t="s">
        <v>81</v>
      </c>
      <c r="C50" s="98" t="s">
        <v>76</v>
      </c>
      <c r="D50" s="130" t="e">
        <f>D43*1000/D41</f>
        <v>#DIV/0!</v>
      </c>
      <c r="E50" s="130" t="e">
        <f>E43*1000/E41</f>
        <v>#DIV/0!</v>
      </c>
      <c r="F50" s="45"/>
      <c r="G50" s="45"/>
      <c r="H50" s="2"/>
    </row>
    <row r="51" s="1" customFormat="1" ht="18" customHeight="1" spans="1:10">
      <c r="C51" s="4"/>
      <c r="D51" s="5"/>
    </row>
    <row r="52" s="1" customFormat="1" ht="29.25" customHeight="1" spans="1:10">
      <c r="A52" s="108" t="s">
        <v>91</v>
      </c>
      <c r="C52" s="4"/>
      <c r="D52" s="5" t="s">
        <v>84</v>
      </c>
      <c r="E52" s="2"/>
      <c r="F52" s="2"/>
      <c r="G52" s="2"/>
      <c r="H52" s="2"/>
      <c r="I52" s="2"/>
      <c r="J52" s="2"/>
    </row>
    <row r="53" s="1" customFormat="1" ht="31.5" customHeight="1" spans="1:10">
      <c r="A53" s="131" t="s">
        <v>0</v>
      </c>
      <c r="B53" s="132" t="s">
        <v>85</v>
      </c>
      <c r="C53" s="132" t="s">
        <v>2</v>
      </c>
      <c r="D53" s="133" t="s">
        <v>86</v>
      </c>
      <c r="E53" s="134"/>
      <c r="F53" s="135"/>
      <c r="G53" s="136" t="s">
        <v>87</v>
      </c>
      <c r="H53" s="134"/>
      <c r="I53" s="134"/>
    </row>
    <row r="54" s="1" customFormat="1" ht="31.5" customHeight="1" spans="1:10">
      <c r="A54" s="137"/>
      <c r="B54" s="138"/>
      <c r="C54" s="138"/>
      <c r="D54" s="139" t="s">
        <v>92</v>
      </c>
      <c r="E54" s="139" t="s">
        <v>93</v>
      </c>
      <c r="F54" s="140" t="s">
        <v>9</v>
      </c>
      <c r="G54" s="141" t="s">
        <v>92</v>
      </c>
      <c r="H54" s="139" t="s">
        <v>93</v>
      </c>
      <c r="I54" s="142" t="s">
        <v>9</v>
      </c>
    </row>
    <row r="55" s="1" customFormat="1" ht="27.95" customHeight="1" spans="1:10">
      <c r="A55" s="28" t="s">
        <v>11</v>
      </c>
      <c r="B55" s="29" t="s">
        <v>12</v>
      </c>
      <c r="C55" s="30" t="s">
        <v>13</v>
      </c>
      <c r="D55" s="143">
        <v>6</v>
      </c>
      <c r="E55" s="143">
        <v>6.4</v>
      </c>
      <c r="F55" s="144">
        <f t="shared" ref="F55:F61" si="24">SUM(D55:E55)</f>
        <v>12.4</v>
      </c>
      <c r="G55" s="145">
        <f t="shared" ref="G55:G57" si="25">D55</f>
        <v>6</v>
      </c>
      <c r="H55" s="146">
        <f t="shared" ref="H55:H57" si="26">E55</f>
        <v>6.4</v>
      </c>
      <c r="I55" s="146">
        <f t="shared" ref="I55:I61" si="27">SUM(G55:H55)</f>
        <v>12.4</v>
      </c>
    </row>
    <row r="56" s="1" customFormat="1" ht="27.95" customHeight="1" spans="1:10">
      <c r="A56" s="28" t="s">
        <v>14</v>
      </c>
      <c r="B56" s="29" t="s">
        <v>88</v>
      </c>
      <c r="C56" s="30" t="s">
        <v>16</v>
      </c>
      <c r="D56" s="148"/>
      <c r="E56" s="148"/>
      <c r="F56" s="117">
        <f t="shared" si="24"/>
        <v>0</v>
      </c>
      <c r="G56" s="118">
        <f t="shared" si="25"/>
        <v>0</v>
      </c>
      <c r="H56" s="118">
        <f t="shared" si="26"/>
        <v>0</v>
      </c>
      <c r="I56" s="147">
        <f t="shared" si="27"/>
        <v>0</v>
      </c>
    </row>
    <row r="57" s="1" customFormat="1" ht="27.95" customHeight="1" spans="1:10">
      <c r="A57" s="28" t="s">
        <v>19</v>
      </c>
      <c r="B57" s="29" t="s">
        <v>89</v>
      </c>
      <c r="C57" s="30" t="s">
        <v>16</v>
      </c>
      <c r="D57" s="147"/>
      <c r="E57" s="147"/>
      <c r="F57" s="117">
        <f t="shared" si="24"/>
        <v>0</v>
      </c>
      <c r="G57" s="118">
        <f t="shared" si="25"/>
        <v>0</v>
      </c>
      <c r="H57" s="118">
        <f t="shared" si="26"/>
        <v>0</v>
      </c>
      <c r="I57" s="147">
        <f t="shared" si="27"/>
        <v>0</v>
      </c>
    </row>
    <row r="58" s="1" customFormat="1" ht="27.95" customHeight="1" spans="1:10">
      <c r="A58" s="28" t="s">
        <v>21</v>
      </c>
      <c r="B58" s="42" t="s">
        <v>25</v>
      </c>
      <c r="C58" s="43" t="s">
        <v>26</v>
      </c>
      <c r="D58" s="148"/>
      <c r="E58" s="149"/>
      <c r="F58" s="117">
        <f t="shared" si="24"/>
        <v>0</v>
      </c>
      <c r="G58" s="203">
        <f>D58+'26.4'!G58</f>
        <v>0</v>
      </c>
      <c r="H58" s="203">
        <f>E58+'26.4'!H58</f>
        <v>0</v>
      </c>
      <c r="I58" s="147">
        <f t="shared" si="27"/>
        <v>0</v>
      </c>
    </row>
    <row r="59" s="1" customFormat="1" ht="27.95" customHeight="1" spans="1:10">
      <c r="A59" s="28" t="s">
        <v>24</v>
      </c>
      <c r="B59" s="42" t="s">
        <v>38</v>
      </c>
      <c r="C59" s="43" t="s">
        <v>23</v>
      </c>
      <c r="D59" s="148"/>
      <c r="E59" s="148"/>
      <c r="F59" s="117">
        <f t="shared" si="24"/>
        <v>0</v>
      </c>
      <c r="G59" s="203">
        <f>D59+'26.4'!G59</f>
        <v>0</v>
      </c>
      <c r="H59" s="203">
        <f>E59+'26.4'!H59</f>
        <v>0</v>
      </c>
      <c r="I59" s="147">
        <f t="shared" si="27"/>
        <v>0</v>
      </c>
    </row>
    <row r="60" s="1" customFormat="1" ht="27.95" customHeight="1" spans="1:10">
      <c r="A60" s="28" t="s">
        <v>27</v>
      </c>
      <c r="B60" s="42" t="s">
        <v>41</v>
      </c>
      <c r="C60" s="43" t="s">
        <v>42</v>
      </c>
      <c r="D60" s="148"/>
      <c r="E60" s="148"/>
      <c r="F60" s="117">
        <f t="shared" si="24"/>
        <v>0</v>
      </c>
      <c r="G60" s="203">
        <f>D60+'26.4'!G60</f>
        <v>0</v>
      </c>
      <c r="H60" s="203">
        <f>E60+'26.4'!H60</f>
        <v>0</v>
      </c>
      <c r="I60" s="147">
        <f t="shared" si="27"/>
        <v>0</v>
      </c>
    </row>
    <row r="61" s="1" customFormat="1" ht="27.95" customHeight="1" spans="1:10">
      <c r="A61" s="28"/>
      <c r="B61" s="42" t="s">
        <v>90</v>
      </c>
      <c r="C61" s="43" t="s">
        <v>42</v>
      </c>
      <c r="D61" s="148"/>
      <c r="E61" s="148"/>
      <c r="F61" s="117">
        <f t="shared" si="24"/>
        <v>0</v>
      </c>
      <c r="G61" s="203">
        <f>D61+'26.4'!G61</f>
        <v>0</v>
      </c>
      <c r="H61" s="203">
        <f>E61+'26.4'!H61</f>
        <v>0</v>
      </c>
      <c r="I61" s="147">
        <f t="shared" si="27"/>
        <v>0</v>
      </c>
    </row>
    <row r="62" s="1" customFormat="1" ht="27.95" customHeight="1" spans="1:10">
      <c r="A62" s="28" t="s">
        <v>29</v>
      </c>
      <c r="B62" s="42" t="s">
        <v>52</v>
      </c>
      <c r="C62" s="43" t="s">
        <v>53</v>
      </c>
      <c r="D62" s="151" t="e">
        <f t="shared" ref="D62:I62" si="28">D60/D58</f>
        <v>#DIV/0!</v>
      </c>
      <c r="E62" s="151" t="e">
        <f t="shared" si="28"/>
        <v>#DIV/0!</v>
      </c>
      <c r="F62" s="121" t="e">
        <f t="shared" si="28"/>
        <v>#DIV/0!</v>
      </c>
      <c r="G62" s="152" t="e">
        <f t="shared" si="28"/>
        <v>#DIV/0!</v>
      </c>
      <c r="H62" s="60" t="e">
        <f t="shared" si="28"/>
        <v>#DIV/0!</v>
      </c>
      <c r="I62" s="61" t="e">
        <f t="shared" si="28"/>
        <v>#DIV/0!</v>
      </c>
    </row>
    <row r="63" s="1" customFormat="1" ht="27.95" customHeight="1" spans="1:10">
      <c r="A63" s="28" t="s">
        <v>31</v>
      </c>
      <c r="B63" s="42" t="s">
        <v>70</v>
      </c>
      <c r="C63" s="79" t="s">
        <v>68</v>
      </c>
      <c r="D63" s="83">
        <f>D58/3.6/D55/(DAY(DATE(2026,6,0))*24)</f>
        <v>0</v>
      </c>
      <c r="E63" s="83">
        <f>E58/3.6/E55/(DAY(DATE(2026,6,0))*24)</f>
        <v>0</v>
      </c>
      <c r="F63" s="123">
        <f>F58/3.6/F55/(DAY(DATE(2026,6,0))*24)</f>
        <v>0</v>
      </c>
      <c r="G63" s="85">
        <f>G58/3.6/G55/(DATEDIF(DATE(2026,1,1),DATE(2026,6,1),"D")*24)</f>
        <v>0</v>
      </c>
      <c r="H63" s="83">
        <f>H58/3.6/H55/(DATEDIF(DATE(2026,1,1),DATE(2026,6,1),"D")*24)</f>
        <v>0</v>
      </c>
      <c r="I63" s="84">
        <f>I58/3.6/I55/(DATEDIF(DATE(2026,1,1),DATE(2026,6,1),"D")*24)</f>
        <v>0</v>
      </c>
    </row>
    <row r="64" s="1" customFormat="1" ht="27.95" customHeight="1" spans="1:10">
      <c r="A64" s="28" t="s">
        <v>33</v>
      </c>
      <c r="B64" s="42" t="s">
        <v>72</v>
      </c>
      <c r="C64" s="43" t="s">
        <v>73</v>
      </c>
      <c r="D64" s="87" t="e">
        <f t="shared" ref="D64:I64" si="29">D58/D57</f>
        <v>#DIV/0!</v>
      </c>
      <c r="E64" s="87" t="e">
        <f t="shared" si="29"/>
        <v>#DIV/0!</v>
      </c>
      <c r="F64" s="89" t="e">
        <f t="shared" si="29"/>
        <v>#DIV/0!</v>
      </c>
      <c r="G64" s="153" t="e">
        <f t="shared" si="29"/>
        <v>#DIV/0!</v>
      </c>
      <c r="H64" s="87" t="e">
        <f t="shared" si="29"/>
        <v>#DIV/0!</v>
      </c>
      <c r="I64" s="89" t="e">
        <f t="shared" si="29"/>
        <v>#DIV/0!</v>
      </c>
    </row>
    <row r="65" s="1" customFormat="1" ht="27.95" customHeight="1" spans="1:9">
      <c r="A65" s="28" t="s">
        <v>37</v>
      </c>
      <c r="B65" s="42" t="s">
        <v>78</v>
      </c>
      <c r="C65" s="43" t="s">
        <v>79</v>
      </c>
      <c r="D65" s="91" t="e">
        <f t="shared" ref="D65:I65" si="30">D60/D57</f>
        <v>#DIV/0!</v>
      </c>
      <c r="E65" s="91" t="e">
        <f t="shared" si="30"/>
        <v>#DIV/0!</v>
      </c>
      <c r="F65" s="92" t="e">
        <f t="shared" si="30"/>
        <v>#DIV/0!</v>
      </c>
      <c r="G65" s="154" t="e">
        <f t="shared" si="30"/>
        <v>#DIV/0!</v>
      </c>
      <c r="H65" s="91" t="e">
        <f t="shared" si="30"/>
        <v>#DIV/0!</v>
      </c>
      <c r="I65" s="92" t="e">
        <f t="shared" si="30"/>
        <v>#DIV/0!</v>
      </c>
    </row>
    <row r="66" s="1" customFormat="1" ht="27.95" customHeight="1" spans="1:9">
      <c r="A66" s="129" t="s">
        <v>40</v>
      </c>
      <c r="B66" s="97" t="s">
        <v>81</v>
      </c>
      <c r="C66" s="98" t="s">
        <v>76</v>
      </c>
      <c r="D66" s="100" t="e">
        <f t="shared" ref="D66:I66" si="31">D59*1000/D57</f>
        <v>#DIV/0!</v>
      </c>
      <c r="E66" s="100" t="e">
        <f t="shared" si="31"/>
        <v>#DIV/0!</v>
      </c>
      <c r="F66" s="101" t="e">
        <f t="shared" si="31"/>
        <v>#DIV/0!</v>
      </c>
      <c r="G66" s="155" t="e">
        <f t="shared" si="31"/>
        <v>#DIV/0!</v>
      </c>
      <c r="H66" s="100" t="e">
        <f t="shared" si="31"/>
        <v>#DIV/0!</v>
      </c>
      <c r="I66" s="101" t="e">
        <f t="shared" si="31"/>
        <v>#DIV/0!</v>
      </c>
    </row>
    <row r="67" s="1" customFormat="1" ht="18" customHeight="1" spans="1:9">
      <c r="C67" s="4"/>
      <c r="D67" s="5"/>
    </row>
    <row r="68" s="1" customFormat="1" ht="29.25" customHeight="1" spans="1:9">
      <c r="A68" s="108" t="s">
        <v>94</v>
      </c>
      <c r="C68" s="4"/>
      <c r="D68" s="5"/>
    </row>
    <row r="69" s="1" customFormat="1" ht="30" customHeight="1" spans="1:9">
      <c r="A69" s="131" t="s">
        <v>0</v>
      </c>
      <c r="B69" s="7" t="s">
        <v>1</v>
      </c>
      <c r="C69" s="7" t="s">
        <v>2</v>
      </c>
      <c r="D69" s="133" t="s">
        <v>86</v>
      </c>
      <c r="E69" s="135"/>
      <c r="F69" s="134" t="s">
        <v>87</v>
      </c>
      <c r="G69" s="134"/>
    </row>
    <row r="70" s="1" customFormat="1" ht="30" customHeight="1" spans="1:9">
      <c r="A70" s="137"/>
      <c r="B70" s="14"/>
      <c r="C70" s="14"/>
      <c r="D70" s="139" t="s">
        <v>95</v>
      </c>
      <c r="E70" s="156" t="s">
        <v>96</v>
      </c>
      <c r="F70" s="141" t="s">
        <v>95</v>
      </c>
      <c r="G70" s="142" t="s">
        <v>96</v>
      </c>
    </row>
    <row r="71" s="1" customFormat="1" ht="27.95" customHeight="1" spans="1:9">
      <c r="A71" s="19" t="s">
        <v>11</v>
      </c>
      <c r="B71" s="20" t="s">
        <v>12</v>
      </c>
      <c r="C71" s="21" t="s">
        <v>13</v>
      </c>
      <c r="D71" s="157">
        <v>217</v>
      </c>
      <c r="E71" s="158">
        <v>1.4</v>
      </c>
      <c r="F71" s="159">
        <f>D71</f>
        <v>217</v>
      </c>
      <c r="G71" s="160">
        <f>E71</f>
        <v>1.4</v>
      </c>
    </row>
    <row r="72" s="1" customFormat="1" ht="27.95" customHeight="1" spans="1:9">
      <c r="A72" s="28" t="s">
        <v>14</v>
      </c>
      <c r="B72" s="42" t="s">
        <v>22</v>
      </c>
      <c r="C72" s="43" t="s">
        <v>23</v>
      </c>
      <c r="D72" s="148"/>
      <c r="E72" s="115"/>
      <c r="F72" s="161">
        <f>D72</f>
        <v>0</v>
      </c>
      <c r="G72" s="162">
        <f>E72</f>
        <v>0</v>
      </c>
    </row>
    <row r="73" s="1" customFormat="1" ht="27.95" customHeight="1" spans="1:9">
      <c r="A73" s="28" t="s">
        <v>19</v>
      </c>
      <c r="B73" s="42" t="s">
        <v>25</v>
      </c>
      <c r="C73" s="43" t="s">
        <v>26</v>
      </c>
      <c r="D73" s="147">
        <f>D72*2.951694</f>
        <v>0</v>
      </c>
      <c r="E73" s="163">
        <f>E72*2.732</f>
        <v>0</v>
      </c>
      <c r="F73" s="202">
        <f>D73+'26.4'!F73</f>
        <v>0</v>
      </c>
      <c r="G73" s="202">
        <f>E73+'26.4'!G73</f>
        <v>0</v>
      </c>
    </row>
    <row r="74" s="1" customFormat="1" ht="27.95" customHeight="1" spans="1:9">
      <c r="A74" s="28" t="s">
        <v>21</v>
      </c>
      <c r="B74" s="42" t="s">
        <v>97</v>
      </c>
      <c r="C74" s="43" t="s">
        <v>98</v>
      </c>
      <c r="D74" s="148"/>
      <c r="E74" s="115"/>
      <c r="F74" s="202">
        <f>D74+'26.4'!F74</f>
        <v>0</v>
      </c>
      <c r="G74" s="202">
        <f>E74+'26.4'!G74</f>
        <v>0</v>
      </c>
    </row>
    <row r="75" s="1" customFormat="1" ht="27.95" customHeight="1" spans="1:9">
      <c r="A75" s="28" t="s">
        <v>24</v>
      </c>
      <c r="B75" s="42" t="s">
        <v>34</v>
      </c>
      <c r="C75" s="43" t="s">
        <v>23</v>
      </c>
      <c r="D75" s="147">
        <f>D74*D80/29308/1000</f>
        <v>0</v>
      </c>
      <c r="E75" s="117">
        <f>E74*E80/29308/1000</f>
        <v>0</v>
      </c>
      <c r="F75" s="202">
        <f>D75+'26.4'!F75</f>
        <v>0</v>
      </c>
      <c r="G75" s="202">
        <f>E75+'26.4'!G75</f>
        <v>0</v>
      </c>
    </row>
    <row r="76" s="1" customFormat="1" ht="27.95" customHeight="1" spans="1:9">
      <c r="A76" s="28" t="s">
        <v>27</v>
      </c>
      <c r="B76" s="42" t="s">
        <v>38</v>
      </c>
      <c r="C76" s="43" t="s">
        <v>23</v>
      </c>
      <c r="D76" s="148"/>
      <c r="E76" s="164"/>
      <c r="F76" s="202">
        <f>D76+'26.4'!F76</f>
        <v>0</v>
      </c>
      <c r="G76" s="202">
        <f>E76+'26.4'!G76</f>
        <v>0</v>
      </c>
    </row>
    <row r="77" s="1" customFormat="1" ht="27.95" customHeight="1" spans="1:9">
      <c r="A77" s="28" t="s">
        <v>29</v>
      </c>
      <c r="B77" s="42" t="s">
        <v>41</v>
      </c>
      <c r="C77" s="43" t="s">
        <v>42</v>
      </c>
      <c r="D77" s="148"/>
      <c r="E77" s="164"/>
      <c r="F77" s="202">
        <f>D77+'26.4'!F77</f>
        <v>0</v>
      </c>
      <c r="G77" s="202">
        <f>E77+'26.4'!G77</f>
        <v>0</v>
      </c>
    </row>
    <row r="78" s="1" customFormat="1" ht="27.95" customHeight="1" spans="1:9">
      <c r="A78" s="28" t="s">
        <v>31</v>
      </c>
      <c r="B78" s="42" t="s">
        <v>52</v>
      </c>
      <c r="C78" s="43" t="s">
        <v>53</v>
      </c>
      <c r="D78" s="165" t="e">
        <f>D77/D73</f>
        <v>#DIV/0!</v>
      </c>
      <c r="E78" s="166"/>
      <c r="F78" s="167" t="e">
        <f>F77/F73</f>
        <v>#DIV/0!</v>
      </c>
      <c r="G78" s="168"/>
    </row>
    <row r="79" s="1" customFormat="1" ht="27.95" customHeight="1" spans="1:9">
      <c r="A79" s="28" t="s">
        <v>33</v>
      </c>
      <c r="B79" s="42" t="s">
        <v>55</v>
      </c>
      <c r="C79" s="43" t="s">
        <v>56</v>
      </c>
      <c r="D79" s="60" t="e">
        <f t="shared" ref="D79:G79" si="32">D75*1000/D73</f>
        <v>#DIV/0!</v>
      </c>
      <c r="E79" s="169" t="e">
        <f t="shared" si="32"/>
        <v>#DIV/0!</v>
      </c>
      <c r="F79" s="170" t="e">
        <f t="shared" si="32"/>
        <v>#DIV/0!</v>
      </c>
      <c r="G79" s="61" t="e">
        <f t="shared" si="32"/>
        <v>#DIV/0!</v>
      </c>
      <c r="H79" s="12"/>
    </row>
    <row r="80" s="1" customFormat="1" ht="27.95" customHeight="1" spans="1:9">
      <c r="A80" s="28" t="s">
        <v>37</v>
      </c>
      <c r="B80" s="42" t="s">
        <v>99</v>
      </c>
      <c r="C80" s="43" t="s">
        <v>100</v>
      </c>
      <c r="D80" s="56"/>
      <c r="E80" s="171"/>
      <c r="F80" s="172" t="e">
        <f>F75*29308*1000/F74</f>
        <v>#DIV/0!</v>
      </c>
      <c r="G80" s="147" t="e">
        <f>G75*29308*1000/G74</f>
        <v>#DIV/0!</v>
      </c>
      <c r="H80" s="12"/>
    </row>
    <row r="81" s="1" customFormat="1" ht="27.95" customHeight="1" spans="1:11">
      <c r="A81" s="28" t="s">
        <v>40</v>
      </c>
      <c r="B81" s="42" t="s">
        <v>67</v>
      </c>
      <c r="C81" s="79" t="s">
        <v>68</v>
      </c>
      <c r="D81" s="80" t="e">
        <f t="shared" ref="D81:G81" si="33">D73/(D75*29.308)</f>
        <v>#DIV/0!</v>
      </c>
      <c r="E81" s="173" t="e">
        <f t="shared" si="33"/>
        <v>#DIV/0!</v>
      </c>
      <c r="F81" s="174" t="e">
        <f t="shared" si="33"/>
        <v>#DIV/0!</v>
      </c>
      <c r="G81" s="81" t="e">
        <f t="shared" si="33"/>
        <v>#DIV/0!</v>
      </c>
      <c r="H81" s="12"/>
    </row>
    <row r="82" s="1" customFormat="1" ht="27.95" customHeight="1" spans="1:11">
      <c r="A82" s="129" t="s">
        <v>47</v>
      </c>
      <c r="B82" s="175" t="s">
        <v>70</v>
      </c>
      <c r="C82" s="176" t="s">
        <v>68</v>
      </c>
      <c r="D82" s="177">
        <f>D73/3.6/D71/(DAY(DATE(2026,6,0))*24)</f>
        <v>0</v>
      </c>
      <c r="E82" s="178">
        <f>E73/3.6/E71/(DAY(DATE(2026,6,0))*24)</f>
        <v>0</v>
      </c>
      <c r="F82" s="179">
        <f>F73/3.6/F71/(DATEDIF(DATE(2026,1,1),DATE(2026,6,1),"D")*24)</f>
        <v>0</v>
      </c>
      <c r="G82" s="180">
        <f>G73/3.6/G71/(DATEDIF(DATE(2026,1,1),DATE(2026,6,1),"D")*24)</f>
        <v>0</v>
      </c>
      <c r="H82" s="12"/>
    </row>
    <row r="83" s="1" customFormat="1" ht="18" customHeight="1" spans="1:11">
      <c r="B83" s="181"/>
      <c r="C83" s="181"/>
      <c r="D83" s="5"/>
    </row>
    <row r="84" s="1" customFormat="1" customHeight="1" spans="1:11">
      <c r="A84" s="108" t="s">
        <v>101</v>
      </c>
      <c r="C84" s="4"/>
      <c r="D84" s="5" t="s">
        <v>84</v>
      </c>
      <c r="E84" s="2"/>
      <c r="F84" s="2"/>
      <c r="G84" s="2"/>
      <c r="H84" s="2"/>
      <c r="I84" s="2"/>
    </row>
    <row r="85" s="1" customFormat="1" customHeight="1" spans="1:11">
      <c r="A85" s="131" t="s">
        <v>0</v>
      </c>
      <c r="B85" s="132" t="s">
        <v>85</v>
      </c>
      <c r="C85" s="132" t="s">
        <v>2</v>
      </c>
      <c r="D85" s="182" t="s">
        <v>86</v>
      </c>
      <c r="E85" s="139" t="s">
        <v>87</v>
      </c>
      <c r="F85" s="182" t="s">
        <v>102</v>
      </c>
      <c r="G85" s="182" t="s">
        <v>103</v>
      </c>
      <c r="H85" s="183"/>
      <c r="I85" s="183"/>
    </row>
    <row r="86" s="1" customFormat="1" customHeight="1" spans="1:11">
      <c r="A86" s="137"/>
      <c r="B86" s="138"/>
      <c r="C86" s="138"/>
      <c r="D86" s="182" t="s">
        <v>104</v>
      </c>
      <c r="E86" s="182" t="s">
        <v>104</v>
      </c>
      <c r="F86" s="182"/>
      <c r="G86" s="182"/>
      <c r="H86" s="183"/>
      <c r="I86" s="184"/>
    </row>
    <row r="87" s="1" customFormat="1" customHeight="1" spans="1:11">
      <c r="A87" s="28" t="s">
        <v>11</v>
      </c>
      <c r="B87" s="29" t="s">
        <v>12</v>
      </c>
      <c r="C87" s="30" t="s">
        <v>13</v>
      </c>
      <c r="D87" s="185">
        <v>0.7888</v>
      </c>
      <c r="E87" s="186">
        <f t="shared" ref="E87:E89" si="34">D87</f>
        <v>0.7888</v>
      </c>
      <c r="F87" s="187">
        <f t="shared" ref="F87:F93" si="35">F55+D87</f>
        <v>13.1888</v>
      </c>
      <c r="G87" s="187">
        <f t="shared" ref="G87:G93" si="36">E87+I55</f>
        <v>13.1888</v>
      </c>
      <c r="H87" s="145"/>
      <c r="I87" s="145"/>
    </row>
    <row r="88" s="1" customFormat="1" customHeight="1" spans="1:11">
      <c r="A88" s="28" t="s">
        <v>14</v>
      </c>
      <c r="B88" s="29" t="s">
        <v>88</v>
      </c>
      <c r="C88" s="30" t="s">
        <v>16</v>
      </c>
      <c r="D88" s="188"/>
      <c r="E88" s="189">
        <f t="shared" si="34"/>
        <v>0</v>
      </c>
      <c r="F88" s="190">
        <v>83197.81</v>
      </c>
      <c r="G88" s="190">
        <v>83197.81</v>
      </c>
      <c r="H88" s="116"/>
      <c r="I88" s="116"/>
    </row>
    <row r="89" s="1" customFormat="1" customHeight="1" spans="1:11">
      <c r="A89" s="28" t="s">
        <v>19</v>
      </c>
      <c r="B89" s="29" t="s">
        <v>89</v>
      </c>
      <c r="C89" s="30" t="s">
        <v>16</v>
      </c>
      <c r="D89" s="188"/>
      <c r="E89" s="189">
        <f t="shared" si="34"/>
        <v>0</v>
      </c>
      <c r="F89" s="190">
        <v>83197.81</v>
      </c>
      <c r="G89" s="190">
        <v>83197.81</v>
      </c>
      <c r="H89" s="116"/>
      <c r="I89" s="116"/>
    </row>
    <row r="90" s="1" customFormat="1" customHeight="1" spans="1:11">
      <c r="A90" s="28" t="s">
        <v>21</v>
      </c>
      <c r="B90" s="42" t="s">
        <v>25</v>
      </c>
      <c r="C90" s="43" t="s">
        <v>26</v>
      </c>
      <c r="D90" s="188"/>
      <c r="E90" s="204">
        <f>D90+'26.4'!E90</f>
        <v>0</v>
      </c>
      <c r="F90" s="192">
        <f t="shared" si="35"/>
        <v>0</v>
      </c>
      <c r="G90" s="192">
        <f t="shared" si="36"/>
        <v>0</v>
      </c>
      <c r="H90" s="116"/>
      <c r="I90" s="116"/>
    </row>
    <row r="91" s="1" customFormat="1" customHeight="1" spans="1:11">
      <c r="A91" s="28" t="s">
        <v>24</v>
      </c>
      <c r="B91" s="42" t="s">
        <v>38</v>
      </c>
      <c r="C91" s="43" t="s">
        <v>23</v>
      </c>
      <c r="D91" s="188"/>
      <c r="E91" s="204">
        <f>D91+'26.4'!E91</f>
        <v>0</v>
      </c>
      <c r="F91" s="192">
        <f t="shared" si="35"/>
        <v>0</v>
      </c>
      <c r="G91" s="192">
        <f t="shared" si="36"/>
        <v>0</v>
      </c>
      <c r="H91" s="116"/>
      <c r="I91" s="116"/>
    </row>
    <row r="92" s="1" customFormat="1" customHeight="1" spans="1:11">
      <c r="A92" s="28" t="s">
        <v>27</v>
      </c>
      <c r="B92" s="42" t="s">
        <v>41</v>
      </c>
      <c r="C92" s="43" t="s">
        <v>42</v>
      </c>
      <c r="D92" s="188"/>
      <c r="E92" s="204">
        <f>D92+'26.4'!E92</f>
        <v>0</v>
      </c>
      <c r="F92" s="192">
        <f t="shared" si="35"/>
        <v>0</v>
      </c>
      <c r="G92" s="192">
        <f t="shared" si="36"/>
        <v>0</v>
      </c>
      <c r="H92" s="116"/>
      <c r="I92" s="116"/>
    </row>
    <row r="93" s="1" customFormat="1" customHeight="1" spans="1:11">
      <c r="A93" s="28"/>
      <c r="B93" s="42" t="s">
        <v>90</v>
      </c>
      <c r="C93" s="43" t="s">
        <v>42</v>
      </c>
      <c r="D93" s="188"/>
      <c r="E93" s="204">
        <f>D93+'26.4'!E93</f>
        <v>0</v>
      </c>
      <c r="F93" s="192">
        <f t="shared" si="35"/>
        <v>0</v>
      </c>
      <c r="G93" s="192">
        <f t="shared" si="36"/>
        <v>0</v>
      </c>
      <c r="H93" s="116"/>
      <c r="I93" s="116"/>
    </row>
    <row r="94" s="1" customFormat="1" customHeight="1" spans="1:11">
      <c r="A94" s="28" t="s">
        <v>29</v>
      </c>
      <c r="B94" s="42" t="s">
        <v>52</v>
      </c>
      <c r="C94" s="43" t="s">
        <v>53</v>
      </c>
      <c r="D94" s="193" t="e">
        <f t="shared" ref="D94:G94" si="37">D92/D90</f>
        <v>#DIV/0!</v>
      </c>
      <c r="E94" s="193" t="e">
        <f t="shared" si="37"/>
        <v>#DIV/0!</v>
      </c>
      <c r="F94" s="193" t="e">
        <f t="shared" si="37"/>
        <v>#DIV/0!</v>
      </c>
      <c r="G94" s="193" t="e">
        <f t="shared" si="37"/>
        <v>#DIV/0!</v>
      </c>
      <c r="H94" s="122"/>
      <c r="I94" s="122"/>
    </row>
    <row r="95" s="1" customFormat="1" customHeight="1" spans="1:11">
      <c r="A95" s="28" t="s">
        <v>31</v>
      </c>
      <c r="B95" s="42" t="s">
        <v>105</v>
      </c>
      <c r="C95" s="79" t="s">
        <v>68</v>
      </c>
      <c r="D95" s="194">
        <f>D90/3.6/D87/(DAY(DATE(2026,6,0))*24)</f>
        <v>0</v>
      </c>
      <c r="E95" s="84">
        <f>E90/3.6/E87/(DATEDIF(DATE(2026,1,1),DATE(2026,6,1),"D")*24)</f>
        <v>0</v>
      </c>
      <c r="F95" s="194">
        <f>F90/3.6/F87/(DAY(DATE(2026,6,0))*24)</f>
        <v>0</v>
      </c>
      <c r="G95" s="84">
        <f>G90/3.6/G87/(DATEDIF(DATE(2026,1,1),DATE(2026,6,1),"D")*24)</f>
        <v>0</v>
      </c>
      <c r="H95" s="195"/>
      <c r="I95" s="195"/>
      <c r="K95" s="196"/>
    </row>
    <row r="96" s="1" customFormat="1" customHeight="1" spans="1:11">
      <c r="A96" s="28" t="s">
        <v>33</v>
      </c>
      <c r="B96" s="42" t="s">
        <v>72</v>
      </c>
      <c r="C96" s="43" t="s">
        <v>73</v>
      </c>
      <c r="D96" s="197" t="e">
        <f t="shared" ref="D96:G96" si="38">D90/D89</f>
        <v>#DIV/0!</v>
      </c>
      <c r="E96" s="197" t="e">
        <f t="shared" si="38"/>
        <v>#DIV/0!</v>
      </c>
      <c r="F96" s="197">
        <f t="shared" si="38"/>
        <v>0</v>
      </c>
      <c r="G96" s="197">
        <f t="shared" si="38"/>
        <v>0</v>
      </c>
      <c r="H96" s="126"/>
      <c r="I96" s="126"/>
    </row>
    <row r="97" s="1" customFormat="1" customHeight="1" spans="1:9">
      <c r="A97" s="28" t="s">
        <v>37</v>
      </c>
      <c r="B97" s="42" t="s">
        <v>78</v>
      </c>
      <c r="C97" s="43" t="s">
        <v>79</v>
      </c>
      <c r="D97" s="198" t="e">
        <f t="shared" ref="D97:G97" si="39">D92/D89</f>
        <v>#DIV/0!</v>
      </c>
      <c r="E97" s="198" t="e">
        <f t="shared" si="39"/>
        <v>#DIV/0!</v>
      </c>
      <c r="F97" s="198">
        <f t="shared" si="39"/>
        <v>0</v>
      </c>
      <c r="G97" s="198">
        <f t="shared" si="39"/>
        <v>0</v>
      </c>
      <c r="H97" s="128"/>
      <c r="I97" s="128"/>
    </row>
    <row r="98" s="1" customFormat="1" customHeight="1" spans="1:9">
      <c r="A98" s="129" t="s">
        <v>40</v>
      </c>
      <c r="B98" s="97" t="s">
        <v>81</v>
      </c>
      <c r="C98" s="98" t="s">
        <v>76</v>
      </c>
      <c r="D98" s="198" t="e">
        <f t="shared" ref="D98:G98" si="40">D91*1000/D89</f>
        <v>#DIV/0!</v>
      </c>
      <c r="E98" s="198" t="e">
        <f t="shared" si="40"/>
        <v>#DIV/0!</v>
      </c>
      <c r="F98" s="198">
        <f t="shared" si="40"/>
        <v>0</v>
      </c>
      <c r="G98" s="198">
        <f t="shared" si="40"/>
        <v>0</v>
      </c>
      <c r="H98" s="128"/>
      <c r="I98" s="128"/>
    </row>
  </sheetData>
  <mergeCells count="20">
    <mergeCell ref="D1:H1"/>
    <mergeCell ref="I1:M1"/>
    <mergeCell ref="D53:F53"/>
    <mergeCell ref="G53:I53"/>
    <mergeCell ref="D69:E69"/>
    <mergeCell ref="F69:G69"/>
    <mergeCell ref="A1:A2"/>
    <mergeCell ref="A53:A54"/>
    <mergeCell ref="A69:A70"/>
    <mergeCell ref="A85:A86"/>
    <mergeCell ref="B1:B2"/>
    <mergeCell ref="B53:B54"/>
    <mergeCell ref="B69:B70"/>
    <mergeCell ref="B85:B86"/>
    <mergeCell ref="C1:C2"/>
    <mergeCell ref="C53:C54"/>
    <mergeCell ref="C69:C70"/>
    <mergeCell ref="C85:C86"/>
    <mergeCell ref="F85:F86"/>
    <mergeCell ref="G85:G86"/>
  </mergeCells>
  <pageMargins left="0.748031496062992" right="0.748031496062992" top="0.984251968503937" bottom="0.984251968503937" header="0.511811023622047" footer="0.511811023622047"/>
  <pageSetup paperSize="8" orientation="landscape" horizontalDpi="600" verticalDpi="600"/>
  <headerFooter alignWithMargins="0" scaleWithDoc="0">
    <oddHeader>&amp;C&amp;20 2022年5月份集团各锅炉站生产报表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8"/>
  <sheetViews>
    <sheetView showGridLines="0" zoomScale="70" zoomScaleNormal="70" zoomScaleSheetLayoutView="60" workbookViewId="0">
      <pane xSplit="2" ySplit="2" topLeftCell="C21" activePane="bottomRight" state="frozen"/>
      <selection/>
      <selection pane="topRight"/>
      <selection pane="bottomLeft"/>
      <selection pane="bottomRight" activeCell="L36" sqref="L36"/>
    </sheetView>
  </sheetViews>
  <sheetFormatPr defaultColWidth="8.625" defaultRowHeight="15" customHeight="1"/>
  <cols>
    <col min="1" max="1" width="7.375" style="1" customWidth="1"/>
    <col min="2" max="2" width="19.75" style="1" customWidth="1"/>
    <col min="3" max="3" width="13.5" style="4" customWidth="1"/>
    <col min="4" max="4" width="13.45" style="5" customWidth="1"/>
    <col min="5" max="13" width="13.45" style="1" customWidth="1"/>
    <col min="14" max="14" width="22.2083333333333" style="1"/>
    <col min="15" max="16384" width="8.625" style="1"/>
  </cols>
  <sheetData>
    <row r="1" s="1" customFormat="1" ht="39.95" customHeight="1" spans="1:14">
      <c r="A1" s="6" t="s">
        <v>0</v>
      </c>
      <c r="B1" s="7" t="s">
        <v>1</v>
      </c>
      <c r="C1" s="7" t="s">
        <v>2</v>
      </c>
      <c r="D1" s="8" t="s">
        <v>3</v>
      </c>
      <c r="E1" s="9"/>
      <c r="F1" s="9"/>
      <c r="G1" s="9"/>
      <c r="H1" s="10"/>
      <c r="I1" s="11" t="s">
        <v>4</v>
      </c>
      <c r="J1" s="9"/>
      <c r="K1" s="9"/>
      <c r="L1" s="9"/>
      <c r="M1" s="9"/>
      <c r="N1" s="12"/>
    </row>
    <row r="2" s="1" customFormat="1" ht="39.95" customHeight="1" spans="1:14">
      <c r="A2" s="13"/>
      <c r="B2" s="14"/>
      <c r="C2" s="14"/>
      <c r="D2" s="15" t="s">
        <v>5</v>
      </c>
      <c r="E2" s="15" t="s">
        <v>6</v>
      </c>
      <c r="F2" s="15" t="s">
        <v>7</v>
      </c>
      <c r="G2" s="16" t="s">
        <v>8</v>
      </c>
      <c r="H2" s="17" t="s">
        <v>9</v>
      </c>
      <c r="I2" s="18" t="s">
        <v>5</v>
      </c>
      <c r="J2" s="15" t="s">
        <v>6</v>
      </c>
      <c r="K2" s="15" t="s">
        <v>7</v>
      </c>
      <c r="L2" s="16" t="s">
        <v>10</v>
      </c>
      <c r="M2" s="17" t="s">
        <v>9</v>
      </c>
    </row>
    <row r="3" s="1" customFormat="1" ht="18" customHeight="1" spans="1:14">
      <c r="A3" s="19" t="s">
        <v>11</v>
      </c>
      <c r="B3" s="20" t="s">
        <v>12</v>
      </c>
      <c r="C3" s="21" t="s">
        <v>13</v>
      </c>
      <c r="D3" s="22">
        <v>348</v>
      </c>
      <c r="E3" s="23">
        <v>162</v>
      </c>
      <c r="F3" s="23"/>
      <c r="G3" s="24">
        <v>263</v>
      </c>
      <c r="H3" s="25">
        <f t="shared" ref="H3:H7" si="0">E3+F3+G3</f>
        <v>425</v>
      </c>
      <c r="I3" s="26">
        <f t="shared" ref="I3:L3" si="1">D3</f>
        <v>348</v>
      </c>
      <c r="J3" s="22">
        <f t="shared" si="1"/>
        <v>162</v>
      </c>
      <c r="K3" s="22">
        <f t="shared" si="1"/>
        <v>0</v>
      </c>
      <c r="L3" s="27">
        <f t="shared" si="1"/>
        <v>263</v>
      </c>
      <c r="M3" s="25">
        <f t="shared" ref="M3:M12" si="2">J3+K3+L3</f>
        <v>425</v>
      </c>
      <c r="N3" s="12"/>
    </row>
    <row r="4" s="1" customFormat="1" ht="18" customHeight="1" spans="1:14">
      <c r="A4" s="28" t="s">
        <v>14</v>
      </c>
      <c r="B4" s="29" t="s">
        <v>15</v>
      </c>
      <c r="C4" s="30" t="s">
        <v>16</v>
      </c>
      <c r="D4" s="31" t="s">
        <v>17</v>
      </c>
      <c r="E4" s="32"/>
      <c r="F4" s="33"/>
      <c r="G4" s="34"/>
      <c r="H4" s="35"/>
      <c r="I4" s="36" t="str">
        <f t="shared" ref="I4:L4" si="3">D4</f>
        <v> -   </v>
      </c>
      <c r="J4" s="32">
        <f t="shared" si="3"/>
        <v>0</v>
      </c>
      <c r="K4" s="37">
        <f t="shared" si="3"/>
        <v>0</v>
      </c>
      <c r="L4" s="38">
        <f t="shared" si="3"/>
        <v>0</v>
      </c>
      <c r="M4" s="35">
        <f t="shared" si="2"/>
        <v>0</v>
      </c>
      <c r="N4" s="12"/>
    </row>
    <row r="5" s="1" customFormat="1" ht="18" customHeight="1" spans="1:14">
      <c r="A5" s="28"/>
      <c r="B5" s="29" t="s">
        <v>18</v>
      </c>
      <c r="C5" s="30" t="s">
        <v>16</v>
      </c>
      <c r="D5" s="31" t="s">
        <v>17</v>
      </c>
      <c r="E5" s="33">
        <v>55000</v>
      </c>
      <c r="F5" s="39">
        <v>0</v>
      </c>
      <c r="G5" s="40">
        <v>0</v>
      </c>
      <c r="H5" s="35">
        <f t="shared" si="0"/>
        <v>55000</v>
      </c>
      <c r="I5" s="36" t="str">
        <f t="shared" ref="I5:L5" si="4">D5</f>
        <v> -   </v>
      </c>
      <c r="J5" s="32">
        <f t="shared" si="4"/>
        <v>55000</v>
      </c>
      <c r="K5" s="37">
        <f t="shared" si="4"/>
        <v>0</v>
      </c>
      <c r="L5" s="38">
        <f t="shared" si="4"/>
        <v>0</v>
      </c>
      <c r="M5" s="35">
        <f t="shared" si="2"/>
        <v>55000</v>
      </c>
      <c r="N5" s="12"/>
    </row>
    <row r="6" s="1" customFormat="1" ht="18" customHeight="1" spans="1:14">
      <c r="A6" s="28" t="s">
        <v>19</v>
      </c>
      <c r="B6" s="29" t="s">
        <v>20</v>
      </c>
      <c r="C6" s="30" t="s">
        <v>16</v>
      </c>
      <c r="D6" s="31" t="s">
        <v>17</v>
      </c>
      <c r="E6" s="34">
        <f t="shared" ref="E6:G6" si="5">E4</f>
        <v>0</v>
      </c>
      <c r="F6" s="34">
        <f t="shared" si="5"/>
        <v>0</v>
      </c>
      <c r="G6" s="34">
        <f t="shared" si="5"/>
        <v>0</v>
      </c>
      <c r="H6" s="35">
        <f t="shared" si="0"/>
        <v>0</v>
      </c>
      <c r="I6" s="36" t="str">
        <f t="shared" ref="I6:L6" si="6">D6</f>
        <v> -   </v>
      </c>
      <c r="J6" s="41">
        <f t="shared" si="6"/>
        <v>0</v>
      </c>
      <c r="K6" s="41">
        <f t="shared" si="6"/>
        <v>0</v>
      </c>
      <c r="L6" s="41">
        <f t="shared" si="6"/>
        <v>0</v>
      </c>
      <c r="M6" s="35">
        <f t="shared" si="2"/>
        <v>0</v>
      </c>
      <c r="N6" s="12"/>
    </row>
    <row r="7" s="2" customFormat="1" ht="18" customHeight="1" spans="1:14">
      <c r="A7" s="28" t="s">
        <v>21</v>
      </c>
      <c r="B7" s="42" t="s">
        <v>22</v>
      </c>
      <c r="C7" s="43" t="s">
        <v>23</v>
      </c>
      <c r="D7" s="40">
        <v>0</v>
      </c>
      <c r="E7" s="40">
        <v>0</v>
      </c>
      <c r="F7" s="40">
        <v>0</v>
      </c>
      <c r="G7" s="40"/>
      <c r="H7" s="35">
        <f t="shared" si="0"/>
        <v>0</v>
      </c>
      <c r="I7" s="44">
        <f>D7+'26.5'!I7</f>
        <v>0</v>
      </c>
      <c r="J7" s="44">
        <f>E7+'26.5'!J7</f>
        <v>0</v>
      </c>
      <c r="K7" s="44">
        <f>F7+'26.5'!K7</f>
        <v>0</v>
      </c>
      <c r="L7" s="44">
        <f>G7+'26.5'!L7</f>
        <v>0</v>
      </c>
      <c r="M7" s="35">
        <f t="shared" si="2"/>
        <v>0</v>
      </c>
      <c r="N7" s="45"/>
    </row>
    <row r="8" s="2" customFormat="1" ht="18" customHeight="1" spans="1:14">
      <c r="A8" s="28" t="s">
        <v>24</v>
      </c>
      <c r="B8" s="42" t="s">
        <v>25</v>
      </c>
      <c r="C8" s="43" t="s">
        <v>26</v>
      </c>
      <c r="D8" s="46"/>
      <c r="E8" s="40"/>
      <c r="F8" s="39"/>
      <c r="G8" s="34"/>
      <c r="H8" s="35"/>
      <c r="I8" s="44">
        <f>D8+'26.5'!I8</f>
        <v>0</v>
      </c>
      <c r="J8" s="44">
        <f>E8+'26.5'!J8</f>
        <v>0</v>
      </c>
      <c r="K8" s="44">
        <f>F8+'26.5'!K8</f>
        <v>0</v>
      </c>
      <c r="L8" s="44">
        <f>G8+'26.5'!L8</f>
        <v>0</v>
      </c>
      <c r="M8" s="35">
        <f t="shared" si="2"/>
        <v>0</v>
      </c>
      <c r="N8" s="47"/>
    </row>
    <row r="9" s="2" customFormat="1" ht="18" customHeight="1" spans="1:14">
      <c r="A9" s="28" t="s">
        <v>27</v>
      </c>
      <c r="B9" s="42" t="s">
        <v>28</v>
      </c>
      <c r="C9" s="43" t="s">
        <v>26</v>
      </c>
      <c r="D9" s="40">
        <v>0</v>
      </c>
      <c r="E9" s="48">
        <f>[1]售热量!$M$25</f>
        <v>0</v>
      </c>
      <c r="F9" s="39"/>
      <c r="G9" s="39"/>
      <c r="H9" s="35">
        <f t="shared" ref="H9:H12" si="7">E9+F9+G9</f>
        <v>0</v>
      </c>
      <c r="I9" s="44">
        <f>D9+'26.5'!I9</f>
        <v>0</v>
      </c>
      <c r="J9" s="44">
        <f>E9+'26.5'!J9</f>
        <v>0</v>
      </c>
      <c r="K9" s="44">
        <f>F9+'26.5'!K9</f>
        <v>0</v>
      </c>
      <c r="L9" s="44">
        <f>G9+'26.5'!L9</f>
        <v>0</v>
      </c>
      <c r="M9" s="35">
        <f t="shared" si="2"/>
        <v>0</v>
      </c>
      <c r="N9" s="45"/>
    </row>
    <row r="10" s="2" customFormat="1" ht="18" customHeight="1" spans="1:14">
      <c r="A10" s="28" t="s">
        <v>29</v>
      </c>
      <c r="B10" s="42" t="s">
        <v>30</v>
      </c>
      <c r="C10" s="43" t="s">
        <v>23</v>
      </c>
      <c r="D10" s="40"/>
      <c r="E10" s="33"/>
      <c r="F10" s="39"/>
      <c r="G10" s="34"/>
      <c r="H10" s="35">
        <f t="shared" si="7"/>
        <v>0</v>
      </c>
      <c r="I10" s="44">
        <f>D10+'26.5'!I10</f>
        <v>0</v>
      </c>
      <c r="J10" s="44">
        <f>E10+'26.5'!J10</f>
        <v>0</v>
      </c>
      <c r="K10" s="44">
        <f>F10+'26.5'!K10</f>
        <v>0</v>
      </c>
      <c r="L10" s="44">
        <f>G10+'26.5'!L10</f>
        <v>0</v>
      </c>
      <c r="M10" s="35">
        <f t="shared" si="2"/>
        <v>0</v>
      </c>
      <c r="N10" s="45"/>
    </row>
    <row r="11" s="2" customFormat="1" ht="18" customHeight="1" spans="1:14">
      <c r="A11" s="28" t="s">
        <v>31</v>
      </c>
      <c r="B11" s="42" t="s">
        <v>32</v>
      </c>
      <c r="C11" s="43" t="s">
        <v>23</v>
      </c>
      <c r="D11" s="40"/>
      <c r="E11" s="40">
        <v>0</v>
      </c>
      <c r="F11" s="40"/>
      <c r="G11" s="40"/>
      <c r="H11" s="35">
        <f t="shared" si="7"/>
        <v>0</v>
      </c>
      <c r="I11" s="44">
        <f>D11+'26.5'!I11</f>
        <v>0</v>
      </c>
      <c r="J11" s="44">
        <f>E11+'26.5'!J11</f>
        <v>0</v>
      </c>
      <c r="K11" s="44">
        <f>F11+'26.5'!K11</f>
        <v>0</v>
      </c>
      <c r="L11" s="44">
        <f>G11+'26.5'!L11</f>
        <v>0</v>
      </c>
      <c r="M11" s="35">
        <f t="shared" si="2"/>
        <v>0</v>
      </c>
      <c r="N11" s="45"/>
    </row>
    <row r="12" s="2" customFormat="1" ht="18" customHeight="1" spans="1:14">
      <c r="A12" s="28" t="s">
        <v>33</v>
      </c>
      <c r="B12" s="42" t="s">
        <v>34</v>
      </c>
      <c r="C12" s="43" t="s">
        <v>23</v>
      </c>
      <c r="D12" s="46">
        <f t="shared" ref="D12:G12" si="8">D13+D14</f>
        <v>0</v>
      </c>
      <c r="E12" s="46">
        <f t="shared" si="8"/>
        <v>0</v>
      </c>
      <c r="F12" s="46">
        <f t="shared" si="8"/>
        <v>0</v>
      </c>
      <c r="G12" s="46">
        <f t="shared" si="8"/>
        <v>0</v>
      </c>
      <c r="H12" s="35">
        <f t="shared" si="7"/>
        <v>0</v>
      </c>
      <c r="I12" s="44">
        <f>D12+'26.5'!I12</f>
        <v>0</v>
      </c>
      <c r="J12" s="44">
        <f>E12+'26.5'!J12</f>
        <v>0</v>
      </c>
      <c r="K12" s="44">
        <f>F12+'26.5'!K12</f>
        <v>0</v>
      </c>
      <c r="L12" s="44">
        <f>G12+'26.5'!L12</f>
        <v>0</v>
      </c>
      <c r="M12" s="35">
        <f t="shared" si="2"/>
        <v>0</v>
      </c>
      <c r="N12" s="45"/>
    </row>
    <row r="13" s="2" customFormat="1" ht="18" customHeight="1" spans="1:14">
      <c r="A13" s="28"/>
      <c r="B13" s="42" t="s">
        <v>35</v>
      </c>
      <c r="C13" s="43" t="s">
        <v>23</v>
      </c>
      <c r="D13" s="40"/>
      <c r="E13" s="40"/>
      <c r="F13" s="40"/>
      <c r="G13" s="46"/>
      <c r="H13" s="49"/>
      <c r="I13" s="44">
        <f>D13+'26.5'!I13</f>
        <v>0</v>
      </c>
      <c r="J13" s="44">
        <f>E13+'26.5'!J13</f>
        <v>0</v>
      </c>
      <c r="K13" s="44">
        <f>F13+'26.5'!K13</f>
        <v>0</v>
      </c>
      <c r="L13" s="44">
        <f>G13+'26.5'!L13</f>
        <v>0</v>
      </c>
      <c r="M13" s="49"/>
      <c r="N13" s="45"/>
    </row>
    <row r="14" s="2" customFormat="1" ht="18" customHeight="1" spans="1:14">
      <c r="A14" s="28"/>
      <c r="B14" s="42" t="s">
        <v>36</v>
      </c>
      <c r="C14" s="43" t="s">
        <v>23</v>
      </c>
      <c r="D14" s="46"/>
      <c r="E14" s="40"/>
      <c r="F14" s="40"/>
      <c r="G14" s="40"/>
      <c r="H14" s="49"/>
      <c r="I14" s="44">
        <f>D14+'26.5'!I14</f>
        <v>0</v>
      </c>
      <c r="J14" s="44">
        <f>E14+'26.5'!J14</f>
        <v>0</v>
      </c>
      <c r="K14" s="44">
        <f>F14+'26.5'!K14</f>
        <v>0</v>
      </c>
      <c r="L14" s="44">
        <f>G14+'26.5'!L14</f>
        <v>0</v>
      </c>
      <c r="M14" s="49"/>
      <c r="N14" s="45"/>
    </row>
    <row r="15" s="2" customFormat="1" ht="18" customHeight="1" spans="1:14">
      <c r="A15" s="28" t="s">
        <v>37</v>
      </c>
      <c r="B15" s="42" t="s">
        <v>38</v>
      </c>
      <c r="C15" s="43" t="s">
        <v>23</v>
      </c>
      <c r="D15" s="40"/>
      <c r="E15" s="50"/>
      <c r="F15" s="39"/>
      <c r="G15" s="34"/>
      <c r="H15" s="35"/>
      <c r="I15" s="44">
        <f>D15+'26.5'!I15</f>
        <v>0</v>
      </c>
      <c r="J15" s="44">
        <f>E15+'26.5'!J15</f>
        <v>0</v>
      </c>
      <c r="K15" s="44">
        <f>F15+'26.5'!K15</f>
        <v>0</v>
      </c>
      <c r="L15" s="44">
        <f>G15+'26.5'!L15</f>
        <v>0</v>
      </c>
      <c r="M15" s="35">
        <f t="shared" ref="M15:M17" si="9">J15+K15+L15</f>
        <v>0</v>
      </c>
      <c r="N15" s="45"/>
    </row>
    <row r="16" s="2" customFormat="1" ht="18" customHeight="1" spans="1:14">
      <c r="A16" s="28"/>
      <c r="B16" s="42" t="s">
        <v>39</v>
      </c>
      <c r="C16" s="43" t="s">
        <v>23</v>
      </c>
      <c r="D16" s="40"/>
      <c r="E16" s="50"/>
      <c r="F16" s="39"/>
      <c r="G16" s="39"/>
      <c r="H16" s="35"/>
      <c r="I16" s="44">
        <f>D16+'26.5'!I16</f>
        <v>0</v>
      </c>
      <c r="J16" s="44">
        <f>E16+'26.5'!J16</f>
        <v>0</v>
      </c>
      <c r="K16" s="44">
        <f>F16+'26.5'!K16</f>
        <v>0</v>
      </c>
      <c r="L16" s="44">
        <f>G16+'26.5'!L16</f>
        <v>0</v>
      </c>
      <c r="M16" s="35">
        <f t="shared" si="9"/>
        <v>0</v>
      </c>
      <c r="N16" s="45"/>
    </row>
    <row r="17" s="2" customFormat="1" ht="18" customHeight="1" spans="1:14">
      <c r="A17" s="28" t="s">
        <v>40</v>
      </c>
      <c r="B17" s="42" t="s">
        <v>41</v>
      </c>
      <c r="C17" s="43" t="s">
        <v>42</v>
      </c>
      <c r="D17" s="46"/>
      <c r="E17" s="50"/>
      <c r="F17" s="39"/>
      <c r="G17" s="34"/>
      <c r="H17" s="35"/>
      <c r="I17" s="44">
        <f>D17+'26.5'!I17</f>
        <v>0</v>
      </c>
      <c r="J17" s="44">
        <f>E17+'26.5'!J17</f>
        <v>0</v>
      </c>
      <c r="K17" s="51"/>
      <c r="L17" s="44">
        <f>G17+'26.5'!L17</f>
        <v>0</v>
      </c>
      <c r="M17" s="35">
        <f t="shared" si="9"/>
        <v>0</v>
      </c>
      <c r="N17" s="45"/>
    </row>
    <row r="18" s="2" customFormat="1" ht="18" customHeight="1" spans="1:14">
      <c r="A18" s="28"/>
      <c r="B18" s="42" t="s">
        <v>43</v>
      </c>
      <c r="C18" s="43" t="s">
        <v>42</v>
      </c>
      <c r="D18" s="40"/>
      <c r="E18" s="50"/>
      <c r="F18" s="39"/>
      <c r="G18" s="39"/>
      <c r="H18" s="49"/>
      <c r="I18" s="44">
        <f>D18+'26.5'!I18</f>
        <v>0</v>
      </c>
      <c r="J18" s="44">
        <f>E18+'26.5'!J18</f>
        <v>0</v>
      </c>
      <c r="K18" s="44">
        <f>F18+'26.5'!K18</f>
        <v>0</v>
      </c>
      <c r="L18" s="44">
        <f>G18+'26.5'!L18</f>
        <v>0</v>
      </c>
      <c r="M18" s="49"/>
      <c r="N18" s="45"/>
    </row>
    <row r="19" s="2" customFormat="1" ht="18" customHeight="1" spans="1:14">
      <c r="A19" s="28"/>
      <c r="B19" s="42" t="s">
        <v>44</v>
      </c>
      <c r="C19" s="43" t="s">
        <v>42</v>
      </c>
      <c r="D19" s="40"/>
      <c r="E19" s="50"/>
      <c r="F19" s="34"/>
      <c r="G19" s="34"/>
      <c r="H19" s="49"/>
      <c r="I19" s="44">
        <f>D19+'26.5'!I19</f>
        <v>0</v>
      </c>
      <c r="J19" s="52"/>
      <c r="K19" s="44">
        <f>F19+'26.5'!K19</f>
        <v>0</v>
      </c>
      <c r="L19" s="44">
        <f>G19+'26.5'!L19</f>
        <v>0</v>
      </c>
      <c r="M19" s="49"/>
      <c r="N19" s="45"/>
    </row>
    <row r="20" s="2" customFormat="1" ht="18" customHeight="1" spans="1:14">
      <c r="A20" s="28"/>
      <c r="B20" s="42" t="s">
        <v>45</v>
      </c>
      <c r="C20" s="43" t="s">
        <v>23</v>
      </c>
      <c r="D20" s="40"/>
      <c r="E20" s="50"/>
      <c r="F20" s="39"/>
      <c r="G20" s="39"/>
      <c r="H20" s="49"/>
      <c r="I20" s="44">
        <f>D20+'26.5'!I20</f>
        <v>0</v>
      </c>
      <c r="J20" s="44">
        <f>E20+'26.5'!J20</f>
        <v>0</v>
      </c>
      <c r="K20" s="44">
        <f>F20+'26.5'!K20</f>
        <v>0</v>
      </c>
      <c r="L20" s="44">
        <f>G20+'26.5'!L20</f>
        <v>0</v>
      </c>
      <c r="M20" s="49"/>
      <c r="N20" s="45"/>
    </row>
    <row r="21" s="2" customFormat="1" ht="18" customHeight="1" spans="1:14">
      <c r="A21" s="28"/>
      <c r="B21" s="42" t="s">
        <v>46</v>
      </c>
      <c r="C21" s="43" t="s">
        <v>42</v>
      </c>
      <c r="D21" s="40"/>
      <c r="E21" s="50"/>
      <c r="F21" s="39"/>
      <c r="G21" s="39"/>
      <c r="H21" s="49"/>
      <c r="I21" s="44">
        <f>D21+'26.5'!I21</f>
        <v>0</v>
      </c>
      <c r="J21" s="44">
        <f>E21+'26.5'!J21</f>
        <v>0</v>
      </c>
      <c r="K21" s="44">
        <f>F21+'26.5'!K21</f>
        <v>0</v>
      </c>
      <c r="L21" s="44">
        <f>G21+'26.5'!L21</f>
        <v>0</v>
      </c>
      <c r="M21" s="49"/>
      <c r="N21" s="45"/>
    </row>
    <row r="22" s="2" customFormat="1" customHeight="1" spans="1:14">
      <c r="A22" s="53" t="s">
        <v>47</v>
      </c>
      <c r="B22" s="54" t="s">
        <v>48</v>
      </c>
      <c r="C22" s="55" t="s">
        <v>23</v>
      </c>
      <c r="D22" s="56"/>
      <c r="E22" s="57"/>
      <c r="F22" s="57"/>
      <c r="G22" s="57"/>
      <c r="H22" s="58"/>
      <c r="I22" s="44">
        <f>D22+'26.5'!I22</f>
        <v>0</v>
      </c>
      <c r="J22" s="44">
        <f>E22+'26.5'!J22</f>
        <v>0</v>
      </c>
      <c r="K22" s="44">
        <f>F22+'26.5'!K22</f>
        <v>0</v>
      </c>
      <c r="L22" s="44">
        <f>G22+'26.5'!L22</f>
        <v>0</v>
      </c>
      <c r="M22" s="59">
        <f t="shared" ref="M22:M27" si="10">J22+K22+L22</f>
        <v>0</v>
      </c>
      <c r="N22" s="1"/>
    </row>
    <row r="23" s="2" customFormat="1" ht="21" customHeight="1" spans="1:14">
      <c r="A23" s="53" t="s">
        <v>49</v>
      </c>
      <c r="B23" s="54" t="s">
        <v>50</v>
      </c>
      <c r="C23" s="55" t="s">
        <v>23</v>
      </c>
      <c r="D23" s="56"/>
      <c r="E23" s="57"/>
      <c r="F23" s="57"/>
      <c r="G23" s="57"/>
      <c r="H23" s="58"/>
      <c r="I23" s="44">
        <f>D23+'26.5'!I23</f>
        <v>0</v>
      </c>
      <c r="J23" s="44">
        <f>E23+'26.5'!J23</f>
        <v>0</v>
      </c>
      <c r="K23" s="44">
        <f>F23+'26.5'!K23</f>
        <v>0</v>
      </c>
      <c r="L23" s="44">
        <f>G23+'26.5'!L23</f>
        <v>0</v>
      </c>
      <c r="M23" s="59">
        <f t="shared" si="10"/>
        <v>0</v>
      </c>
      <c r="N23" s="1"/>
    </row>
    <row r="24" s="2" customFormat="1" ht="18" customHeight="1" spans="1:14">
      <c r="A24" s="53" t="s">
        <v>51</v>
      </c>
      <c r="B24" s="42" t="s">
        <v>52</v>
      </c>
      <c r="C24" s="43" t="s">
        <v>53</v>
      </c>
      <c r="D24" s="60" t="e">
        <f t="shared" ref="D24:M24" si="11">D17/D8</f>
        <v>#DIV/0!</v>
      </c>
      <c r="E24" s="60" t="e">
        <f t="shared" si="11"/>
        <v>#DIV/0!</v>
      </c>
      <c r="F24" s="60" t="e">
        <f t="shared" si="11"/>
        <v>#DIV/0!</v>
      </c>
      <c r="G24" s="60" t="e">
        <f t="shared" si="11"/>
        <v>#DIV/0!</v>
      </c>
      <c r="H24" s="61" t="e">
        <f t="shared" si="11"/>
        <v>#DIV/0!</v>
      </c>
      <c r="I24" s="62" t="e">
        <f t="shared" si="11"/>
        <v>#DIV/0!</v>
      </c>
      <c r="J24" s="60" t="e">
        <f t="shared" si="11"/>
        <v>#DIV/0!</v>
      </c>
      <c r="K24" s="60" t="e">
        <f t="shared" si="11"/>
        <v>#DIV/0!</v>
      </c>
      <c r="L24" s="60" t="e">
        <f t="shared" si="11"/>
        <v>#DIV/0!</v>
      </c>
      <c r="M24" s="61" t="e">
        <f t="shared" si="11"/>
        <v>#DIV/0!</v>
      </c>
      <c r="N24" s="45"/>
    </row>
    <row r="25" s="2" customFormat="1" ht="18" customHeight="1" spans="1:14">
      <c r="A25" s="53" t="s">
        <v>54</v>
      </c>
      <c r="B25" s="42" t="s">
        <v>55</v>
      </c>
      <c r="C25" s="43" t="s">
        <v>56</v>
      </c>
      <c r="D25" s="60" t="e">
        <f t="shared" ref="D25:M25" si="12">D12*1000/D8</f>
        <v>#DIV/0!</v>
      </c>
      <c r="E25" s="60" t="e">
        <f t="shared" si="12"/>
        <v>#DIV/0!</v>
      </c>
      <c r="F25" s="60" t="e">
        <f t="shared" si="12"/>
        <v>#DIV/0!</v>
      </c>
      <c r="G25" s="60" t="e">
        <f t="shared" si="12"/>
        <v>#DIV/0!</v>
      </c>
      <c r="H25" s="61" t="e">
        <f t="shared" si="12"/>
        <v>#DIV/0!</v>
      </c>
      <c r="I25" s="62" t="e">
        <f t="shared" si="12"/>
        <v>#DIV/0!</v>
      </c>
      <c r="J25" s="60" t="e">
        <f t="shared" si="12"/>
        <v>#DIV/0!</v>
      </c>
      <c r="K25" s="60" t="e">
        <f t="shared" si="12"/>
        <v>#DIV/0!</v>
      </c>
      <c r="L25" s="60" t="e">
        <f t="shared" si="12"/>
        <v>#DIV/0!</v>
      </c>
      <c r="M25" s="61" t="e">
        <f t="shared" si="12"/>
        <v>#DIV/0!</v>
      </c>
      <c r="N25" s="45"/>
    </row>
    <row r="26" s="3" customFormat="1" ht="18" customHeight="1" spans="1:14">
      <c r="A26" s="53" t="s">
        <v>57</v>
      </c>
      <c r="B26" s="42" t="s">
        <v>58</v>
      </c>
      <c r="C26" s="63" t="s">
        <v>23</v>
      </c>
      <c r="D26" s="56"/>
      <c r="E26" s="64"/>
      <c r="F26" s="65"/>
      <c r="G26" s="34"/>
      <c r="H26" s="66"/>
      <c r="I26" s="44">
        <f>D26+'26.5'!I26</f>
        <v>0</v>
      </c>
      <c r="J26" s="44">
        <f>E26+'26.5'!J26</f>
        <v>0</v>
      </c>
      <c r="K26" s="44">
        <f>F26+'26.5'!K26</f>
        <v>0</v>
      </c>
      <c r="L26" s="44">
        <f>G26+'26.5'!L26</f>
        <v>0</v>
      </c>
      <c r="M26" s="66">
        <f t="shared" si="10"/>
        <v>0</v>
      </c>
      <c r="N26" s="67"/>
    </row>
    <row r="27" s="3" customFormat="1" ht="18" customHeight="1" spans="1:14">
      <c r="A27" s="53" t="s">
        <v>59</v>
      </c>
      <c r="B27" s="42" t="s">
        <v>60</v>
      </c>
      <c r="C27" s="63" t="s">
        <v>23</v>
      </c>
      <c r="D27" s="50"/>
      <c r="E27" s="68">
        <f>J27</f>
        <v>12569.7</v>
      </c>
      <c r="F27" s="68"/>
      <c r="G27" s="68">
        <f>L27</f>
        <v>1108.50000000002</v>
      </c>
      <c r="H27" s="69"/>
      <c r="I27" s="70"/>
      <c r="J27" s="71">
        <f>'26.5'!J27+E26-E10</f>
        <v>12569.7</v>
      </c>
      <c r="K27" s="71">
        <f>'26.5'!K27+F26-F10</f>
        <v>0</v>
      </c>
      <c r="L27" s="71">
        <f>'26.5'!L27+G26-G10</f>
        <v>1108.50000000002</v>
      </c>
      <c r="M27" s="72">
        <f t="shared" si="10"/>
        <v>13678.2</v>
      </c>
      <c r="N27" s="67"/>
    </row>
    <row r="28" s="2" customFormat="1" ht="18" customHeight="1" spans="1:14">
      <c r="A28" s="53" t="s">
        <v>61</v>
      </c>
      <c r="B28" s="42" t="s">
        <v>62</v>
      </c>
      <c r="C28" s="43" t="s">
        <v>63</v>
      </c>
      <c r="D28" s="73" t="e">
        <f>D13*29308/D10</f>
        <v>#DIV/0!</v>
      </c>
      <c r="E28" s="73" t="e">
        <f t="shared" ref="E28:H28" si="13">E12*29308/E10</f>
        <v>#DIV/0!</v>
      </c>
      <c r="F28" s="73" t="e">
        <f t="shared" si="13"/>
        <v>#DIV/0!</v>
      </c>
      <c r="G28" s="73" t="e">
        <f t="shared" si="13"/>
        <v>#DIV/0!</v>
      </c>
      <c r="H28" s="73" t="e">
        <f t="shared" si="13"/>
        <v>#DIV/0!</v>
      </c>
      <c r="I28" s="74" t="e">
        <f>I13*29308/I10</f>
        <v>#DIV/0!</v>
      </c>
      <c r="J28" s="46" t="e">
        <f t="shared" ref="J28:M28" si="14">J12*29308/J10</f>
        <v>#DIV/0!</v>
      </c>
      <c r="K28" s="46" t="e">
        <f t="shared" si="14"/>
        <v>#DIV/0!</v>
      </c>
      <c r="L28" s="46" t="e">
        <f t="shared" si="14"/>
        <v>#DIV/0!</v>
      </c>
      <c r="M28" s="73" t="e">
        <f t="shared" si="14"/>
        <v>#DIV/0!</v>
      </c>
      <c r="N28" s="45"/>
    </row>
    <row r="29" s="2" customFormat="1" ht="18" customHeight="1" spans="1:14">
      <c r="A29" s="53" t="s">
        <v>64</v>
      </c>
      <c r="B29" s="42" t="s">
        <v>65</v>
      </c>
      <c r="C29" s="43" t="s">
        <v>63</v>
      </c>
      <c r="D29" s="75"/>
      <c r="E29" s="40"/>
      <c r="F29" s="40"/>
      <c r="G29" s="76"/>
      <c r="H29" s="77"/>
      <c r="I29" s="78"/>
      <c r="J29" s="40"/>
      <c r="K29" s="40"/>
      <c r="L29" s="76"/>
      <c r="M29" s="77"/>
      <c r="N29" s="45"/>
    </row>
    <row r="30" s="2" customFormat="1" ht="18" customHeight="1" spans="1:14">
      <c r="A30" s="53" t="s">
        <v>66</v>
      </c>
      <c r="B30" s="42" t="s">
        <v>67</v>
      </c>
      <c r="C30" s="79" t="s">
        <v>68</v>
      </c>
      <c r="D30" s="80" t="e">
        <f t="shared" ref="D30:M30" si="15">D8/(D12*29.308)</f>
        <v>#DIV/0!</v>
      </c>
      <c r="E30" s="80" t="e">
        <f t="shared" si="15"/>
        <v>#DIV/0!</v>
      </c>
      <c r="F30" s="80" t="e">
        <f t="shared" si="15"/>
        <v>#DIV/0!</v>
      </c>
      <c r="G30" s="80" t="e">
        <f>(G8-G36)/(G12*29.308)</f>
        <v>#DIV/0!</v>
      </c>
      <c r="H30" s="81" t="e">
        <f t="shared" si="15"/>
        <v>#DIV/0!</v>
      </c>
      <c r="I30" s="82" t="e">
        <f t="shared" si="15"/>
        <v>#DIV/0!</v>
      </c>
      <c r="J30" s="80" t="e">
        <f t="shared" si="15"/>
        <v>#DIV/0!</v>
      </c>
      <c r="K30" s="80" t="e">
        <f t="shared" si="15"/>
        <v>#DIV/0!</v>
      </c>
      <c r="L30" s="80" t="e">
        <f t="shared" si="15"/>
        <v>#DIV/0!</v>
      </c>
      <c r="M30" s="81" t="e">
        <f t="shared" si="15"/>
        <v>#DIV/0!</v>
      </c>
      <c r="N30" s="45"/>
    </row>
    <row r="31" s="2" customFormat="1" ht="18" customHeight="1" spans="1:14">
      <c r="A31" s="53" t="s">
        <v>69</v>
      </c>
      <c r="B31" s="42" t="s">
        <v>70</v>
      </c>
      <c r="C31" s="79" t="s">
        <v>68</v>
      </c>
      <c r="D31" s="83">
        <f>D8/3.6/D3/(DAY(DATE(2026,7,0))*24)</f>
        <v>0</v>
      </c>
      <c r="E31" s="83">
        <f>E8/3.6/E3/(DAY(DATE(2026,7,0))*24)</f>
        <v>0</v>
      </c>
      <c r="F31" s="83" t="e">
        <f>F8/3.6/F3/(DAY(DATE(2026,7,0))*24)</f>
        <v>#DIV/0!</v>
      </c>
      <c r="G31" s="83">
        <f>(G8-G36)/3.6/G3/(DAY(DATE(2026,7,0))*24)</f>
        <v>0</v>
      </c>
      <c r="H31" s="84">
        <f>H8/3.6/H3/(DAY(DATE(2026,7,0))*24)</f>
        <v>0</v>
      </c>
      <c r="I31" s="85">
        <f>I8/3.6/I3/(DATEDIF(DATE(2026,1,1),DATE(2026,7,1),"D")*24)</f>
        <v>0</v>
      </c>
      <c r="J31" s="83">
        <f>J8/3.6/J3/(DATEDIF(DATE(2026,1,1),DATE(2026,7,1),"D")*24)</f>
        <v>0</v>
      </c>
      <c r="K31" s="83" t="e">
        <f>K8/3.6/K3/(DATEDIF(DATE(2026,1,1),DATE(2026,7,1),"D")*24)</f>
        <v>#DIV/0!</v>
      </c>
      <c r="L31" s="83">
        <f>(L8-L36)/3.6/L3/(DATEDIF(DATE(2026,1,1),DATE(2026,7,1),"D")*24)</f>
        <v>0</v>
      </c>
      <c r="M31" s="84">
        <f>M8/3.6/M3/(DATEDIF(DATE(2026,1,1),DATE(2026,7,1),"D")*24)</f>
        <v>0</v>
      </c>
      <c r="N31" s="45"/>
    </row>
    <row r="32" s="2" customFormat="1" ht="18" customHeight="1" spans="1:14">
      <c r="A32" s="53" t="s">
        <v>71</v>
      </c>
      <c r="B32" s="42" t="s">
        <v>72</v>
      </c>
      <c r="C32" s="43" t="s">
        <v>73</v>
      </c>
      <c r="D32" s="86"/>
      <c r="E32" s="87" t="e">
        <f t="shared" ref="E32:H32" si="16">E8/E6</f>
        <v>#DIV/0!</v>
      </c>
      <c r="F32" s="87" t="e">
        <f t="shared" si="16"/>
        <v>#DIV/0!</v>
      </c>
      <c r="G32" s="87" t="e">
        <f t="shared" si="16"/>
        <v>#DIV/0!</v>
      </c>
      <c r="H32" s="87" t="e">
        <f t="shared" si="16"/>
        <v>#DIV/0!</v>
      </c>
      <c r="I32" s="88"/>
      <c r="J32" s="87" t="e">
        <f t="shared" ref="J32:M32" si="17">J8/J6</f>
        <v>#DIV/0!</v>
      </c>
      <c r="K32" s="87" t="e">
        <f t="shared" si="17"/>
        <v>#DIV/0!</v>
      </c>
      <c r="L32" s="87" t="e">
        <f t="shared" si="17"/>
        <v>#DIV/0!</v>
      </c>
      <c r="M32" s="89" t="e">
        <f t="shared" si="17"/>
        <v>#DIV/0!</v>
      </c>
      <c r="N32" s="45"/>
    </row>
    <row r="33" s="2" customFormat="1" ht="18" customHeight="1" spans="1:14">
      <c r="A33" s="53" t="s">
        <v>74</v>
      </c>
      <c r="B33" s="42" t="s">
        <v>75</v>
      </c>
      <c r="C33" s="43" t="s">
        <v>76</v>
      </c>
      <c r="D33" s="90"/>
      <c r="E33" s="91" t="e">
        <f t="shared" ref="E33:H33" si="18">E12*1000/E6</f>
        <v>#DIV/0!</v>
      </c>
      <c r="F33" s="91" t="e">
        <f t="shared" si="18"/>
        <v>#DIV/0!</v>
      </c>
      <c r="G33" s="91" t="e">
        <f t="shared" si="18"/>
        <v>#DIV/0!</v>
      </c>
      <c r="H33" s="92" t="e">
        <f t="shared" si="18"/>
        <v>#DIV/0!</v>
      </c>
      <c r="I33" s="93"/>
      <c r="J33" s="91" t="e">
        <f t="shared" ref="J33:M33" si="19">J12*1000/J6</f>
        <v>#DIV/0!</v>
      </c>
      <c r="K33" s="91" t="e">
        <f t="shared" si="19"/>
        <v>#DIV/0!</v>
      </c>
      <c r="L33" s="91" t="e">
        <f t="shared" si="19"/>
        <v>#DIV/0!</v>
      </c>
      <c r="M33" s="92" t="e">
        <f t="shared" si="19"/>
        <v>#DIV/0!</v>
      </c>
      <c r="N33" s="45"/>
    </row>
    <row r="34" s="2" customFormat="1" ht="18" customHeight="1" spans="1:14">
      <c r="A34" s="53" t="s">
        <v>77</v>
      </c>
      <c r="B34" s="42" t="s">
        <v>78</v>
      </c>
      <c r="C34" s="43" t="s">
        <v>79</v>
      </c>
      <c r="D34" s="94"/>
      <c r="E34" s="91" t="e">
        <f t="shared" ref="E34:H34" si="20">E17/E6</f>
        <v>#DIV/0!</v>
      </c>
      <c r="F34" s="91" t="e">
        <f t="shared" si="20"/>
        <v>#DIV/0!</v>
      </c>
      <c r="G34" s="91" t="e">
        <f t="shared" si="20"/>
        <v>#DIV/0!</v>
      </c>
      <c r="H34" s="92" t="e">
        <f t="shared" si="20"/>
        <v>#DIV/0!</v>
      </c>
      <c r="I34" s="95"/>
      <c r="J34" s="91" t="e">
        <f t="shared" ref="J34:M34" si="21">J17/J6</f>
        <v>#DIV/0!</v>
      </c>
      <c r="K34" s="91" t="e">
        <f t="shared" si="21"/>
        <v>#DIV/0!</v>
      </c>
      <c r="L34" s="91" t="e">
        <f t="shared" si="21"/>
        <v>#DIV/0!</v>
      </c>
      <c r="M34" s="92" t="e">
        <f t="shared" si="21"/>
        <v>#DIV/0!</v>
      </c>
      <c r="N34" s="45"/>
    </row>
    <row r="35" s="2" customFormat="1" ht="18" customHeight="1" spans="1:14">
      <c r="A35" s="96" t="s">
        <v>80</v>
      </c>
      <c r="B35" s="97" t="s">
        <v>81</v>
      </c>
      <c r="C35" s="98" t="s">
        <v>76</v>
      </c>
      <c r="D35" s="99"/>
      <c r="E35" s="100" t="e">
        <f t="shared" ref="E35:H35" si="22">E15*1000/E6</f>
        <v>#DIV/0!</v>
      </c>
      <c r="F35" s="100" t="e">
        <f t="shared" si="22"/>
        <v>#DIV/0!</v>
      </c>
      <c r="G35" s="100" t="e">
        <f t="shared" si="22"/>
        <v>#DIV/0!</v>
      </c>
      <c r="H35" s="101" t="e">
        <f t="shared" si="22"/>
        <v>#DIV/0!</v>
      </c>
      <c r="I35" s="102"/>
      <c r="J35" s="100" t="e">
        <f t="shared" ref="J35:M35" si="23">J15*1000/J6</f>
        <v>#DIV/0!</v>
      </c>
      <c r="K35" s="100" t="e">
        <f t="shared" si="23"/>
        <v>#DIV/0!</v>
      </c>
      <c r="L35" s="100" t="e">
        <f t="shared" si="23"/>
        <v>#DIV/0!</v>
      </c>
      <c r="M35" s="101" t="e">
        <f t="shared" si="23"/>
        <v>#DIV/0!</v>
      </c>
      <c r="N35" s="45"/>
    </row>
    <row r="36" s="2" customFormat="1" ht="21" customHeight="1" spans="1:14">
      <c r="A36" s="103"/>
      <c r="B36" s="104" t="s">
        <v>82</v>
      </c>
      <c r="C36" s="105" t="s">
        <v>26</v>
      </c>
      <c r="D36" s="106"/>
      <c r="E36" s="106"/>
      <c r="F36" s="106"/>
      <c r="G36" s="106"/>
      <c r="H36" s="107"/>
      <c r="I36" s="106"/>
      <c r="J36" s="106"/>
      <c r="K36" s="106"/>
      <c r="L36" s="44">
        <f>G36+'26.5'!L36</f>
        <v>0</v>
      </c>
      <c r="M36" s="107"/>
    </row>
    <row r="37" s="1" customFormat="1" ht="29.25" customHeight="1" spans="1:14">
      <c r="A37" s="108" t="s">
        <v>83</v>
      </c>
      <c r="C37" s="4"/>
      <c r="D37" s="5" t="s">
        <v>84</v>
      </c>
      <c r="E37" s="2"/>
      <c r="F37" s="2"/>
      <c r="G37" s="2"/>
      <c r="H37" s="2"/>
      <c r="I37" s="2"/>
      <c r="J37" s="2"/>
    </row>
    <row r="38" s="1" customFormat="1" ht="31.5" customHeight="1" spans="1:14">
      <c r="A38" s="109" t="s">
        <v>0</v>
      </c>
      <c r="B38" s="110" t="s">
        <v>85</v>
      </c>
      <c r="C38" s="110" t="s">
        <v>2</v>
      </c>
      <c r="D38" s="111" t="s">
        <v>86</v>
      </c>
      <c r="E38" s="112" t="s">
        <v>87</v>
      </c>
      <c r="F38" s="2"/>
      <c r="G38" s="2"/>
      <c r="H38" s="2"/>
    </row>
    <row r="39" s="1" customFormat="1" ht="27.95" customHeight="1" spans="1:14">
      <c r="A39" s="28" t="s">
        <v>11</v>
      </c>
      <c r="B39" s="29" t="s">
        <v>12</v>
      </c>
      <c r="C39" s="30" t="s">
        <v>13</v>
      </c>
      <c r="D39" s="113">
        <v>0.55</v>
      </c>
      <c r="E39" s="114">
        <v>0.55</v>
      </c>
      <c r="F39" s="2"/>
      <c r="G39" s="2"/>
      <c r="H39" s="2"/>
    </row>
    <row r="40" s="1" customFormat="1" ht="27.95" customHeight="1" spans="1:14">
      <c r="A40" s="28" t="s">
        <v>14</v>
      </c>
      <c r="B40" s="29" t="s">
        <v>88</v>
      </c>
      <c r="C40" s="30" t="s">
        <v>16</v>
      </c>
      <c r="D40" s="115">
        <v>7592.12</v>
      </c>
      <c r="E40" s="116">
        <f>D40</f>
        <v>7592.12</v>
      </c>
      <c r="F40" s="45"/>
      <c r="G40" s="45"/>
      <c r="H40" s="2"/>
    </row>
    <row r="41" s="1" customFormat="1" ht="27.95" customHeight="1" spans="1:14">
      <c r="A41" s="28" t="s">
        <v>19</v>
      </c>
      <c r="B41" s="29" t="s">
        <v>89</v>
      </c>
      <c r="C41" s="30" t="s">
        <v>16</v>
      </c>
      <c r="D41" s="117">
        <v>7592.12</v>
      </c>
      <c r="E41" s="118">
        <f>D41</f>
        <v>7592.12</v>
      </c>
      <c r="F41" s="45"/>
      <c r="G41" s="45"/>
      <c r="H41" s="2"/>
    </row>
    <row r="42" s="1" customFormat="1" ht="27.95" customHeight="1" spans="1:14">
      <c r="A42" s="28" t="s">
        <v>21</v>
      </c>
      <c r="B42" s="42" t="s">
        <v>25</v>
      </c>
      <c r="C42" s="43" t="s">
        <v>26</v>
      </c>
      <c r="D42" s="119">
        <v>0</v>
      </c>
      <c r="E42" s="120">
        <f>D42+'26.5'!E42</f>
        <v>441</v>
      </c>
      <c r="F42" s="45"/>
      <c r="G42" s="45"/>
      <c r="H42" s="2"/>
    </row>
    <row r="43" s="1" customFormat="1" ht="27.95" customHeight="1" spans="1:14">
      <c r="A43" s="28" t="s">
        <v>24</v>
      </c>
      <c r="B43" s="42" t="s">
        <v>38</v>
      </c>
      <c r="C43" s="43" t="s">
        <v>23</v>
      </c>
      <c r="D43" s="115"/>
      <c r="E43" s="120">
        <f>D43+'26.5'!E43</f>
        <v>3</v>
      </c>
      <c r="F43" s="45"/>
      <c r="G43" s="45"/>
      <c r="H43" s="2"/>
    </row>
    <row r="44" s="1" customFormat="1" ht="27.95" customHeight="1" spans="1:14">
      <c r="A44" s="28" t="s">
        <v>27</v>
      </c>
      <c r="B44" s="42" t="s">
        <v>41</v>
      </c>
      <c r="C44" s="43" t="s">
        <v>42</v>
      </c>
      <c r="D44" s="115"/>
      <c r="E44" s="120">
        <f>D44+'26.5'!E44</f>
        <v>132840.000000001</v>
      </c>
      <c r="F44" s="45"/>
      <c r="G44" s="45"/>
      <c r="H44" s="2"/>
    </row>
    <row r="45" s="1" customFormat="1" ht="27.95" customHeight="1" spans="1:14">
      <c r="A45" s="28"/>
      <c r="B45" s="42" t="s">
        <v>90</v>
      </c>
      <c r="C45" s="43" t="s">
        <v>42</v>
      </c>
      <c r="D45" s="115">
        <f>D44</f>
        <v>0</v>
      </c>
      <c r="E45" s="120">
        <f>D45+'26.5'!E45</f>
        <v>132840.000000001</v>
      </c>
      <c r="F45" s="45"/>
      <c r="G45" s="45"/>
      <c r="H45" s="2"/>
    </row>
    <row r="46" s="1" customFormat="1" ht="27.95" customHeight="1" spans="1:14">
      <c r="A46" s="28" t="s">
        <v>29</v>
      </c>
      <c r="B46" s="42" t="s">
        <v>52</v>
      </c>
      <c r="C46" s="43" t="s">
        <v>53</v>
      </c>
      <c r="D46" s="121" t="e">
        <f>D44/D42</f>
        <v>#DIV/0!</v>
      </c>
      <c r="E46" s="122">
        <f>E44/E42</f>
        <v>301.224489795921</v>
      </c>
      <c r="F46" s="45"/>
      <c r="G46" s="45"/>
      <c r="H46" s="2"/>
    </row>
    <row r="47" s="1" customFormat="1" ht="27.95" customHeight="1" spans="1:14">
      <c r="A47" s="28" t="s">
        <v>31</v>
      </c>
      <c r="B47" s="42" t="s">
        <v>70</v>
      </c>
      <c r="C47" s="79" t="s">
        <v>68</v>
      </c>
      <c r="D47" s="123">
        <f>D42/3.6/D39/(DAY(DATE(2026,7,0))*24)</f>
        <v>0</v>
      </c>
      <c r="E47" s="124">
        <f>E42/3.6/E39/(DATEDIF(DATE(2026,1,1),DATE(2026,7,1),"D")*24)</f>
        <v>0.0512723924326134</v>
      </c>
      <c r="F47" s="45"/>
      <c r="G47" s="45"/>
      <c r="H47" s="2"/>
    </row>
    <row r="48" s="1" customFormat="1" ht="27.95" customHeight="1" spans="1:14">
      <c r="A48" s="28" t="s">
        <v>33</v>
      </c>
      <c r="B48" s="42" t="s">
        <v>72</v>
      </c>
      <c r="C48" s="43" t="s">
        <v>73</v>
      </c>
      <c r="D48" s="125">
        <f>D42/D41</f>
        <v>0</v>
      </c>
      <c r="E48" s="126">
        <f>E42/E41</f>
        <v>0.0580865423623441</v>
      </c>
      <c r="F48" s="45"/>
      <c r="G48" s="45"/>
      <c r="H48" s="2"/>
    </row>
    <row r="49" s="1" customFormat="1" ht="27.95" customHeight="1" spans="1:10">
      <c r="A49" s="28" t="s">
        <v>37</v>
      </c>
      <c r="B49" s="42" t="s">
        <v>78</v>
      </c>
      <c r="C49" s="43" t="s">
        <v>79</v>
      </c>
      <c r="D49" s="127">
        <f>D44/D41</f>
        <v>0</v>
      </c>
      <c r="E49" s="128">
        <f>E44/E41</f>
        <v>17.4970890871062</v>
      </c>
      <c r="F49" s="45"/>
      <c r="G49" s="45"/>
      <c r="H49" s="2"/>
    </row>
    <row r="50" s="1" customFormat="1" ht="27.95" customHeight="1" spans="1:10">
      <c r="A50" s="129" t="s">
        <v>40</v>
      </c>
      <c r="B50" s="97" t="s">
        <v>81</v>
      </c>
      <c r="C50" s="98" t="s">
        <v>76</v>
      </c>
      <c r="D50" s="130">
        <f>D43*1000/D41</f>
        <v>0</v>
      </c>
      <c r="E50" s="130">
        <f>E43*1000/E41</f>
        <v>0.395146546682613</v>
      </c>
      <c r="F50" s="45"/>
      <c r="G50" s="45"/>
      <c r="H50" s="2"/>
    </row>
    <row r="51" s="1" customFormat="1" ht="18" customHeight="1" spans="1:10">
      <c r="C51" s="4"/>
      <c r="D51" s="5"/>
    </row>
    <row r="52" s="1" customFormat="1" ht="29.25" customHeight="1" spans="1:10">
      <c r="A52" s="108" t="s">
        <v>91</v>
      </c>
      <c r="C52" s="4"/>
      <c r="D52" s="5" t="s">
        <v>84</v>
      </c>
      <c r="E52" s="2"/>
      <c r="F52" s="2"/>
      <c r="G52" s="2"/>
      <c r="H52" s="2"/>
      <c r="I52" s="2"/>
      <c r="J52" s="2"/>
    </row>
    <row r="53" s="1" customFormat="1" ht="31.5" customHeight="1" spans="1:10">
      <c r="A53" s="131" t="s">
        <v>0</v>
      </c>
      <c r="B53" s="132" t="s">
        <v>85</v>
      </c>
      <c r="C53" s="132" t="s">
        <v>2</v>
      </c>
      <c r="D53" s="133" t="s">
        <v>86</v>
      </c>
      <c r="E53" s="134"/>
      <c r="F53" s="135"/>
      <c r="G53" s="136" t="s">
        <v>87</v>
      </c>
      <c r="H53" s="134"/>
      <c r="I53" s="134"/>
    </row>
    <row r="54" s="1" customFormat="1" ht="31.5" customHeight="1" spans="1:10">
      <c r="A54" s="137"/>
      <c r="B54" s="138"/>
      <c r="C54" s="138"/>
      <c r="D54" s="139" t="s">
        <v>92</v>
      </c>
      <c r="E54" s="139" t="s">
        <v>93</v>
      </c>
      <c r="F54" s="140" t="s">
        <v>9</v>
      </c>
      <c r="G54" s="141" t="s">
        <v>92</v>
      </c>
      <c r="H54" s="139" t="s">
        <v>93</v>
      </c>
      <c r="I54" s="142" t="s">
        <v>9</v>
      </c>
    </row>
    <row r="55" s="1" customFormat="1" ht="27.95" customHeight="1" spans="1:10">
      <c r="A55" s="28" t="s">
        <v>11</v>
      </c>
      <c r="B55" s="29" t="s">
        <v>12</v>
      </c>
      <c r="C55" s="30" t="s">
        <v>13</v>
      </c>
      <c r="D55" s="143">
        <v>6</v>
      </c>
      <c r="E55" s="143">
        <v>6.4</v>
      </c>
      <c r="F55" s="144">
        <f t="shared" ref="F55:F61" si="24">SUM(D55:E55)</f>
        <v>12.4</v>
      </c>
      <c r="G55" s="145">
        <f t="shared" ref="G55:G57" si="25">D55</f>
        <v>6</v>
      </c>
      <c r="H55" s="146">
        <f t="shared" ref="H55:H57" si="26">E55</f>
        <v>6.4</v>
      </c>
      <c r="I55" s="146">
        <f t="shared" ref="I55:I61" si="27">SUM(G55:H55)</f>
        <v>12.4</v>
      </c>
    </row>
    <row r="56" s="1" customFormat="1" ht="27.95" customHeight="1" spans="1:10">
      <c r="A56" s="28" t="s">
        <v>14</v>
      </c>
      <c r="B56" s="29" t="s">
        <v>88</v>
      </c>
      <c r="C56" s="30" t="s">
        <v>16</v>
      </c>
      <c r="D56" s="148"/>
      <c r="E56" s="148"/>
      <c r="F56" s="117">
        <f t="shared" si="24"/>
        <v>0</v>
      </c>
      <c r="G56" s="118">
        <f t="shared" si="25"/>
        <v>0</v>
      </c>
      <c r="H56" s="118">
        <f t="shared" si="26"/>
        <v>0</v>
      </c>
      <c r="I56" s="147">
        <f t="shared" si="27"/>
        <v>0</v>
      </c>
    </row>
    <row r="57" s="1" customFormat="1" ht="27.95" customHeight="1" spans="1:10">
      <c r="A57" s="28" t="s">
        <v>19</v>
      </c>
      <c r="B57" s="29" t="s">
        <v>89</v>
      </c>
      <c r="C57" s="30" t="s">
        <v>16</v>
      </c>
      <c r="D57" s="147"/>
      <c r="E57" s="147"/>
      <c r="F57" s="117">
        <f t="shared" si="24"/>
        <v>0</v>
      </c>
      <c r="G57" s="118">
        <f t="shared" si="25"/>
        <v>0</v>
      </c>
      <c r="H57" s="118">
        <f t="shared" si="26"/>
        <v>0</v>
      </c>
      <c r="I57" s="147">
        <f t="shared" si="27"/>
        <v>0</v>
      </c>
    </row>
    <row r="58" s="1" customFormat="1" ht="27.95" customHeight="1" spans="1:10">
      <c r="A58" s="28" t="s">
        <v>21</v>
      </c>
      <c r="B58" s="42" t="s">
        <v>25</v>
      </c>
      <c r="C58" s="43" t="s">
        <v>26</v>
      </c>
      <c r="D58" s="148"/>
      <c r="E58" s="149"/>
      <c r="F58" s="117">
        <f t="shared" si="24"/>
        <v>0</v>
      </c>
      <c r="G58" s="150">
        <f>D58+'26.5'!G58</f>
        <v>0</v>
      </c>
      <c r="H58" s="150">
        <f>E58+'26.5'!H58</f>
        <v>0</v>
      </c>
      <c r="I58" s="147">
        <f t="shared" si="27"/>
        <v>0</v>
      </c>
    </row>
    <row r="59" s="1" customFormat="1" ht="27.95" customHeight="1" spans="1:10">
      <c r="A59" s="28" t="s">
        <v>24</v>
      </c>
      <c r="B59" s="42" t="s">
        <v>38</v>
      </c>
      <c r="C59" s="43" t="s">
        <v>23</v>
      </c>
      <c r="D59" s="148"/>
      <c r="E59" s="148"/>
      <c r="F59" s="117">
        <f t="shared" si="24"/>
        <v>0</v>
      </c>
      <c r="G59" s="150">
        <f>D59+'26.5'!G59</f>
        <v>0</v>
      </c>
      <c r="H59" s="150">
        <f>E59+'26.5'!H59</f>
        <v>0</v>
      </c>
      <c r="I59" s="147">
        <f t="shared" si="27"/>
        <v>0</v>
      </c>
    </row>
    <row r="60" s="1" customFormat="1" ht="27.95" customHeight="1" spans="1:10">
      <c r="A60" s="28" t="s">
        <v>27</v>
      </c>
      <c r="B60" s="42" t="s">
        <v>41</v>
      </c>
      <c r="C60" s="43" t="s">
        <v>42</v>
      </c>
      <c r="D60" s="148"/>
      <c r="E60" s="148"/>
      <c r="F60" s="117">
        <f t="shared" si="24"/>
        <v>0</v>
      </c>
      <c r="G60" s="150">
        <f>D60+'26.5'!G60</f>
        <v>0</v>
      </c>
      <c r="H60" s="150">
        <f>E60+'26.5'!H60</f>
        <v>0</v>
      </c>
      <c r="I60" s="147">
        <f t="shared" si="27"/>
        <v>0</v>
      </c>
    </row>
    <row r="61" s="1" customFormat="1" ht="27.95" customHeight="1" spans="1:10">
      <c r="A61" s="28"/>
      <c r="B61" s="42" t="s">
        <v>90</v>
      </c>
      <c r="C61" s="43" t="s">
        <v>42</v>
      </c>
      <c r="D61" s="148"/>
      <c r="E61" s="148"/>
      <c r="F61" s="117">
        <f t="shared" si="24"/>
        <v>0</v>
      </c>
      <c r="G61" s="150">
        <f>D61+'26.5'!G61</f>
        <v>0</v>
      </c>
      <c r="H61" s="150">
        <f>E61+'26.5'!H61</f>
        <v>0</v>
      </c>
      <c r="I61" s="147">
        <f t="shared" si="27"/>
        <v>0</v>
      </c>
    </row>
    <row r="62" s="1" customFormat="1" ht="27.95" customHeight="1" spans="1:10">
      <c r="A62" s="28" t="s">
        <v>29</v>
      </c>
      <c r="B62" s="42" t="s">
        <v>52</v>
      </c>
      <c r="C62" s="43" t="s">
        <v>53</v>
      </c>
      <c r="D62" s="151" t="e">
        <f t="shared" ref="D62:I62" si="28">D60/D58</f>
        <v>#DIV/0!</v>
      </c>
      <c r="E62" s="151" t="e">
        <f t="shared" si="28"/>
        <v>#DIV/0!</v>
      </c>
      <c r="F62" s="121" t="e">
        <f t="shared" si="28"/>
        <v>#DIV/0!</v>
      </c>
      <c r="G62" s="152" t="e">
        <f t="shared" si="28"/>
        <v>#DIV/0!</v>
      </c>
      <c r="H62" s="60" t="e">
        <f t="shared" si="28"/>
        <v>#DIV/0!</v>
      </c>
      <c r="I62" s="61" t="e">
        <f t="shared" si="28"/>
        <v>#DIV/0!</v>
      </c>
    </row>
    <row r="63" s="1" customFormat="1" ht="27.95" customHeight="1" spans="1:10">
      <c r="A63" s="28" t="s">
        <v>31</v>
      </c>
      <c r="B63" s="42" t="s">
        <v>70</v>
      </c>
      <c r="C63" s="79" t="s">
        <v>68</v>
      </c>
      <c r="D63" s="83">
        <f>D58/3.6/D55/(DAY(DATE(2026,7,0))*24)</f>
        <v>0</v>
      </c>
      <c r="E63" s="83">
        <f>E58/3.6/E55/(DAY(DATE(2026,7,0))*24)</f>
        <v>0</v>
      </c>
      <c r="F63" s="123">
        <f>F58/3.6/F55/(DAY(DATE(2026,7,0))*24)</f>
        <v>0</v>
      </c>
      <c r="G63" s="85">
        <f>G58/3.6/G55/(DATEDIF(DATE(2026,1,1),DATE(2026,7,1),"D")*24)</f>
        <v>0</v>
      </c>
      <c r="H63" s="83">
        <f>H58/3.6/H55/(DATEDIF(DATE(2026,1,1),DATE(2026,7,1),"D")*24)</f>
        <v>0</v>
      </c>
      <c r="I63" s="84">
        <f>I58/3.6/I55/(DATEDIF(DATE(2026,1,1),DATE(2026,7,1),"D")*24)</f>
        <v>0</v>
      </c>
    </row>
    <row r="64" s="1" customFormat="1" ht="27.95" customHeight="1" spans="1:10">
      <c r="A64" s="28" t="s">
        <v>33</v>
      </c>
      <c r="B64" s="42" t="s">
        <v>72</v>
      </c>
      <c r="C64" s="43" t="s">
        <v>73</v>
      </c>
      <c r="D64" s="87" t="e">
        <f t="shared" ref="D64:I64" si="29">D58/D57</f>
        <v>#DIV/0!</v>
      </c>
      <c r="E64" s="87" t="e">
        <f t="shared" si="29"/>
        <v>#DIV/0!</v>
      </c>
      <c r="F64" s="89" t="e">
        <f t="shared" si="29"/>
        <v>#DIV/0!</v>
      </c>
      <c r="G64" s="153" t="e">
        <f t="shared" si="29"/>
        <v>#DIV/0!</v>
      </c>
      <c r="H64" s="87" t="e">
        <f t="shared" si="29"/>
        <v>#DIV/0!</v>
      </c>
      <c r="I64" s="89" t="e">
        <f t="shared" si="29"/>
        <v>#DIV/0!</v>
      </c>
    </row>
    <row r="65" s="1" customFormat="1" ht="27.95" customHeight="1" spans="1:9">
      <c r="A65" s="28" t="s">
        <v>37</v>
      </c>
      <c r="B65" s="42" t="s">
        <v>78</v>
      </c>
      <c r="C65" s="43" t="s">
        <v>79</v>
      </c>
      <c r="D65" s="91" t="e">
        <f t="shared" ref="D65:I65" si="30">D60/D57</f>
        <v>#DIV/0!</v>
      </c>
      <c r="E65" s="91" t="e">
        <f t="shared" si="30"/>
        <v>#DIV/0!</v>
      </c>
      <c r="F65" s="92" t="e">
        <f t="shared" si="30"/>
        <v>#DIV/0!</v>
      </c>
      <c r="G65" s="154" t="e">
        <f t="shared" si="30"/>
        <v>#DIV/0!</v>
      </c>
      <c r="H65" s="91" t="e">
        <f t="shared" si="30"/>
        <v>#DIV/0!</v>
      </c>
      <c r="I65" s="92" t="e">
        <f t="shared" si="30"/>
        <v>#DIV/0!</v>
      </c>
    </row>
    <row r="66" s="1" customFormat="1" ht="27.95" customHeight="1" spans="1:9">
      <c r="A66" s="129" t="s">
        <v>40</v>
      </c>
      <c r="B66" s="97" t="s">
        <v>81</v>
      </c>
      <c r="C66" s="98" t="s">
        <v>76</v>
      </c>
      <c r="D66" s="100" t="e">
        <f t="shared" ref="D66:I66" si="31">D59*1000/D57</f>
        <v>#DIV/0!</v>
      </c>
      <c r="E66" s="100" t="e">
        <f t="shared" si="31"/>
        <v>#DIV/0!</v>
      </c>
      <c r="F66" s="101" t="e">
        <f t="shared" si="31"/>
        <v>#DIV/0!</v>
      </c>
      <c r="G66" s="155" t="e">
        <f t="shared" si="31"/>
        <v>#DIV/0!</v>
      </c>
      <c r="H66" s="100" t="e">
        <f t="shared" si="31"/>
        <v>#DIV/0!</v>
      </c>
      <c r="I66" s="101" t="e">
        <f t="shared" si="31"/>
        <v>#DIV/0!</v>
      </c>
    </row>
    <row r="67" s="1" customFormat="1" ht="18" customHeight="1" spans="1:9">
      <c r="C67" s="4"/>
      <c r="D67" s="5"/>
    </row>
    <row r="68" s="1" customFormat="1" ht="29.25" customHeight="1" spans="1:9">
      <c r="A68" s="108" t="s">
        <v>94</v>
      </c>
      <c r="C68" s="4"/>
      <c r="D68" s="5"/>
    </row>
    <row r="69" s="1" customFormat="1" ht="30" customHeight="1" spans="1:9">
      <c r="A69" s="131" t="s">
        <v>0</v>
      </c>
      <c r="B69" s="7" t="s">
        <v>1</v>
      </c>
      <c r="C69" s="7" t="s">
        <v>2</v>
      </c>
      <c r="D69" s="133" t="s">
        <v>86</v>
      </c>
      <c r="E69" s="135"/>
      <c r="F69" s="134" t="s">
        <v>87</v>
      </c>
      <c r="G69" s="134"/>
    </row>
    <row r="70" s="1" customFormat="1" ht="30" customHeight="1" spans="1:9">
      <c r="A70" s="137"/>
      <c r="B70" s="14"/>
      <c r="C70" s="14"/>
      <c r="D70" s="139" t="s">
        <v>95</v>
      </c>
      <c r="E70" s="156" t="s">
        <v>96</v>
      </c>
      <c r="F70" s="141" t="s">
        <v>95</v>
      </c>
      <c r="G70" s="142" t="s">
        <v>96</v>
      </c>
    </row>
    <row r="71" s="1" customFormat="1" ht="27.95" customHeight="1" spans="1:9">
      <c r="A71" s="19" t="s">
        <v>11</v>
      </c>
      <c r="B71" s="20" t="s">
        <v>12</v>
      </c>
      <c r="C71" s="21" t="s">
        <v>13</v>
      </c>
      <c r="D71" s="157">
        <v>217</v>
      </c>
      <c r="E71" s="158">
        <v>1.4</v>
      </c>
      <c r="F71" s="159">
        <f>D71</f>
        <v>217</v>
      </c>
      <c r="G71" s="160">
        <f>E71</f>
        <v>1.4</v>
      </c>
    </row>
    <row r="72" s="1" customFormat="1" ht="27.95" customHeight="1" spans="1:9">
      <c r="A72" s="28" t="s">
        <v>14</v>
      </c>
      <c r="B72" s="42" t="s">
        <v>22</v>
      </c>
      <c r="C72" s="43" t="s">
        <v>23</v>
      </c>
      <c r="D72" s="148"/>
      <c r="E72" s="115"/>
      <c r="F72" s="161">
        <f>D72</f>
        <v>0</v>
      </c>
      <c r="G72" s="162">
        <f>E72</f>
        <v>0</v>
      </c>
    </row>
    <row r="73" s="1" customFormat="1" ht="27.95" customHeight="1" spans="1:9">
      <c r="A73" s="28" t="s">
        <v>19</v>
      </c>
      <c r="B73" s="42" t="s">
        <v>25</v>
      </c>
      <c r="C73" s="43" t="s">
        <v>26</v>
      </c>
      <c r="D73" s="147">
        <f>D72*2.951694</f>
        <v>0</v>
      </c>
      <c r="E73" s="163">
        <f>E72*2.732</f>
        <v>0</v>
      </c>
      <c r="F73" s="120">
        <f>D73+'26.5'!F73</f>
        <v>0</v>
      </c>
      <c r="G73" s="120">
        <f>E73+'26.5'!G73</f>
        <v>0</v>
      </c>
    </row>
    <row r="74" s="1" customFormat="1" ht="27.95" customHeight="1" spans="1:9">
      <c r="A74" s="28" t="s">
        <v>21</v>
      </c>
      <c r="B74" s="42" t="s">
        <v>97</v>
      </c>
      <c r="C74" s="43" t="s">
        <v>98</v>
      </c>
      <c r="D74" s="148"/>
      <c r="E74" s="115"/>
      <c r="F74" s="120">
        <f>D74+'26.5'!F74</f>
        <v>0</v>
      </c>
      <c r="G74" s="120">
        <f>E74+'26.5'!G74</f>
        <v>0</v>
      </c>
    </row>
    <row r="75" s="1" customFormat="1" ht="27.95" customHeight="1" spans="1:9">
      <c r="A75" s="28" t="s">
        <v>24</v>
      </c>
      <c r="B75" s="42" t="s">
        <v>34</v>
      </c>
      <c r="C75" s="43" t="s">
        <v>23</v>
      </c>
      <c r="D75" s="147">
        <f>D74*D80/29308/1000</f>
        <v>0</v>
      </c>
      <c r="E75" s="117">
        <f>E74*E80/29308/1000</f>
        <v>0</v>
      </c>
      <c r="F75" s="120">
        <f>D75+'26.5'!F75</f>
        <v>0</v>
      </c>
      <c r="G75" s="120">
        <f>E75+'26.5'!G75</f>
        <v>0</v>
      </c>
    </row>
    <row r="76" s="1" customFormat="1" ht="27.95" customHeight="1" spans="1:9">
      <c r="A76" s="28" t="s">
        <v>27</v>
      </c>
      <c r="B76" s="42" t="s">
        <v>38</v>
      </c>
      <c r="C76" s="43" t="s">
        <v>23</v>
      </c>
      <c r="D76" s="148"/>
      <c r="E76" s="164"/>
      <c r="F76" s="120">
        <f>D76+'26.5'!F76</f>
        <v>0</v>
      </c>
      <c r="G76" s="120">
        <f>E76+'26.5'!G76</f>
        <v>0</v>
      </c>
    </row>
    <row r="77" s="1" customFormat="1" ht="27.95" customHeight="1" spans="1:9">
      <c r="A77" s="28" t="s">
        <v>29</v>
      </c>
      <c r="B77" s="42" t="s">
        <v>41</v>
      </c>
      <c r="C77" s="43" t="s">
        <v>42</v>
      </c>
      <c r="D77" s="148"/>
      <c r="E77" s="164"/>
      <c r="F77" s="120">
        <f>D77+'26.5'!F77</f>
        <v>0</v>
      </c>
      <c r="G77" s="120">
        <f>E77+'26.5'!G77</f>
        <v>0</v>
      </c>
    </row>
    <row r="78" s="1" customFormat="1" ht="27.95" customHeight="1" spans="1:9">
      <c r="A78" s="28" t="s">
        <v>31</v>
      </c>
      <c r="B78" s="42" t="s">
        <v>52</v>
      </c>
      <c r="C78" s="43" t="s">
        <v>53</v>
      </c>
      <c r="D78" s="165" t="e">
        <f>D77/D73</f>
        <v>#DIV/0!</v>
      </c>
      <c r="E78" s="166"/>
      <c r="F78" s="167" t="e">
        <f>F77/F73</f>
        <v>#DIV/0!</v>
      </c>
      <c r="G78" s="168"/>
    </row>
    <row r="79" s="1" customFormat="1" ht="27.95" customHeight="1" spans="1:9">
      <c r="A79" s="28" t="s">
        <v>33</v>
      </c>
      <c r="B79" s="42" t="s">
        <v>55</v>
      </c>
      <c r="C79" s="43" t="s">
        <v>56</v>
      </c>
      <c r="D79" s="60" t="e">
        <f t="shared" ref="D79:G79" si="32">D75*1000/D73</f>
        <v>#DIV/0!</v>
      </c>
      <c r="E79" s="169" t="e">
        <f t="shared" si="32"/>
        <v>#DIV/0!</v>
      </c>
      <c r="F79" s="170" t="e">
        <f t="shared" si="32"/>
        <v>#DIV/0!</v>
      </c>
      <c r="G79" s="61" t="e">
        <f t="shared" si="32"/>
        <v>#DIV/0!</v>
      </c>
      <c r="H79" s="12"/>
    </row>
    <row r="80" s="1" customFormat="1" ht="27.95" customHeight="1" spans="1:9">
      <c r="A80" s="28" t="s">
        <v>37</v>
      </c>
      <c r="B80" s="42" t="s">
        <v>99</v>
      </c>
      <c r="C80" s="43" t="s">
        <v>100</v>
      </c>
      <c r="D80" s="56"/>
      <c r="E80" s="171"/>
      <c r="F80" s="172" t="e">
        <f>F75*29308*1000/F74</f>
        <v>#DIV/0!</v>
      </c>
      <c r="G80" s="147" t="e">
        <f>G75*29308*1000/G74</f>
        <v>#DIV/0!</v>
      </c>
      <c r="H80" s="12"/>
    </row>
    <row r="81" s="1" customFormat="1" ht="27.95" customHeight="1" spans="1:11">
      <c r="A81" s="28" t="s">
        <v>40</v>
      </c>
      <c r="B81" s="42" t="s">
        <v>67</v>
      </c>
      <c r="C81" s="79" t="s">
        <v>68</v>
      </c>
      <c r="D81" s="80" t="e">
        <f t="shared" ref="D81:G81" si="33">D73/(D75*29.308)</f>
        <v>#DIV/0!</v>
      </c>
      <c r="E81" s="173" t="e">
        <f t="shared" si="33"/>
        <v>#DIV/0!</v>
      </c>
      <c r="F81" s="174" t="e">
        <f t="shared" si="33"/>
        <v>#DIV/0!</v>
      </c>
      <c r="G81" s="81" t="e">
        <f t="shared" si="33"/>
        <v>#DIV/0!</v>
      </c>
      <c r="H81" s="12"/>
    </row>
    <row r="82" s="1" customFormat="1" ht="27.95" customHeight="1" spans="1:11">
      <c r="A82" s="129" t="s">
        <v>47</v>
      </c>
      <c r="B82" s="175" t="s">
        <v>70</v>
      </c>
      <c r="C82" s="176" t="s">
        <v>68</v>
      </c>
      <c r="D82" s="177">
        <f>D73/3.6/D71/(DAY(DATE(2026,7,0))*24)</f>
        <v>0</v>
      </c>
      <c r="E82" s="178">
        <f>E73/3.6/E71/(DAY(DATE(2026,7,0))*24)</f>
        <v>0</v>
      </c>
      <c r="F82" s="179">
        <f>F73/3.6/F71/(DATEDIF(DATE(2026,1,1),DATE(2026,7,1),"D")*24)</f>
        <v>0</v>
      </c>
      <c r="G82" s="180">
        <f>G73/3.6/G71/(DATEDIF(DATE(2026,1,1),DATE(2026,7,1),"D")*24)</f>
        <v>0</v>
      </c>
      <c r="H82" s="12"/>
    </row>
    <row r="83" s="1" customFormat="1" ht="18" customHeight="1" spans="1:11">
      <c r="B83" s="181"/>
      <c r="C83" s="181"/>
      <c r="D83" s="5"/>
    </row>
    <row r="84" s="1" customFormat="1" customHeight="1" spans="1:11">
      <c r="A84" s="108" t="s">
        <v>101</v>
      </c>
      <c r="C84" s="4"/>
      <c r="D84" s="5" t="s">
        <v>84</v>
      </c>
      <c r="E84" s="2"/>
      <c r="F84" s="2"/>
      <c r="G84" s="2"/>
      <c r="H84" s="2"/>
      <c r="I84" s="2"/>
    </row>
    <row r="85" s="1" customFormat="1" customHeight="1" spans="1:11">
      <c r="A85" s="131" t="s">
        <v>0</v>
      </c>
      <c r="B85" s="132" t="s">
        <v>85</v>
      </c>
      <c r="C85" s="132" t="s">
        <v>2</v>
      </c>
      <c r="D85" s="182" t="s">
        <v>86</v>
      </c>
      <c r="E85" s="139" t="s">
        <v>87</v>
      </c>
      <c r="F85" s="182" t="s">
        <v>102</v>
      </c>
      <c r="G85" s="182" t="s">
        <v>103</v>
      </c>
      <c r="H85" s="183"/>
      <c r="I85" s="183"/>
    </row>
    <row r="86" s="1" customFormat="1" customHeight="1" spans="1:11">
      <c r="A86" s="137"/>
      <c r="B86" s="138"/>
      <c r="C86" s="138"/>
      <c r="D86" s="182" t="s">
        <v>104</v>
      </c>
      <c r="E86" s="182" t="s">
        <v>104</v>
      </c>
      <c r="F86" s="182"/>
      <c r="G86" s="182"/>
      <c r="H86" s="183"/>
      <c r="I86" s="184"/>
    </row>
    <row r="87" s="1" customFormat="1" customHeight="1" spans="1:11">
      <c r="A87" s="28" t="s">
        <v>11</v>
      </c>
      <c r="B87" s="29" t="s">
        <v>12</v>
      </c>
      <c r="C87" s="30" t="s">
        <v>13</v>
      </c>
      <c r="D87" s="185">
        <v>0.7888</v>
      </c>
      <c r="E87" s="186">
        <f t="shared" ref="E87:E89" si="34">D87</f>
        <v>0.7888</v>
      </c>
      <c r="F87" s="187">
        <f t="shared" ref="F87:F93" si="35">F55+D87</f>
        <v>13.1888</v>
      </c>
      <c r="G87" s="187">
        <f t="shared" ref="G87:G93" si="36">E87+I55</f>
        <v>13.1888</v>
      </c>
      <c r="H87" s="145"/>
      <c r="I87" s="145"/>
    </row>
    <row r="88" s="1" customFormat="1" customHeight="1" spans="1:11">
      <c r="A88" s="28" t="s">
        <v>14</v>
      </c>
      <c r="B88" s="29" t="s">
        <v>88</v>
      </c>
      <c r="C88" s="30" t="s">
        <v>16</v>
      </c>
      <c r="D88" s="188"/>
      <c r="E88" s="189">
        <f t="shared" si="34"/>
        <v>0</v>
      </c>
      <c r="F88" s="190">
        <v>83197.81</v>
      </c>
      <c r="G88" s="190">
        <v>83197.81</v>
      </c>
      <c r="H88" s="116"/>
      <c r="I88" s="116"/>
    </row>
    <row r="89" s="1" customFormat="1" customHeight="1" spans="1:11">
      <c r="A89" s="28" t="s">
        <v>19</v>
      </c>
      <c r="B89" s="29" t="s">
        <v>89</v>
      </c>
      <c r="C89" s="30" t="s">
        <v>16</v>
      </c>
      <c r="D89" s="188"/>
      <c r="E89" s="189">
        <f t="shared" si="34"/>
        <v>0</v>
      </c>
      <c r="F89" s="190">
        <v>83197.81</v>
      </c>
      <c r="G89" s="190">
        <v>83197.81</v>
      </c>
      <c r="H89" s="116"/>
      <c r="I89" s="116"/>
    </row>
    <row r="90" s="1" customFormat="1" customHeight="1" spans="1:11">
      <c r="A90" s="28" t="s">
        <v>21</v>
      </c>
      <c r="B90" s="42" t="s">
        <v>25</v>
      </c>
      <c r="C90" s="43" t="s">
        <v>26</v>
      </c>
      <c r="D90" s="188"/>
      <c r="E90" s="191">
        <f>D90+'26.5'!E90</f>
        <v>0</v>
      </c>
      <c r="F90" s="192">
        <f t="shared" si="35"/>
        <v>0</v>
      </c>
      <c r="G90" s="192">
        <f t="shared" si="36"/>
        <v>0</v>
      </c>
      <c r="H90" s="116"/>
      <c r="I90" s="116"/>
    </row>
    <row r="91" s="1" customFormat="1" customHeight="1" spans="1:11">
      <c r="A91" s="28" t="s">
        <v>24</v>
      </c>
      <c r="B91" s="42" t="s">
        <v>38</v>
      </c>
      <c r="C91" s="43" t="s">
        <v>23</v>
      </c>
      <c r="D91" s="188"/>
      <c r="E91" s="191">
        <f>D91+'26.5'!E91</f>
        <v>0</v>
      </c>
      <c r="F91" s="192">
        <f t="shared" si="35"/>
        <v>0</v>
      </c>
      <c r="G91" s="192">
        <f t="shared" si="36"/>
        <v>0</v>
      </c>
      <c r="H91" s="116"/>
      <c r="I91" s="116"/>
    </row>
    <row r="92" s="1" customFormat="1" customHeight="1" spans="1:11">
      <c r="A92" s="28" t="s">
        <v>27</v>
      </c>
      <c r="B92" s="42" t="s">
        <v>41</v>
      </c>
      <c r="C92" s="43" t="s">
        <v>42</v>
      </c>
      <c r="D92" s="188"/>
      <c r="E92" s="191">
        <f>D92+'26.5'!E92</f>
        <v>0</v>
      </c>
      <c r="F92" s="192">
        <f t="shared" si="35"/>
        <v>0</v>
      </c>
      <c r="G92" s="192">
        <f t="shared" si="36"/>
        <v>0</v>
      </c>
      <c r="H92" s="116"/>
      <c r="I92" s="116"/>
    </row>
    <row r="93" s="1" customFormat="1" customHeight="1" spans="1:11">
      <c r="A93" s="28"/>
      <c r="B93" s="42" t="s">
        <v>90</v>
      </c>
      <c r="C93" s="43" t="s">
        <v>42</v>
      </c>
      <c r="D93" s="188"/>
      <c r="E93" s="191">
        <f>D93+'26.5'!E93</f>
        <v>0</v>
      </c>
      <c r="F93" s="192">
        <f t="shared" si="35"/>
        <v>0</v>
      </c>
      <c r="G93" s="192">
        <f t="shared" si="36"/>
        <v>0</v>
      </c>
      <c r="H93" s="116"/>
      <c r="I93" s="116"/>
    </row>
    <row r="94" s="1" customFormat="1" customHeight="1" spans="1:11">
      <c r="A94" s="28" t="s">
        <v>29</v>
      </c>
      <c r="B94" s="42" t="s">
        <v>52</v>
      </c>
      <c r="C94" s="43" t="s">
        <v>53</v>
      </c>
      <c r="D94" s="193" t="e">
        <f t="shared" ref="D94:G94" si="37">D92/D90</f>
        <v>#DIV/0!</v>
      </c>
      <c r="E94" s="193" t="e">
        <f t="shared" si="37"/>
        <v>#DIV/0!</v>
      </c>
      <c r="F94" s="193" t="e">
        <f t="shared" si="37"/>
        <v>#DIV/0!</v>
      </c>
      <c r="G94" s="193" t="e">
        <f t="shared" si="37"/>
        <v>#DIV/0!</v>
      </c>
      <c r="H94" s="122"/>
      <c r="I94" s="122"/>
    </row>
    <row r="95" s="1" customFormat="1" customHeight="1" spans="1:11">
      <c r="A95" s="28" t="s">
        <v>31</v>
      </c>
      <c r="B95" s="42" t="s">
        <v>105</v>
      </c>
      <c r="C95" s="79" t="s">
        <v>68</v>
      </c>
      <c r="D95" s="194">
        <f>D90/3.6/D87/(DAY(DATE(2026,7,0))*24)</f>
        <v>0</v>
      </c>
      <c r="E95" s="84">
        <f>E90/3.6/E87/(DATEDIF(DATE(2026,1,1),DATE(2026,7,1),"D")*24)</f>
        <v>0</v>
      </c>
      <c r="F95" s="194">
        <f>F90/3.6/F87/(DAY(DATE(2026,7,0))*24)</f>
        <v>0</v>
      </c>
      <c r="G95" s="84">
        <f>G90/3.6/G87/(DATEDIF(DATE(2026,1,1),DATE(2026,7,1),"D")*24)</f>
        <v>0</v>
      </c>
      <c r="H95" s="195"/>
      <c r="I95" s="195"/>
      <c r="K95" s="196"/>
    </row>
    <row r="96" s="1" customFormat="1" customHeight="1" spans="1:11">
      <c r="A96" s="28" t="s">
        <v>33</v>
      </c>
      <c r="B96" s="42" t="s">
        <v>72</v>
      </c>
      <c r="C96" s="43" t="s">
        <v>73</v>
      </c>
      <c r="D96" s="197" t="e">
        <f t="shared" ref="D96:G96" si="38">D90/D89</f>
        <v>#DIV/0!</v>
      </c>
      <c r="E96" s="197" t="e">
        <f t="shared" si="38"/>
        <v>#DIV/0!</v>
      </c>
      <c r="F96" s="197">
        <f t="shared" si="38"/>
        <v>0</v>
      </c>
      <c r="G96" s="197">
        <f t="shared" si="38"/>
        <v>0</v>
      </c>
      <c r="H96" s="126"/>
      <c r="I96" s="126"/>
    </row>
    <row r="97" s="1" customFormat="1" customHeight="1" spans="1:9">
      <c r="A97" s="28" t="s">
        <v>37</v>
      </c>
      <c r="B97" s="42" t="s">
        <v>78</v>
      </c>
      <c r="C97" s="43" t="s">
        <v>79</v>
      </c>
      <c r="D97" s="198" t="e">
        <f t="shared" ref="D97:G97" si="39">D92/D89</f>
        <v>#DIV/0!</v>
      </c>
      <c r="E97" s="198" t="e">
        <f t="shared" si="39"/>
        <v>#DIV/0!</v>
      </c>
      <c r="F97" s="198">
        <f t="shared" si="39"/>
        <v>0</v>
      </c>
      <c r="G97" s="198">
        <f t="shared" si="39"/>
        <v>0</v>
      </c>
      <c r="H97" s="128"/>
      <c r="I97" s="128"/>
    </row>
    <row r="98" s="1" customFormat="1" customHeight="1" spans="1:9">
      <c r="A98" s="129" t="s">
        <v>40</v>
      </c>
      <c r="B98" s="97" t="s">
        <v>81</v>
      </c>
      <c r="C98" s="98" t="s">
        <v>76</v>
      </c>
      <c r="D98" s="198" t="e">
        <f t="shared" ref="D98:G98" si="40">D91*1000/D89</f>
        <v>#DIV/0!</v>
      </c>
      <c r="E98" s="198" t="e">
        <f t="shared" si="40"/>
        <v>#DIV/0!</v>
      </c>
      <c r="F98" s="198">
        <f t="shared" si="40"/>
        <v>0</v>
      </c>
      <c r="G98" s="198">
        <f t="shared" si="40"/>
        <v>0</v>
      </c>
      <c r="H98" s="128"/>
      <c r="I98" s="128"/>
    </row>
  </sheetData>
  <mergeCells count="20">
    <mergeCell ref="D1:H1"/>
    <mergeCell ref="I1:M1"/>
    <mergeCell ref="D53:F53"/>
    <mergeCell ref="G53:I53"/>
    <mergeCell ref="D69:E69"/>
    <mergeCell ref="F69:G69"/>
    <mergeCell ref="A1:A2"/>
    <mergeCell ref="A53:A54"/>
    <mergeCell ref="A69:A70"/>
    <mergeCell ref="A85:A86"/>
    <mergeCell ref="B1:B2"/>
    <mergeCell ref="B53:B54"/>
    <mergeCell ref="B69:B70"/>
    <mergeCell ref="B85:B86"/>
    <mergeCell ref="C1:C2"/>
    <mergeCell ref="C53:C54"/>
    <mergeCell ref="C69:C70"/>
    <mergeCell ref="C85:C86"/>
    <mergeCell ref="F85:F86"/>
    <mergeCell ref="G85:G86"/>
  </mergeCells>
  <pageMargins left="0.748031496062992" right="0.748031496062992" top="0.984251968503937" bottom="0.984251968503937" header="0.511811023622047" footer="0.511811023622047"/>
  <pageSetup paperSize="9" orientation="landscape" horizontalDpi="600" verticalDpi="600"/>
  <headerFooter alignWithMargins="0" scaleWithDoc="0">
    <oddHeader>&amp;C&amp;"Times New Roman,常规"&amp;20 2022&amp;"宋体,常规"年&amp;"Times New Roman,常规"6&amp;"宋体,常规"月份集团各锅炉站生产报表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8"/>
  <sheetViews>
    <sheetView showGridLines="0" zoomScale="70" zoomScaleNormal="70" zoomScaleSheetLayoutView="60" workbookViewId="0">
      <pane xSplit="2" ySplit="1" topLeftCell="C16" activePane="bottomRight" state="frozen"/>
      <selection/>
      <selection pane="topRight"/>
      <selection pane="bottomLeft"/>
      <selection pane="bottomRight" activeCell="F51" sqref="F51"/>
    </sheetView>
  </sheetViews>
  <sheetFormatPr defaultColWidth="8.625" defaultRowHeight="15" customHeight="1"/>
  <cols>
    <col min="1" max="1" width="7.375" style="1" customWidth="1"/>
    <col min="2" max="2" width="19.75" style="1" customWidth="1"/>
    <col min="3" max="3" width="13.5" style="4" customWidth="1"/>
    <col min="4" max="4" width="13.45" style="5" customWidth="1"/>
    <col min="5" max="13" width="13.45" style="1" customWidth="1"/>
    <col min="14" max="14" width="22.2083333333333" style="1"/>
    <col min="15" max="16384" width="8.625" style="1"/>
  </cols>
  <sheetData>
    <row r="1" s="1" customFormat="1" ht="39.95" customHeight="1" spans="1:14">
      <c r="A1" s="6" t="s">
        <v>0</v>
      </c>
      <c r="B1" s="7" t="s">
        <v>1</v>
      </c>
      <c r="C1" s="7" t="s">
        <v>2</v>
      </c>
      <c r="D1" s="8" t="s">
        <v>3</v>
      </c>
      <c r="E1" s="9"/>
      <c r="F1" s="9"/>
      <c r="G1" s="9"/>
      <c r="H1" s="10"/>
      <c r="I1" s="11" t="s">
        <v>4</v>
      </c>
      <c r="J1" s="9"/>
      <c r="K1" s="9"/>
      <c r="L1" s="9"/>
      <c r="M1" s="9"/>
      <c r="N1" s="12"/>
    </row>
    <row r="2" s="1" customFormat="1" ht="39.95" customHeight="1" spans="1:14">
      <c r="A2" s="13"/>
      <c r="B2" s="14"/>
      <c r="C2" s="14"/>
      <c r="D2" s="15" t="s">
        <v>5</v>
      </c>
      <c r="E2" s="15" t="s">
        <v>6</v>
      </c>
      <c r="F2" s="15" t="s">
        <v>7</v>
      </c>
      <c r="G2" s="16" t="s">
        <v>8</v>
      </c>
      <c r="H2" s="17" t="s">
        <v>9</v>
      </c>
      <c r="I2" s="18" t="s">
        <v>5</v>
      </c>
      <c r="J2" s="15" t="s">
        <v>6</v>
      </c>
      <c r="K2" s="15" t="s">
        <v>7</v>
      </c>
      <c r="L2" s="16" t="s">
        <v>10</v>
      </c>
      <c r="M2" s="17" t="s">
        <v>9</v>
      </c>
    </row>
    <row r="3" s="1" customFormat="1" ht="18" customHeight="1" spans="1:14">
      <c r="A3" s="19" t="s">
        <v>11</v>
      </c>
      <c r="B3" s="20" t="s">
        <v>12</v>
      </c>
      <c r="C3" s="21" t="s">
        <v>13</v>
      </c>
      <c r="D3" s="22">
        <v>348</v>
      </c>
      <c r="E3" s="23">
        <v>162</v>
      </c>
      <c r="F3" s="23"/>
      <c r="G3" s="24">
        <v>263</v>
      </c>
      <c r="H3" s="25">
        <f t="shared" ref="H3:H7" si="0">E3+F3+G3</f>
        <v>425</v>
      </c>
      <c r="I3" s="26">
        <f t="shared" ref="I3:L3" si="1">D3</f>
        <v>348</v>
      </c>
      <c r="J3" s="22">
        <f t="shared" si="1"/>
        <v>162</v>
      </c>
      <c r="K3" s="22">
        <f t="shared" si="1"/>
        <v>0</v>
      </c>
      <c r="L3" s="27">
        <f t="shared" si="1"/>
        <v>263</v>
      </c>
      <c r="M3" s="25">
        <f t="shared" ref="M3:M12" si="2">J3+K3+L3</f>
        <v>425</v>
      </c>
      <c r="N3" s="12"/>
    </row>
    <row r="4" s="1" customFormat="1" ht="18" customHeight="1" spans="1:14">
      <c r="A4" s="28" t="s">
        <v>14</v>
      </c>
      <c r="B4" s="29" t="s">
        <v>15</v>
      </c>
      <c r="C4" s="30" t="s">
        <v>16</v>
      </c>
      <c r="D4" s="31" t="s">
        <v>17</v>
      </c>
      <c r="E4" s="32"/>
      <c r="F4" s="33"/>
      <c r="G4" s="34"/>
      <c r="H4" s="35"/>
      <c r="I4" s="36" t="str">
        <f t="shared" ref="I4:L4" si="3">D4</f>
        <v> -   </v>
      </c>
      <c r="J4" s="32">
        <f t="shared" si="3"/>
        <v>0</v>
      </c>
      <c r="K4" s="37">
        <f t="shared" si="3"/>
        <v>0</v>
      </c>
      <c r="L4" s="38">
        <f t="shared" si="3"/>
        <v>0</v>
      </c>
      <c r="M4" s="35">
        <f t="shared" si="2"/>
        <v>0</v>
      </c>
      <c r="N4" s="12"/>
    </row>
    <row r="5" s="1" customFormat="1" ht="18" customHeight="1" spans="1:14">
      <c r="A5" s="28"/>
      <c r="B5" s="29" t="s">
        <v>18</v>
      </c>
      <c r="C5" s="30" t="s">
        <v>16</v>
      </c>
      <c r="D5" s="31" t="s">
        <v>17</v>
      </c>
      <c r="E5" s="33">
        <v>55000</v>
      </c>
      <c r="F5" s="39">
        <v>0</v>
      </c>
      <c r="G5" s="40">
        <v>0</v>
      </c>
      <c r="H5" s="35">
        <f t="shared" si="0"/>
        <v>55000</v>
      </c>
      <c r="I5" s="36" t="str">
        <f t="shared" ref="I5:L5" si="4">D5</f>
        <v> -   </v>
      </c>
      <c r="J5" s="32">
        <f t="shared" si="4"/>
        <v>55000</v>
      </c>
      <c r="K5" s="37">
        <f t="shared" si="4"/>
        <v>0</v>
      </c>
      <c r="L5" s="38">
        <f t="shared" si="4"/>
        <v>0</v>
      </c>
      <c r="M5" s="35">
        <f t="shared" si="2"/>
        <v>55000</v>
      </c>
      <c r="N5" s="12"/>
    </row>
    <row r="6" s="1" customFormat="1" ht="18" customHeight="1" spans="1:14">
      <c r="A6" s="28" t="s">
        <v>19</v>
      </c>
      <c r="B6" s="29" t="s">
        <v>20</v>
      </c>
      <c r="C6" s="30" t="s">
        <v>16</v>
      </c>
      <c r="D6" s="31" t="s">
        <v>17</v>
      </c>
      <c r="E6" s="34">
        <f t="shared" ref="E6:G6" si="5">E4</f>
        <v>0</v>
      </c>
      <c r="F6" s="34">
        <f t="shared" si="5"/>
        <v>0</v>
      </c>
      <c r="G6" s="34">
        <f t="shared" si="5"/>
        <v>0</v>
      </c>
      <c r="H6" s="35">
        <f t="shared" si="0"/>
        <v>0</v>
      </c>
      <c r="I6" s="36" t="str">
        <f t="shared" ref="I6:L6" si="6">D6</f>
        <v> -   </v>
      </c>
      <c r="J6" s="41">
        <f t="shared" si="6"/>
        <v>0</v>
      </c>
      <c r="K6" s="41">
        <f t="shared" si="6"/>
        <v>0</v>
      </c>
      <c r="L6" s="41">
        <f t="shared" si="6"/>
        <v>0</v>
      </c>
      <c r="M6" s="35">
        <f t="shared" si="2"/>
        <v>0</v>
      </c>
      <c r="N6" s="12"/>
    </row>
    <row r="7" s="2" customFormat="1" ht="18" customHeight="1" spans="1:14">
      <c r="A7" s="28" t="s">
        <v>21</v>
      </c>
      <c r="B7" s="42" t="s">
        <v>22</v>
      </c>
      <c r="C7" s="43" t="s">
        <v>23</v>
      </c>
      <c r="D7" s="40">
        <v>0</v>
      </c>
      <c r="E7" s="40">
        <v>0</v>
      </c>
      <c r="F7" s="40">
        <v>0</v>
      </c>
      <c r="G7" s="40"/>
      <c r="H7" s="35">
        <f t="shared" si="0"/>
        <v>0</v>
      </c>
      <c r="I7" s="199">
        <f>D7+'26.6'!I7</f>
        <v>0</v>
      </c>
      <c r="J7" s="199">
        <f>E7+'26.6'!J7</f>
        <v>0</v>
      </c>
      <c r="K7" s="199">
        <f>F7+'26.6'!K7</f>
        <v>0</v>
      </c>
      <c r="L7" s="199">
        <f>G7+'26.6'!L7</f>
        <v>0</v>
      </c>
      <c r="M7" s="35">
        <f t="shared" si="2"/>
        <v>0</v>
      </c>
      <c r="N7" s="45"/>
    </row>
    <row r="8" s="2" customFormat="1" ht="18" customHeight="1" spans="1:14">
      <c r="A8" s="28" t="s">
        <v>24</v>
      </c>
      <c r="B8" s="42" t="s">
        <v>25</v>
      </c>
      <c r="C8" s="43" t="s">
        <v>26</v>
      </c>
      <c r="D8" s="46"/>
      <c r="E8" s="40"/>
      <c r="F8" s="39"/>
      <c r="G8" s="34"/>
      <c r="H8" s="35"/>
      <c r="I8" s="199">
        <f>D8+'26.6'!I8</f>
        <v>0</v>
      </c>
      <c r="J8" s="199">
        <f>E8+'26.6'!J8</f>
        <v>0</v>
      </c>
      <c r="K8" s="199">
        <f>F8+'26.6'!K8</f>
        <v>0</v>
      </c>
      <c r="L8" s="199">
        <f>G8+'26.6'!L8</f>
        <v>0</v>
      </c>
      <c r="M8" s="35">
        <f t="shared" si="2"/>
        <v>0</v>
      </c>
      <c r="N8" s="47"/>
    </row>
    <row r="9" s="2" customFormat="1" ht="18" customHeight="1" spans="1:14">
      <c r="A9" s="28" t="s">
        <v>27</v>
      </c>
      <c r="B9" s="42" t="s">
        <v>28</v>
      </c>
      <c r="C9" s="43" t="s">
        <v>26</v>
      </c>
      <c r="D9" s="40">
        <v>0</v>
      </c>
      <c r="E9" s="200">
        <f>[1]售热量!$O$25</f>
        <v>0</v>
      </c>
      <c r="F9" s="39"/>
      <c r="G9" s="39"/>
      <c r="H9" s="35">
        <f t="shared" ref="H9:H12" si="7">E9+F9+G9</f>
        <v>0</v>
      </c>
      <c r="I9" s="199">
        <f>D9+'26.6'!I9</f>
        <v>0</v>
      </c>
      <c r="J9" s="199">
        <f>E9+'26.6'!J9</f>
        <v>0</v>
      </c>
      <c r="K9" s="199">
        <f>F9+'26.6'!K9</f>
        <v>0</v>
      </c>
      <c r="L9" s="199">
        <f>G9+'26.6'!L9</f>
        <v>0</v>
      </c>
      <c r="M9" s="35">
        <f t="shared" si="2"/>
        <v>0</v>
      </c>
      <c r="N9" s="45"/>
    </row>
    <row r="10" s="2" customFormat="1" ht="18" customHeight="1" spans="1:14">
      <c r="A10" s="28" t="s">
        <v>29</v>
      </c>
      <c r="B10" s="42" t="s">
        <v>30</v>
      </c>
      <c r="C10" s="43" t="s">
        <v>23</v>
      </c>
      <c r="D10" s="40"/>
      <c r="E10" s="33"/>
      <c r="F10" s="39"/>
      <c r="G10" s="34"/>
      <c r="H10" s="35">
        <f t="shared" si="7"/>
        <v>0</v>
      </c>
      <c r="I10" s="199">
        <f>D10+'26.6'!I10</f>
        <v>0</v>
      </c>
      <c r="J10" s="199">
        <f>E10+'26.6'!J10</f>
        <v>0</v>
      </c>
      <c r="K10" s="199">
        <f>F10+'26.6'!K10</f>
        <v>0</v>
      </c>
      <c r="L10" s="199">
        <f>G10+'26.6'!L10</f>
        <v>0</v>
      </c>
      <c r="M10" s="35">
        <f t="shared" si="2"/>
        <v>0</v>
      </c>
      <c r="N10" s="45"/>
    </row>
    <row r="11" s="2" customFormat="1" ht="18" customHeight="1" spans="1:14">
      <c r="A11" s="28" t="s">
        <v>31</v>
      </c>
      <c r="B11" s="42" t="s">
        <v>32</v>
      </c>
      <c r="C11" s="43" t="s">
        <v>23</v>
      </c>
      <c r="D11" s="40"/>
      <c r="E11" s="40">
        <v>0</v>
      </c>
      <c r="F11" s="40"/>
      <c r="G11" s="40"/>
      <c r="H11" s="35">
        <f t="shared" si="7"/>
        <v>0</v>
      </c>
      <c r="I11" s="199">
        <f>D11+'26.6'!I11</f>
        <v>0</v>
      </c>
      <c r="J11" s="199">
        <f>E11+'26.6'!J11</f>
        <v>0</v>
      </c>
      <c r="K11" s="199">
        <f>F11+'26.6'!K11</f>
        <v>0</v>
      </c>
      <c r="L11" s="199">
        <f>G11+'26.6'!L11</f>
        <v>0</v>
      </c>
      <c r="M11" s="35">
        <f t="shared" si="2"/>
        <v>0</v>
      </c>
      <c r="N11" s="45"/>
    </row>
    <row r="12" s="2" customFormat="1" ht="18" customHeight="1" spans="1:14">
      <c r="A12" s="28" t="s">
        <v>33</v>
      </c>
      <c r="B12" s="42" t="s">
        <v>34</v>
      </c>
      <c r="C12" s="43" t="s">
        <v>23</v>
      </c>
      <c r="D12" s="46">
        <f t="shared" ref="D12:G12" si="8">D13+D14</f>
        <v>0</v>
      </c>
      <c r="E12" s="46">
        <f t="shared" si="8"/>
        <v>0</v>
      </c>
      <c r="F12" s="46">
        <f t="shared" si="8"/>
        <v>0</v>
      </c>
      <c r="G12" s="46">
        <f t="shared" si="8"/>
        <v>0</v>
      </c>
      <c r="H12" s="35">
        <f t="shared" si="7"/>
        <v>0</v>
      </c>
      <c r="I12" s="199">
        <f>D12+'26.6'!I12</f>
        <v>0</v>
      </c>
      <c r="J12" s="199">
        <f>E12+'26.6'!J12</f>
        <v>0</v>
      </c>
      <c r="K12" s="199">
        <f>F12+'26.6'!K12</f>
        <v>0</v>
      </c>
      <c r="L12" s="199">
        <f>G12+'26.6'!L12</f>
        <v>0</v>
      </c>
      <c r="M12" s="35">
        <f t="shared" si="2"/>
        <v>0</v>
      </c>
      <c r="N12" s="45"/>
    </row>
    <row r="13" s="2" customFormat="1" ht="18" customHeight="1" spans="1:14">
      <c r="A13" s="28"/>
      <c r="B13" s="42" t="s">
        <v>35</v>
      </c>
      <c r="C13" s="43" t="s">
        <v>23</v>
      </c>
      <c r="D13" s="40"/>
      <c r="E13" s="40"/>
      <c r="F13" s="40"/>
      <c r="G13" s="46"/>
      <c r="H13" s="49"/>
      <c r="I13" s="199">
        <f>D13+'26.6'!I13</f>
        <v>0</v>
      </c>
      <c r="J13" s="199">
        <f>E13+'26.6'!J13</f>
        <v>0</v>
      </c>
      <c r="K13" s="199">
        <f>F13+'26.6'!K13</f>
        <v>0</v>
      </c>
      <c r="L13" s="199">
        <f>G13+'26.6'!L13</f>
        <v>0</v>
      </c>
      <c r="M13" s="49"/>
      <c r="N13" s="45"/>
    </row>
    <row r="14" s="2" customFormat="1" ht="18" customHeight="1" spans="1:14">
      <c r="A14" s="28"/>
      <c r="B14" s="42" t="s">
        <v>36</v>
      </c>
      <c r="C14" s="43" t="s">
        <v>23</v>
      </c>
      <c r="D14" s="46"/>
      <c r="E14" s="40"/>
      <c r="F14" s="40"/>
      <c r="G14" s="40"/>
      <c r="H14" s="49"/>
      <c r="I14" s="199">
        <f>D14+'26.6'!I14</f>
        <v>0</v>
      </c>
      <c r="J14" s="199">
        <f>E14+'26.6'!J14</f>
        <v>0</v>
      </c>
      <c r="K14" s="199">
        <f>F14+'26.6'!K14</f>
        <v>0</v>
      </c>
      <c r="L14" s="199">
        <f>G14+'26.6'!L14</f>
        <v>0</v>
      </c>
      <c r="M14" s="49"/>
      <c r="N14" s="45"/>
    </row>
    <row r="15" s="2" customFormat="1" ht="18" customHeight="1" spans="1:14">
      <c r="A15" s="28" t="s">
        <v>37</v>
      </c>
      <c r="B15" s="42" t="s">
        <v>38</v>
      </c>
      <c r="C15" s="43" t="s">
        <v>23</v>
      </c>
      <c r="D15" s="40"/>
      <c r="E15" s="50"/>
      <c r="F15" s="39"/>
      <c r="G15" s="34"/>
      <c r="H15" s="35"/>
      <c r="I15" s="199">
        <f>D15+'26.6'!I15</f>
        <v>0</v>
      </c>
      <c r="J15" s="199">
        <f>E15+'26.6'!J15</f>
        <v>0</v>
      </c>
      <c r="K15" s="199">
        <f>F15+'26.6'!K15</f>
        <v>0</v>
      </c>
      <c r="L15" s="199">
        <f>G15+'26.6'!L15</f>
        <v>0</v>
      </c>
      <c r="M15" s="35">
        <f t="shared" ref="M15:M17" si="9">J15+K15+L15</f>
        <v>0</v>
      </c>
      <c r="N15" s="45"/>
    </row>
    <row r="16" s="2" customFormat="1" ht="18" customHeight="1" spans="1:14">
      <c r="A16" s="28"/>
      <c r="B16" s="42" t="s">
        <v>39</v>
      </c>
      <c r="C16" s="43" t="s">
        <v>23</v>
      </c>
      <c r="D16" s="40"/>
      <c r="E16" s="50"/>
      <c r="F16" s="39"/>
      <c r="G16" s="39"/>
      <c r="H16" s="35"/>
      <c r="I16" s="199">
        <f>D16+'26.6'!I16</f>
        <v>0</v>
      </c>
      <c r="J16" s="199">
        <f>E16+'26.6'!J16</f>
        <v>0</v>
      </c>
      <c r="K16" s="199">
        <f>F16+'26.6'!K16</f>
        <v>0</v>
      </c>
      <c r="L16" s="199">
        <f>G16+'26.6'!L16</f>
        <v>0</v>
      </c>
      <c r="M16" s="35">
        <f t="shared" si="9"/>
        <v>0</v>
      </c>
      <c r="N16" s="45"/>
    </row>
    <row r="17" s="2" customFormat="1" ht="18" customHeight="1" spans="1:14">
      <c r="A17" s="28" t="s">
        <v>40</v>
      </c>
      <c r="B17" s="42" t="s">
        <v>41</v>
      </c>
      <c r="C17" s="43" t="s">
        <v>42</v>
      </c>
      <c r="D17" s="46"/>
      <c r="E17" s="50"/>
      <c r="F17" s="39"/>
      <c r="G17" s="34"/>
      <c r="H17" s="35"/>
      <c r="I17" s="199">
        <f>D17+'26.6'!I17</f>
        <v>0</v>
      </c>
      <c r="J17" s="199">
        <f>E17+'26.6'!J17</f>
        <v>0</v>
      </c>
      <c r="K17" s="51"/>
      <c r="L17" s="199">
        <f>G17+'26.6'!L17</f>
        <v>0</v>
      </c>
      <c r="M17" s="35">
        <f t="shared" si="9"/>
        <v>0</v>
      </c>
      <c r="N17" s="45"/>
    </row>
    <row r="18" s="2" customFormat="1" ht="18" customHeight="1" spans="1:14">
      <c r="A18" s="28"/>
      <c r="B18" s="42" t="s">
        <v>43</v>
      </c>
      <c r="C18" s="43" t="s">
        <v>42</v>
      </c>
      <c r="D18" s="40"/>
      <c r="E18" s="50"/>
      <c r="F18" s="39"/>
      <c r="G18" s="39"/>
      <c r="H18" s="49"/>
      <c r="I18" s="199">
        <f>D18+'26.6'!I18</f>
        <v>0</v>
      </c>
      <c r="J18" s="199">
        <f>E18+'26.6'!J18</f>
        <v>0</v>
      </c>
      <c r="K18" s="199">
        <f>F18+'26.6'!K18</f>
        <v>0</v>
      </c>
      <c r="L18" s="199">
        <f>G18+'26.6'!L18</f>
        <v>0</v>
      </c>
      <c r="M18" s="49"/>
      <c r="N18" s="45"/>
    </row>
    <row r="19" s="2" customFormat="1" ht="18" customHeight="1" spans="1:14">
      <c r="A19" s="28"/>
      <c r="B19" s="42" t="s">
        <v>44</v>
      </c>
      <c r="C19" s="43" t="s">
        <v>42</v>
      </c>
      <c r="D19" s="40"/>
      <c r="E19" s="50"/>
      <c r="F19" s="34"/>
      <c r="G19" s="34"/>
      <c r="H19" s="49"/>
      <c r="I19" s="199">
        <f>D19+'26.6'!I19</f>
        <v>0</v>
      </c>
      <c r="J19" s="52"/>
      <c r="K19" s="199">
        <f>F19+'26.6'!K19</f>
        <v>0</v>
      </c>
      <c r="L19" s="199">
        <f>G19+'26.6'!L19</f>
        <v>0</v>
      </c>
      <c r="M19" s="49"/>
      <c r="N19" s="45"/>
    </row>
    <row r="20" s="2" customFormat="1" ht="18" customHeight="1" spans="1:14">
      <c r="A20" s="28"/>
      <c r="B20" s="42" t="s">
        <v>45</v>
      </c>
      <c r="C20" s="43" t="s">
        <v>23</v>
      </c>
      <c r="D20" s="40"/>
      <c r="E20" s="50"/>
      <c r="F20" s="39"/>
      <c r="G20" s="39"/>
      <c r="H20" s="49"/>
      <c r="I20" s="199">
        <f>D20+'26.6'!I20</f>
        <v>0</v>
      </c>
      <c r="J20" s="199">
        <f>E20+'26.6'!J20</f>
        <v>0</v>
      </c>
      <c r="K20" s="199">
        <f>F20+'26.6'!K20</f>
        <v>0</v>
      </c>
      <c r="L20" s="199">
        <f>G20+'26.6'!L20</f>
        <v>0</v>
      </c>
      <c r="M20" s="49"/>
      <c r="N20" s="45"/>
    </row>
    <row r="21" s="2" customFormat="1" ht="18" customHeight="1" spans="1:14">
      <c r="A21" s="28"/>
      <c r="B21" s="42" t="s">
        <v>46</v>
      </c>
      <c r="C21" s="43" t="s">
        <v>42</v>
      </c>
      <c r="D21" s="40"/>
      <c r="E21" s="50"/>
      <c r="F21" s="39"/>
      <c r="G21" s="39"/>
      <c r="H21" s="49"/>
      <c r="I21" s="199">
        <f>D21+'26.6'!I21</f>
        <v>0</v>
      </c>
      <c r="J21" s="199">
        <f>E21+'26.6'!J21</f>
        <v>0</v>
      </c>
      <c r="K21" s="199">
        <f>F21+'26.6'!K21</f>
        <v>0</v>
      </c>
      <c r="L21" s="199">
        <f>G21+'26.6'!L21</f>
        <v>0</v>
      </c>
      <c r="M21" s="49"/>
      <c r="N21" s="45"/>
    </row>
    <row r="22" s="2" customFormat="1" customHeight="1" spans="1:14">
      <c r="A22" s="53" t="s">
        <v>47</v>
      </c>
      <c r="B22" s="54" t="s">
        <v>48</v>
      </c>
      <c r="C22" s="55" t="s">
        <v>23</v>
      </c>
      <c r="D22" s="56"/>
      <c r="E22" s="57"/>
      <c r="F22" s="57"/>
      <c r="G22" s="57"/>
      <c r="H22" s="58"/>
      <c r="I22" s="199">
        <f>D22+'26.6'!I22</f>
        <v>0</v>
      </c>
      <c r="J22" s="199">
        <f>E22+'26.6'!J22</f>
        <v>0</v>
      </c>
      <c r="K22" s="199">
        <f>F22+'26.6'!K22</f>
        <v>0</v>
      </c>
      <c r="L22" s="199">
        <f>G22+'26.6'!L22</f>
        <v>0</v>
      </c>
      <c r="M22" s="59">
        <f t="shared" ref="M22:M27" si="10">J22+K22+L22</f>
        <v>0</v>
      </c>
      <c r="N22" s="1"/>
    </row>
    <row r="23" s="2" customFormat="1" ht="21" customHeight="1" spans="1:14">
      <c r="A23" s="53" t="s">
        <v>49</v>
      </c>
      <c r="B23" s="54" t="s">
        <v>50</v>
      </c>
      <c r="C23" s="55" t="s">
        <v>23</v>
      </c>
      <c r="D23" s="56"/>
      <c r="E23" s="57"/>
      <c r="F23" s="57"/>
      <c r="G23" s="57"/>
      <c r="H23" s="58"/>
      <c r="I23" s="199">
        <f>D23+'26.6'!I23</f>
        <v>0</v>
      </c>
      <c r="J23" s="199">
        <f>E23+'26.6'!J23</f>
        <v>0</v>
      </c>
      <c r="K23" s="199">
        <f>F23+'26.6'!K23</f>
        <v>0</v>
      </c>
      <c r="L23" s="199">
        <f>G23+'26.6'!L23</f>
        <v>0</v>
      </c>
      <c r="M23" s="59">
        <f t="shared" si="10"/>
        <v>0</v>
      </c>
      <c r="N23" s="1"/>
    </row>
    <row r="24" s="2" customFormat="1" ht="18" customHeight="1" spans="1:14">
      <c r="A24" s="53" t="s">
        <v>51</v>
      </c>
      <c r="B24" s="42" t="s">
        <v>52</v>
      </c>
      <c r="C24" s="43" t="s">
        <v>53</v>
      </c>
      <c r="D24" s="60" t="e">
        <f t="shared" ref="D24:M24" si="11">D17/D8</f>
        <v>#DIV/0!</v>
      </c>
      <c r="E24" s="60" t="e">
        <f t="shared" si="11"/>
        <v>#DIV/0!</v>
      </c>
      <c r="F24" s="60" t="e">
        <f t="shared" si="11"/>
        <v>#DIV/0!</v>
      </c>
      <c r="G24" s="60" t="e">
        <f t="shared" si="11"/>
        <v>#DIV/0!</v>
      </c>
      <c r="H24" s="61" t="e">
        <f t="shared" si="11"/>
        <v>#DIV/0!</v>
      </c>
      <c r="I24" s="62" t="e">
        <f t="shared" si="11"/>
        <v>#DIV/0!</v>
      </c>
      <c r="J24" s="60" t="e">
        <f t="shared" si="11"/>
        <v>#DIV/0!</v>
      </c>
      <c r="K24" s="60" t="e">
        <f t="shared" si="11"/>
        <v>#DIV/0!</v>
      </c>
      <c r="L24" s="60" t="e">
        <f t="shared" si="11"/>
        <v>#DIV/0!</v>
      </c>
      <c r="M24" s="61" t="e">
        <f t="shared" si="11"/>
        <v>#DIV/0!</v>
      </c>
      <c r="N24" s="45"/>
    </row>
    <row r="25" s="2" customFormat="1" ht="18" customHeight="1" spans="1:14">
      <c r="A25" s="53" t="s">
        <v>54</v>
      </c>
      <c r="B25" s="42" t="s">
        <v>55</v>
      </c>
      <c r="C25" s="43" t="s">
        <v>56</v>
      </c>
      <c r="D25" s="60" t="e">
        <f t="shared" ref="D25:M25" si="12">D12*1000/D8</f>
        <v>#DIV/0!</v>
      </c>
      <c r="E25" s="60" t="e">
        <f t="shared" si="12"/>
        <v>#DIV/0!</v>
      </c>
      <c r="F25" s="60" t="e">
        <f t="shared" si="12"/>
        <v>#DIV/0!</v>
      </c>
      <c r="G25" s="60" t="e">
        <f t="shared" si="12"/>
        <v>#DIV/0!</v>
      </c>
      <c r="H25" s="61" t="e">
        <f t="shared" si="12"/>
        <v>#DIV/0!</v>
      </c>
      <c r="I25" s="62" t="e">
        <f t="shared" si="12"/>
        <v>#DIV/0!</v>
      </c>
      <c r="J25" s="60" t="e">
        <f t="shared" si="12"/>
        <v>#DIV/0!</v>
      </c>
      <c r="K25" s="60" t="e">
        <f t="shared" si="12"/>
        <v>#DIV/0!</v>
      </c>
      <c r="L25" s="60" t="e">
        <f t="shared" si="12"/>
        <v>#DIV/0!</v>
      </c>
      <c r="M25" s="61" t="e">
        <f t="shared" si="12"/>
        <v>#DIV/0!</v>
      </c>
      <c r="N25" s="45"/>
    </row>
    <row r="26" s="3" customFormat="1" ht="18" customHeight="1" spans="1:14">
      <c r="A26" s="53" t="s">
        <v>57</v>
      </c>
      <c r="B26" s="42" t="s">
        <v>58</v>
      </c>
      <c r="C26" s="63" t="s">
        <v>23</v>
      </c>
      <c r="D26" s="56"/>
      <c r="E26" s="64"/>
      <c r="F26" s="65"/>
      <c r="G26" s="34"/>
      <c r="H26" s="66"/>
      <c r="I26" s="199">
        <f>D26+'26.6'!I26</f>
        <v>0</v>
      </c>
      <c r="J26" s="199">
        <f>E26+'26.6'!J26</f>
        <v>0</v>
      </c>
      <c r="K26" s="199">
        <f>F26+'26.6'!K26</f>
        <v>0</v>
      </c>
      <c r="L26" s="199">
        <f>G26+'26.6'!L26</f>
        <v>0</v>
      </c>
      <c r="M26" s="66">
        <f t="shared" si="10"/>
        <v>0</v>
      </c>
      <c r="N26" s="67"/>
    </row>
    <row r="27" s="3" customFormat="1" ht="18" customHeight="1" spans="1:14">
      <c r="A27" s="53" t="s">
        <v>59</v>
      </c>
      <c r="B27" s="42" t="s">
        <v>60</v>
      </c>
      <c r="C27" s="63" t="s">
        <v>23</v>
      </c>
      <c r="D27" s="50"/>
      <c r="E27" s="68">
        <f>J27</f>
        <v>12569.7</v>
      </c>
      <c r="F27" s="68"/>
      <c r="G27" s="68">
        <f>L27</f>
        <v>1108.50000000002</v>
      </c>
      <c r="H27" s="69"/>
      <c r="I27" s="70"/>
      <c r="J27" s="201">
        <f>'26.6'!J27+E26-E10</f>
        <v>12569.7</v>
      </c>
      <c r="K27" s="201">
        <f>'26.6'!K27+F26-F10</f>
        <v>0</v>
      </c>
      <c r="L27" s="201">
        <f>'26.6'!L27+G26-G10</f>
        <v>1108.50000000002</v>
      </c>
      <c r="M27" s="72">
        <f t="shared" si="10"/>
        <v>13678.2</v>
      </c>
      <c r="N27" s="67"/>
    </row>
    <row r="28" s="2" customFormat="1" ht="18" customHeight="1" spans="1:14">
      <c r="A28" s="53" t="s">
        <v>61</v>
      </c>
      <c r="B28" s="42" t="s">
        <v>62</v>
      </c>
      <c r="C28" s="43" t="s">
        <v>63</v>
      </c>
      <c r="D28" s="73" t="e">
        <f>D13*29308/D10</f>
        <v>#DIV/0!</v>
      </c>
      <c r="E28" s="73" t="e">
        <f t="shared" ref="E28:H28" si="13">E12*29308/E10</f>
        <v>#DIV/0!</v>
      </c>
      <c r="F28" s="73" t="e">
        <f t="shared" si="13"/>
        <v>#DIV/0!</v>
      </c>
      <c r="G28" s="73" t="e">
        <f t="shared" si="13"/>
        <v>#DIV/0!</v>
      </c>
      <c r="H28" s="73" t="e">
        <f t="shared" si="13"/>
        <v>#DIV/0!</v>
      </c>
      <c r="I28" s="74" t="e">
        <f>I13*29308/I10</f>
        <v>#DIV/0!</v>
      </c>
      <c r="J28" s="46" t="e">
        <f t="shared" ref="J28:M28" si="14">J12*29308/J10</f>
        <v>#DIV/0!</v>
      </c>
      <c r="K28" s="46" t="e">
        <f t="shared" si="14"/>
        <v>#DIV/0!</v>
      </c>
      <c r="L28" s="46" t="e">
        <f t="shared" si="14"/>
        <v>#DIV/0!</v>
      </c>
      <c r="M28" s="73" t="e">
        <f t="shared" si="14"/>
        <v>#DIV/0!</v>
      </c>
      <c r="N28" s="45"/>
    </row>
    <row r="29" s="2" customFormat="1" ht="18" customHeight="1" spans="1:14">
      <c r="A29" s="53" t="s">
        <v>64</v>
      </c>
      <c r="B29" s="42" t="s">
        <v>65</v>
      </c>
      <c r="C29" s="43" t="s">
        <v>63</v>
      </c>
      <c r="D29" s="75"/>
      <c r="E29" s="40"/>
      <c r="F29" s="40"/>
      <c r="G29" s="76"/>
      <c r="H29" s="77"/>
      <c r="I29" s="78"/>
      <c r="J29" s="40"/>
      <c r="K29" s="40"/>
      <c r="L29" s="76"/>
      <c r="M29" s="77"/>
      <c r="N29" s="45"/>
    </row>
    <row r="30" s="2" customFormat="1" ht="18" customHeight="1" spans="1:14">
      <c r="A30" s="53" t="s">
        <v>66</v>
      </c>
      <c r="B30" s="42" t="s">
        <v>67</v>
      </c>
      <c r="C30" s="79" t="s">
        <v>68</v>
      </c>
      <c r="D30" s="80" t="e">
        <f t="shared" ref="D30:M30" si="15">D8/(D12*29.308)</f>
        <v>#DIV/0!</v>
      </c>
      <c r="E30" s="80" t="e">
        <f t="shared" si="15"/>
        <v>#DIV/0!</v>
      </c>
      <c r="F30" s="80" t="e">
        <f t="shared" si="15"/>
        <v>#DIV/0!</v>
      </c>
      <c r="G30" s="80" t="e">
        <f>(G8-G36)/(G12*29.308)</f>
        <v>#DIV/0!</v>
      </c>
      <c r="H30" s="81" t="e">
        <f t="shared" si="15"/>
        <v>#DIV/0!</v>
      </c>
      <c r="I30" s="82" t="e">
        <f t="shared" si="15"/>
        <v>#DIV/0!</v>
      </c>
      <c r="J30" s="80" t="e">
        <f t="shared" si="15"/>
        <v>#DIV/0!</v>
      </c>
      <c r="K30" s="80" t="e">
        <f t="shared" si="15"/>
        <v>#DIV/0!</v>
      </c>
      <c r="L30" s="80" t="e">
        <f t="shared" si="15"/>
        <v>#DIV/0!</v>
      </c>
      <c r="M30" s="81" t="e">
        <f t="shared" si="15"/>
        <v>#DIV/0!</v>
      </c>
      <c r="N30" s="45"/>
    </row>
    <row r="31" s="2" customFormat="1" ht="18" customHeight="1" spans="1:14">
      <c r="A31" s="53" t="s">
        <v>69</v>
      </c>
      <c r="B31" s="42" t="s">
        <v>70</v>
      </c>
      <c r="C31" s="79" t="s">
        <v>68</v>
      </c>
      <c r="D31" s="83">
        <f>D8/3.6/D3/(DAY(DATE(2026,8,0))*24)</f>
        <v>0</v>
      </c>
      <c r="E31" s="83">
        <f>E8/3.6/E3/(DAY(DATE(2026,8,0))*24)</f>
        <v>0</v>
      </c>
      <c r="F31" s="83" t="e">
        <f>F8/3.6/F3/(DAY(DATE(2026,8,0))*24)</f>
        <v>#DIV/0!</v>
      </c>
      <c r="G31" s="83">
        <f>(G8-G36)/3.6/G3/(DAY(DATE(2026,8,0))*24)</f>
        <v>0</v>
      </c>
      <c r="H31" s="84">
        <f>H8/3.6/H3/(DAY(DATE(2026,8,0))*24)</f>
        <v>0</v>
      </c>
      <c r="I31" s="85">
        <f>I8/3.6/I3/(DATEDIF(DATE(2026,1,1),DATE(2026,8,1),"D")*24)</f>
        <v>0</v>
      </c>
      <c r="J31" s="83">
        <f>J8/3.6/J3/(DATEDIF(DATE(2026,1,1),DATE(2026,8,1),"D")*24)</f>
        <v>0</v>
      </c>
      <c r="K31" s="83" t="e">
        <f>K8/3.6/K3/(DATEDIF(DATE(2026,1,1),DATE(2026,8,1),"D")*24)</f>
        <v>#DIV/0!</v>
      </c>
      <c r="L31" s="83">
        <f>(L8-L36)/3.6/L3/(DATEDIF(DATE(2026,1,1),DATE(2026,8,1),"D")*24)</f>
        <v>0</v>
      </c>
      <c r="M31" s="84">
        <f>M8/3.6/M3/(DATEDIF(DATE(2026,1,1),DATE(2026,8,1),"D")*24)</f>
        <v>0</v>
      </c>
      <c r="N31" s="45"/>
    </row>
    <row r="32" s="2" customFormat="1" ht="18" customHeight="1" spans="1:14">
      <c r="A32" s="53" t="s">
        <v>71</v>
      </c>
      <c r="B32" s="42" t="s">
        <v>72</v>
      </c>
      <c r="C32" s="43" t="s">
        <v>73</v>
      </c>
      <c r="D32" s="86"/>
      <c r="E32" s="87" t="e">
        <f t="shared" ref="E32:H32" si="16">E8/E6</f>
        <v>#DIV/0!</v>
      </c>
      <c r="F32" s="87" t="e">
        <f t="shared" si="16"/>
        <v>#DIV/0!</v>
      </c>
      <c r="G32" s="87" t="e">
        <f t="shared" si="16"/>
        <v>#DIV/0!</v>
      </c>
      <c r="H32" s="87" t="e">
        <f t="shared" si="16"/>
        <v>#DIV/0!</v>
      </c>
      <c r="I32" s="88"/>
      <c r="J32" s="87" t="e">
        <f t="shared" ref="J32:M32" si="17">J8/J6</f>
        <v>#DIV/0!</v>
      </c>
      <c r="K32" s="87" t="e">
        <f t="shared" si="17"/>
        <v>#DIV/0!</v>
      </c>
      <c r="L32" s="87" t="e">
        <f t="shared" si="17"/>
        <v>#DIV/0!</v>
      </c>
      <c r="M32" s="89" t="e">
        <f t="shared" si="17"/>
        <v>#DIV/0!</v>
      </c>
      <c r="N32" s="45"/>
    </row>
    <row r="33" s="2" customFormat="1" ht="18" customHeight="1" spans="1:14">
      <c r="A33" s="53" t="s">
        <v>74</v>
      </c>
      <c r="B33" s="42" t="s">
        <v>75</v>
      </c>
      <c r="C33" s="43" t="s">
        <v>76</v>
      </c>
      <c r="D33" s="90"/>
      <c r="E33" s="91" t="e">
        <f t="shared" ref="E33:H33" si="18">E12*1000/E6</f>
        <v>#DIV/0!</v>
      </c>
      <c r="F33" s="91" t="e">
        <f t="shared" si="18"/>
        <v>#DIV/0!</v>
      </c>
      <c r="G33" s="91" t="e">
        <f t="shared" si="18"/>
        <v>#DIV/0!</v>
      </c>
      <c r="H33" s="92" t="e">
        <f t="shared" si="18"/>
        <v>#DIV/0!</v>
      </c>
      <c r="I33" s="93"/>
      <c r="J33" s="91" t="e">
        <f t="shared" ref="J33:M33" si="19">J12*1000/J6</f>
        <v>#DIV/0!</v>
      </c>
      <c r="K33" s="91" t="e">
        <f t="shared" si="19"/>
        <v>#DIV/0!</v>
      </c>
      <c r="L33" s="91" t="e">
        <f t="shared" si="19"/>
        <v>#DIV/0!</v>
      </c>
      <c r="M33" s="92" t="e">
        <f t="shared" si="19"/>
        <v>#DIV/0!</v>
      </c>
      <c r="N33" s="45"/>
    </row>
    <row r="34" s="2" customFormat="1" ht="18" customHeight="1" spans="1:14">
      <c r="A34" s="53" t="s">
        <v>77</v>
      </c>
      <c r="B34" s="42" t="s">
        <v>78</v>
      </c>
      <c r="C34" s="43" t="s">
        <v>79</v>
      </c>
      <c r="D34" s="94"/>
      <c r="E34" s="91" t="e">
        <f t="shared" ref="E34:H34" si="20">E17/E6</f>
        <v>#DIV/0!</v>
      </c>
      <c r="F34" s="91" t="e">
        <f t="shared" si="20"/>
        <v>#DIV/0!</v>
      </c>
      <c r="G34" s="91" t="e">
        <f t="shared" si="20"/>
        <v>#DIV/0!</v>
      </c>
      <c r="H34" s="92" t="e">
        <f t="shared" si="20"/>
        <v>#DIV/0!</v>
      </c>
      <c r="I34" s="95"/>
      <c r="J34" s="91" t="e">
        <f t="shared" ref="J34:M34" si="21">J17/J6</f>
        <v>#DIV/0!</v>
      </c>
      <c r="K34" s="91" t="e">
        <f t="shared" si="21"/>
        <v>#DIV/0!</v>
      </c>
      <c r="L34" s="91" t="e">
        <f t="shared" si="21"/>
        <v>#DIV/0!</v>
      </c>
      <c r="M34" s="92" t="e">
        <f t="shared" si="21"/>
        <v>#DIV/0!</v>
      </c>
      <c r="N34" s="45"/>
    </row>
    <row r="35" s="2" customFormat="1" ht="18" customHeight="1" spans="1:14">
      <c r="A35" s="96" t="s">
        <v>80</v>
      </c>
      <c r="B35" s="97" t="s">
        <v>81</v>
      </c>
      <c r="C35" s="98" t="s">
        <v>76</v>
      </c>
      <c r="D35" s="99"/>
      <c r="E35" s="100" t="e">
        <f t="shared" ref="E35:H35" si="22">E15*1000/E6</f>
        <v>#DIV/0!</v>
      </c>
      <c r="F35" s="100" t="e">
        <f t="shared" si="22"/>
        <v>#DIV/0!</v>
      </c>
      <c r="G35" s="100" t="e">
        <f t="shared" si="22"/>
        <v>#DIV/0!</v>
      </c>
      <c r="H35" s="101" t="e">
        <f t="shared" si="22"/>
        <v>#DIV/0!</v>
      </c>
      <c r="I35" s="102"/>
      <c r="J35" s="100" t="e">
        <f t="shared" ref="J35:M35" si="23">J15*1000/J6</f>
        <v>#DIV/0!</v>
      </c>
      <c r="K35" s="100" t="e">
        <f t="shared" si="23"/>
        <v>#DIV/0!</v>
      </c>
      <c r="L35" s="100" t="e">
        <f t="shared" si="23"/>
        <v>#DIV/0!</v>
      </c>
      <c r="M35" s="101" t="e">
        <f t="shared" si="23"/>
        <v>#DIV/0!</v>
      </c>
      <c r="N35" s="45"/>
    </row>
    <row r="36" s="2" customFormat="1" ht="21" customHeight="1" spans="1:14">
      <c r="A36" s="103"/>
      <c r="B36" s="104" t="s">
        <v>82</v>
      </c>
      <c r="C36" s="105" t="s">
        <v>26</v>
      </c>
      <c r="D36" s="106"/>
      <c r="E36" s="106"/>
      <c r="F36" s="106"/>
      <c r="G36" s="106"/>
      <c r="H36" s="107"/>
      <c r="I36" s="106"/>
      <c r="J36" s="106"/>
      <c r="K36" s="106"/>
      <c r="L36" s="199">
        <f>G36+'26.6'!L36</f>
        <v>0</v>
      </c>
      <c r="M36" s="107"/>
    </row>
    <row r="37" s="1" customFormat="1" ht="29.25" customHeight="1" spans="1:14">
      <c r="A37" s="108" t="s">
        <v>83</v>
      </c>
      <c r="C37" s="4"/>
      <c r="D37" s="5" t="s">
        <v>84</v>
      </c>
      <c r="E37" s="2"/>
      <c r="F37" s="2"/>
      <c r="G37" s="2"/>
      <c r="H37" s="2"/>
      <c r="I37" s="2"/>
      <c r="J37" s="2"/>
    </row>
    <row r="38" s="1" customFormat="1" ht="31.5" customHeight="1" spans="1:14">
      <c r="A38" s="109" t="s">
        <v>0</v>
      </c>
      <c r="B38" s="110" t="s">
        <v>85</v>
      </c>
      <c r="C38" s="110" t="s">
        <v>2</v>
      </c>
      <c r="D38" s="111" t="s">
        <v>86</v>
      </c>
      <c r="E38" s="112" t="s">
        <v>87</v>
      </c>
      <c r="F38" s="2"/>
      <c r="G38" s="2"/>
      <c r="H38" s="2"/>
    </row>
    <row r="39" s="1" customFormat="1" ht="27.95" customHeight="1" spans="1:14">
      <c r="A39" s="28" t="s">
        <v>11</v>
      </c>
      <c r="B39" s="29" t="s">
        <v>12</v>
      </c>
      <c r="C39" s="30" t="s">
        <v>13</v>
      </c>
      <c r="D39" s="113">
        <v>0.55</v>
      </c>
      <c r="E39" s="114">
        <v>0.55</v>
      </c>
      <c r="F39" s="2"/>
      <c r="G39" s="2"/>
      <c r="H39" s="2"/>
    </row>
    <row r="40" s="1" customFormat="1" ht="27.95" customHeight="1" spans="1:14">
      <c r="A40" s="28" t="s">
        <v>14</v>
      </c>
      <c r="B40" s="29" t="s">
        <v>88</v>
      </c>
      <c r="C40" s="30" t="s">
        <v>16</v>
      </c>
      <c r="D40" s="115"/>
      <c r="E40" s="116">
        <f>D40</f>
        <v>0</v>
      </c>
      <c r="F40" s="45"/>
      <c r="G40" s="45"/>
      <c r="H40" s="2"/>
    </row>
    <row r="41" s="1" customFormat="1" ht="27.95" customHeight="1" spans="1:14">
      <c r="A41" s="28" t="s">
        <v>19</v>
      </c>
      <c r="B41" s="29" t="s">
        <v>89</v>
      </c>
      <c r="C41" s="30" t="s">
        <v>16</v>
      </c>
      <c r="D41" s="117"/>
      <c r="E41" s="118">
        <f>D41</f>
        <v>0</v>
      </c>
      <c r="F41" s="45"/>
      <c r="G41" s="45"/>
      <c r="H41" s="2"/>
    </row>
    <row r="42" s="1" customFormat="1" ht="27.95" customHeight="1" spans="1:14">
      <c r="A42" s="28" t="s">
        <v>21</v>
      </c>
      <c r="B42" s="42" t="s">
        <v>25</v>
      </c>
      <c r="C42" s="43" t="s">
        <v>26</v>
      </c>
      <c r="D42" s="119"/>
      <c r="E42" s="202">
        <f>D42+'26.6'!E42</f>
        <v>441</v>
      </c>
      <c r="F42" s="45"/>
      <c r="G42" s="45"/>
      <c r="H42" s="2"/>
    </row>
    <row r="43" s="1" customFormat="1" ht="27.95" customHeight="1" spans="1:14">
      <c r="A43" s="28" t="s">
        <v>24</v>
      </c>
      <c r="B43" s="42" t="s">
        <v>38</v>
      </c>
      <c r="C43" s="43" t="s">
        <v>23</v>
      </c>
      <c r="D43" s="115"/>
      <c r="E43" s="202">
        <f>D43+'26.6'!E43</f>
        <v>3</v>
      </c>
      <c r="F43" s="45"/>
      <c r="G43" s="45"/>
      <c r="H43" s="2"/>
    </row>
    <row r="44" s="1" customFormat="1" ht="27.95" customHeight="1" spans="1:14">
      <c r="A44" s="28" t="s">
        <v>27</v>
      </c>
      <c r="B44" s="42" t="s">
        <v>41</v>
      </c>
      <c r="C44" s="43" t="s">
        <v>42</v>
      </c>
      <c r="D44" s="115"/>
      <c r="E44" s="202">
        <f>D44+'26.6'!E44</f>
        <v>132840.000000001</v>
      </c>
      <c r="F44" s="45"/>
      <c r="G44" s="45"/>
      <c r="H44" s="2"/>
    </row>
    <row r="45" s="1" customFormat="1" ht="27.95" customHeight="1" spans="1:14">
      <c r="A45" s="28"/>
      <c r="B45" s="42" t="s">
        <v>90</v>
      </c>
      <c r="C45" s="43" t="s">
        <v>42</v>
      </c>
      <c r="D45" s="115">
        <f>D44</f>
        <v>0</v>
      </c>
      <c r="E45" s="202">
        <f>D45+'26.6'!E45</f>
        <v>132840.000000001</v>
      </c>
      <c r="F45" s="45"/>
      <c r="G45" s="45"/>
      <c r="H45" s="2"/>
    </row>
    <row r="46" s="1" customFormat="1" ht="27.95" customHeight="1" spans="1:14">
      <c r="A46" s="28" t="s">
        <v>29</v>
      </c>
      <c r="B46" s="42" t="s">
        <v>52</v>
      </c>
      <c r="C46" s="43" t="s">
        <v>53</v>
      </c>
      <c r="D46" s="121" t="e">
        <f>D44/D42</f>
        <v>#DIV/0!</v>
      </c>
      <c r="E46" s="122">
        <f>E44/E42</f>
        <v>301.224489795921</v>
      </c>
      <c r="F46" s="45"/>
      <c r="G46" s="45"/>
      <c r="H46" s="2"/>
    </row>
    <row r="47" s="1" customFormat="1" ht="27.95" customHeight="1" spans="1:14">
      <c r="A47" s="28" t="s">
        <v>31</v>
      </c>
      <c r="B47" s="42" t="s">
        <v>70</v>
      </c>
      <c r="C47" s="79" t="s">
        <v>68</v>
      </c>
      <c r="D47" s="123">
        <f>D42/3.6/D39/(DAY(DATE(2026,8,0))*24)</f>
        <v>0</v>
      </c>
      <c r="E47" s="124">
        <f>E42/3.6/E39/(DATEDIF(DATE(2026,1,1),DATE(2026,8,1),"D")*24)</f>
        <v>0.0437750142938822</v>
      </c>
      <c r="F47" s="45"/>
      <c r="G47" s="45"/>
      <c r="H47" s="2"/>
    </row>
    <row r="48" s="1" customFormat="1" ht="27.95" customHeight="1" spans="1:14">
      <c r="A48" s="28" t="s">
        <v>33</v>
      </c>
      <c r="B48" s="42" t="s">
        <v>72</v>
      </c>
      <c r="C48" s="43" t="s">
        <v>73</v>
      </c>
      <c r="D48" s="125" t="e">
        <f>D42/D41</f>
        <v>#DIV/0!</v>
      </c>
      <c r="E48" s="126" t="e">
        <f>E42/E41</f>
        <v>#DIV/0!</v>
      </c>
      <c r="F48" s="45"/>
      <c r="G48" s="45"/>
      <c r="H48" s="2"/>
    </row>
    <row r="49" s="1" customFormat="1" ht="27.95" customHeight="1" spans="1:10">
      <c r="A49" s="28" t="s">
        <v>37</v>
      </c>
      <c r="B49" s="42" t="s">
        <v>78</v>
      </c>
      <c r="C49" s="43" t="s">
        <v>79</v>
      </c>
      <c r="D49" s="127" t="e">
        <f>D44/D41</f>
        <v>#DIV/0!</v>
      </c>
      <c r="E49" s="128" t="e">
        <f>E44/E41</f>
        <v>#DIV/0!</v>
      </c>
      <c r="F49" s="45"/>
      <c r="G49" s="45"/>
      <c r="H49" s="2"/>
    </row>
    <row r="50" s="1" customFormat="1" ht="27.95" customHeight="1" spans="1:10">
      <c r="A50" s="129" t="s">
        <v>40</v>
      </c>
      <c r="B50" s="97" t="s">
        <v>81</v>
      </c>
      <c r="C50" s="98" t="s">
        <v>76</v>
      </c>
      <c r="D50" s="130" t="e">
        <f>D43*1000/D41</f>
        <v>#DIV/0!</v>
      </c>
      <c r="E50" s="130" t="e">
        <f>E43*1000/E41</f>
        <v>#DIV/0!</v>
      </c>
      <c r="F50" s="45"/>
      <c r="G50" s="45"/>
      <c r="H50" s="2"/>
    </row>
    <row r="51" s="1" customFormat="1" ht="18" customHeight="1" spans="1:10">
      <c r="C51" s="4"/>
      <c r="D51" s="5"/>
    </row>
    <row r="52" s="1" customFormat="1" ht="29.25" customHeight="1" spans="1:10">
      <c r="A52" s="108" t="s">
        <v>91</v>
      </c>
      <c r="C52" s="4"/>
      <c r="D52" s="5" t="s">
        <v>84</v>
      </c>
      <c r="E52" s="2"/>
      <c r="F52" s="2"/>
      <c r="G52" s="2"/>
      <c r="H52" s="2"/>
      <c r="I52" s="2"/>
      <c r="J52" s="2"/>
    </row>
    <row r="53" s="1" customFormat="1" ht="31.5" customHeight="1" spans="1:10">
      <c r="A53" s="131" t="s">
        <v>0</v>
      </c>
      <c r="B53" s="132" t="s">
        <v>85</v>
      </c>
      <c r="C53" s="132" t="s">
        <v>2</v>
      </c>
      <c r="D53" s="133" t="s">
        <v>86</v>
      </c>
      <c r="E53" s="134"/>
      <c r="F53" s="135"/>
      <c r="G53" s="136" t="s">
        <v>87</v>
      </c>
      <c r="H53" s="134"/>
      <c r="I53" s="134"/>
    </row>
    <row r="54" s="1" customFormat="1" ht="31.5" customHeight="1" spans="1:10">
      <c r="A54" s="137"/>
      <c r="B54" s="138"/>
      <c r="C54" s="138"/>
      <c r="D54" s="139" t="s">
        <v>92</v>
      </c>
      <c r="E54" s="139" t="s">
        <v>93</v>
      </c>
      <c r="F54" s="140" t="s">
        <v>9</v>
      </c>
      <c r="G54" s="141" t="s">
        <v>92</v>
      </c>
      <c r="H54" s="139" t="s">
        <v>93</v>
      </c>
      <c r="I54" s="142" t="s">
        <v>9</v>
      </c>
    </row>
    <row r="55" s="1" customFormat="1" ht="27.95" customHeight="1" spans="1:10">
      <c r="A55" s="28" t="s">
        <v>11</v>
      </c>
      <c r="B55" s="29" t="s">
        <v>12</v>
      </c>
      <c r="C55" s="30" t="s">
        <v>13</v>
      </c>
      <c r="D55" s="143">
        <v>6</v>
      </c>
      <c r="E55" s="143">
        <v>6.4</v>
      </c>
      <c r="F55" s="144">
        <f t="shared" ref="F55:F61" si="24">SUM(D55:E55)</f>
        <v>12.4</v>
      </c>
      <c r="G55" s="145">
        <f t="shared" ref="G55:G57" si="25">D55</f>
        <v>6</v>
      </c>
      <c r="H55" s="146">
        <f t="shared" ref="H55:H57" si="26">E55</f>
        <v>6.4</v>
      </c>
      <c r="I55" s="146">
        <f t="shared" ref="I55:I61" si="27">SUM(G55:H55)</f>
        <v>12.4</v>
      </c>
    </row>
    <row r="56" s="1" customFormat="1" ht="27.95" customHeight="1" spans="1:10">
      <c r="A56" s="28" t="s">
        <v>14</v>
      </c>
      <c r="B56" s="29" t="s">
        <v>88</v>
      </c>
      <c r="C56" s="30" t="s">
        <v>16</v>
      </c>
      <c r="D56" s="148"/>
      <c r="E56" s="148"/>
      <c r="F56" s="117">
        <f t="shared" si="24"/>
        <v>0</v>
      </c>
      <c r="G56" s="118">
        <f t="shared" si="25"/>
        <v>0</v>
      </c>
      <c r="H56" s="118">
        <f t="shared" si="26"/>
        <v>0</v>
      </c>
      <c r="I56" s="147">
        <f t="shared" si="27"/>
        <v>0</v>
      </c>
    </row>
    <row r="57" s="1" customFormat="1" ht="27.95" customHeight="1" spans="1:10">
      <c r="A57" s="28" t="s">
        <v>19</v>
      </c>
      <c r="B57" s="29" t="s">
        <v>89</v>
      </c>
      <c r="C57" s="30" t="s">
        <v>16</v>
      </c>
      <c r="D57" s="147"/>
      <c r="E57" s="147"/>
      <c r="F57" s="117">
        <f t="shared" si="24"/>
        <v>0</v>
      </c>
      <c r="G57" s="118">
        <f t="shared" si="25"/>
        <v>0</v>
      </c>
      <c r="H57" s="118">
        <f t="shared" si="26"/>
        <v>0</v>
      </c>
      <c r="I57" s="147">
        <f t="shared" si="27"/>
        <v>0</v>
      </c>
    </row>
    <row r="58" s="1" customFormat="1" ht="27.95" customHeight="1" spans="1:10">
      <c r="A58" s="28" t="s">
        <v>21</v>
      </c>
      <c r="B58" s="42" t="s">
        <v>25</v>
      </c>
      <c r="C58" s="43" t="s">
        <v>26</v>
      </c>
      <c r="D58" s="148"/>
      <c r="E58" s="149"/>
      <c r="F58" s="117">
        <f t="shared" si="24"/>
        <v>0</v>
      </c>
      <c r="G58" s="203">
        <f>D58+'26.6'!G58</f>
        <v>0</v>
      </c>
      <c r="H58" s="203">
        <f>E58+'26.6'!H58</f>
        <v>0</v>
      </c>
      <c r="I58" s="147">
        <f t="shared" si="27"/>
        <v>0</v>
      </c>
    </row>
    <row r="59" s="1" customFormat="1" ht="27.95" customHeight="1" spans="1:10">
      <c r="A59" s="28" t="s">
        <v>24</v>
      </c>
      <c r="B59" s="42" t="s">
        <v>38</v>
      </c>
      <c r="C59" s="43" t="s">
        <v>23</v>
      </c>
      <c r="D59" s="148"/>
      <c r="E59" s="148"/>
      <c r="F59" s="117">
        <f t="shared" si="24"/>
        <v>0</v>
      </c>
      <c r="G59" s="203">
        <f>D59+'26.6'!G59</f>
        <v>0</v>
      </c>
      <c r="H59" s="203">
        <f>E59+'26.6'!H59</f>
        <v>0</v>
      </c>
      <c r="I59" s="147">
        <f t="shared" si="27"/>
        <v>0</v>
      </c>
    </row>
    <row r="60" s="1" customFormat="1" ht="27.95" customHeight="1" spans="1:10">
      <c r="A60" s="28" t="s">
        <v>27</v>
      </c>
      <c r="B60" s="42" t="s">
        <v>41</v>
      </c>
      <c r="C60" s="43" t="s">
        <v>42</v>
      </c>
      <c r="D60" s="148"/>
      <c r="E60" s="148"/>
      <c r="F60" s="117">
        <f t="shared" si="24"/>
        <v>0</v>
      </c>
      <c r="G60" s="203">
        <f>D60+'26.6'!G60</f>
        <v>0</v>
      </c>
      <c r="H60" s="203">
        <f>E60+'26.6'!H60</f>
        <v>0</v>
      </c>
      <c r="I60" s="147">
        <f t="shared" si="27"/>
        <v>0</v>
      </c>
    </row>
    <row r="61" s="1" customFormat="1" ht="27.95" customHeight="1" spans="1:10">
      <c r="A61" s="28"/>
      <c r="B61" s="42" t="s">
        <v>90</v>
      </c>
      <c r="C61" s="43" t="s">
        <v>42</v>
      </c>
      <c r="D61" s="148"/>
      <c r="E61" s="148"/>
      <c r="F61" s="117">
        <f t="shared" si="24"/>
        <v>0</v>
      </c>
      <c r="G61" s="203">
        <f>D61+'26.6'!G61</f>
        <v>0</v>
      </c>
      <c r="H61" s="203">
        <f>E61+'26.6'!H61</f>
        <v>0</v>
      </c>
      <c r="I61" s="147">
        <f t="shared" si="27"/>
        <v>0</v>
      </c>
    </row>
    <row r="62" s="1" customFormat="1" ht="27.95" customHeight="1" spans="1:10">
      <c r="A62" s="28" t="s">
        <v>29</v>
      </c>
      <c r="B62" s="42" t="s">
        <v>52</v>
      </c>
      <c r="C62" s="43" t="s">
        <v>53</v>
      </c>
      <c r="D62" s="151" t="e">
        <f t="shared" ref="D62:I62" si="28">D60/D58</f>
        <v>#DIV/0!</v>
      </c>
      <c r="E62" s="151" t="e">
        <f t="shared" si="28"/>
        <v>#DIV/0!</v>
      </c>
      <c r="F62" s="121" t="e">
        <f t="shared" si="28"/>
        <v>#DIV/0!</v>
      </c>
      <c r="G62" s="152" t="e">
        <f t="shared" si="28"/>
        <v>#DIV/0!</v>
      </c>
      <c r="H62" s="60" t="e">
        <f t="shared" si="28"/>
        <v>#DIV/0!</v>
      </c>
      <c r="I62" s="61" t="e">
        <f t="shared" si="28"/>
        <v>#DIV/0!</v>
      </c>
    </row>
    <row r="63" s="1" customFormat="1" ht="27.95" customHeight="1" spans="1:10">
      <c r="A63" s="28" t="s">
        <v>31</v>
      </c>
      <c r="B63" s="42" t="s">
        <v>70</v>
      </c>
      <c r="C63" s="79" t="s">
        <v>68</v>
      </c>
      <c r="D63" s="83">
        <f>D58/3.6/D55/(DAY(DATE(2026,8,0))*24)</f>
        <v>0</v>
      </c>
      <c r="E63" s="83">
        <f>E58/3.6/E55/(DAY(DATE(2026,8,0))*24)</f>
        <v>0</v>
      </c>
      <c r="F63" s="123">
        <f>F58/3.6/F55/(DAY(DATE(2026,8,0))*24)</f>
        <v>0</v>
      </c>
      <c r="G63" s="85">
        <f>G58/3.6/G55/(DATEDIF(DATE(2026,1,1),DATE(2026,8,1),"D")*24)</f>
        <v>0</v>
      </c>
      <c r="H63" s="83">
        <f>H58/3.6/H55/(DATEDIF(DATE(2026,1,1),DATE(2026,8,1),"D")*24)</f>
        <v>0</v>
      </c>
      <c r="I63" s="84">
        <f>I58/3.6/I55/(DATEDIF(DATE(2026,1,1),DATE(2026,8,1),"D")*24)</f>
        <v>0</v>
      </c>
    </row>
    <row r="64" s="1" customFormat="1" ht="27.95" customHeight="1" spans="1:10">
      <c r="A64" s="28" t="s">
        <v>33</v>
      </c>
      <c r="B64" s="42" t="s">
        <v>72</v>
      </c>
      <c r="C64" s="43" t="s">
        <v>73</v>
      </c>
      <c r="D64" s="87" t="e">
        <f t="shared" ref="D64:I64" si="29">D58/D57</f>
        <v>#DIV/0!</v>
      </c>
      <c r="E64" s="87" t="e">
        <f t="shared" si="29"/>
        <v>#DIV/0!</v>
      </c>
      <c r="F64" s="89" t="e">
        <f t="shared" si="29"/>
        <v>#DIV/0!</v>
      </c>
      <c r="G64" s="153" t="e">
        <f t="shared" si="29"/>
        <v>#DIV/0!</v>
      </c>
      <c r="H64" s="87" t="e">
        <f t="shared" si="29"/>
        <v>#DIV/0!</v>
      </c>
      <c r="I64" s="89" t="e">
        <f t="shared" si="29"/>
        <v>#DIV/0!</v>
      </c>
    </row>
    <row r="65" s="1" customFormat="1" ht="27.95" customHeight="1" spans="1:9">
      <c r="A65" s="28" t="s">
        <v>37</v>
      </c>
      <c r="B65" s="42" t="s">
        <v>78</v>
      </c>
      <c r="C65" s="43" t="s">
        <v>79</v>
      </c>
      <c r="D65" s="91" t="e">
        <f t="shared" ref="D65:I65" si="30">D60/D57</f>
        <v>#DIV/0!</v>
      </c>
      <c r="E65" s="91" t="e">
        <f t="shared" si="30"/>
        <v>#DIV/0!</v>
      </c>
      <c r="F65" s="92" t="e">
        <f t="shared" si="30"/>
        <v>#DIV/0!</v>
      </c>
      <c r="G65" s="154" t="e">
        <f t="shared" si="30"/>
        <v>#DIV/0!</v>
      </c>
      <c r="H65" s="91" t="e">
        <f t="shared" si="30"/>
        <v>#DIV/0!</v>
      </c>
      <c r="I65" s="92" t="e">
        <f t="shared" si="30"/>
        <v>#DIV/0!</v>
      </c>
    </row>
    <row r="66" s="1" customFormat="1" ht="27.95" customHeight="1" spans="1:9">
      <c r="A66" s="129" t="s">
        <v>40</v>
      </c>
      <c r="B66" s="97" t="s">
        <v>81</v>
      </c>
      <c r="C66" s="98" t="s">
        <v>76</v>
      </c>
      <c r="D66" s="100" t="e">
        <f t="shared" ref="D66:I66" si="31">D59*1000/D57</f>
        <v>#DIV/0!</v>
      </c>
      <c r="E66" s="100" t="e">
        <f t="shared" si="31"/>
        <v>#DIV/0!</v>
      </c>
      <c r="F66" s="101" t="e">
        <f t="shared" si="31"/>
        <v>#DIV/0!</v>
      </c>
      <c r="G66" s="155" t="e">
        <f t="shared" si="31"/>
        <v>#DIV/0!</v>
      </c>
      <c r="H66" s="100" t="e">
        <f t="shared" si="31"/>
        <v>#DIV/0!</v>
      </c>
      <c r="I66" s="101" t="e">
        <f t="shared" si="31"/>
        <v>#DIV/0!</v>
      </c>
    </row>
    <row r="67" s="1" customFormat="1" ht="18" customHeight="1" spans="1:9">
      <c r="C67" s="4"/>
      <c r="D67" s="5"/>
    </row>
    <row r="68" s="1" customFormat="1" ht="29.25" customHeight="1" spans="1:9">
      <c r="A68" s="108" t="s">
        <v>94</v>
      </c>
      <c r="C68" s="4"/>
      <c r="D68" s="5"/>
    </row>
    <row r="69" s="1" customFormat="1" ht="30" customHeight="1" spans="1:9">
      <c r="A69" s="131" t="s">
        <v>0</v>
      </c>
      <c r="B69" s="7" t="s">
        <v>1</v>
      </c>
      <c r="C69" s="7" t="s">
        <v>2</v>
      </c>
      <c r="D69" s="133" t="s">
        <v>86</v>
      </c>
      <c r="E69" s="135"/>
      <c r="F69" s="134" t="s">
        <v>87</v>
      </c>
      <c r="G69" s="134"/>
    </row>
    <row r="70" s="1" customFormat="1" ht="30" customHeight="1" spans="1:9">
      <c r="A70" s="137"/>
      <c r="B70" s="14"/>
      <c r="C70" s="14"/>
      <c r="D70" s="139" t="s">
        <v>95</v>
      </c>
      <c r="E70" s="156" t="s">
        <v>96</v>
      </c>
      <c r="F70" s="141" t="s">
        <v>95</v>
      </c>
      <c r="G70" s="142" t="s">
        <v>96</v>
      </c>
    </row>
    <row r="71" s="1" customFormat="1" ht="27.95" customHeight="1" spans="1:9">
      <c r="A71" s="19" t="s">
        <v>11</v>
      </c>
      <c r="B71" s="20" t="s">
        <v>12</v>
      </c>
      <c r="C71" s="21" t="s">
        <v>13</v>
      </c>
      <c r="D71" s="157">
        <v>217</v>
      </c>
      <c r="E71" s="158">
        <v>1.4</v>
      </c>
      <c r="F71" s="159">
        <f>D71</f>
        <v>217</v>
      </c>
      <c r="G71" s="160">
        <f>E71</f>
        <v>1.4</v>
      </c>
    </row>
    <row r="72" s="1" customFormat="1" ht="27.95" customHeight="1" spans="1:9">
      <c r="A72" s="28" t="s">
        <v>14</v>
      </c>
      <c r="B72" s="42" t="s">
        <v>22</v>
      </c>
      <c r="C72" s="43" t="s">
        <v>23</v>
      </c>
      <c r="D72" s="148"/>
      <c r="E72" s="115"/>
      <c r="F72" s="161">
        <f>D72</f>
        <v>0</v>
      </c>
      <c r="G72" s="162">
        <f>E72</f>
        <v>0</v>
      </c>
    </row>
    <row r="73" s="1" customFormat="1" ht="27.95" customHeight="1" spans="1:9">
      <c r="A73" s="28" t="s">
        <v>19</v>
      </c>
      <c r="B73" s="42" t="s">
        <v>25</v>
      </c>
      <c r="C73" s="43" t="s">
        <v>26</v>
      </c>
      <c r="D73" s="147">
        <f>D72*2.951694</f>
        <v>0</v>
      </c>
      <c r="E73" s="163">
        <f>E72*2.732</f>
        <v>0</v>
      </c>
      <c r="F73" s="202">
        <f>D73+'26.6'!F73</f>
        <v>0</v>
      </c>
      <c r="G73" s="202">
        <f>E73+'26.6'!G73</f>
        <v>0</v>
      </c>
    </row>
    <row r="74" s="1" customFormat="1" ht="27.95" customHeight="1" spans="1:9">
      <c r="A74" s="28" t="s">
        <v>21</v>
      </c>
      <c r="B74" s="42" t="s">
        <v>97</v>
      </c>
      <c r="C74" s="43" t="s">
        <v>98</v>
      </c>
      <c r="D74" s="148"/>
      <c r="E74" s="115"/>
      <c r="F74" s="202">
        <f>D74+'26.6'!F74</f>
        <v>0</v>
      </c>
      <c r="G74" s="202">
        <f>E74+'26.6'!G74</f>
        <v>0</v>
      </c>
    </row>
    <row r="75" s="1" customFormat="1" ht="27.95" customHeight="1" spans="1:9">
      <c r="A75" s="28" t="s">
        <v>24</v>
      </c>
      <c r="B75" s="42" t="s">
        <v>34</v>
      </c>
      <c r="C75" s="43" t="s">
        <v>23</v>
      </c>
      <c r="D75" s="147">
        <f>D74*D80/29308/1000</f>
        <v>0</v>
      </c>
      <c r="E75" s="117">
        <f>E74*E80/29308/1000</f>
        <v>0</v>
      </c>
      <c r="F75" s="202">
        <f>D75+'26.6'!F75</f>
        <v>0</v>
      </c>
      <c r="G75" s="202">
        <f>E75+'26.6'!G75</f>
        <v>0</v>
      </c>
    </row>
    <row r="76" s="1" customFormat="1" ht="27.95" customHeight="1" spans="1:9">
      <c r="A76" s="28" t="s">
        <v>27</v>
      </c>
      <c r="B76" s="42" t="s">
        <v>38</v>
      </c>
      <c r="C76" s="43" t="s">
        <v>23</v>
      </c>
      <c r="D76" s="148"/>
      <c r="E76" s="164"/>
      <c r="F76" s="202">
        <f>D76+'26.6'!F76</f>
        <v>0</v>
      </c>
      <c r="G76" s="202">
        <f>E76+'26.6'!G76</f>
        <v>0</v>
      </c>
    </row>
    <row r="77" s="1" customFormat="1" ht="27.95" customHeight="1" spans="1:9">
      <c r="A77" s="28" t="s">
        <v>29</v>
      </c>
      <c r="B77" s="42" t="s">
        <v>41</v>
      </c>
      <c r="C77" s="43" t="s">
        <v>42</v>
      </c>
      <c r="D77" s="148"/>
      <c r="E77" s="164"/>
      <c r="F77" s="202">
        <f>D77+'26.6'!F77</f>
        <v>0</v>
      </c>
      <c r="G77" s="202">
        <f>E77+'26.6'!G77</f>
        <v>0</v>
      </c>
    </row>
    <row r="78" s="1" customFormat="1" ht="27.95" customHeight="1" spans="1:9">
      <c r="A78" s="28" t="s">
        <v>31</v>
      </c>
      <c r="B78" s="42" t="s">
        <v>52</v>
      </c>
      <c r="C78" s="43" t="s">
        <v>53</v>
      </c>
      <c r="D78" s="165" t="e">
        <f>D77/D73</f>
        <v>#DIV/0!</v>
      </c>
      <c r="E78" s="166"/>
      <c r="F78" s="167" t="e">
        <f>F77/F73</f>
        <v>#DIV/0!</v>
      </c>
      <c r="G78" s="168"/>
    </row>
    <row r="79" s="1" customFormat="1" ht="27.95" customHeight="1" spans="1:9">
      <c r="A79" s="28" t="s">
        <v>33</v>
      </c>
      <c r="B79" s="42" t="s">
        <v>55</v>
      </c>
      <c r="C79" s="43" t="s">
        <v>56</v>
      </c>
      <c r="D79" s="60" t="e">
        <f t="shared" ref="D79:G79" si="32">D75*1000/D73</f>
        <v>#DIV/0!</v>
      </c>
      <c r="E79" s="169" t="e">
        <f t="shared" si="32"/>
        <v>#DIV/0!</v>
      </c>
      <c r="F79" s="170" t="e">
        <f t="shared" si="32"/>
        <v>#DIV/0!</v>
      </c>
      <c r="G79" s="61" t="e">
        <f t="shared" si="32"/>
        <v>#DIV/0!</v>
      </c>
      <c r="H79" s="12"/>
    </row>
    <row r="80" s="1" customFormat="1" ht="27.95" customHeight="1" spans="1:9">
      <c r="A80" s="28" t="s">
        <v>37</v>
      </c>
      <c r="B80" s="42" t="s">
        <v>99</v>
      </c>
      <c r="C80" s="43" t="s">
        <v>100</v>
      </c>
      <c r="D80" s="56"/>
      <c r="E80" s="171"/>
      <c r="F80" s="172" t="e">
        <f>F75*29308*1000/F74</f>
        <v>#DIV/0!</v>
      </c>
      <c r="G80" s="147" t="e">
        <f>G75*29308*1000/G74</f>
        <v>#DIV/0!</v>
      </c>
      <c r="H80" s="12"/>
    </row>
    <row r="81" s="1" customFormat="1" ht="27.95" customHeight="1" spans="1:11">
      <c r="A81" s="28" t="s">
        <v>40</v>
      </c>
      <c r="B81" s="42" t="s">
        <v>67</v>
      </c>
      <c r="C81" s="79" t="s">
        <v>68</v>
      </c>
      <c r="D81" s="80" t="e">
        <f t="shared" ref="D81:G81" si="33">D73/(D75*29.308)</f>
        <v>#DIV/0!</v>
      </c>
      <c r="E81" s="173" t="e">
        <f t="shared" si="33"/>
        <v>#DIV/0!</v>
      </c>
      <c r="F81" s="174" t="e">
        <f t="shared" si="33"/>
        <v>#DIV/0!</v>
      </c>
      <c r="G81" s="81" t="e">
        <f t="shared" si="33"/>
        <v>#DIV/0!</v>
      </c>
      <c r="H81" s="12"/>
    </row>
    <row r="82" s="1" customFormat="1" ht="27.95" customHeight="1" spans="1:11">
      <c r="A82" s="129" t="s">
        <v>47</v>
      </c>
      <c r="B82" s="175" t="s">
        <v>70</v>
      </c>
      <c r="C82" s="176" t="s">
        <v>68</v>
      </c>
      <c r="D82" s="177">
        <f>D73/3.6/D71/(DAY(DATE(2026,8,0))*24)</f>
        <v>0</v>
      </c>
      <c r="E82" s="178">
        <f>E73/3.6/E71/(DAY(DATE(2026,8,0))*24)</f>
        <v>0</v>
      </c>
      <c r="F82" s="179">
        <f>F73/3.6/F71/(DATEDIF(DATE(2026,1,1),DATE(2026,8,1),"D")*24)</f>
        <v>0</v>
      </c>
      <c r="G82" s="180">
        <f>G73/3.6/G71/(DATEDIF(DATE(2026,1,1),DATE(2026,8,1),"D")*24)</f>
        <v>0</v>
      </c>
      <c r="H82" s="12"/>
    </row>
    <row r="83" s="1" customFormat="1" ht="18" customHeight="1" spans="1:11">
      <c r="B83" s="181"/>
      <c r="C83" s="181"/>
      <c r="D83" s="5"/>
    </row>
    <row r="84" s="1" customFormat="1" customHeight="1" spans="1:11">
      <c r="A84" s="108" t="s">
        <v>101</v>
      </c>
      <c r="C84" s="4"/>
      <c r="D84" s="5" t="s">
        <v>84</v>
      </c>
      <c r="E84" s="2"/>
      <c r="F84" s="2"/>
      <c r="G84" s="2"/>
      <c r="H84" s="2"/>
      <c r="I84" s="2"/>
    </row>
    <row r="85" s="1" customFormat="1" customHeight="1" spans="1:11">
      <c r="A85" s="131" t="s">
        <v>0</v>
      </c>
      <c r="B85" s="132" t="s">
        <v>85</v>
      </c>
      <c r="C85" s="132" t="s">
        <v>2</v>
      </c>
      <c r="D85" s="182" t="s">
        <v>86</v>
      </c>
      <c r="E85" s="139" t="s">
        <v>87</v>
      </c>
      <c r="F85" s="182" t="s">
        <v>102</v>
      </c>
      <c r="G85" s="182" t="s">
        <v>103</v>
      </c>
      <c r="H85" s="183"/>
      <c r="I85" s="183"/>
    </row>
    <row r="86" s="1" customFormat="1" customHeight="1" spans="1:11">
      <c r="A86" s="137"/>
      <c r="B86" s="138"/>
      <c r="C86" s="138"/>
      <c r="D86" s="182" t="s">
        <v>104</v>
      </c>
      <c r="E86" s="182" t="s">
        <v>104</v>
      </c>
      <c r="F86" s="182"/>
      <c r="G86" s="182"/>
      <c r="H86" s="183"/>
      <c r="I86" s="184"/>
    </row>
    <row r="87" s="1" customFormat="1" customHeight="1" spans="1:11">
      <c r="A87" s="28" t="s">
        <v>11</v>
      </c>
      <c r="B87" s="29" t="s">
        <v>12</v>
      </c>
      <c r="C87" s="30" t="s">
        <v>13</v>
      </c>
      <c r="D87" s="185">
        <v>0.7888</v>
      </c>
      <c r="E87" s="186">
        <f t="shared" ref="E87:E89" si="34">D87</f>
        <v>0.7888</v>
      </c>
      <c r="F87" s="187">
        <f t="shared" ref="F87:F93" si="35">F55+D87</f>
        <v>13.1888</v>
      </c>
      <c r="G87" s="187">
        <f t="shared" ref="G87:G93" si="36">E87+I55</f>
        <v>13.1888</v>
      </c>
      <c r="H87" s="145"/>
      <c r="I87" s="145"/>
    </row>
    <row r="88" s="1" customFormat="1" customHeight="1" spans="1:11">
      <c r="A88" s="28" t="s">
        <v>14</v>
      </c>
      <c r="B88" s="29" t="s">
        <v>88</v>
      </c>
      <c r="C88" s="30" t="s">
        <v>16</v>
      </c>
      <c r="D88" s="188"/>
      <c r="E88" s="189">
        <f t="shared" si="34"/>
        <v>0</v>
      </c>
      <c r="F88" s="190">
        <v>83197.81</v>
      </c>
      <c r="G88" s="190">
        <v>83197.81</v>
      </c>
      <c r="H88" s="116"/>
      <c r="I88" s="116"/>
    </row>
    <row r="89" s="1" customFormat="1" customHeight="1" spans="1:11">
      <c r="A89" s="28" t="s">
        <v>19</v>
      </c>
      <c r="B89" s="29" t="s">
        <v>89</v>
      </c>
      <c r="C89" s="30" t="s">
        <v>16</v>
      </c>
      <c r="D89" s="188"/>
      <c r="E89" s="189">
        <f t="shared" si="34"/>
        <v>0</v>
      </c>
      <c r="F89" s="190">
        <v>83197.81</v>
      </c>
      <c r="G89" s="190">
        <v>83197.81</v>
      </c>
      <c r="H89" s="116"/>
      <c r="I89" s="116"/>
    </row>
    <row r="90" s="1" customFormat="1" customHeight="1" spans="1:11">
      <c r="A90" s="28" t="s">
        <v>21</v>
      </c>
      <c r="B90" s="42" t="s">
        <v>25</v>
      </c>
      <c r="C90" s="43" t="s">
        <v>26</v>
      </c>
      <c r="D90" s="188"/>
      <c r="E90" s="204">
        <f>D90+'26.6'!E90</f>
        <v>0</v>
      </c>
      <c r="F90" s="192">
        <f t="shared" si="35"/>
        <v>0</v>
      </c>
      <c r="G90" s="192">
        <f t="shared" si="36"/>
        <v>0</v>
      </c>
      <c r="H90" s="116"/>
      <c r="I90" s="116"/>
    </row>
    <row r="91" s="1" customFormat="1" customHeight="1" spans="1:11">
      <c r="A91" s="28" t="s">
        <v>24</v>
      </c>
      <c r="B91" s="42" t="s">
        <v>38</v>
      </c>
      <c r="C91" s="43" t="s">
        <v>23</v>
      </c>
      <c r="D91" s="188"/>
      <c r="E91" s="204">
        <f>D91+'26.6'!E91</f>
        <v>0</v>
      </c>
      <c r="F91" s="192">
        <f t="shared" si="35"/>
        <v>0</v>
      </c>
      <c r="G91" s="192">
        <f t="shared" si="36"/>
        <v>0</v>
      </c>
      <c r="H91" s="116"/>
      <c r="I91" s="116"/>
    </row>
    <row r="92" s="1" customFormat="1" customHeight="1" spans="1:11">
      <c r="A92" s="28" t="s">
        <v>27</v>
      </c>
      <c r="B92" s="42" t="s">
        <v>41</v>
      </c>
      <c r="C92" s="43" t="s">
        <v>42</v>
      </c>
      <c r="D92" s="188"/>
      <c r="E92" s="204">
        <f>D92+'26.6'!E92</f>
        <v>0</v>
      </c>
      <c r="F92" s="192">
        <f t="shared" si="35"/>
        <v>0</v>
      </c>
      <c r="G92" s="192">
        <f t="shared" si="36"/>
        <v>0</v>
      </c>
      <c r="H92" s="116"/>
      <c r="I92" s="116"/>
    </row>
    <row r="93" s="1" customFormat="1" customHeight="1" spans="1:11">
      <c r="A93" s="28"/>
      <c r="B93" s="42" t="s">
        <v>90</v>
      </c>
      <c r="C93" s="43" t="s">
        <v>42</v>
      </c>
      <c r="D93" s="188"/>
      <c r="E93" s="204">
        <f>D93+'26.6'!E93</f>
        <v>0</v>
      </c>
      <c r="F93" s="192">
        <f t="shared" si="35"/>
        <v>0</v>
      </c>
      <c r="G93" s="192">
        <f t="shared" si="36"/>
        <v>0</v>
      </c>
      <c r="H93" s="116"/>
      <c r="I93" s="116"/>
    </row>
    <row r="94" s="1" customFormat="1" customHeight="1" spans="1:11">
      <c r="A94" s="28" t="s">
        <v>29</v>
      </c>
      <c r="B94" s="42" t="s">
        <v>52</v>
      </c>
      <c r="C94" s="43" t="s">
        <v>53</v>
      </c>
      <c r="D94" s="193" t="e">
        <f t="shared" ref="D94:G94" si="37">D92/D90</f>
        <v>#DIV/0!</v>
      </c>
      <c r="E94" s="193" t="e">
        <f t="shared" si="37"/>
        <v>#DIV/0!</v>
      </c>
      <c r="F94" s="193" t="e">
        <f t="shared" si="37"/>
        <v>#DIV/0!</v>
      </c>
      <c r="G94" s="193" t="e">
        <f t="shared" si="37"/>
        <v>#DIV/0!</v>
      </c>
      <c r="H94" s="122"/>
      <c r="I94" s="122"/>
    </row>
    <row r="95" s="1" customFormat="1" customHeight="1" spans="1:11">
      <c r="A95" s="28" t="s">
        <v>31</v>
      </c>
      <c r="B95" s="42" t="s">
        <v>105</v>
      </c>
      <c r="C95" s="79" t="s">
        <v>68</v>
      </c>
      <c r="D95" s="194">
        <f>D90/3.6/D87/(DAY(DATE(2026,8,0))*24)</f>
        <v>0</v>
      </c>
      <c r="E95" s="84">
        <f>E90/3.6/E87/(DATEDIF(DATE(2026,1,1),DATE(2026,8,1),"D")*24)</f>
        <v>0</v>
      </c>
      <c r="F95" s="194">
        <f>F90/3.6/F87/(DAY(DATE(2026,8,0))*24)</f>
        <v>0</v>
      </c>
      <c r="G95" s="84">
        <f>G90/3.6/G87/(DATEDIF(DATE(2026,1,1),DATE(2026,8,1),"D")*24)</f>
        <v>0</v>
      </c>
      <c r="H95" s="195"/>
      <c r="I95" s="195"/>
      <c r="K95" s="196"/>
    </row>
    <row r="96" s="1" customFormat="1" customHeight="1" spans="1:11">
      <c r="A96" s="28" t="s">
        <v>33</v>
      </c>
      <c r="B96" s="42" t="s">
        <v>72</v>
      </c>
      <c r="C96" s="43" t="s">
        <v>73</v>
      </c>
      <c r="D96" s="197" t="e">
        <f t="shared" ref="D96:G96" si="38">D90/D89</f>
        <v>#DIV/0!</v>
      </c>
      <c r="E96" s="197" t="e">
        <f t="shared" si="38"/>
        <v>#DIV/0!</v>
      </c>
      <c r="F96" s="197">
        <f t="shared" si="38"/>
        <v>0</v>
      </c>
      <c r="G96" s="197">
        <f t="shared" si="38"/>
        <v>0</v>
      </c>
      <c r="H96" s="126"/>
      <c r="I96" s="126"/>
    </row>
    <row r="97" s="1" customFormat="1" customHeight="1" spans="1:9">
      <c r="A97" s="28" t="s">
        <v>37</v>
      </c>
      <c r="B97" s="42" t="s">
        <v>78</v>
      </c>
      <c r="C97" s="43" t="s">
        <v>79</v>
      </c>
      <c r="D97" s="198" t="e">
        <f t="shared" ref="D97:G97" si="39">D92/D89</f>
        <v>#DIV/0!</v>
      </c>
      <c r="E97" s="198" t="e">
        <f t="shared" si="39"/>
        <v>#DIV/0!</v>
      </c>
      <c r="F97" s="198">
        <f t="shared" si="39"/>
        <v>0</v>
      </c>
      <c r="G97" s="198">
        <f t="shared" si="39"/>
        <v>0</v>
      </c>
      <c r="H97" s="128"/>
      <c r="I97" s="128"/>
    </row>
    <row r="98" s="1" customFormat="1" customHeight="1" spans="1:9">
      <c r="A98" s="129" t="s">
        <v>40</v>
      </c>
      <c r="B98" s="97" t="s">
        <v>81</v>
      </c>
      <c r="C98" s="98" t="s">
        <v>76</v>
      </c>
      <c r="D98" s="198" t="e">
        <f t="shared" ref="D98:G98" si="40">D91*1000/D89</f>
        <v>#DIV/0!</v>
      </c>
      <c r="E98" s="198" t="e">
        <f t="shared" si="40"/>
        <v>#DIV/0!</v>
      </c>
      <c r="F98" s="198">
        <f t="shared" si="40"/>
        <v>0</v>
      </c>
      <c r="G98" s="198">
        <f t="shared" si="40"/>
        <v>0</v>
      </c>
      <c r="H98" s="128"/>
      <c r="I98" s="128"/>
    </row>
  </sheetData>
  <mergeCells count="20">
    <mergeCell ref="D1:H1"/>
    <mergeCell ref="I1:M1"/>
    <mergeCell ref="D53:F53"/>
    <mergeCell ref="G53:I53"/>
    <mergeCell ref="D69:E69"/>
    <mergeCell ref="F69:G69"/>
    <mergeCell ref="A1:A2"/>
    <mergeCell ref="A53:A54"/>
    <mergeCell ref="A69:A70"/>
    <mergeCell ref="A85:A86"/>
    <mergeCell ref="B1:B2"/>
    <mergeCell ref="B53:B54"/>
    <mergeCell ref="B69:B70"/>
    <mergeCell ref="B85:B86"/>
    <mergeCell ref="C1:C2"/>
    <mergeCell ref="C53:C54"/>
    <mergeCell ref="C69:C70"/>
    <mergeCell ref="C85:C86"/>
    <mergeCell ref="F85:F86"/>
    <mergeCell ref="G85:G86"/>
  </mergeCells>
  <pageMargins left="0.748031496062992" right="0.748031496062992" top="0.984251968503937" bottom="0.984251968503937" header="0.511811023622047" footer="0.511811023622047"/>
  <pageSetup paperSize="9" orientation="landscape" horizontalDpi="600" verticalDpi="600"/>
  <headerFooter alignWithMargins="0" scaleWithDoc="0">
    <oddHeader>&amp;C&amp;20 2022年7月份集团各锅炉站生产报表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8"/>
  <sheetViews>
    <sheetView showGridLines="0" zoomScale="70" zoomScaleNormal="70" zoomScaleSheetLayoutView="60" workbookViewId="0">
      <pane xSplit="2" ySplit="1" topLeftCell="C19" activePane="bottomRight" state="frozen"/>
      <selection/>
      <selection pane="topRight"/>
      <selection pane="bottomLeft"/>
      <selection pane="bottomRight" activeCell="L36" sqref="L36"/>
    </sheetView>
  </sheetViews>
  <sheetFormatPr defaultColWidth="8.625" defaultRowHeight="15" customHeight="1"/>
  <cols>
    <col min="1" max="1" width="7.375" style="1" customWidth="1"/>
    <col min="2" max="2" width="19.75" style="1" customWidth="1"/>
    <col min="3" max="3" width="13.5" style="4" customWidth="1"/>
    <col min="4" max="4" width="13.45" style="5" customWidth="1"/>
    <col min="5" max="13" width="13.45" style="1" customWidth="1"/>
    <col min="14" max="14" width="22.2083333333333" style="1"/>
    <col min="15" max="16384" width="8.625" style="1"/>
  </cols>
  <sheetData>
    <row r="1" s="1" customFormat="1" ht="39.95" customHeight="1" spans="1:14">
      <c r="A1" s="6" t="s">
        <v>0</v>
      </c>
      <c r="B1" s="7" t="s">
        <v>1</v>
      </c>
      <c r="C1" s="7" t="s">
        <v>2</v>
      </c>
      <c r="D1" s="8" t="s">
        <v>3</v>
      </c>
      <c r="E1" s="9"/>
      <c r="F1" s="9"/>
      <c r="G1" s="9"/>
      <c r="H1" s="10"/>
      <c r="I1" s="11" t="s">
        <v>4</v>
      </c>
      <c r="J1" s="9"/>
      <c r="K1" s="9"/>
      <c r="L1" s="9"/>
      <c r="M1" s="9"/>
      <c r="N1" s="12"/>
    </row>
    <row r="2" s="1" customFormat="1" ht="39.95" customHeight="1" spans="1:14">
      <c r="A2" s="13"/>
      <c r="B2" s="14"/>
      <c r="C2" s="14"/>
      <c r="D2" s="15" t="s">
        <v>5</v>
      </c>
      <c r="E2" s="15" t="s">
        <v>6</v>
      </c>
      <c r="F2" s="15" t="s">
        <v>7</v>
      </c>
      <c r="G2" s="16" t="s">
        <v>8</v>
      </c>
      <c r="H2" s="17" t="s">
        <v>9</v>
      </c>
      <c r="I2" s="18" t="s">
        <v>5</v>
      </c>
      <c r="J2" s="15" t="s">
        <v>6</v>
      </c>
      <c r="K2" s="15" t="s">
        <v>7</v>
      </c>
      <c r="L2" s="16" t="s">
        <v>10</v>
      </c>
      <c r="M2" s="17" t="s">
        <v>9</v>
      </c>
    </row>
    <row r="3" s="1" customFormat="1" ht="18" customHeight="1" spans="1:14">
      <c r="A3" s="19" t="s">
        <v>11</v>
      </c>
      <c r="B3" s="20" t="s">
        <v>12</v>
      </c>
      <c r="C3" s="21" t="s">
        <v>13</v>
      </c>
      <c r="D3" s="22">
        <v>348</v>
      </c>
      <c r="E3" s="23">
        <v>162</v>
      </c>
      <c r="F3" s="23"/>
      <c r="G3" s="24">
        <v>263</v>
      </c>
      <c r="H3" s="25">
        <f t="shared" ref="H3:H7" si="0">E3+F3+G3</f>
        <v>425</v>
      </c>
      <c r="I3" s="26">
        <f t="shared" ref="I3:L3" si="1">D3</f>
        <v>348</v>
      </c>
      <c r="J3" s="22">
        <f t="shared" si="1"/>
        <v>162</v>
      </c>
      <c r="K3" s="22">
        <f t="shared" si="1"/>
        <v>0</v>
      </c>
      <c r="L3" s="27">
        <f t="shared" si="1"/>
        <v>263</v>
      </c>
      <c r="M3" s="25">
        <f t="shared" ref="M3:M12" si="2">J3+K3+L3</f>
        <v>425</v>
      </c>
      <c r="N3" s="12"/>
    </row>
    <row r="4" s="1" customFormat="1" ht="18" customHeight="1" spans="1:14">
      <c r="A4" s="28" t="s">
        <v>14</v>
      </c>
      <c r="B4" s="29" t="s">
        <v>15</v>
      </c>
      <c r="C4" s="30" t="s">
        <v>16</v>
      </c>
      <c r="D4" s="31" t="s">
        <v>17</v>
      </c>
      <c r="E4" s="32"/>
      <c r="F4" s="33"/>
      <c r="G4" s="34"/>
      <c r="H4" s="35"/>
      <c r="I4" s="36" t="str">
        <f t="shared" ref="I4:L4" si="3">D4</f>
        <v> -   </v>
      </c>
      <c r="J4" s="32">
        <f t="shared" si="3"/>
        <v>0</v>
      </c>
      <c r="K4" s="37">
        <f t="shared" si="3"/>
        <v>0</v>
      </c>
      <c r="L4" s="38">
        <f t="shared" si="3"/>
        <v>0</v>
      </c>
      <c r="M4" s="35">
        <f t="shared" si="2"/>
        <v>0</v>
      </c>
      <c r="N4" s="12"/>
    </row>
    <row r="5" s="1" customFormat="1" ht="18" customHeight="1" spans="1:14">
      <c r="A5" s="28"/>
      <c r="B5" s="29" t="s">
        <v>18</v>
      </c>
      <c r="C5" s="30" t="s">
        <v>16</v>
      </c>
      <c r="D5" s="31" t="s">
        <v>17</v>
      </c>
      <c r="E5" s="33">
        <v>55000</v>
      </c>
      <c r="F5" s="39">
        <v>0</v>
      </c>
      <c r="G5" s="40">
        <v>0</v>
      </c>
      <c r="H5" s="35">
        <f t="shared" si="0"/>
        <v>55000</v>
      </c>
      <c r="I5" s="36" t="str">
        <f t="shared" ref="I5:L5" si="4">D5</f>
        <v> -   </v>
      </c>
      <c r="J5" s="32">
        <f t="shared" si="4"/>
        <v>55000</v>
      </c>
      <c r="K5" s="37">
        <f t="shared" si="4"/>
        <v>0</v>
      </c>
      <c r="L5" s="38">
        <f t="shared" si="4"/>
        <v>0</v>
      </c>
      <c r="M5" s="35">
        <f t="shared" si="2"/>
        <v>55000</v>
      </c>
      <c r="N5" s="12"/>
    </row>
    <row r="6" s="1" customFormat="1" ht="18" customHeight="1" spans="1:14">
      <c r="A6" s="28" t="s">
        <v>19</v>
      </c>
      <c r="B6" s="29" t="s">
        <v>20</v>
      </c>
      <c r="C6" s="30" t="s">
        <v>16</v>
      </c>
      <c r="D6" s="31" t="s">
        <v>17</v>
      </c>
      <c r="E6" s="34">
        <f t="shared" ref="E6:G6" si="5">E4</f>
        <v>0</v>
      </c>
      <c r="F6" s="34">
        <f t="shared" si="5"/>
        <v>0</v>
      </c>
      <c r="G6" s="34">
        <f t="shared" si="5"/>
        <v>0</v>
      </c>
      <c r="H6" s="35">
        <f t="shared" si="0"/>
        <v>0</v>
      </c>
      <c r="I6" s="36" t="str">
        <f t="shared" ref="I6:L6" si="6">D6</f>
        <v> -   </v>
      </c>
      <c r="J6" s="41">
        <f t="shared" si="6"/>
        <v>0</v>
      </c>
      <c r="K6" s="41">
        <f t="shared" si="6"/>
        <v>0</v>
      </c>
      <c r="L6" s="41">
        <f t="shared" si="6"/>
        <v>0</v>
      </c>
      <c r="M6" s="35">
        <f t="shared" si="2"/>
        <v>0</v>
      </c>
      <c r="N6" s="12"/>
    </row>
    <row r="7" s="2" customFormat="1" ht="18" customHeight="1" spans="1:14">
      <c r="A7" s="28" t="s">
        <v>21</v>
      </c>
      <c r="B7" s="42" t="s">
        <v>22</v>
      </c>
      <c r="C7" s="43" t="s">
        <v>23</v>
      </c>
      <c r="D7" s="40">
        <v>0</v>
      </c>
      <c r="E7" s="40">
        <v>0</v>
      </c>
      <c r="F7" s="40">
        <v>0</v>
      </c>
      <c r="G7" s="40"/>
      <c r="H7" s="35">
        <f t="shared" si="0"/>
        <v>0</v>
      </c>
      <c r="I7" s="44">
        <f>D7+'26.7'!I7</f>
        <v>0</v>
      </c>
      <c r="J7" s="44">
        <f>E7+'26.7'!J7</f>
        <v>0</v>
      </c>
      <c r="K7" s="44">
        <f>F7+'26.7'!K7</f>
        <v>0</v>
      </c>
      <c r="L7" s="44">
        <f>G7+'26.7'!L7</f>
        <v>0</v>
      </c>
      <c r="M7" s="35">
        <f t="shared" si="2"/>
        <v>0</v>
      </c>
      <c r="N7" s="45"/>
    </row>
    <row r="8" s="2" customFormat="1" ht="18" customHeight="1" spans="1:14">
      <c r="A8" s="28" t="s">
        <v>24</v>
      </c>
      <c r="B8" s="42" t="s">
        <v>25</v>
      </c>
      <c r="C8" s="43" t="s">
        <v>26</v>
      </c>
      <c r="D8" s="46"/>
      <c r="E8" s="40"/>
      <c r="F8" s="39"/>
      <c r="G8" s="34"/>
      <c r="H8" s="35"/>
      <c r="I8" s="44">
        <f>D8+'26.7'!I8</f>
        <v>0</v>
      </c>
      <c r="J8" s="44">
        <f>E8+'26.7'!J8</f>
        <v>0</v>
      </c>
      <c r="K8" s="44">
        <f>F8+'26.7'!K8</f>
        <v>0</v>
      </c>
      <c r="L8" s="44">
        <f>G8+'26.7'!L8</f>
        <v>0</v>
      </c>
      <c r="M8" s="35">
        <f t="shared" si="2"/>
        <v>0</v>
      </c>
      <c r="N8" s="47"/>
    </row>
    <row r="9" s="2" customFormat="1" ht="18" customHeight="1" spans="1:14">
      <c r="A9" s="28" t="s">
        <v>27</v>
      </c>
      <c r="B9" s="42" t="s">
        <v>28</v>
      </c>
      <c r="C9" s="43" t="s">
        <v>26</v>
      </c>
      <c r="D9" s="40">
        <v>0</v>
      </c>
      <c r="E9" s="48">
        <f>[1]售热量!$Q$25</f>
        <v>0</v>
      </c>
      <c r="F9" s="39"/>
      <c r="G9" s="39"/>
      <c r="H9" s="35">
        <f t="shared" ref="H9:H12" si="7">E9+F9+G9</f>
        <v>0</v>
      </c>
      <c r="I9" s="44">
        <f>D9+'26.7'!I9</f>
        <v>0</v>
      </c>
      <c r="J9" s="44">
        <f>E9+'26.7'!J9</f>
        <v>0</v>
      </c>
      <c r="K9" s="44">
        <f>F9+'26.7'!K9</f>
        <v>0</v>
      </c>
      <c r="L9" s="44">
        <f>G9+'26.7'!L9</f>
        <v>0</v>
      </c>
      <c r="M9" s="35">
        <f t="shared" si="2"/>
        <v>0</v>
      </c>
      <c r="N9" s="45"/>
    </row>
    <row r="10" s="2" customFormat="1" ht="18" customHeight="1" spans="1:14">
      <c r="A10" s="28" t="s">
        <v>29</v>
      </c>
      <c r="B10" s="42" t="s">
        <v>30</v>
      </c>
      <c r="C10" s="43" t="s">
        <v>23</v>
      </c>
      <c r="D10" s="40"/>
      <c r="E10" s="33"/>
      <c r="F10" s="39"/>
      <c r="G10" s="34"/>
      <c r="H10" s="35">
        <f t="shared" si="7"/>
        <v>0</v>
      </c>
      <c r="I10" s="44">
        <f>D10+'26.7'!I10</f>
        <v>0</v>
      </c>
      <c r="J10" s="44">
        <f>E10+'26.7'!J10</f>
        <v>0</v>
      </c>
      <c r="K10" s="44">
        <f>F10+'26.7'!K10</f>
        <v>0</v>
      </c>
      <c r="L10" s="44">
        <f>G10+'26.7'!L10</f>
        <v>0</v>
      </c>
      <c r="M10" s="35">
        <f t="shared" si="2"/>
        <v>0</v>
      </c>
      <c r="N10" s="45"/>
    </row>
    <row r="11" s="2" customFormat="1" ht="18" customHeight="1" spans="1:14">
      <c r="A11" s="28" t="s">
        <v>31</v>
      </c>
      <c r="B11" s="42" t="s">
        <v>32</v>
      </c>
      <c r="C11" s="43" t="s">
        <v>23</v>
      </c>
      <c r="D11" s="40"/>
      <c r="E11" s="40">
        <v>0</v>
      </c>
      <c r="F11" s="40"/>
      <c r="G11" s="40"/>
      <c r="H11" s="35">
        <f t="shared" si="7"/>
        <v>0</v>
      </c>
      <c r="I11" s="44">
        <f>D11+'26.7'!I11</f>
        <v>0</v>
      </c>
      <c r="J11" s="44">
        <f>E11+'26.7'!J11</f>
        <v>0</v>
      </c>
      <c r="K11" s="44">
        <f>F11+'26.7'!K11</f>
        <v>0</v>
      </c>
      <c r="L11" s="44">
        <f>G11+'26.7'!L11</f>
        <v>0</v>
      </c>
      <c r="M11" s="35">
        <f t="shared" si="2"/>
        <v>0</v>
      </c>
      <c r="N11" s="45"/>
    </row>
    <row r="12" s="2" customFormat="1" ht="18" customHeight="1" spans="1:14">
      <c r="A12" s="28" t="s">
        <v>33</v>
      </c>
      <c r="B12" s="42" t="s">
        <v>34</v>
      </c>
      <c r="C12" s="43" t="s">
        <v>23</v>
      </c>
      <c r="D12" s="46">
        <f t="shared" ref="D12:G12" si="8">D13+D14</f>
        <v>0</v>
      </c>
      <c r="E12" s="46">
        <f t="shared" si="8"/>
        <v>0</v>
      </c>
      <c r="F12" s="46">
        <f t="shared" si="8"/>
        <v>0</v>
      </c>
      <c r="G12" s="46">
        <f t="shared" si="8"/>
        <v>0</v>
      </c>
      <c r="H12" s="35">
        <f t="shared" si="7"/>
        <v>0</v>
      </c>
      <c r="I12" s="44">
        <f>D12+'26.7'!I12</f>
        <v>0</v>
      </c>
      <c r="J12" s="44">
        <f>E12+'26.7'!J12</f>
        <v>0</v>
      </c>
      <c r="K12" s="44">
        <f>F12+'26.7'!K12</f>
        <v>0</v>
      </c>
      <c r="L12" s="44">
        <f>G12+'26.7'!L12</f>
        <v>0</v>
      </c>
      <c r="M12" s="35">
        <f t="shared" si="2"/>
        <v>0</v>
      </c>
      <c r="N12" s="45"/>
    </row>
    <row r="13" s="2" customFormat="1" ht="18" customHeight="1" spans="1:14">
      <c r="A13" s="28"/>
      <c r="B13" s="42" t="s">
        <v>35</v>
      </c>
      <c r="C13" s="43" t="s">
        <v>23</v>
      </c>
      <c r="D13" s="40"/>
      <c r="E13" s="40"/>
      <c r="F13" s="40"/>
      <c r="G13" s="46"/>
      <c r="H13" s="49"/>
      <c r="I13" s="44">
        <f>D13+'26.7'!I13</f>
        <v>0</v>
      </c>
      <c r="J13" s="44">
        <f>E13+'26.7'!J13</f>
        <v>0</v>
      </c>
      <c r="K13" s="44">
        <f>F13+'26.7'!K13</f>
        <v>0</v>
      </c>
      <c r="L13" s="44">
        <f>G13+'26.7'!L13</f>
        <v>0</v>
      </c>
      <c r="M13" s="49"/>
      <c r="N13" s="45"/>
    </row>
    <row r="14" s="2" customFormat="1" ht="18" customHeight="1" spans="1:14">
      <c r="A14" s="28"/>
      <c r="B14" s="42" t="s">
        <v>36</v>
      </c>
      <c r="C14" s="43" t="s">
        <v>23</v>
      </c>
      <c r="D14" s="46"/>
      <c r="E14" s="40"/>
      <c r="F14" s="40"/>
      <c r="G14" s="40"/>
      <c r="H14" s="49"/>
      <c r="I14" s="44">
        <f>D14+'26.7'!I14</f>
        <v>0</v>
      </c>
      <c r="J14" s="44">
        <f>E14+'26.7'!J14</f>
        <v>0</v>
      </c>
      <c r="K14" s="44">
        <f>F14+'26.7'!K14</f>
        <v>0</v>
      </c>
      <c r="L14" s="44">
        <f>G14+'26.7'!L14</f>
        <v>0</v>
      </c>
      <c r="M14" s="49"/>
      <c r="N14" s="45"/>
    </row>
    <row r="15" s="2" customFormat="1" ht="18" customHeight="1" spans="1:14">
      <c r="A15" s="28" t="s">
        <v>37</v>
      </c>
      <c r="B15" s="42" t="s">
        <v>38</v>
      </c>
      <c r="C15" s="43" t="s">
        <v>23</v>
      </c>
      <c r="D15" s="40"/>
      <c r="E15" s="50"/>
      <c r="F15" s="39"/>
      <c r="G15" s="34"/>
      <c r="H15" s="35"/>
      <c r="I15" s="44">
        <f>D15+'26.7'!I15</f>
        <v>0</v>
      </c>
      <c r="J15" s="44">
        <f>E15+'26.7'!J15</f>
        <v>0</v>
      </c>
      <c r="K15" s="44">
        <f>F15+'26.7'!K15</f>
        <v>0</v>
      </c>
      <c r="L15" s="44">
        <f>G15+'26.7'!L15</f>
        <v>0</v>
      </c>
      <c r="M15" s="35">
        <f t="shared" ref="M15:M17" si="9">J15+K15+L15</f>
        <v>0</v>
      </c>
      <c r="N15" s="45"/>
    </row>
    <row r="16" s="2" customFormat="1" ht="18" customHeight="1" spans="1:14">
      <c r="A16" s="28"/>
      <c r="B16" s="42" t="s">
        <v>39</v>
      </c>
      <c r="C16" s="43" t="s">
        <v>23</v>
      </c>
      <c r="D16" s="40"/>
      <c r="E16" s="50"/>
      <c r="F16" s="39"/>
      <c r="G16" s="39"/>
      <c r="H16" s="35"/>
      <c r="I16" s="44">
        <f>D16+'26.7'!I16</f>
        <v>0</v>
      </c>
      <c r="J16" s="44">
        <f>E16+'26.7'!J16</f>
        <v>0</v>
      </c>
      <c r="K16" s="44">
        <f>F16+'26.7'!K16</f>
        <v>0</v>
      </c>
      <c r="L16" s="44">
        <f>G16+'26.7'!L16</f>
        <v>0</v>
      </c>
      <c r="M16" s="35">
        <f t="shared" si="9"/>
        <v>0</v>
      </c>
      <c r="N16" s="45"/>
    </row>
    <row r="17" s="2" customFormat="1" ht="18" customHeight="1" spans="1:14">
      <c r="A17" s="28" t="s">
        <v>40</v>
      </c>
      <c r="B17" s="42" t="s">
        <v>41</v>
      </c>
      <c r="C17" s="43" t="s">
        <v>42</v>
      </c>
      <c r="D17" s="46"/>
      <c r="E17" s="50"/>
      <c r="F17" s="39"/>
      <c r="G17" s="34"/>
      <c r="H17" s="35"/>
      <c r="I17" s="44">
        <f>D17+'26.7'!I17</f>
        <v>0</v>
      </c>
      <c r="J17" s="44">
        <f>E17+'26.7'!J17</f>
        <v>0</v>
      </c>
      <c r="K17" s="51"/>
      <c r="L17" s="44">
        <f>G17+'26.7'!L17</f>
        <v>0</v>
      </c>
      <c r="M17" s="35">
        <f t="shared" si="9"/>
        <v>0</v>
      </c>
      <c r="N17" s="45"/>
    </row>
    <row r="18" s="2" customFormat="1" ht="18" customHeight="1" spans="1:14">
      <c r="A18" s="28"/>
      <c r="B18" s="42" t="s">
        <v>43</v>
      </c>
      <c r="C18" s="43" t="s">
        <v>42</v>
      </c>
      <c r="D18" s="40"/>
      <c r="E18" s="50"/>
      <c r="F18" s="39"/>
      <c r="G18" s="39"/>
      <c r="H18" s="49"/>
      <c r="I18" s="44">
        <f>D18+'26.7'!I18</f>
        <v>0</v>
      </c>
      <c r="J18" s="44">
        <f>E18+'26.7'!J18</f>
        <v>0</v>
      </c>
      <c r="K18" s="44">
        <f>F18+'26.7'!K18</f>
        <v>0</v>
      </c>
      <c r="L18" s="44">
        <f>G18+'26.7'!L18</f>
        <v>0</v>
      </c>
      <c r="M18" s="49"/>
      <c r="N18" s="45"/>
    </row>
    <row r="19" s="2" customFormat="1" ht="18" customHeight="1" spans="1:14">
      <c r="A19" s="28"/>
      <c r="B19" s="42" t="s">
        <v>44</v>
      </c>
      <c r="C19" s="43" t="s">
        <v>42</v>
      </c>
      <c r="D19" s="40"/>
      <c r="E19" s="50"/>
      <c r="F19" s="34"/>
      <c r="G19" s="34"/>
      <c r="H19" s="49"/>
      <c r="I19" s="44">
        <f>D19+'26.7'!I19</f>
        <v>0</v>
      </c>
      <c r="J19" s="52"/>
      <c r="K19" s="44">
        <f>F19+'26.7'!K19</f>
        <v>0</v>
      </c>
      <c r="L19" s="44">
        <f>G19+'26.7'!L19</f>
        <v>0</v>
      </c>
      <c r="M19" s="49"/>
      <c r="N19" s="45"/>
    </row>
    <row r="20" s="2" customFormat="1" ht="18" customHeight="1" spans="1:14">
      <c r="A20" s="28"/>
      <c r="B20" s="42" t="s">
        <v>45</v>
      </c>
      <c r="C20" s="43" t="s">
        <v>23</v>
      </c>
      <c r="D20" s="40"/>
      <c r="E20" s="50"/>
      <c r="F20" s="39"/>
      <c r="G20" s="39"/>
      <c r="H20" s="49"/>
      <c r="I20" s="44">
        <f>D20+'26.7'!I20</f>
        <v>0</v>
      </c>
      <c r="J20" s="44">
        <f>E20+'26.7'!J20</f>
        <v>0</v>
      </c>
      <c r="K20" s="44">
        <f>F20+'26.7'!K20</f>
        <v>0</v>
      </c>
      <c r="L20" s="44">
        <f>G20+'26.7'!L20</f>
        <v>0</v>
      </c>
      <c r="M20" s="49"/>
      <c r="N20" s="45"/>
    </row>
    <row r="21" s="2" customFormat="1" ht="18" customHeight="1" spans="1:14">
      <c r="A21" s="28"/>
      <c r="B21" s="42" t="s">
        <v>46</v>
      </c>
      <c r="C21" s="43" t="s">
        <v>42</v>
      </c>
      <c r="D21" s="40"/>
      <c r="E21" s="50"/>
      <c r="F21" s="39"/>
      <c r="G21" s="39"/>
      <c r="H21" s="49"/>
      <c r="I21" s="44">
        <f>D21+'26.7'!I21</f>
        <v>0</v>
      </c>
      <c r="J21" s="44">
        <f>E21+'26.7'!J21</f>
        <v>0</v>
      </c>
      <c r="K21" s="44">
        <f>F21+'26.7'!K21</f>
        <v>0</v>
      </c>
      <c r="L21" s="44">
        <f>G21+'26.7'!L21</f>
        <v>0</v>
      </c>
      <c r="M21" s="49"/>
      <c r="N21" s="45"/>
    </row>
    <row r="22" s="2" customFormat="1" customHeight="1" spans="1:14">
      <c r="A22" s="53" t="s">
        <v>47</v>
      </c>
      <c r="B22" s="54" t="s">
        <v>48</v>
      </c>
      <c r="C22" s="55" t="s">
        <v>23</v>
      </c>
      <c r="D22" s="56"/>
      <c r="E22" s="57"/>
      <c r="F22" s="57"/>
      <c r="G22" s="57"/>
      <c r="H22" s="58"/>
      <c r="I22" s="44">
        <f>D22+'26.7'!I22</f>
        <v>0</v>
      </c>
      <c r="J22" s="44">
        <f>E22+'26.7'!J22</f>
        <v>0</v>
      </c>
      <c r="K22" s="44">
        <f>F22+'26.7'!K22</f>
        <v>0</v>
      </c>
      <c r="L22" s="44">
        <f>G22+'26.7'!L22</f>
        <v>0</v>
      </c>
      <c r="M22" s="59">
        <f t="shared" ref="M22:M27" si="10">J22+K22+L22</f>
        <v>0</v>
      </c>
      <c r="N22" s="1"/>
    </row>
    <row r="23" s="2" customFormat="1" ht="21" customHeight="1" spans="1:14">
      <c r="A23" s="53" t="s">
        <v>49</v>
      </c>
      <c r="B23" s="54" t="s">
        <v>50</v>
      </c>
      <c r="C23" s="55" t="s">
        <v>23</v>
      </c>
      <c r="D23" s="56"/>
      <c r="E23" s="57"/>
      <c r="F23" s="57"/>
      <c r="G23" s="57"/>
      <c r="H23" s="58"/>
      <c r="I23" s="44">
        <f>D23+'26.7'!I23</f>
        <v>0</v>
      </c>
      <c r="J23" s="44">
        <f>E23+'26.7'!J23</f>
        <v>0</v>
      </c>
      <c r="K23" s="44">
        <f>F23+'26.7'!K23</f>
        <v>0</v>
      </c>
      <c r="L23" s="44">
        <f>G23+'26.7'!L23</f>
        <v>0</v>
      </c>
      <c r="M23" s="59">
        <f t="shared" si="10"/>
        <v>0</v>
      </c>
      <c r="N23" s="1"/>
    </row>
    <row r="24" s="2" customFormat="1" ht="18" customHeight="1" spans="1:14">
      <c r="A24" s="53" t="s">
        <v>51</v>
      </c>
      <c r="B24" s="42" t="s">
        <v>52</v>
      </c>
      <c r="C24" s="43" t="s">
        <v>53</v>
      </c>
      <c r="D24" s="60" t="e">
        <f t="shared" ref="D24:M24" si="11">D17/D8</f>
        <v>#DIV/0!</v>
      </c>
      <c r="E24" s="60" t="e">
        <f t="shared" si="11"/>
        <v>#DIV/0!</v>
      </c>
      <c r="F24" s="60" t="e">
        <f t="shared" si="11"/>
        <v>#DIV/0!</v>
      </c>
      <c r="G24" s="60" t="e">
        <f t="shared" si="11"/>
        <v>#DIV/0!</v>
      </c>
      <c r="H24" s="61" t="e">
        <f t="shared" si="11"/>
        <v>#DIV/0!</v>
      </c>
      <c r="I24" s="62" t="e">
        <f t="shared" si="11"/>
        <v>#DIV/0!</v>
      </c>
      <c r="J24" s="60" t="e">
        <f t="shared" si="11"/>
        <v>#DIV/0!</v>
      </c>
      <c r="K24" s="60" t="e">
        <f t="shared" si="11"/>
        <v>#DIV/0!</v>
      </c>
      <c r="L24" s="60" t="e">
        <f t="shared" si="11"/>
        <v>#DIV/0!</v>
      </c>
      <c r="M24" s="61" t="e">
        <f t="shared" si="11"/>
        <v>#DIV/0!</v>
      </c>
      <c r="N24" s="45"/>
    </row>
    <row r="25" s="2" customFormat="1" ht="18" customHeight="1" spans="1:14">
      <c r="A25" s="53" t="s">
        <v>54</v>
      </c>
      <c r="B25" s="42" t="s">
        <v>55</v>
      </c>
      <c r="C25" s="43" t="s">
        <v>56</v>
      </c>
      <c r="D25" s="60" t="e">
        <f t="shared" ref="D25:M25" si="12">D12*1000/D8</f>
        <v>#DIV/0!</v>
      </c>
      <c r="E25" s="60" t="e">
        <f t="shared" si="12"/>
        <v>#DIV/0!</v>
      </c>
      <c r="F25" s="60" t="e">
        <f t="shared" si="12"/>
        <v>#DIV/0!</v>
      </c>
      <c r="G25" s="60" t="e">
        <f t="shared" si="12"/>
        <v>#DIV/0!</v>
      </c>
      <c r="H25" s="61" t="e">
        <f t="shared" si="12"/>
        <v>#DIV/0!</v>
      </c>
      <c r="I25" s="62" t="e">
        <f t="shared" si="12"/>
        <v>#DIV/0!</v>
      </c>
      <c r="J25" s="60" t="e">
        <f t="shared" si="12"/>
        <v>#DIV/0!</v>
      </c>
      <c r="K25" s="60" t="e">
        <f t="shared" si="12"/>
        <v>#DIV/0!</v>
      </c>
      <c r="L25" s="60" t="e">
        <f t="shared" si="12"/>
        <v>#DIV/0!</v>
      </c>
      <c r="M25" s="61" t="e">
        <f t="shared" si="12"/>
        <v>#DIV/0!</v>
      </c>
      <c r="N25" s="45"/>
    </row>
    <row r="26" s="3" customFormat="1" ht="18" customHeight="1" spans="1:14">
      <c r="A26" s="53" t="s">
        <v>57</v>
      </c>
      <c r="B26" s="42" t="s">
        <v>58</v>
      </c>
      <c r="C26" s="63" t="s">
        <v>23</v>
      </c>
      <c r="D26" s="56"/>
      <c r="E26" s="64"/>
      <c r="F26" s="65"/>
      <c r="G26" s="34"/>
      <c r="H26" s="66"/>
      <c r="I26" s="44">
        <f>D26+'26.7'!I26</f>
        <v>0</v>
      </c>
      <c r="J26" s="44">
        <f>E26+'26.7'!J26</f>
        <v>0</v>
      </c>
      <c r="K26" s="44">
        <f>F26+'26.7'!K26</f>
        <v>0</v>
      </c>
      <c r="L26" s="44">
        <f>G26+'26.7'!L26</f>
        <v>0</v>
      </c>
      <c r="M26" s="66">
        <f t="shared" si="10"/>
        <v>0</v>
      </c>
      <c r="N26" s="67"/>
    </row>
    <row r="27" s="3" customFormat="1" ht="18" customHeight="1" spans="1:14">
      <c r="A27" s="53" t="s">
        <v>59</v>
      </c>
      <c r="B27" s="42" t="s">
        <v>60</v>
      </c>
      <c r="C27" s="63" t="s">
        <v>23</v>
      </c>
      <c r="D27" s="50"/>
      <c r="E27" s="68">
        <f>J27</f>
        <v>12569.7</v>
      </c>
      <c r="F27" s="68"/>
      <c r="G27" s="68">
        <f>L27</f>
        <v>1108.50000000002</v>
      </c>
      <c r="H27" s="69"/>
      <c r="I27" s="70"/>
      <c r="J27" s="71">
        <f>'26.7'!J27+E26-E10</f>
        <v>12569.7</v>
      </c>
      <c r="K27" s="71">
        <f>'26.7'!K27+F26-F10</f>
        <v>0</v>
      </c>
      <c r="L27" s="71">
        <f>'26.7'!L27+G26-G10</f>
        <v>1108.50000000002</v>
      </c>
      <c r="M27" s="72">
        <f t="shared" si="10"/>
        <v>13678.2</v>
      </c>
      <c r="N27" s="67"/>
    </row>
    <row r="28" s="2" customFormat="1" ht="18" customHeight="1" spans="1:14">
      <c r="A28" s="53" t="s">
        <v>61</v>
      </c>
      <c r="B28" s="42" t="s">
        <v>62</v>
      </c>
      <c r="C28" s="43" t="s">
        <v>63</v>
      </c>
      <c r="D28" s="73" t="e">
        <f>D13*29308/D10</f>
        <v>#DIV/0!</v>
      </c>
      <c r="E28" s="73" t="e">
        <f t="shared" ref="E28:H28" si="13">E12*29308/E10</f>
        <v>#DIV/0!</v>
      </c>
      <c r="F28" s="73" t="e">
        <f t="shared" si="13"/>
        <v>#DIV/0!</v>
      </c>
      <c r="G28" s="73" t="e">
        <f t="shared" si="13"/>
        <v>#DIV/0!</v>
      </c>
      <c r="H28" s="73" t="e">
        <f t="shared" si="13"/>
        <v>#DIV/0!</v>
      </c>
      <c r="I28" s="74" t="e">
        <f>I13*29308/I10</f>
        <v>#DIV/0!</v>
      </c>
      <c r="J28" s="46" t="e">
        <f t="shared" ref="J28:M28" si="14">J12*29308/J10</f>
        <v>#DIV/0!</v>
      </c>
      <c r="K28" s="46" t="e">
        <f t="shared" si="14"/>
        <v>#DIV/0!</v>
      </c>
      <c r="L28" s="46" t="e">
        <f t="shared" si="14"/>
        <v>#DIV/0!</v>
      </c>
      <c r="M28" s="73" t="e">
        <f t="shared" si="14"/>
        <v>#DIV/0!</v>
      </c>
      <c r="N28" s="45"/>
    </row>
    <row r="29" s="2" customFormat="1" ht="18" customHeight="1" spans="1:14">
      <c r="A29" s="53" t="s">
        <v>64</v>
      </c>
      <c r="B29" s="42" t="s">
        <v>65</v>
      </c>
      <c r="C29" s="43" t="s">
        <v>63</v>
      </c>
      <c r="D29" s="75"/>
      <c r="E29" s="40"/>
      <c r="F29" s="40"/>
      <c r="G29" s="76"/>
      <c r="H29" s="77"/>
      <c r="I29" s="78"/>
      <c r="J29" s="40"/>
      <c r="K29" s="40"/>
      <c r="L29" s="76"/>
      <c r="M29" s="77"/>
      <c r="N29" s="45"/>
    </row>
    <row r="30" s="2" customFormat="1" ht="18" customHeight="1" spans="1:14">
      <c r="A30" s="53" t="s">
        <v>66</v>
      </c>
      <c r="B30" s="42" t="s">
        <v>67</v>
      </c>
      <c r="C30" s="79" t="s">
        <v>68</v>
      </c>
      <c r="D30" s="80" t="e">
        <f t="shared" ref="D30:M30" si="15">D8/(D12*29.308)</f>
        <v>#DIV/0!</v>
      </c>
      <c r="E30" s="80" t="e">
        <f t="shared" si="15"/>
        <v>#DIV/0!</v>
      </c>
      <c r="F30" s="80" t="e">
        <f t="shared" si="15"/>
        <v>#DIV/0!</v>
      </c>
      <c r="G30" s="80" t="e">
        <f>(G8-G36)/(G12*29.308)</f>
        <v>#DIV/0!</v>
      </c>
      <c r="H30" s="81" t="e">
        <f t="shared" si="15"/>
        <v>#DIV/0!</v>
      </c>
      <c r="I30" s="82" t="e">
        <f t="shared" si="15"/>
        <v>#DIV/0!</v>
      </c>
      <c r="J30" s="80" t="e">
        <f t="shared" si="15"/>
        <v>#DIV/0!</v>
      </c>
      <c r="K30" s="80" t="e">
        <f t="shared" si="15"/>
        <v>#DIV/0!</v>
      </c>
      <c r="L30" s="80" t="e">
        <f t="shared" si="15"/>
        <v>#DIV/0!</v>
      </c>
      <c r="M30" s="81" t="e">
        <f t="shared" si="15"/>
        <v>#DIV/0!</v>
      </c>
      <c r="N30" s="45"/>
    </row>
    <row r="31" s="2" customFormat="1" ht="18" customHeight="1" spans="1:14">
      <c r="A31" s="53" t="s">
        <v>69</v>
      </c>
      <c r="B31" s="42" t="s">
        <v>70</v>
      </c>
      <c r="C31" s="79" t="s">
        <v>68</v>
      </c>
      <c r="D31" s="83">
        <f>D8/3.6/D3/(DAY(DATE(2026,9,0))*24)</f>
        <v>0</v>
      </c>
      <c r="E31" s="83">
        <f>E8/3.6/E3/(DAY(DATE(2026,9,0))*24)</f>
        <v>0</v>
      </c>
      <c r="F31" s="83" t="e">
        <f>F8/3.6/F3/(DAY(DATE(2026,9,0))*24)</f>
        <v>#DIV/0!</v>
      </c>
      <c r="G31" s="83">
        <f>(G8-G36)/3.6/G3/(DAY(DATE(2026,9,0))*24)</f>
        <v>0</v>
      </c>
      <c r="H31" s="84">
        <f>H8/3.6/H3/(DAY(DATE(2026,9,0))*24)</f>
        <v>0</v>
      </c>
      <c r="I31" s="85">
        <f>I8/3.6/I3/(DATEDIF(DATE(2026,1,1),DATE(2026,9,1),"D")*24)</f>
        <v>0</v>
      </c>
      <c r="J31" s="83">
        <f>J8/3.6/J3/(DATEDIF(DATE(2026,1,1),DATE(2026,9,1),"D")*24)</f>
        <v>0</v>
      </c>
      <c r="K31" s="83" t="e">
        <f>K8/3.6/K3/(DATEDIF(DATE(2026,1,1),DATE(2026,9,1),"D")*24)</f>
        <v>#DIV/0!</v>
      </c>
      <c r="L31" s="83">
        <f>(L8-L36)/3.6/L3/(DATEDIF(DATE(2026,1,1),DATE(2026,9,1),"D")*24)</f>
        <v>0</v>
      </c>
      <c r="M31" s="84">
        <f>M8/3.6/M3/(DATEDIF(DATE(2026,1,1),DATE(2026,9,1),"D")*24)</f>
        <v>0</v>
      </c>
      <c r="N31" s="45"/>
    </row>
    <row r="32" s="2" customFormat="1" ht="18" customHeight="1" spans="1:14">
      <c r="A32" s="53" t="s">
        <v>71</v>
      </c>
      <c r="B32" s="42" t="s">
        <v>72</v>
      </c>
      <c r="C32" s="43" t="s">
        <v>73</v>
      </c>
      <c r="D32" s="86"/>
      <c r="E32" s="87" t="e">
        <f t="shared" ref="E32:H32" si="16">E8/E6</f>
        <v>#DIV/0!</v>
      </c>
      <c r="F32" s="87" t="e">
        <f t="shared" si="16"/>
        <v>#DIV/0!</v>
      </c>
      <c r="G32" s="87" t="e">
        <f t="shared" si="16"/>
        <v>#DIV/0!</v>
      </c>
      <c r="H32" s="87" t="e">
        <f t="shared" si="16"/>
        <v>#DIV/0!</v>
      </c>
      <c r="I32" s="88"/>
      <c r="J32" s="87" t="e">
        <f t="shared" ref="J32:M32" si="17">J8/J6</f>
        <v>#DIV/0!</v>
      </c>
      <c r="K32" s="87" t="e">
        <f t="shared" si="17"/>
        <v>#DIV/0!</v>
      </c>
      <c r="L32" s="87" t="e">
        <f t="shared" si="17"/>
        <v>#DIV/0!</v>
      </c>
      <c r="M32" s="89" t="e">
        <f t="shared" si="17"/>
        <v>#DIV/0!</v>
      </c>
      <c r="N32" s="45"/>
    </row>
    <row r="33" s="2" customFormat="1" ht="18" customHeight="1" spans="1:14">
      <c r="A33" s="53" t="s">
        <v>74</v>
      </c>
      <c r="B33" s="42" t="s">
        <v>75</v>
      </c>
      <c r="C33" s="43" t="s">
        <v>76</v>
      </c>
      <c r="D33" s="90"/>
      <c r="E33" s="91" t="e">
        <f t="shared" ref="E33:H33" si="18">E12*1000/E6</f>
        <v>#DIV/0!</v>
      </c>
      <c r="F33" s="91" t="e">
        <f t="shared" si="18"/>
        <v>#DIV/0!</v>
      </c>
      <c r="G33" s="91" t="e">
        <f t="shared" si="18"/>
        <v>#DIV/0!</v>
      </c>
      <c r="H33" s="92" t="e">
        <f t="shared" si="18"/>
        <v>#DIV/0!</v>
      </c>
      <c r="I33" s="93"/>
      <c r="J33" s="91" t="e">
        <f t="shared" ref="J33:M33" si="19">J12*1000/J6</f>
        <v>#DIV/0!</v>
      </c>
      <c r="K33" s="91" t="e">
        <f t="shared" si="19"/>
        <v>#DIV/0!</v>
      </c>
      <c r="L33" s="91" t="e">
        <f t="shared" si="19"/>
        <v>#DIV/0!</v>
      </c>
      <c r="M33" s="92" t="e">
        <f t="shared" si="19"/>
        <v>#DIV/0!</v>
      </c>
      <c r="N33" s="45"/>
    </row>
    <row r="34" s="2" customFormat="1" ht="18" customHeight="1" spans="1:14">
      <c r="A34" s="53" t="s">
        <v>77</v>
      </c>
      <c r="B34" s="42" t="s">
        <v>78</v>
      </c>
      <c r="C34" s="43" t="s">
        <v>79</v>
      </c>
      <c r="D34" s="94"/>
      <c r="E34" s="91" t="e">
        <f t="shared" ref="E34:H34" si="20">E17/E6</f>
        <v>#DIV/0!</v>
      </c>
      <c r="F34" s="91" t="e">
        <f t="shared" si="20"/>
        <v>#DIV/0!</v>
      </c>
      <c r="G34" s="91" t="e">
        <f t="shared" si="20"/>
        <v>#DIV/0!</v>
      </c>
      <c r="H34" s="92" t="e">
        <f t="shared" si="20"/>
        <v>#DIV/0!</v>
      </c>
      <c r="I34" s="95"/>
      <c r="J34" s="91" t="e">
        <f t="shared" ref="J34:M34" si="21">J17/J6</f>
        <v>#DIV/0!</v>
      </c>
      <c r="K34" s="91" t="e">
        <f t="shared" si="21"/>
        <v>#DIV/0!</v>
      </c>
      <c r="L34" s="91" t="e">
        <f t="shared" si="21"/>
        <v>#DIV/0!</v>
      </c>
      <c r="M34" s="92" t="e">
        <f t="shared" si="21"/>
        <v>#DIV/0!</v>
      </c>
      <c r="N34" s="45"/>
    </row>
    <row r="35" s="2" customFormat="1" ht="18" customHeight="1" spans="1:14">
      <c r="A35" s="96" t="s">
        <v>80</v>
      </c>
      <c r="B35" s="97" t="s">
        <v>81</v>
      </c>
      <c r="C35" s="98" t="s">
        <v>76</v>
      </c>
      <c r="D35" s="99"/>
      <c r="E35" s="100" t="e">
        <f t="shared" ref="E35:H35" si="22">E15*1000/E6</f>
        <v>#DIV/0!</v>
      </c>
      <c r="F35" s="100" t="e">
        <f t="shared" si="22"/>
        <v>#DIV/0!</v>
      </c>
      <c r="G35" s="100" t="e">
        <f t="shared" si="22"/>
        <v>#DIV/0!</v>
      </c>
      <c r="H35" s="101" t="e">
        <f t="shared" si="22"/>
        <v>#DIV/0!</v>
      </c>
      <c r="I35" s="102"/>
      <c r="J35" s="100" t="e">
        <f t="shared" ref="J35:M35" si="23">J15*1000/J6</f>
        <v>#DIV/0!</v>
      </c>
      <c r="K35" s="100" t="e">
        <f t="shared" si="23"/>
        <v>#DIV/0!</v>
      </c>
      <c r="L35" s="100" t="e">
        <f t="shared" si="23"/>
        <v>#DIV/0!</v>
      </c>
      <c r="M35" s="101" t="e">
        <f t="shared" si="23"/>
        <v>#DIV/0!</v>
      </c>
      <c r="N35" s="45"/>
    </row>
    <row r="36" s="2" customFormat="1" ht="21" customHeight="1" spans="1:14">
      <c r="A36" s="103"/>
      <c r="B36" s="104" t="s">
        <v>82</v>
      </c>
      <c r="C36" s="105" t="s">
        <v>26</v>
      </c>
      <c r="D36" s="106"/>
      <c r="E36" s="106"/>
      <c r="F36" s="106"/>
      <c r="G36" s="106"/>
      <c r="H36" s="107"/>
      <c r="I36" s="106"/>
      <c r="J36" s="106"/>
      <c r="K36" s="106"/>
      <c r="L36" s="44">
        <f>G36+'26.7'!L36</f>
        <v>0</v>
      </c>
      <c r="M36" s="107"/>
    </row>
    <row r="37" s="1" customFormat="1" ht="29.25" customHeight="1" spans="1:14">
      <c r="A37" s="108" t="s">
        <v>83</v>
      </c>
      <c r="C37" s="4"/>
      <c r="D37" s="5" t="s">
        <v>84</v>
      </c>
      <c r="E37" s="2"/>
      <c r="F37" s="2"/>
      <c r="G37" s="2"/>
      <c r="H37" s="2"/>
      <c r="I37" s="2"/>
      <c r="J37" s="2"/>
    </row>
    <row r="38" s="1" customFormat="1" ht="31.5" customHeight="1" spans="1:14">
      <c r="A38" s="109" t="s">
        <v>0</v>
      </c>
      <c r="B38" s="110" t="s">
        <v>85</v>
      </c>
      <c r="C38" s="110" t="s">
        <v>2</v>
      </c>
      <c r="D38" s="111" t="s">
        <v>86</v>
      </c>
      <c r="E38" s="112" t="s">
        <v>87</v>
      </c>
      <c r="F38" s="2"/>
      <c r="G38" s="2"/>
      <c r="H38" s="2"/>
    </row>
    <row r="39" s="1" customFormat="1" ht="27.95" customHeight="1" spans="1:14">
      <c r="A39" s="28" t="s">
        <v>11</v>
      </c>
      <c r="B39" s="29" t="s">
        <v>12</v>
      </c>
      <c r="C39" s="30" t="s">
        <v>13</v>
      </c>
      <c r="D39" s="113">
        <v>0.55</v>
      </c>
      <c r="E39" s="114">
        <v>0.55</v>
      </c>
      <c r="F39" s="2"/>
      <c r="G39" s="2"/>
      <c r="H39" s="2"/>
    </row>
    <row r="40" s="1" customFormat="1" ht="27.95" customHeight="1" spans="1:14">
      <c r="A40" s="28" t="s">
        <v>14</v>
      </c>
      <c r="B40" s="29" t="s">
        <v>88</v>
      </c>
      <c r="C40" s="30" t="s">
        <v>16</v>
      </c>
      <c r="D40" s="115"/>
      <c r="E40" s="116">
        <f>D40</f>
        <v>0</v>
      </c>
      <c r="F40" s="45"/>
      <c r="G40" s="45"/>
      <c r="H40" s="2"/>
    </row>
    <row r="41" s="1" customFormat="1" ht="27.95" customHeight="1" spans="1:14">
      <c r="A41" s="28" t="s">
        <v>19</v>
      </c>
      <c r="B41" s="29" t="s">
        <v>89</v>
      </c>
      <c r="C41" s="30" t="s">
        <v>16</v>
      </c>
      <c r="D41" s="117"/>
      <c r="E41" s="118">
        <f>D41</f>
        <v>0</v>
      </c>
      <c r="F41" s="45"/>
      <c r="G41" s="45"/>
      <c r="H41" s="2"/>
    </row>
    <row r="42" s="1" customFormat="1" ht="27.95" customHeight="1" spans="1:14">
      <c r="A42" s="28" t="s">
        <v>21</v>
      </c>
      <c r="B42" s="42" t="s">
        <v>25</v>
      </c>
      <c r="C42" s="43" t="s">
        <v>26</v>
      </c>
      <c r="D42" s="119"/>
      <c r="E42" s="120">
        <f>D42+'26.7'!E42</f>
        <v>441</v>
      </c>
      <c r="F42" s="45"/>
      <c r="G42" s="45"/>
      <c r="H42" s="2"/>
    </row>
    <row r="43" s="1" customFormat="1" ht="27.95" customHeight="1" spans="1:14">
      <c r="A43" s="28" t="s">
        <v>24</v>
      </c>
      <c r="B43" s="42" t="s">
        <v>38</v>
      </c>
      <c r="C43" s="43" t="s">
        <v>23</v>
      </c>
      <c r="D43" s="115"/>
      <c r="E43" s="120">
        <f>D43+'26.7'!E43</f>
        <v>3</v>
      </c>
      <c r="F43" s="45"/>
      <c r="G43" s="45"/>
      <c r="H43" s="2"/>
    </row>
    <row r="44" s="1" customFormat="1" ht="27.95" customHeight="1" spans="1:14">
      <c r="A44" s="28" t="s">
        <v>27</v>
      </c>
      <c r="B44" s="42" t="s">
        <v>41</v>
      </c>
      <c r="C44" s="43" t="s">
        <v>42</v>
      </c>
      <c r="D44" s="115"/>
      <c r="E44" s="120">
        <f>D44+'26.7'!E44</f>
        <v>132840.000000001</v>
      </c>
      <c r="F44" s="45"/>
      <c r="G44" s="45"/>
      <c r="H44" s="2"/>
    </row>
    <row r="45" s="1" customFormat="1" ht="27.95" customHeight="1" spans="1:14">
      <c r="A45" s="28"/>
      <c r="B45" s="42" t="s">
        <v>90</v>
      </c>
      <c r="C45" s="43" t="s">
        <v>42</v>
      </c>
      <c r="D45" s="115">
        <f>D44</f>
        <v>0</v>
      </c>
      <c r="E45" s="120">
        <f>D45+'26.7'!E45</f>
        <v>132840.000000001</v>
      </c>
      <c r="F45" s="45"/>
      <c r="G45" s="45"/>
      <c r="H45" s="2"/>
    </row>
    <row r="46" s="1" customFormat="1" ht="27.95" customHeight="1" spans="1:14">
      <c r="A46" s="28" t="s">
        <v>29</v>
      </c>
      <c r="B46" s="42" t="s">
        <v>52</v>
      </c>
      <c r="C46" s="43" t="s">
        <v>53</v>
      </c>
      <c r="D46" s="121" t="e">
        <f>D44/D42</f>
        <v>#DIV/0!</v>
      </c>
      <c r="E46" s="122">
        <f>E44/E42</f>
        <v>301.224489795921</v>
      </c>
      <c r="F46" s="45"/>
      <c r="G46" s="45"/>
      <c r="H46" s="2"/>
    </row>
    <row r="47" s="1" customFormat="1" ht="27.95" customHeight="1" spans="1:14">
      <c r="A47" s="28" t="s">
        <v>31</v>
      </c>
      <c r="B47" s="42" t="s">
        <v>70</v>
      </c>
      <c r="C47" s="79" t="s">
        <v>68</v>
      </c>
      <c r="D47" s="123">
        <f>D42/3.6/D39/(DAY(DATE(2026,9,0))*24)</f>
        <v>0</v>
      </c>
      <c r="E47" s="124">
        <f>E42/3.6/E39/(DATEDIF(DATE(2026,1,1),DATE(2026,9,1),"D")*24)</f>
        <v>0.0381905474498067</v>
      </c>
      <c r="F47" s="45"/>
      <c r="G47" s="45"/>
      <c r="H47" s="2"/>
    </row>
    <row r="48" s="1" customFormat="1" ht="27.95" customHeight="1" spans="1:14">
      <c r="A48" s="28" t="s">
        <v>33</v>
      </c>
      <c r="B48" s="42" t="s">
        <v>72</v>
      </c>
      <c r="C48" s="43" t="s">
        <v>73</v>
      </c>
      <c r="D48" s="125" t="e">
        <f>D42/D41</f>
        <v>#DIV/0!</v>
      </c>
      <c r="E48" s="126" t="e">
        <f>E42/E41</f>
        <v>#DIV/0!</v>
      </c>
      <c r="F48" s="45"/>
      <c r="G48" s="45"/>
      <c r="H48" s="2"/>
    </row>
    <row r="49" s="1" customFormat="1" ht="27.95" customHeight="1" spans="1:10">
      <c r="A49" s="28" t="s">
        <v>37</v>
      </c>
      <c r="B49" s="42" t="s">
        <v>78</v>
      </c>
      <c r="C49" s="43" t="s">
        <v>79</v>
      </c>
      <c r="D49" s="127" t="e">
        <f>D44/D41</f>
        <v>#DIV/0!</v>
      </c>
      <c r="E49" s="128" t="e">
        <f>E44/E41</f>
        <v>#DIV/0!</v>
      </c>
      <c r="F49" s="45"/>
      <c r="G49" s="45"/>
      <c r="H49" s="2"/>
    </row>
    <row r="50" s="1" customFormat="1" ht="27.95" customHeight="1" spans="1:10">
      <c r="A50" s="129" t="s">
        <v>40</v>
      </c>
      <c r="B50" s="97" t="s">
        <v>81</v>
      </c>
      <c r="C50" s="98" t="s">
        <v>76</v>
      </c>
      <c r="D50" s="130" t="e">
        <f>D43*1000/D41</f>
        <v>#DIV/0!</v>
      </c>
      <c r="E50" s="130" t="e">
        <f>E43*1000/E41</f>
        <v>#DIV/0!</v>
      </c>
      <c r="F50" s="45"/>
      <c r="G50" s="45"/>
      <c r="H50" s="2"/>
    </row>
    <row r="51" s="1" customFormat="1" ht="18" customHeight="1" spans="1:10">
      <c r="C51" s="4"/>
      <c r="D51" s="5"/>
    </row>
    <row r="52" s="1" customFormat="1" ht="29.25" customHeight="1" spans="1:10">
      <c r="A52" s="108" t="s">
        <v>91</v>
      </c>
      <c r="C52" s="4"/>
      <c r="D52" s="5" t="s">
        <v>84</v>
      </c>
      <c r="E52" s="2"/>
      <c r="F52" s="2"/>
      <c r="G52" s="2"/>
      <c r="H52" s="2"/>
      <c r="I52" s="2"/>
      <c r="J52" s="2"/>
    </row>
    <row r="53" s="1" customFormat="1" ht="31.5" customHeight="1" spans="1:10">
      <c r="A53" s="131" t="s">
        <v>0</v>
      </c>
      <c r="B53" s="132" t="s">
        <v>85</v>
      </c>
      <c r="C53" s="132" t="s">
        <v>2</v>
      </c>
      <c r="D53" s="133" t="s">
        <v>86</v>
      </c>
      <c r="E53" s="134"/>
      <c r="F53" s="135"/>
      <c r="G53" s="136" t="s">
        <v>87</v>
      </c>
      <c r="H53" s="134"/>
      <c r="I53" s="134"/>
    </row>
    <row r="54" s="1" customFormat="1" ht="31.5" customHeight="1" spans="1:10">
      <c r="A54" s="137"/>
      <c r="B54" s="138"/>
      <c r="C54" s="138"/>
      <c r="D54" s="139" t="s">
        <v>92</v>
      </c>
      <c r="E54" s="139" t="s">
        <v>93</v>
      </c>
      <c r="F54" s="140" t="s">
        <v>9</v>
      </c>
      <c r="G54" s="141" t="s">
        <v>92</v>
      </c>
      <c r="H54" s="139" t="s">
        <v>93</v>
      </c>
      <c r="I54" s="142" t="s">
        <v>9</v>
      </c>
    </row>
    <row r="55" s="1" customFormat="1" ht="27.95" customHeight="1" spans="1:10">
      <c r="A55" s="28" t="s">
        <v>11</v>
      </c>
      <c r="B55" s="29" t="s">
        <v>12</v>
      </c>
      <c r="C55" s="30" t="s">
        <v>13</v>
      </c>
      <c r="D55" s="143">
        <v>6</v>
      </c>
      <c r="E55" s="143">
        <v>6.4</v>
      </c>
      <c r="F55" s="144">
        <f t="shared" ref="F55:F61" si="24">SUM(D55:E55)</f>
        <v>12.4</v>
      </c>
      <c r="G55" s="145">
        <f t="shared" ref="G55:G57" si="25">D55</f>
        <v>6</v>
      </c>
      <c r="H55" s="146">
        <f t="shared" ref="H55:H57" si="26">E55</f>
        <v>6.4</v>
      </c>
      <c r="I55" s="146">
        <f t="shared" ref="I55:I61" si="27">SUM(G55:H55)</f>
        <v>12.4</v>
      </c>
    </row>
    <row r="56" s="1" customFormat="1" ht="27.95" customHeight="1" spans="1:10">
      <c r="A56" s="28" t="s">
        <v>14</v>
      </c>
      <c r="B56" s="29" t="s">
        <v>88</v>
      </c>
      <c r="C56" s="30" t="s">
        <v>16</v>
      </c>
      <c r="D56" s="148"/>
      <c r="E56" s="148"/>
      <c r="F56" s="117">
        <f t="shared" si="24"/>
        <v>0</v>
      </c>
      <c r="G56" s="118">
        <f t="shared" si="25"/>
        <v>0</v>
      </c>
      <c r="H56" s="118">
        <f t="shared" si="26"/>
        <v>0</v>
      </c>
      <c r="I56" s="147">
        <f t="shared" si="27"/>
        <v>0</v>
      </c>
    </row>
    <row r="57" s="1" customFormat="1" ht="27.95" customHeight="1" spans="1:10">
      <c r="A57" s="28" t="s">
        <v>19</v>
      </c>
      <c r="B57" s="29" t="s">
        <v>89</v>
      </c>
      <c r="C57" s="30" t="s">
        <v>16</v>
      </c>
      <c r="D57" s="147"/>
      <c r="E57" s="147"/>
      <c r="F57" s="117">
        <f t="shared" si="24"/>
        <v>0</v>
      </c>
      <c r="G57" s="118">
        <f t="shared" si="25"/>
        <v>0</v>
      </c>
      <c r="H57" s="118">
        <f t="shared" si="26"/>
        <v>0</v>
      </c>
      <c r="I57" s="147">
        <f t="shared" si="27"/>
        <v>0</v>
      </c>
    </row>
    <row r="58" s="1" customFormat="1" ht="27.95" customHeight="1" spans="1:10">
      <c r="A58" s="28" t="s">
        <v>21</v>
      </c>
      <c r="B58" s="42" t="s">
        <v>25</v>
      </c>
      <c r="C58" s="43" t="s">
        <v>26</v>
      </c>
      <c r="D58" s="148"/>
      <c r="E58" s="149"/>
      <c r="F58" s="117">
        <f t="shared" si="24"/>
        <v>0</v>
      </c>
      <c r="G58" s="150">
        <f>D58+'26.7'!G58</f>
        <v>0</v>
      </c>
      <c r="H58" s="150">
        <f>E58+'26.7'!H58</f>
        <v>0</v>
      </c>
      <c r="I58" s="147">
        <f t="shared" si="27"/>
        <v>0</v>
      </c>
    </row>
    <row r="59" s="1" customFormat="1" ht="27.95" customHeight="1" spans="1:10">
      <c r="A59" s="28" t="s">
        <v>24</v>
      </c>
      <c r="B59" s="42" t="s">
        <v>38</v>
      </c>
      <c r="C59" s="43" t="s">
        <v>23</v>
      </c>
      <c r="D59" s="148"/>
      <c r="E59" s="148"/>
      <c r="F59" s="117">
        <f t="shared" si="24"/>
        <v>0</v>
      </c>
      <c r="G59" s="150">
        <f>D59+'26.7'!G59</f>
        <v>0</v>
      </c>
      <c r="H59" s="150">
        <f>E59+'26.7'!H59</f>
        <v>0</v>
      </c>
      <c r="I59" s="147">
        <f t="shared" si="27"/>
        <v>0</v>
      </c>
    </row>
    <row r="60" s="1" customFormat="1" ht="27.95" customHeight="1" spans="1:10">
      <c r="A60" s="28" t="s">
        <v>27</v>
      </c>
      <c r="B60" s="42" t="s">
        <v>41</v>
      </c>
      <c r="C60" s="43" t="s">
        <v>42</v>
      </c>
      <c r="D60" s="148"/>
      <c r="E60" s="148"/>
      <c r="F60" s="117">
        <f t="shared" si="24"/>
        <v>0</v>
      </c>
      <c r="G60" s="150">
        <f>D60+'26.7'!G60</f>
        <v>0</v>
      </c>
      <c r="H60" s="150">
        <f>E60+'26.7'!H60</f>
        <v>0</v>
      </c>
      <c r="I60" s="147">
        <f t="shared" si="27"/>
        <v>0</v>
      </c>
    </row>
    <row r="61" s="1" customFormat="1" ht="27.95" customHeight="1" spans="1:10">
      <c r="A61" s="28"/>
      <c r="B61" s="42" t="s">
        <v>90</v>
      </c>
      <c r="C61" s="43" t="s">
        <v>42</v>
      </c>
      <c r="D61" s="148"/>
      <c r="E61" s="148"/>
      <c r="F61" s="117">
        <f t="shared" si="24"/>
        <v>0</v>
      </c>
      <c r="G61" s="150">
        <f>D61+'26.7'!G61</f>
        <v>0</v>
      </c>
      <c r="H61" s="150">
        <f>E61+'26.7'!H61</f>
        <v>0</v>
      </c>
      <c r="I61" s="147">
        <f t="shared" si="27"/>
        <v>0</v>
      </c>
    </row>
    <row r="62" s="1" customFormat="1" ht="27.95" customHeight="1" spans="1:10">
      <c r="A62" s="28" t="s">
        <v>29</v>
      </c>
      <c r="B62" s="42" t="s">
        <v>52</v>
      </c>
      <c r="C62" s="43" t="s">
        <v>53</v>
      </c>
      <c r="D62" s="151" t="e">
        <f t="shared" ref="D62:I62" si="28">D60/D58</f>
        <v>#DIV/0!</v>
      </c>
      <c r="E62" s="151" t="e">
        <f t="shared" si="28"/>
        <v>#DIV/0!</v>
      </c>
      <c r="F62" s="121" t="e">
        <f t="shared" si="28"/>
        <v>#DIV/0!</v>
      </c>
      <c r="G62" s="152" t="e">
        <f t="shared" si="28"/>
        <v>#DIV/0!</v>
      </c>
      <c r="H62" s="60" t="e">
        <f t="shared" si="28"/>
        <v>#DIV/0!</v>
      </c>
      <c r="I62" s="61" t="e">
        <f t="shared" si="28"/>
        <v>#DIV/0!</v>
      </c>
    </row>
    <row r="63" s="1" customFormat="1" ht="27.95" customHeight="1" spans="1:10">
      <c r="A63" s="28" t="s">
        <v>31</v>
      </c>
      <c r="B63" s="42" t="s">
        <v>70</v>
      </c>
      <c r="C63" s="79" t="s">
        <v>68</v>
      </c>
      <c r="D63" s="83">
        <f>D58/3.6/D55/(DAY(DATE(2026,9,0))*24)</f>
        <v>0</v>
      </c>
      <c r="E63" s="83">
        <f>E58/3.6/E55/(DAY(DATE(2026,9,0))*24)</f>
        <v>0</v>
      </c>
      <c r="F63" s="123">
        <f>F58/3.6/F55/(DAY(DATE(2026,9,0))*24)</f>
        <v>0</v>
      </c>
      <c r="G63" s="85">
        <f>G58/3.6/G55/(DATEDIF(DATE(2026,1,1),DATE(2026,9,1),"D")*24)</f>
        <v>0</v>
      </c>
      <c r="H63" s="83">
        <f>H58/3.6/H55/(DATEDIF(DATE(2026,1,1),DATE(2026,9,1),"D")*24)</f>
        <v>0</v>
      </c>
      <c r="I63" s="84">
        <f>I58/3.6/I55/(DATEDIF(DATE(2026,1,1),DATE(2026,9,1),"D")*24)</f>
        <v>0</v>
      </c>
    </row>
    <row r="64" s="1" customFormat="1" ht="27.95" customHeight="1" spans="1:10">
      <c r="A64" s="28" t="s">
        <v>33</v>
      </c>
      <c r="B64" s="42" t="s">
        <v>72</v>
      </c>
      <c r="C64" s="43" t="s">
        <v>73</v>
      </c>
      <c r="D64" s="87" t="e">
        <f t="shared" ref="D64:I64" si="29">D58/D57</f>
        <v>#DIV/0!</v>
      </c>
      <c r="E64" s="87" t="e">
        <f t="shared" si="29"/>
        <v>#DIV/0!</v>
      </c>
      <c r="F64" s="89" t="e">
        <f t="shared" si="29"/>
        <v>#DIV/0!</v>
      </c>
      <c r="G64" s="153" t="e">
        <f t="shared" si="29"/>
        <v>#DIV/0!</v>
      </c>
      <c r="H64" s="87" t="e">
        <f t="shared" si="29"/>
        <v>#DIV/0!</v>
      </c>
      <c r="I64" s="89" t="e">
        <f t="shared" si="29"/>
        <v>#DIV/0!</v>
      </c>
    </row>
    <row r="65" s="1" customFormat="1" ht="27.95" customHeight="1" spans="1:9">
      <c r="A65" s="28" t="s">
        <v>37</v>
      </c>
      <c r="B65" s="42" t="s">
        <v>78</v>
      </c>
      <c r="C65" s="43" t="s">
        <v>79</v>
      </c>
      <c r="D65" s="91" t="e">
        <f t="shared" ref="D65:I65" si="30">D60/D57</f>
        <v>#DIV/0!</v>
      </c>
      <c r="E65" s="91" t="e">
        <f t="shared" si="30"/>
        <v>#DIV/0!</v>
      </c>
      <c r="F65" s="92" t="e">
        <f t="shared" si="30"/>
        <v>#DIV/0!</v>
      </c>
      <c r="G65" s="154" t="e">
        <f t="shared" si="30"/>
        <v>#DIV/0!</v>
      </c>
      <c r="H65" s="91" t="e">
        <f t="shared" si="30"/>
        <v>#DIV/0!</v>
      </c>
      <c r="I65" s="92" t="e">
        <f t="shared" si="30"/>
        <v>#DIV/0!</v>
      </c>
    </row>
    <row r="66" s="1" customFormat="1" ht="27.95" customHeight="1" spans="1:9">
      <c r="A66" s="129" t="s">
        <v>40</v>
      </c>
      <c r="B66" s="97" t="s">
        <v>81</v>
      </c>
      <c r="C66" s="98" t="s">
        <v>76</v>
      </c>
      <c r="D66" s="100" t="e">
        <f t="shared" ref="D66:I66" si="31">D59*1000/D57</f>
        <v>#DIV/0!</v>
      </c>
      <c r="E66" s="100" t="e">
        <f t="shared" si="31"/>
        <v>#DIV/0!</v>
      </c>
      <c r="F66" s="101" t="e">
        <f t="shared" si="31"/>
        <v>#DIV/0!</v>
      </c>
      <c r="G66" s="155" t="e">
        <f t="shared" si="31"/>
        <v>#DIV/0!</v>
      </c>
      <c r="H66" s="100" t="e">
        <f t="shared" si="31"/>
        <v>#DIV/0!</v>
      </c>
      <c r="I66" s="101" t="e">
        <f t="shared" si="31"/>
        <v>#DIV/0!</v>
      </c>
    </row>
    <row r="67" s="1" customFormat="1" ht="18" customHeight="1" spans="1:9">
      <c r="C67" s="4"/>
      <c r="D67" s="5"/>
    </row>
    <row r="68" s="1" customFormat="1" ht="29.25" customHeight="1" spans="1:9">
      <c r="A68" s="108" t="s">
        <v>94</v>
      </c>
      <c r="C68" s="4"/>
      <c r="D68" s="5"/>
    </row>
    <row r="69" s="1" customFormat="1" ht="30" customHeight="1" spans="1:9">
      <c r="A69" s="131" t="s">
        <v>0</v>
      </c>
      <c r="B69" s="7" t="s">
        <v>1</v>
      </c>
      <c r="C69" s="7" t="s">
        <v>2</v>
      </c>
      <c r="D69" s="133" t="s">
        <v>86</v>
      </c>
      <c r="E69" s="135"/>
      <c r="F69" s="134" t="s">
        <v>87</v>
      </c>
      <c r="G69" s="134"/>
    </row>
    <row r="70" s="1" customFormat="1" ht="30" customHeight="1" spans="1:9">
      <c r="A70" s="137"/>
      <c r="B70" s="14"/>
      <c r="C70" s="14"/>
      <c r="D70" s="139" t="s">
        <v>95</v>
      </c>
      <c r="E70" s="156" t="s">
        <v>96</v>
      </c>
      <c r="F70" s="141" t="s">
        <v>95</v>
      </c>
      <c r="G70" s="142" t="s">
        <v>96</v>
      </c>
    </row>
    <row r="71" s="1" customFormat="1" ht="27.95" customHeight="1" spans="1:9">
      <c r="A71" s="19" t="s">
        <v>11</v>
      </c>
      <c r="B71" s="20" t="s">
        <v>12</v>
      </c>
      <c r="C71" s="21" t="s">
        <v>13</v>
      </c>
      <c r="D71" s="157">
        <v>217</v>
      </c>
      <c r="E71" s="158">
        <v>1.4</v>
      </c>
      <c r="F71" s="159">
        <f>D71</f>
        <v>217</v>
      </c>
      <c r="G71" s="160">
        <f>E71</f>
        <v>1.4</v>
      </c>
    </row>
    <row r="72" s="1" customFormat="1" ht="27.95" customHeight="1" spans="1:9">
      <c r="A72" s="28" t="s">
        <v>14</v>
      </c>
      <c r="B72" s="42" t="s">
        <v>22</v>
      </c>
      <c r="C72" s="43" t="s">
        <v>23</v>
      </c>
      <c r="D72" s="148"/>
      <c r="E72" s="115"/>
      <c r="F72" s="161">
        <f>D72</f>
        <v>0</v>
      </c>
      <c r="G72" s="162">
        <f>E72</f>
        <v>0</v>
      </c>
    </row>
    <row r="73" s="1" customFormat="1" ht="27.95" customHeight="1" spans="1:9">
      <c r="A73" s="28" t="s">
        <v>19</v>
      </c>
      <c r="B73" s="42" t="s">
        <v>25</v>
      </c>
      <c r="C73" s="43" t="s">
        <v>26</v>
      </c>
      <c r="D73" s="147">
        <f>D72*2.951694</f>
        <v>0</v>
      </c>
      <c r="E73" s="163">
        <f>E72*2.732</f>
        <v>0</v>
      </c>
      <c r="F73" s="120">
        <f>D73+'26.7'!F73</f>
        <v>0</v>
      </c>
      <c r="G73" s="120">
        <f>E73+'26.7'!G73</f>
        <v>0</v>
      </c>
    </row>
    <row r="74" s="1" customFormat="1" ht="27.95" customHeight="1" spans="1:9">
      <c r="A74" s="28" t="s">
        <v>21</v>
      </c>
      <c r="B74" s="42" t="s">
        <v>97</v>
      </c>
      <c r="C74" s="43" t="s">
        <v>98</v>
      </c>
      <c r="D74" s="148"/>
      <c r="E74" s="115"/>
      <c r="F74" s="120">
        <f>D74+'26.7'!F74</f>
        <v>0</v>
      </c>
      <c r="G74" s="120">
        <f>E74+'26.7'!G74</f>
        <v>0</v>
      </c>
    </row>
    <row r="75" s="1" customFormat="1" ht="27.95" customHeight="1" spans="1:9">
      <c r="A75" s="28" t="s">
        <v>24</v>
      </c>
      <c r="B75" s="42" t="s">
        <v>34</v>
      </c>
      <c r="C75" s="43" t="s">
        <v>23</v>
      </c>
      <c r="D75" s="147">
        <f>D74*D80/29308/1000</f>
        <v>0</v>
      </c>
      <c r="E75" s="117">
        <f>E74*E80/29308/1000</f>
        <v>0</v>
      </c>
      <c r="F75" s="120">
        <f>D75+'26.7'!F75</f>
        <v>0</v>
      </c>
      <c r="G75" s="120">
        <f>E75+'26.7'!G75</f>
        <v>0</v>
      </c>
    </row>
    <row r="76" s="1" customFormat="1" ht="27.95" customHeight="1" spans="1:9">
      <c r="A76" s="28" t="s">
        <v>27</v>
      </c>
      <c r="B76" s="42" t="s">
        <v>38</v>
      </c>
      <c r="C76" s="43" t="s">
        <v>23</v>
      </c>
      <c r="D76" s="148"/>
      <c r="E76" s="164"/>
      <c r="F76" s="120">
        <f>D76+'26.7'!F76</f>
        <v>0</v>
      </c>
      <c r="G76" s="120">
        <f>E76+'26.7'!G76</f>
        <v>0</v>
      </c>
    </row>
    <row r="77" s="1" customFormat="1" ht="27.95" customHeight="1" spans="1:9">
      <c r="A77" s="28" t="s">
        <v>29</v>
      </c>
      <c r="B77" s="42" t="s">
        <v>41</v>
      </c>
      <c r="C77" s="43" t="s">
        <v>42</v>
      </c>
      <c r="D77" s="148"/>
      <c r="E77" s="164"/>
      <c r="F77" s="120">
        <f>D77+'26.7'!F77</f>
        <v>0</v>
      </c>
      <c r="G77" s="120">
        <f>E77+'26.7'!G77</f>
        <v>0</v>
      </c>
    </row>
    <row r="78" s="1" customFormat="1" ht="27.95" customHeight="1" spans="1:9">
      <c r="A78" s="28" t="s">
        <v>31</v>
      </c>
      <c r="B78" s="42" t="s">
        <v>52</v>
      </c>
      <c r="C78" s="43" t="s">
        <v>53</v>
      </c>
      <c r="D78" s="165" t="e">
        <f>D77/D73</f>
        <v>#DIV/0!</v>
      </c>
      <c r="E78" s="166"/>
      <c r="F78" s="167" t="e">
        <f>F77/F73</f>
        <v>#DIV/0!</v>
      </c>
      <c r="G78" s="168"/>
    </row>
    <row r="79" s="1" customFormat="1" ht="27.95" customHeight="1" spans="1:9">
      <c r="A79" s="28" t="s">
        <v>33</v>
      </c>
      <c r="B79" s="42" t="s">
        <v>55</v>
      </c>
      <c r="C79" s="43" t="s">
        <v>56</v>
      </c>
      <c r="D79" s="60" t="e">
        <f t="shared" ref="D79:G79" si="32">D75*1000/D73</f>
        <v>#DIV/0!</v>
      </c>
      <c r="E79" s="169" t="e">
        <f t="shared" si="32"/>
        <v>#DIV/0!</v>
      </c>
      <c r="F79" s="170" t="e">
        <f t="shared" si="32"/>
        <v>#DIV/0!</v>
      </c>
      <c r="G79" s="61" t="e">
        <f t="shared" si="32"/>
        <v>#DIV/0!</v>
      </c>
      <c r="H79" s="12"/>
    </row>
    <row r="80" s="1" customFormat="1" ht="27.95" customHeight="1" spans="1:9">
      <c r="A80" s="28" t="s">
        <v>37</v>
      </c>
      <c r="B80" s="42" t="s">
        <v>99</v>
      </c>
      <c r="C80" s="43" t="s">
        <v>100</v>
      </c>
      <c r="D80" s="56"/>
      <c r="E80" s="171"/>
      <c r="F80" s="172" t="e">
        <f>F75*29308*1000/F74</f>
        <v>#DIV/0!</v>
      </c>
      <c r="G80" s="147" t="e">
        <f>G75*29308*1000/G74</f>
        <v>#DIV/0!</v>
      </c>
      <c r="H80" s="12"/>
    </row>
    <row r="81" s="1" customFormat="1" ht="27.95" customHeight="1" spans="1:11">
      <c r="A81" s="28" t="s">
        <v>40</v>
      </c>
      <c r="B81" s="42" t="s">
        <v>67</v>
      </c>
      <c r="C81" s="79" t="s">
        <v>68</v>
      </c>
      <c r="D81" s="80" t="e">
        <f t="shared" ref="D81:G81" si="33">D73/(D75*29.308)</f>
        <v>#DIV/0!</v>
      </c>
      <c r="E81" s="173" t="e">
        <f t="shared" si="33"/>
        <v>#DIV/0!</v>
      </c>
      <c r="F81" s="174" t="e">
        <f t="shared" si="33"/>
        <v>#DIV/0!</v>
      </c>
      <c r="G81" s="81" t="e">
        <f t="shared" si="33"/>
        <v>#DIV/0!</v>
      </c>
      <c r="H81" s="12"/>
    </row>
    <row r="82" s="1" customFormat="1" ht="27.95" customHeight="1" spans="1:11">
      <c r="A82" s="129" t="s">
        <v>47</v>
      </c>
      <c r="B82" s="175" t="s">
        <v>70</v>
      </c>
      <c r="C82" s="176" t="s">
        <v>68</v>
      </c>
      <c r="D82" s="177">
        <f>D73/3.6/D71/(DAY(DATE(2026,9,0))*24)</f>
        <v>0</v>
      </c>
      <c r="E82" s="178">
        <f>E73/3.6/E71/(DAY(DATE(2026,9,0))*24)</f>
        <v>0</v>
      </c>
      <c r="F82" s="179">
        <f>F73/3.6/F71/(DATEDIF(DATE(2026,1,1),DATE(2026,9,1),"D")*24)</f>
        <v>0</v>
      </c>
      <c r="G82" s="180">
        <f>G73/3.6/G71/(DATEDIF(DATE(2026,1,1),DATE(2026,9,1),"D")*24)</f>
        <v>0</v>
      </c>
      <c r="H82" s="12"/>
    </row>
    <row r="83" s="1" customFormat="1" ht="18" customHeight="1" spans="1:11">
      <c r="B83" s="181"/>
      <c r="C83" s="181"/>
      <c r="D83" s="5"/>
    </row>
    <row r="84" s="1" customFormat="1" customHeight="1" spans="1:11">
      <c r="A84" s="108" t="s">
        <v>101</v>
      </c>
      <c r="C84" s="4"/>
      <c r="D84" s="5" t="s">
        <v>84</v>
      </c>
      <c r="E84" s="2"/>
      <c r="F84" s="2"/>
      <c r="G84" s="2"/>
      <c r="H84" s="2"/>
      <c r="I84" s="2"/>
    </row>
    <row r="85" s="1" customFormat="1" customHeight="1" spans="1:11">
      <c r="A85" s="131" t="s">
        <v>0</v>
      </c>
      <c r="B85" s="132" t="s">
        <v>85</v>
      </c>
      <c r="C85" s="132" t="s">
        <v>2</v>
      </c>
      <c r="D85" s="182" t="s">
        <v>86</v>
      </c>
      <c r="E85" s="139" t="s">
        <v>87</v>
      </c>
      <c r="F85" s="182" t="s">
        <v>102</v>
      </c>
      <c r="G85" s="182" t="s">
        <v>103</v>
      </c>
      <c r="H85" s="183"/>
      <c r="I85" s="183"/>
    </row>
    <row r="86" s="1" customFormat="1" customHeight="1" spans="1:11">
      <c r="A86" s="137"/>
      <c r="B86" s="138"/>
      <c r="C86" s="138"/>
      <c r="D86" s="182" t="s">
        <v>104</v>
      </c>
      <c r="E86" s="182" t="s">
        <v>104</v>
      </c>
      <c r="F86" s="182"/>
      <c r="G86" s="182"/>
      <c r="H86" s="183"/>
      <c r="I86" s="184"/>
    </row>
    <row r="87" s="1" customFormat="1" customHeight="1" spans="1:11">
      <c r="A87" s="28" t="s">
        <v>11</v>
      </c>
      <c r="B87" s="29" t="s">
        <v>12</v>
      </c>
      <c r="C87" s="30" t="s">
        <v>13</v>
      </c>
      <c r="D87" s="185">
        <v>0.7888</v>
      </c>
      <c r="E87" s="186">
        <f t="shared" ref="E87:E89" si="34">D87</f>
        <v>0.7888</v>
      </c>
      <c r="F87" s="187">
        <f t="shared" ref="F87:F93" si="35">F55+D87</f>
        <v>13.1888</v>
      </c>
      <c r="G87" s="187">
        <f t="shared" ref="G87:G93" si="36">E87+I55</f>
        <v>13.1888</v>
      </c>
      <c r="H87" s="145"/>
      <c r="I87" s="145"/>
    </row>
    <row r="88" s="1" customFormat="1" customHeight="1" spans="1:11">
      <c r="A88" s="28" t="s">
        <v>14</v>
      </c>
      <c r="B88" s="29" t="s">
        <v>88</v>
      </c>
      <c r="C88" s="30" t="s">
        <v>16</v>
      </c>
      <c r="D88" s="188"/>
      <c r="E88" s="189">
        <f t="shared" si="34"/>
        <v>0</v>
      </c>
      <c r="F88" s="190">
        <v>83197.81</v>
      </c>
      <c r="G88" s="190">
        <v>83197.81</v>
      </c>
      <c r="H88" s="116"/>
      <c r="I88" s="116"/>
    </row>
    <row r="89" s="1" customFormat="1" customHeight="1" spans="1:11">
      <c r="A89" s="28" t="s">
        <v>19</v>
      </c>
      <c r="B89" s="29" t="s">
        <v>89</v>
      </c>
      <c r="C89" s="30" t="s">
        <v>16</v>
      </c>
      <c r="D89" s="188"/>
      <c r="E89" s="189">
        <f t="shared" si="34"/>
        <v>0</v>
      </c>
      <c r="F89" s="190">
        <v>83197.81</v>
      </c>
      <c r="G89" s="190">
        <v>83197.81</v>
      </c>
      <c r="H89" s="116"/>
      <c r="I89" s="116"/>
    </row>
    <row r="90" s="1" customFormat="1" customHeight="1" spans="1:11">
      <c r="A90" s="28" t="s">
        <v>21</v>
      </c>
      <c r="B90" s="42" t="s">
        <v>25</v>
      </c>
      <c r="C90" s="43" t="s">
        <v>26</v>
      </c>
      <c r="D90" s="188"/>
      <c r="E90" s="191">
        <f>D90+'26.7'!E90</f>
        <v>0</v>
      </c>
      <c r="F90" s="192">
        <f t="shared" si="35"/>
        <v>0</v>
      </c>
      <c r="G90" s="192">
        <f t="shared" si="36"/>
        <v>0</v>
      </c>
      <c r="H90" s="116"/>
      <c r="I90" s="116"/>
    </row>
    <row r="91" s="1" customFormat="1" customHeight="1" spans="1:11">
      <c r="A91" s="28" t="s">
        <v>24</v>
      </c>
      <c r="B91" s="42" t="s">
        <v>38</v>
      </c>
      <c r="C91" s="43" t="s">
        <v>23</v>
      </c>
      <c r="D91" s="188"/>
      <c r="E91" s="191">
        <f>D91+'26.7'!E91</f>
        <v>0</v>
      </c>
      <c r="F91" s="192">
        <f t="shared" si="35"/>
        <v>0</v>
      </c>
      <c r="G91" s="192">
        <f t="shared" si="36"/>
        <v>0</v>
      </c>
      <c r="H91" s="116"/>
      <c r="I91" s="116"/>
    </row>
    <row r="92" s="1" customFormat="1" customHeight="1" spans="1:11">
      <c r="A92" s="28" t="s">
        <v>27</v>
      </c>
      <c r="B92" s="42" t="s">
        <v>41</v>
      </c>
      <c r="C92" s="43" t="s">
        <v>42</v>
      </c>
      <c r="D92" s="188"/>
      <c r="E92" s="191">
        <f>D92+'26.7'!E92</f>
        <v>0</v>
      </c>
      <c r="F92" s="192">
        <f t="shared" si="35"/>
        <v>0</v>
      </c>
      <c r="G92" s="192">
        <f t="shared" si="36"/>
        <v>0</v>
      </c>
      <c r="H92" s="116"/>
      <c r="I92" s="116"/>
    </row>
    <row r="93" s="1" customFormat="1" customHeight="1" spans="1:11">
      <c r="A93" s="28"/>
      <c r="B93" s="42" t="s">
        <v>90</v>
      </c>
      <c r="C93" s="43" t="s">
        <v>42</v>
      </c>
      <c r="D93" s="188"/>
      <c r="E93" s="191">
        <f>D93+'26.7'!E93</f>
        <v>0</v>
      </c>
      <c r="F93" s="192">
        <f t="shared" si="35"/>
        <v>0</v>
      </c>
      <c r="G93" s="192">
        <f t="shared" si="36"/>
        <v>0</v>
      </c>
      <c r="H93" s="116"/>
      <c r="I93" s="116"/>
    </row>
    <row r="94" s="1" customFormat="1" customHeight="1" spans="1:11">
      <c r="A94" s="28" t="s">
        <v>29</v>
      </c>
      <c r="B94" s="42" t="s">
        <v>52</v>
      </c>
      <c r="C94" s="43" t="s">
        <v>53</v>
      </c>
      <c r="D94" s="193" t="e">
        <f t="shared" ref="D94:G94" si="37">D92/D90</f>
        <v>#DIV/0!</v>
      </c>
      <c r="E94" s="193" t="e">
        <f t="shared" si="37"/>
        <v>#DIV/0!</v>
      </c>
      <c r="F94" s="193" t="e">
        <f t="shared" si="37"/>
        <v>#DIV/0!</v>
      </c>
      <c r="G94" s="193" t="e">
        <f t="shared" si="37"/>
        <v>#DIV/0!</v>
      </c>
      <c r="H94" s="122"/>
      <c r="I94" s="122"/>
    </row>
    <row r="95" s="1" customFormat="1" customHeight="1" spans="1:11">
      <c r="A95" s="28" t="s">
        <v>31</v>
      </c>
      <c r="B95" s="42" t="s">
        <v>105</v>
      </c>
      <c r="C95" s="79" t="s">
        <v>68</v>
      </c>
      <c r="D95" s="194">
        <f>D90/3.6/D87/(DAY(DATE(2026,9,0))*24)</f>
        <v>0</v>
      </c>
      <c r="E95" s="84">
        <f>E90/3.6/E87/(DATEDIF(DATE(2026,1,1),DATE(2026,9,1),"D")*24)</f>
        <v>0</v>
      </c>
      <c r="F95" s="194">
        <f>F90/3.6/F87/(DAY(DATE(2026,9,0))*24)</f>
        <v>0</v>
      </c>
      <c r="G95" s="84">
        <f>G90/3.6/G87/(DATEDIF(DATE(2026,1,1),DATE(2026,9,1),"D")*24)</f>
        <v>0</v>
      </c>
      <c r="H95" s="195"/>
      <c r="I95" s="195"/>
      <c r="K95" s="196"/>
    </row>
    <row r="96" s="1" customFormat="1" customHeight="1" spans="1:11">
      <c r="A96" s="28" t="s">
        <v>33</v>
      </c>
      <c r="B96" s="42" t="s">
        <v>72</v>
      </c>
      <c r="C96" s="43" t="s">
        <v>73</v>
      </c>
      <c r="D96" s="197" t="e">
        <f t="shared" ref="D96:G96" si="38">D90/D89</f>
        <v>#DIV/0!</v>
      </c>
      <c r="E96" s="197" t="e">
        <f t="shared" si="38"/>
        <v>#DIV/0!</v>
      </c>
      <c r="F96" s="197">
        <f t="shared" si="38"/>
        <v>0</v>
      </c>
      <c r="G96" s="197">
        <f t="shared" si="38"/>
        <v>0</v>
      </c>
      <c r="H96" s="126"/>
      <c r="I96" s="126"/>
    </row>
    <row r="97" s="1" customFormat="1" customHeight="1" spans="1:9">
      <c r="A97" s="28" t="s">
        <v>37</v>
      </c>
      <c r="B97" s="42" t="s">
        <v>78</v>
      </c>
      <c r="C97" s="43" t="s">
        <v>79</v>
      </c>
      <c r="D97" s="198" t="e">
        <f t="shared" ref="D97:G97" si="39">D92/D89</f>
        <v>#DIV/0!</v>
      </c>
      <c r="E97" s="198" t="e">
        <f t="shared" si="39"/>
        <v>#DIV/0!</v>
      </c>
      <c r="F97" s="198">
        <f t="shared" si="39"/>
        <v>0</v>
      </c>
      <c r="G97" s="198">
        <f t="shared" si="39"/>
        <v>0</v>
      </c>
      <c r="H97" s="128"/>
      <c r="I97" s="128"/>
    </row>
    <row r="98" s="1" customFormat="1" customHeight="1" spans="1:9">
      <c r="A98" s="129" t="s">
        <v>40</v>
      </c>
      <c r="B98" s="97" t="s">
        <v>81</v>
      </c>
      <c r="C98" s="98" t="s">
        <v>76</v>
      </c>
      <c r="D98" s="198" t="e">
        <f t="shared" ref="D98:G98" si="40">D91*1000/D89</f>
        <v>#DIV/0!</v>
      </c>
      <c r="E98" s="198" t="e">
        <f t="shared" si="40"/>
        <v>#DIV/0!</v>
      </c>
      <c r="F98" s="198">
        <f t="shared" si="40"/>
        <v>0</v>
      </c>
      <c r="G98" s="198">
        <f t="shared" si="40"/>
        <v>0</v>
      </c>
      <c r="H98" s="128"/>
      <c r="I98" s="128"/>
    </row>
  </sheetData>
  <mergeCells count="20">
    <mergeCell ref="D1:H1"/>
    <mergeCell ref="I1:M1"/>
    <mergeCell ref="D53:F53"/>
    <mergeCell ref="G53:I53"/>
    <mergeCell ref="D69:E69"/>
    <mergeCell ref="F69:G69"/>
    <mergeCell ref="A1:A2"/>
    <mergeCell ref="A53:A54"/>
    <mergeCell ref="A69:A70"/>
    <mergeCell ref="A85:A86"/>
    <mergeCell ref="B1:B2"/>
    <mergeCell ref="B53:B54"/>
    <mergeCell ref="B69:B70"/>
    <mergeCell ref="B85:B86"/>
    <mergeCell ref="C1:C2"/>
    <mergeCell ref="C53:C54"/>
    <mergeCell ref="C69:C70"/>
    <mergeCell ref="C85:C86"/>
    <mergeCell ref="F85:F86"/>
    <mergeCell ref="G85:G86"/>
  </mergeCells>
  <pageMargins left="0.748031496062992" right="0.748031496062992" top="0.984251968503937" bottom="0.984251968503937" header="0.511811023622047" footer="0.511811023622047"/>
  <pageSetup paperSize="9" orientation="landscape" horizontalDpi="600" verticalDpi="600"/>
  <headerFooter alignWithMargins="0" scaleWithDoc="0">
    <oddHeader>&amp;C&amp;20 2022年8月份集团各锅炉站生产报表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8"/>
  <sheetViews>
    <sheetView showGridLines="0" zoomScale="70" zoomScaleNormal="70" zoomScaleSheetLayoutView="60" workbookViewId="0">
      <pane xSplit="2" ySplit="2" topLeftCell="C12" activePane="bottomRight" state="frozen"/>
      <selection/>
      <selection pane="topRight"/>
      <selection pane="bottomLeft"/>
      <selection pane="bottomRight" activeCell="L36" sqref="L36"/>
    </sheetView>
  </sheetViews>
  <sheetFormatPr defaultColWidth="8.625" defaultRowHeight="15" customHeight="1"/>
  <cols>
    <col min="1" max="1" width="7.375" style="1" customWidth="1"/>
    <col min="2" max="2" width="19.75" style="1" customWidth="1"/>
    <col min="3" max="3" width="13.5" style="4" customWidth="1"/>
    <col min="4" max="4" width="13.45" style="5" customWidth="1"/>
    <col min="5" max="13" width="13.45" style="1" customWidth="1"/>
    <col min="14" max="14" width="22.2083333333333" style="1"/>
    <col min="15" max="16384" width="8.625" style="1"/>
  </cols>
  <sheetData>
    <row r="1" s="1" customFormat="1" ht="39.95" customHeight="1" spans="1:14">
      <c r="A1" s="6" t="s">
        <v>0</v>
      </c>
      <c r="B1" s="7" t="s">
        <v>1</v>
      </c>
      <c r="C1" s="7" t="s">
        <v>2</v>
      </c>
      <c r="D1" s="8" t="s">
        <v>3</v>
      </c>
      <c r="E1" s="9"/>
      <c r="F1" s="9"/>
      <c r="G1" s="9"/>
      <c r="H1" s="10"/>
      <c r="I1" s="11" t="s">
        <v>4</v>
      </c>
      <c r="J1" s="9"/>
      <c r="K1" s="9"/>
      <c r="L1" s="9"/>
      <c r="M1" s="9"/>
      <c r="N1" s="12"/>
    </row>
    <row r="2" s="1" customFormat="1" ht="39.95" customHeight="1" spans="1:14">
      <c r="A2" s="13"/>
      <c r="B2" s="14"/>
      <c r="C2" s="14"/>
      <c r="D2" s="15" t="s">
        <v>5</v>
      </c>
      <c r="E2" s="15" t="s">
        <v>6</v>
      </c>
      <c r="F2" s="15" t="s">
        <v>7</v>
      </c>
      <c r="G2" s="16" t="s">
        <v>8</v>
      </c>
      <c r="H2" s="17" t="s">
        <v>9</v>
      </c>
      <c r="I2" s="18" t="s">
        <v>5</v>
      </c>
      <c r="J2" s="15" t="s">
        <v>6</v>
      </c>
      <c r="K2" s="15" t="s">
        <v>7</v>
      </c>
      <c r="L2" s="16" t="s">
        <v>10</v>
      </c>
      <c r="M2" s="17" t="s">
        <v>9</v>
      </c>
    </row>
    <row r="3" s="1" customFormat="1" ht="18" customHeight="1" spans="1:14">
      <c r="A3" s="19" t="s">
        <v>11</v>
      </c>
      <c r="B3" s="20" t="s">
        <v>12</v>
      </c>
      <c r="C3" s="21" t="s">
        <v>13</v>
      </c>
      <c r="D3" s="22">
        <v>348</v>
      </c>
      <c r="E3" s="23">
        <v>162</v>
      </c>
      <c r="F3" s="23"/>
      <c r="G3" s="24">
        <v>263</v>
      </c>
      <c r="H3" s="25">
        <f t="shared" ref="H3:H7" si="0">E3+F3+G3</f>
        <v>425</v>
      </c>
      <c r="I3" s="26">
        <f t="shared" ref="I3:L3" si="1">D3</f>
        <v>348</v>
      </c>
      <c r="J3" s="22">
        <f t="shared" si="1"/>
        <v>162</v>
      </c>
      <c r="K3" s="22">
        <f t="shared" si="1"/>
        <v>0</v>
      </c>
      <c r="L3" s="27">
        <f t="shared" si="1"/>
        <v>263</v>
      </c>
      <c r="M3" s="25">
        <f t="shared" ref="M3:M12" si="2">J3+K3+L3</f>
        <v>425</v>
      </c>
      <c r="N3" s="12"/>
    </row>
    <row r="4" s="1" customFormat="1" ht="18" customHeight="1" spans="1:14">
      <c r="A4" s="28" t="s">
        <v>14</v>
      </c>
      <c r="B4" s="29" t="s">
        <v>15</v>
      </c>
      <c r="C4" s="30" t="s">
        <v>16</v>
      </c>
      <c r="D4" s="31" t="s">
        <v>17</v>
      </c>
      <c r="E4" s="32"/>
      <c r="F4" s="33"/>
      <c r="G4" s="34"/>
      <c r="H4" s="35"/>
      <c r="I4" s="36" t="str">
        <f t="shared" ref="I4:L4" si="3">D4</f>
        <v> -   </v>
      </c>
      <c r="J4" s="32">
        <f t="shared" si="3"/>
        <v>0</v>
      </c>
      <c r="K4" s="37">
        <f t="shared" si="3"/>
        <v>0</v>
      </c>
      <c r="L4" s="38">
        <f t="shared" si="3"/>
        <v>0</v>
      </c>
      <c r="M4" s="35">
        <f t="shared" si="2"/>
        <v>0</v>
      </c>
      <c r="N4" s="12"/>
    </row>
    <row r="5" s="1" customFormat="1" ht="18" customHeight="1" spans="1:14">
      <c r="A5" s="28"/>
      <c r="B5" s="29" t="s">
        <v>18</v>
      </c>
      <c r="C5" s="30" t="s">
        <v>16</v>
      </c>
      <c r="D5" s="31" t="s">
        <v>17</v>
      </c>
      <c r="E5" s="33">
        <v>55000</v>
      </c>
      <c r="F5" s="39">
        <v>0</v>
      </c>
      <c r="G5" s="40">
        <v>0</v>
      </c>
      <c r="H5" s="35">
        <f t="shared" si="0"/>
        <v>55000</v>
      </c>
      <c r="I5" s="36" t="str">
        <f t="shared" ref="I5:L5" si="4">D5</f>
        <v> -   </v>
      </c>
      <c r="J5" s="32">
        <f t="shared" si="4"/>
        <v>55000</v>
      </c>
      <c r="K5" s="37">
        <f t="shared" si="4"/>
        <v>0</v>
      </c>
      <c r="L5" s="38">
        <f t="shared" si="4"/>
        <v>0</v>
      </c>
      <c r="M5" s="35">
        <f t="shared" si="2"/>
        <v>55000</v>
      </c>
      <c r="N5" s="12"/>
    </row>
    <row r="6" s="1" customFormat="1" ht="18" customHeight="1" spans="1:14">
      <c r="A6" s="28" t="s">
        <v>19</v>
      </c>
      <c r="B6" s="29" t="s">
        <v>20</v>
      </c>
      <c r="C6" s="30" t="s">
        <v>16</v>
      </c>
      <c r="D6" s="31" t="s">
        <v>17</v>
      </c>
      <c r="E6" s="34">
        <f t="shared" ref="E6:G6" si="5">E4</f>
        <v>0</v>
      </c>
      <c r="F6" s="34">
        <f t="shared" si="5"/>
        <v>0</v>
      </c>
      <c r="G6" s="34">
        <f t="shared" si="5"/>
        <v>0</v>
      </c>
      <c r="H6" s="35">
        <f t="shared" si="0"/>
        <v>0</v>
      </c>
      <c r="I6" s="36" t="str">
        <f t="shared" ref="I6:L6" si="6">D6</f>
        <v> -   </v>
      </c>
      <c r="J6" s="41">
        <f t="shared" si="6"/>
        <v>0</v>
      </c>
      <c r="K6" s="41">
        <f t="shared" si="6"/>
        <v>0</v>
      </c>
      <c r="L6" s="41">
        <f t="shared" si="6"/>
        <v>0</v>
      </c>
      <c r="M6" s="35">
        <f t="shared" si="2"/>
        <v>0</v>
      </c>
      <c r="N6" s="12"/>
    </row>
    <row r="7" s="2" customFormat="1" ht="18" customHeight="1" spans="1:14">
      <c r="A7" s="28" t="s">
        <v>21</v>
      </c>
      <c r="B7" s="42" t="s">
        <v>22</v>
      </c>
      <c r="C7" s="43" t="s">
        <v>23</v>
      </c>
      <c r="D7" s="40">
        <v>0</v>
      </c>
      <c r="E7" s="40">
        <v>0</v>
      </c>
      <c r="F7" s="40">
        <v>0</v>
      </c>
      <c r="G7" s="40"/>
      <c r="H7" s="35">
        <f t="shared" si="0"/>
        <v>0</v>
      </c>
      <c r="I7" s="199">
        <f>D7+'26.8'!I7</f>
        <v>0</v>
      </c>
      <c r="J7" s="199">
        <f>E7+'26.8'!J7</f>
        <v>0</v>
      </c>
      <c r="K7" s="199">
        <f>F7+'26.8'!K7</f>
        <v>0</v>
      </c>
      <c r="L7" s="199">
        <f>G7+'26.8'!L7</f>
        <v>0</v>
      </c>
      <c r="M7" s="35">
        <f t="shared" si="2"/>
        <v>0</v>
      </c>
      <c r="N7" s="45"/>
    </row>
    <row r="8" s="2" customFormat="1" ht="18" customHeight="1" spans="1:14">
      <c r="A8" s="28" t="s">
        <v>24</v>
      </c>
      <c r="B8" s="42" t="s">
        <v>25</v>
      </c>
      <c r="C8" s="43" t="s">
        <v>26</v>
      </c>
      <c r="D8" s="46"/>
      <c r="E8" s="40"/>
      <c r="F8" s="39"/>
      <c r="G8" s="34"/>
      <c r="H8" s="35"/>
      <c r="I8" s="199">
        <f>D8+'26.8'!I8</f>
        <v>0</v>
      </c>
      <c r="J8" s="199">
        <f>E8+'26.8'!J8</f>
        <v>0</v>
      </c>
      <c r="K8" s="199">
        <f>F8+'26.8'!K8</f>
        <v>0</v>
      </c>
      <c r="L8" s="199">
        <f>G8+'26.8'!L8</f>
        <v>0</v>
      </c>
      <c r="M8" s="35">
        <f t="shared" si="2"/>
        <v>0</v>
      </c>
      <c r="N8" s="47"/>
    </row>
    <row r="9" s="2" customFormat="1" ht="18" customHeight="1" spans="1:14">
      <c r="A9" s="28" t="s">
        <v>27</v>
      </c>
      <c r="B9" s="42" t="s">
        <v>28</v>
      </c>
      <c r="C9" s="43" t="s">
        <v>26</v>
      </c>
      <c r="D9" s="40">
        <v>0</v>
      </c>
      <c r="E9" s="200">
        <f>[1]售热量!$S$25</f>
        <v>0</v>
      </c>
      <c r="F9" s="39"/>
      <c r="G9" s="39"/>
      <c r="H9" s="35">
        <f t="shared" ref="H9:H12" si="7">E9+F9+G9</f>
        <v>0</v>
      </c>
      <c r="I9" s="199">
        <f>D9+'26.8'!I9</f>
        <v>0</v>
      </c>
      <c r="J9" s="199">
        <f>E9+'26.8'!J9</f>
        <v>0</v>
      </c>
      <c r="K9" s="199">
        <f>F9+'26.8'!K9</f>
        <v>0</v>
      </c>
      <c r="L9" s="199">
        <f>G9+'26.8'!L9</f>
        <v>0</v>
      </c>
      <c r="M9" s="35">
        <f t="shared" si="2"/>
        <v>0</v>
      </c>
      <c r="N9" s="45"/>
    </row>
    <row r="10" s="2" customFormat="1" ht="18" customHeight="1" spans="1:14">
      <c r="A10" s="28" t="s">
        <v>29</v>
      </c>
      <c r="B10" s="42" t="s">
        <v>30</v>
      </c>
      <c r="C10" s="43" t="s">
        <v>23</v>
      </c>
      <c r="D10" s="40"/>
      <c r="E10" s="33"/>
      <c r="F10" s="39"/>
      <c r="G10" s="34"/>
      <c r="H10" s="35">
        <f t="shared" si="7"/>
        <v>0</v>
      </c>
      <c r="I10" s="199">
        <f>D10+'26.8'!I10</f>
        <v>0</v>
      </c>
      <c r="J10" s="199">
        <f>E10+'26.8'!J10</f>
        <v>0</v>
      </c>
      <c r="K10" s="199">
        <f>F10+'26.8'!K10</f>
        <v>0</v>
      </c>
      <c r="L10" s="199">
        <f>G10+'26.8'!L10</f>
        <v>0</v>
      </c>
      <c r="M10" s="35">
        <f t="shared" si="2"/>
        <v>0</v>
      </c>
      <c r="N10" s="45"/>
    </row>
    <row r="11" s="2" customFormat="1" ht="18" customHeight="1" spans="1:14">
      <c r="A11" s="28" t="s">
        <v>31</v>
      </c>
      <c r="B11" s="42" t="s">
        <v>32</v>
      </c>
      <c r="C11" s="43" t="s">
        <v>23</v>
      </c>
      <c r="D11" s="40"/>
      <c r="E11" s="40">
        <v>0</v>
      </c>
      <c r="F11" s="40"/>
      <c r="G11" s="40"/>
      <c r="H11" s="35">
        <f t="shared" si="7"/>
        <v>0</v>
      </c>
      <c r="I11" s="199">
        <f>D11+'26.8'!I11</f>
        <v>0</v>
      </c>
      <c r="J11" s="199">
        <f>E11+'26.8'!J11</f>
        <v>0</v>
      </c>
      <c r="K11" s="199">
        <f>F11+'26.8'!K11</f>
        <v>0</v>
      </c>
      <c r="L11" s="199">
        <f>G11+'26.8'!L11</f>
        <v>0</v>
      </c>
      <c r="M11" s="35">
        <f t="shared" si="2"/>
        <v>0</v>
      </c>
      <c r="N11" s="45"/>
    </row>
    <row r="12" s="2" customFormat="1" ht="18" customHeight="1" spans="1:14">
      <c r="A12" s="28" t="s">
        <v>33</v>
      </c>
      <c r="B12" s="42" t="s">
        <v>34</v>
      </c>
      <c r="C12" s="43" t="s">
        <v>23</v>
      </c>
      <c r="D12" s="46">
        <f t="shared" ref="D12:G12" si="8">D13+D14</f>
        <v>0</v>
      </c>
      <c r="E12" s="46">
        <f t="shared" si="8"/>
        <v>0</v>
      </c>
      <c r="F12" s="46">
        <f t="shared" si="8"/>
        <v>0</v>
      </c>
      <c r="G12" s="46">
        <f t="shared" si="8"/>
        <v>0</v>
      </c>
      <c r="H12" s="35">
        <f t="shared" si="7"/>
        <v>0</v>
      </c>
      <c r="I12" s="199">
        <f>D12+'26.8'!I12</f>
        <v>0</v>
      </c>
      <c r="J12" s="199">
        <f>E12+'26.8'!J12</f>
        <v>0</v>
      </c>
      <c r="K12" s="199">
        <f>F12+'26.8'!K12</f>
        <v>0</v>
      </c>
      <c r="L12" s="199">
        <f>G12+'26.8'!L12</f>
        <v>0</v>
      </c>
      <c r="M12" s="35">
        <f t="shared" si="2"/>
        <v>0</v>
      </c>
      <c r="N12" s="45"/>
    </row>
    <row r="13" s="2" customFormat="1" ht="18" customHeight="1" spans="1:14">
      <c r="A13" s="28"/>
      <c r="B13" s="42" t="s">
        <v>35</v>
      </c>
      <c r="C13" s="43" t="s">
        <v>23</v>
      </c>
      <c r="D13" s="40"/>
      <c r="E13" s="40"/>
      <c r="F13" s="40"/>
      <c r="G13" s="46"/>
      <c r="H13" s="49"/>
      <c r="I13" s="199">
        <f>D13+'26.8'!I13</f>
        <v>0</v>
      </c>
      <c r="J13" s="199">
        <f>E13+'26.8'!J13</f>
        <v>0</v>
      </c>
      <c r="K13" s="199">
        <f>F13+'26.8'!K13</f>
        <v>0</v>
      </c>
      <c r="L13" s="199">
        <f>G13+'26.8'!L13</f>
        <v>0</v>
      </c>
      <c r="M13" s="49"/>
      <c r="N13" s="45"/>
    </row>
    <row r="14" s="2" customFormat="1" ht="18" customHeight="1" spans="1:14">
      <c r="A14" s="28"/>
      <c r="B14" s="42" t="s">
        <v>36</v>
      </c>
      <c r="C14" s="43" t="s">
        <v>23</v>
      </c>
      <c r="D14" s="46"/>
      <c r="E14" s="40"/>
      <c r="F14" s="40"/>
      <c r="G14" s="40"/>
      <c r="H14" s="49"/>
      <c r="I14" s="199">
        <f>D14+'26.8'!I14</f>
        <v>0</v>
      </c>
      <c r="J14" s="199">
        <f>E14+'26.8'!J14</f>
        <v>0</v>
      </c>
      <c r="K14" s="199">
        <f>F14+'26.8'!K14</f>
        <v>0</v>
      </c>
      <c r="L14" s="199">
        <f>G14+'26.8'!L14</f>
        <v>0</v>
      </c>
      <c r="M14" s="49"/>
      <c r="N14" s="45"/>
    </row>
    <row r="15" s="2" customFormat="1" ht="18" customHeight="1" spans="1:14">
      <c r="A15" s="28" t="s">
        <v>37</v>
      </c>
      <c r="B15" s="42" t="s">
        <v>38</v>
      </c>
      <c r="C15" s="43" t="s">
        <v>23</v>
      </c>
      <c r="D15" s="40"/>
      <c r="E15" s="50"/>
      <c r="F15" s="39"/>
      <c r="G15" s="34"/>
      <c r="H15" s="35"/>
      <c r="I15" s="199">
        <f>D15+'26.8'!I15</f>
        <v>0</v>
      </c>
      <c r="J15" s="199">
        <f>E15+'26.8'!J15</f>
        <v>0</v>
      </c>
      <c r="K15" s="199">
        <f>F15+'26.8'!K15</f>
        <v>0</v>
      </c>
      <c r="L15" s="199">
        <f>G15+'26.8'!L15</f>
        <v>0</v>
      </c>
      <c r="M15" s="35">
        <f t="shared" ref="M15:M17" si="9">J15+K15+L15</f>
        <v>0</v>
      </c>
      <c r="N15" s="45"/>
    </row>
    <row r="16" s="2" customFormat="1" ht="18" customHeight="1" spans="1:14">
      <c r="A16" s="28"/>
      <c r="B16" s="42" t="s">
        <v>39</v>
      </c>
      <c r="C16" s="43" t="s">
        <v>23</v>
      </c>
      <c r="D16" s="40"/>
      <c r="E16" s="50"/>
      <c r="F16" s="39"/>
      <c r="G16" s="39"/>
      <c r="H16" s="35"/>
      <c r="I16" s="199">
        <f>D16+'26.8'!I16</f>
        <v>0</v>
      </c>
      <c r="J16" s="199">
        <f>E16+'26.8'!J16</f>
        <v>0</v>
      </c>
      <c r="K16" s="199">
        <f>F16+'26.8'!K16</f>
        <v>0</v>
      </c>
      <c r="L16" s="199">
        <f>G16+'26.8'!L16</f>
        <v>0</v>
      </c>
      <c r="M16" s="35">
        <f t="shared" si="9"/>
        <v>0</v>
      </c>
      <c r="N16" s="45"/>
    </row>
    <row r="17" s="2" customFormat="1" ht="18" customHeight="1" spans="1:14">
      <c r="A17" s="28" t="s">
        <v>40</v>
      </c>
      <c r="B17" s="42" t="s">
        <v>41</v>
      </c>
      <c r="C17" s="43" t="s">
        <v>42</v>
      </c>
      <c r="D17" s="46"/>
      <c r="E17" s="50"/>
      <c r="F17" s="39"/>
      <c r="G17" s="34"/>
      <c r="H17" s="35"/>
      <c r="I17" s="199">
        <f>D17+'26.8'!I17</f>
        <v>0</v>
      </c>
      <c r="J17" s="199">
        <f>E17+'26.8'!J17</f>
        <v>0</v>
      </c>
      <c r="K17" s="51"/>
      <c r="L17" s="199">
        <f>G17+'26.8'!L17</f>
        <v>0</v>
      </c>
      <c r="M17" s="35">
        <f t="shared" si="9"/>
        <v>0</v>
      </c>
      <c r="N17" s="45"/>
    </row>
    <row r="18" s="2" customFormat="1" ht="18" customHeight="1" spans="1:14">
      <c r="A18" s="28"/>
      <c r="B18" s="42" t="s">
        <v>43</v>
      </c>
      <c r="C18" s="43" t="s">
        <v>42</v>
      </c>
      <c r="D18" s="40"/>
      <c r="E18" s="50"/>
      <c r="F18" s="39"/>
      <c r="G18" s="39"/>
      <c r="H18" s="49"/>
      <c r="I18" s="199">
        <f>D18+'26.8'!I18</f>
        <v>0</v>
      </c>
      <c r="J18" s="199">
        <f>E18+'26.8'!J18</f>
        <v>0</v>
      </c>
      <c r="K18" s="199">
        <f>F18+'26.8'!K18</f>
        <v>0</v>
      </c>
      <c r="L18" s="199">
        <f>G18+'26.8'!L18</f>
        <v>0</v>
      </c>
      <c r="M18" s="49"/>
      <c r="N18" s="45"/>
    </row>
    <row r="19" s="2" customFormat="1" ht="18" customHeight="1" spans="1:14">
      <c r="A19" s="28"/>
      <c r="B19" s="42" t="s">
        <v>44</v>
      </c>
      <c r="C19" s="43" t="s">
        <v>42</v>
      </c>
      <c r="D19" s="40"/>
      <c r="E19" s="50"/>
      <c r="F19" s="34"/>
      <c r="G19" s="34"/>
      <c r="H19" s="49"/>
      <c r="I19" s="199">
        <f>D19+'26.8'!I19</f>
        <v>0</v>
      </c>
      <c r="J19" s="52"/>
      <c r="K19" s="199">
        <f>F19+'26.8'!K19</f>
        <v>0</v>
      </c>
      <c r="L19" s="199">
        <f>G19+'26.8'!L19</f>
        <v>0</v>
      </c>
      <c r="M19" s="49"/>
      <c r="N19" s="45"/>
    </row>
    <row r="20" s="2" customFormat="1" ht="18" customHeight="1" spans="1:14">
      <c r="A20" s="28"/>
      <c r="B20" s="42" t="s">
        <v>45</v>
      </c>
      <c r="C20" s="43" t="s">
        <v>23</v>
      </c>
      <c r="D20" s="40"/>
      <c r="E20" s="50"/>
      <c r="F20" s="39"/>
      <c r="G20" s="39"/>
      <c r="H20" s="49"/>
      <c r="I20" s="199">
        <f>D20+'26.8'!I20</f>
        <v>0</v>
      </c>
      <c r="J20" s="199">
        <f>E20+'26.8'!J20</f>
        <v>0</v>
      </c>
      <c r="K20" s="199">
        <f>F20+'26.8'!K20</f>
        <v>0</v>
      </c>
      <c r="L20" s="199">
        <f>G20+'26.8'!L20</f>
        <v>0</v>
      </c>
      <c r="M20" s="49"/>
      <c r="N20" s="45"/>
    </row>
    <row r="21" s="2" customFormat="1" ht="18" customHeight="1" spans="1:14">
      <c r="A21" s="28"/>
      <c r="B21" s="42" t="s">
        <v>46</v>
      </c>
      <c r="C21" s="43" t="s">
        <v>42</v>
      </c>
      <c r="D21" s="40"/>
      <c r="E21" s="50"/>
      <c r="F21" s="39"/>
      <c r="G21" s="39"/>
      <c r="H21" s="49"/>
      <c r="I21" s="199">
        <f>D21+'26.8'!I21</f>
        <v>0</v>
      </c>
      <c r="J21" s="199">
        <f>E21+'26.8'!J21</f>
        <v>0</v>
      </c>
      <c r="K21" s="199">
        <f>F21+'26.8'!K21</f>
        <v>0</v>
      </c>
      <c r="L21" s="199">
        <f>G21+'26.8'!L21</f>
        <v>0</v>
      </c>
      <c r="M21" s="49"/>
      <c r="N21" s="45"/>
    </row>
    <row r="22" s="2" customFormat="1" customHeight="1" spans="1:14">
      <c r="A22" s="53" t="s">
        <v>47</v>
      </c>
      <c r="B22" s="54" t="s">
        <v>48</v>
      </c>
      <c r="C22" s="55" t="s">
        <v>23</v>
      </c>
      <c r="D22" s="56"/>
      <c r="E22" s="57"/>
      <c r="F22" s="57"/>
      <c r="G22" s="57"/>
      <c r="H22" s="58"/>
      <c r="I22" s="199">
        <f>D22+'26.8'!I22</f>
        <v>0</v>
      </c>
      <c r="J22" s="199">
        <f>E22+'26.8'!J22</f>
        <v>0</v>
      </c>
      <c r="K22" s="199">
        <f>F22+'26.8'!K22</f>
        <v>0</v>
      </c>
      <c r="L22" s="199">
        <f>G22+'26.8'!L22</f>
        <v>0</v>
      </c>
      <c r="M22" s="59">
        <f t="shared" ref="M22:M27" si="10">J22+K22+L22</f>
        <v>0</v>
      </c>
      <c r="N22" s="1"/>
    </row>
    <row r="23" s="2" customFormat="1" ht="21" customHeight="1" spans="1:14">
      <c r="A23" s="53" t="s">
        <v>49</v>
      </c>
      <c r="B23" s="54" t="s">
        <v>50</v>
      </c>
      <c r="C23" s="55" t="s">
        <v>23</v>
      </c>
      <c r="D23" s="56"/>
      <c r="E23" s="57"/>
      <c r="F23" s="57"/>
      <c r="G23" s="57"/>
      <c r="H23" s="58"/>
      <c r="I23" s="199">
        <f>D23+'26.8'!I23</f>
        <v>0</v>
      </c>
      <c r="J23" s="199">
        <f>E23+'26.8'!J23</f>
        <v>0</v>
      </c>
      <c r="K23" s="199">
        <f>F23+'26.8'!K23</f>
        <v>0</v>
      </c>
      <c r="L23" s="199">
        <f>G23+'26.8'!L23</f>
        <v>0</v>
      </c>
      <c r="M23" s="59">
        <f t="shared" si="10"/>
        <v>0</v>
      </c>
      <c r="N23" s="1"/>
    </row>
    <row r="24" s="2" customFormat="1" ht="18" customHeight="1" spans="1:14">
      <c r="A24" s="53" t="s">
        <v>51</v>
      </c>
      <c r="B24" s="42" t="s">
        <v>52</v>
      </c>
      <c r="C24" s="43" t="s">
        <v>53</v>
      </c>
      <c r="D24" s="60" t="e">
        <f t="shared" ref="D24:M24" si="11">D17/D8</f>
        <v>#DIV/0!</v>
      </c>
      <c r="E24" s="60" t="e">
        <f t="shared" si="11"/>
        <v>#DIV/0!</v>
      </c>
      <c r="F24" s="60" t="e">
        <f t="shared" si="11"/>
        <v>#DIV/0!</v>
      </c>
      <c r="G24" s="60" t="e">
        <f t="shared" si="11"/>
        <v>#DIV/0!</v>
      </c>
      <c r="H24" s="61" t="e">
        <f t="shared" si="11"/>
        <v>#DIV/0!</v>
      </c>
      <c r="I24" s="62" t="e">
        <f t="shared" si="11"/>
        <v>#DIV/0!</v>
      </c>
      <c r="J24" s="60" t="e">
        <f t="shared" si="11"/>
        <v>#DIV/0!</v>
      </c>
      <c r="K24" s="60" t="e">
        <f t="shared" si="11"/>
        <v>#DIV/0!</v>
      </c>
      <c r="L24" s="60" t="e">
        <f t="shared" si="11"/>
        <v>#DIV/0!</v>
      </c>
      <c r="M24" s="61" t="e">
        <f t="shared" si="11"/>
        <v>#DIV/0!</v>
      </c>
      <c r="N24" s="45"/>
    </row>
    <row r="25" s="2" customFormat="1" ht="18" customHeight="1" spans="1:14">
      <c r="A25" s="53" t="s">
        <v>54</v>
      </c>
      <c r="B25" s="42" t="s">
        <v>55</v>
      </c>
      <c r="C25" s="43" t="s">
        <v>56</v>
      </c>
      <c r="D25" s="60" t="e">
        <f t="shared" ref="D25:M25" si="12">D12*1000/D8</f>
        <v>#DIV/0!</v>
      </c>
      <c r="E25" s="60" t="e">
        <f t="shared" si="12"/>
        <v>#DIV/0!</v>
      </c>
      <c r="F25" s="60" t="e">
        <f t="shared" si="12"/>
        <v>#DIV/0!</v>
      </c>
      <c r="G25" s="60" t="e">
        <f t="shared" si="12"/>
        <v>#DIV/0!</v>
      </c>
      <c r="H25" s="61" t="e">
        <f t="shared" si="12"/>
        <v>#DIV/0!</v>
      </c>
      <c r="I25" s="62" t="e">
        <f t="shared" si="12"/>
        <v>#DIV/0!</v>
      </c>
      <c r="J25" s="60" t="e">
        <f t="shared" si="12"/>
        <v>#DIV/0!</v>
      </c>
      <c r="K25" s="60" t="e">
        <f t="shared" si="12"/>
        <v>#DIV/0!</v>
      </c>
      <c r="L25" s="60" t="e">
        <f t="shared" si="12"/>
        <v>#DIV/0!</v>
      </c>
      <c r="M25" s="61" t="e">
        <f t="shared" si="12"/>
        <v>#DIV/0!</v>
      </c>
      <c r="N25" s="45"/>
    </row>
    <row r="26" s="3" customFormat="1" ht="18" customHeight="1" spans="1:14">
      <c r="A26" s="53" t="s">
        <v>57</v>
      </c>
      <c r="B26" s="42" t="s">
        <v>58</v>
      </c>
      <c r="C26" s="63" t="s">
        <v>23</v>
      </c>
      <c r="D26" s="56"/>
      <c r="E26" s="64"/>
      <c r="F26" s="65"/>
      <c r="G26" s="34"/>
      <c r="H26" s="66"/>
      <c r="I26" s="199">
        <f>D26+'26.8'!I26</f>
        <v>0</v>
      </c>
      <c r="J26" s="199">
        <f>E26+'26.8'!J26</f>
        <v>0</v>
      </c>
      <c r="K26" s="199">
        <f>F26+'26.8'!K26</f>
        <v>0</v>
      </c>
      <c r="L26" s="199">
        <f>G26+'26.8'!L26</f>
        <v>0</v>
      </c>
      <c r="M26" s="66">
        <f t="shared" si="10"/>
        <v>0</v>
      </c>
      <c r="N26" s="67"/>
    </row>
    <row r="27" s="3" customFormat="1" ht="18" customHeight="1" spans="1:14">
      <c r="A27" s="53" t="s">
        <v>59</v>
      </c>
      <c r="B27" s="42" t="s">
        <v>60</v>
      </c>
      <c r="C27" s="63" t="s">
        <v>23</v>
      </c>
      <c r="D27" s="50"/>
      <c r="E27" s="68">
        <f>J27</f>
        <v>12569.7</v>
      </c>
      <c r="F27" s="68"/>
      <c r="G27" s="68">
        <f>L27</f>
        <v>1108.50000000002</v>
      </c>
      <c r="H27" s="69"/>
      <c r="I27" s="70"/>
      <c r="J27" s="201">
        <f>'26.8'!J27+E26-E10</f>
        <v>12569.7</v>
      </c>
      <c r="K27" s="201">
        <f>'26.8'!K27+F26-F10</f>
        <v>0</v>
      </c>
      <c r="L27" s="201">
        <f>'26.8'!L27+G26-G10</f>
        <v>1108.50000000002</v>
      </c>
      <c r="M27" s="72">
        <f t="shared" si="10"/>
        <v>13678.2</v>
      </c>
      <c r="N27" s="67"/>
    </row>
    <row r="28" s="2" customFormat="1" ht="18" customHeight="1" spans="1:14">
      <c r="A28" s="53" t="s">
        <v>61</v>
      </c>
      <c r="B28" s="42" t="s">
        <v>62</v>
      </c>
      <c r="C28" s="43" t="s">
        <v>63</v>
      </c>
      <c r="D28" s="73" t="e">
        <f>D13*29308/D10</f>
        <v>#DIV/0!</v>
      </c>
      <c r="E28" s="73" t="e">
        <f t="shared" ref="E28:H28" si="13">E12*29308/E10</f>
        <v>#DIV/0!</v>
      </c>
      <c r="F28" s="73" t="e">
        <f t="shared" si="13"/>
        <v>#DIV/0!</v>
      </c>
      <c r="G28" s="73" t="e">
        <f t="shared" si="13"/>
        <v>#DIV/0!</v>
      </c>
      <c r="H28" s="73" t="e">
        <f t="shared" si="13"/>
        <v>#DIV/0!</v>
      </c>
      <c r="I28" s="74" t="e">
        <f>I13*29308/I10</f>
        <v>#DIV/0!</v>
      </c>
      <c r="J28" s="46" t="e">
        <f t="shared" ref="J28:M28" si="14">J12*29308/J10</f>
        <v>#DIV/0!</v>
      </c>
      <c r="K28" s="46" t="e">
        <f t="shared" si="14"/>
        <v>#DIV/0!</v>
      </c>
      <c r="L28" s="46" t="e">
        <f t="shared" si="14"/>
        <v>#DIV/0!</v>
      </c>
      <c r="M28" s="73" t="e">
        <f t="shared" si="14"/>
        <v>#DIV/0!</v>
      </c>
      <c r="N28" s="45"/>
    </row>
    <row r="29" s="2" customFormat="1" ht="18" customHeight="1" spans="1:14">
      <c r="A29" s="53" t="s">
        <v>64</v>
      </c>
      <c r="B29" s="42" t="s">
        <v>65</v>
      </c>
      <c r="C29" s="43" t="s">
        <v>63</v>
      </c>
      <c r="D29" s="75"/>
      <c r="E29" s="40"/>
      <c r="F29" s="40"/>
      <c r="G29" s="76"/>
      <c r="H29" s="77"/>
      <c r="I29" s="78"/>
      <c r="J29" s="40"/>
      <c r="K29" s="40"/>
      <c r="L29" s="76"/>
      <c r="M29" s="77"/>
      <c r="N29" s="45"/>
    </row>
    <row r="30" s="2" customFormat="1" ht="18" customHeight="1" spans="1:14">
      <c r="A30" s="53" t="s">
        <v>66</v>
      </c>
      <c r="B30" s="42" t="s">
        <v>67</v>
      </c>
      <c r="C30" s="79" t="s">
        <v>68</v>
      </c>
      <c r="D30" s="80" t="e">
        <f t="shared" ref="D30:M30" si="15">D8/(D12*29.308)</f>
        <v>#DIV/0!</v>
      </c>
      <c r="E30" s="80" t="e">
        <f t="shared" si="15"/>
        <v>#DIV/0!</v>
      </c>
      <c r="F30" s="80" t="e">
        <f t="shared" si="15"/>
        <v>#DIV/0!</v>
      </c>
      <c r="G30" s="80" t="e">
        <f>(G8-G36)/(G12*29.308)</f>
        <v>#DIV/0!</v>
      </c>
      <c r="H30" s="81" t="e">
        <f t="shared" si="15"/>
        <v>#DIV/0!</v>
      </c>
      <c r="I30" s="82" t="e">
        <f t="shared" si="15"/>
        <v>#DIV/0!</v>
      </c>
      <c r="J30" s="80" t="e">
        <f t="shared" si="15"/>
        <v>#DIV/0!</v>
      </c>
      <c r="K30" s="80" t="e">
        <f t="shared" si="15"/>
        <v>#DIV/0!</v>
      </c>
      <c r="L30" s="80" t="e">
        <f t="shared" si="15"/>
        <v>#DIV/0!</v>
      </c>
      <c r="M30" s="81" t="e">
        <f t="shared" si="15"/>
        <v>#DIV/0!</v>
      </c>
      <c r="N30" s="45"/>
    </row>
    <row r="31" s="2" customFormat="1" ht="18" customHeight="1" spans="1:14">
      <c r="A31" s="53" t="s">
        <v>69</v>
      </c>
      <c r="B31" s="42" t="s">
        <v>70</v>
      </c>
      <c r="C31" s="79" t="s">
        <v>68</v>
      </c>
      <c r="D31" s="83">
        <f>D8/3.6/D3/(DAY(DATE(2026,10,0))*24)</f>
        <v>0</v>
      </c>
      <c r="E31" s="83">
        <f>E8/3.6/E3/(DAY(DATE(2026,10,0))*24)</f>
        <v>0</v>
      </c>
      <c r="F31" s="83" t="e">
        <f>F8/3.6/F3/(DAY(DATE(2026,10,0))*24)</f>
        <v>#DIV/0!</v>
      </c>
      <c r="G31" s="83">
        <f>(G8-G36)/3.6/G3/(DAY(DATE(2026,10,0))*24)</f>
        <v>0</v>
      </c>
      <c r="H31" s="84">
        <f>H8/3.6/H3/(DAY(DATE(2026,10,0))*24)</f>
        <v>0</v>
      </c>
      <c r="I31" s="85">
        <f>I8/3.6/I3/(DATEDIF(DATE(2026,1,1),DATE(2026,10,1),"D")*24)</f>
        <v>0</v>
      </c>
      <c r="J31" s="83">
        <f>J8/3.6/J3/(DATEDIF(DATE(2026,1,1),DATE(2026,10,1),"D")*24)</f>
        <v>0</v>
      </c>
      <c r="K31" s="83" t="e">
        <f>K8/3.6/K3/(DATEDIF(DATE(2026,1,1),DATE(2026,10,1),"D")*24)</f>
        <v>#DIV/0!</v>
      </c>
      <c r="L31" s="83">
        <f>(L8-L36)/3.6/L3/(DATEDIF(DATE(2026,1,1),DATE(2026,10,1),"D")*24)</f>
        <v>0</v>
      </c>
      <c r="M31" s="84">
        <f>M8/3.6/M3/(DATEDIF(DATE(2026,1,1),DATE(2026,10,1),"D")*24)</f>
        <v>0</v>
      </c>
      <c r="N31" s="45"/>
    </row>
    <row r="32" s="2" customFormat="1" ht="18" customHeight="1" spans="1:14">
      <c r="A32" s="53" t="s">
        <v>71</v>
      </c>
      <c r="B32" s="42" t="s">
        <v>72</v>
      </c>
      <c r="C32" s="43" t="s">
        <v>73</v>
      </c>
      <c r="D32" s="86"/>
      <c r="E32" s="87" t="e">
        <f t="shared" ref="E32:H32" si="16">E8/E6</f>
        <v>#DIV/0!</v>
      </c>
      <c r="F32" s="87" t="e">
        <f t="shared" si="16"/>
        <v>#DIV/0!</v>
      </c>
      <c r="G32" s="87" t="e">
        <f t="shared" si="16"/>
        <v>#DIV/0!</v>
      </c>
      <c r="H32" s="87" t="e">
        <f t="shared" si="16"/>
        <v>#DIV/0!</v>
      </c>
      <c r="I32" s="88"/>
      <c r="J32" s="87" t="e">
        <f t="shared" ref="J32:M32" si="17">J8/J6</f>
        <v>#DIV/0!</v>
      </c>
      <c r="K32" s="87" t="e">
        <f t="shared" si="17"/>
        <v>#DIV/0!</v>
      </c>
      <c r="L32" s="87" t="e">
        <f t="shared" si="17"/>
        <v>#DIV/0!</v>
      </c>
      <c r="M32" s="89" t="e">
        <f t="shared" si="17"/>
        <v>#DIV/0!</v>
      </c>
      <c r="N32" s="45"/>
    </row>
    <row r="33" s="2" customFormat="1" ht="18" customHeight="1" spans="1:14">
      <c r="A33" s="53" t="s">
        <v>74</v>
      </c>
      <c r="B33" s="42" t="s">
        <v>75</v>
      </c>
      <c r="C33" s="43" t="s">
        <v>76</v>
      </c>
      <c r="D33" s="90"/>
      <c r="E33" s="91" t="e">
        <f t="shared" ref="E33:H33" si="18">E12*1000/E6</f>
        <v>#DIV/0!</v>
      </c>
      <c r="F33" s="91" t="e">
        <f t="shared" si="18"/>
        <v>#DIV/0!</v>
      </c>
      <c r="G33" s="91" t="e">
        <f t="shared" si="18"/>
        <v>#DIV/0!</v>
      </c>
      <c r="H33" s="92" t="e">
        <f t="shared" si="18"/>
        <v>#DIV/0!</v>
      </c>
      <c r="I33" s="93"/>
      <c r="J33" s="91" t="e">
        <f t="shared" ref="J33:M33" si="19">J12*1000/J6</f>
        <v>#DIV/0!</v>
      </c>
      <c r="K33" s="91" t="e">
        <f t="shared" si="19"/>
        <v>#DIV/0!</v>
      </c>
      <c r="L33" s="91" t="e">
        <f t="shared" si="19"/>
        <v>#DIV/0!</v>
      </c>
      <c r="M33" s="92" t="e">
        <f t="shared" si="19"/>
        <v>#DIV/0!</v>
      </c>
      <c r="N33" s="45"/>
    </row>
    <row r="34" s="2" customFormat="1" ht="18" customHeight="1" spans="1:14">
      <c r="A34" s="53" t="s">
        <v>77</v>
      </c>
      <c r="B34" s="42" t="s">
        <v>78</v>
      </c>
      <c r="C34" s="43" t="s">
        <v>79</v>
      </c>
      <c r="D34" s="94"/>
      <c r="E34" s="91" t="e">
        <f t="shared" ref="E34:H34" si="20">E17/E6</f>
        <v>#DIV/0!</v>
      </c>
      <c r="F34" s="91" t="e">
        <f t="shared" si="20"/>
        <v>#DIV/0!</v>
      </c>
      <c r="G34" s="91" t="e">
        <f t="shared" si="20"/>
        <v>#DIV/0!</v>
      </c>
      <c r="H34" s="92" t="e">
        <f t="shared" si="20"/>
        <v>#DIV/0!</v>
      </c>
      <c r="I34" s="95"/>
      <c r="J34" s="91" t="e">
        <f t="shared" ref="J34:M34" si="21">J17/J6</f>
        <v>#DIV/0!</v>
      </c>
      <c r="K34" s="91" t="e">
        <f t="shared" si="21"/>
        <v>#DIV/0!</v>
      </c>
      <c r="L34" s="91" t="e">
        <f t="shared" si="21"/>
        <v>#DIV/0!</v>
      </c>
      <c r="M34" s="92" t="e">
        <f t="shared" si="21"/>
        <v>#DIV/0!</v>
      </c>
      <c r="N34" s="45"/>
    </row>
    <row r="35" s="2" customFormat="1" ht="18" customHeight="1" spans="1:14">
      <c r="A35" s="96" t="s">
        <v>80</v>
      </c>
      <c r="B35" s="97" t="s">
        <v>81</v>
      </c>
      <c r="C35" s="98" t="s">
        <v>76</v>
      </c>
      <c r="D35" s="99"/>
      <c r="E35" s="100" t="e">
        <f t="shared" ref="E35:H35" si="22">E15*1000/E6</f>
        <v>#DIV/0!</v>
      </c>
      <c r="F35" s="100" t="e">
        <f t="shared" si="22"/>
        <v>#DIV/0!</v>
      </c>
      <c r="G35" s="100" t="e">
        <f t="shared" si="22"/>
        <v>#DIV/0!</v>
      </c>
      <c r="H35" s="101" t="e">
        <f t="shared" si="22"/>
        <v>#DIV/0!</v>
      </c>
      <c r="I35" s="102"/>
      <c r="J35" s="100" t="e">
        <f t="shared" ref="J35:M35" si="23">J15*1000/J6</f>
        <v>#DIV/0!</v>
      </c>
      <c r="K35" s="100" t="e">
        <f t="shared" si="23"/>
        <v>#DIV/0!</v>
      </c>
      <c r="L35" s="100" t="e">
        <f t="shared" si="23"/>
        <v>#DIV/0!</v>
      </c>
      <c r="M35" s="101" t="e">
        <f t="shared" si="23"/>
        <v>#DIV/0!</v>
      </c>
      <c r="N35" s="45"/>
    </row>
    <row r="36" s="2" customFormat="1" ht="21" customHeight="1" spans="1:14">
      <c r="A36" s="103"/>
      <c r="B36" s="104" t="s">
        <v>82</v>
      </c>
      <c r="C36" s="105" t="s">
        <v>26</v>
      </c>
      <c r="D36" s="106"/>
      <c r="E36" s="106"/>
      <c r="F36" s="106"/>
      <c r="G36" s="106"/>
      <c r="H36" s="107"/>
      <c r="I36" s="106"/>
      <c r="J36" s="106"/>
      <c r="K36" s="106"/>
      <c r="L36" s="199">
        <f>G36+'26.8'!L36</f>
        <v>0</v>
      </c>
      <c r="M36" s="107"/>
    </row>
    <row r="37" s="1" customFormat="1" ht="29.25" customHeight="1" spans="1:14">
      <c r="A37" s="108" t="s">
        <v>83</v>
      </c>
      <c r="C37" s="4"/>
      <c r="D37" s="5" t="s">
        <v>84</v>
      </c>
      <c r="E37" s="2"/>
      <c r="F37" s="2"/>
      <c r="G37" s="2"/>
      <c r="H37" s="2"/>
      <c r="I37" s="2"/>
      <c r="J37" s="2"/>
    </row>
    <row r="38" s="1" customFormat="1" ht="31.5" customHeight="1" spans="1:14">
      <c r="A38" s="109" t="s">
        <v>0</v>
      </c>
      <c r="B38" s="110" t="s">
        <v>85</v>
      </c>
      <c r="C38" s="110" t="s">
        <v>2</v>
      </c>
      <c r="D38" s="111" t="s">
        <v>86</v>
      </c>
      <c r="E38" s="112" t="s">
        <v>87</v>
      </c>
      <c r="F38" s="2"/>
      <c r="G38" s="2"/>
      <c r="H38" s="2"/>
    </row>
    <row r="39" s="1" customFormat="1" ht="27.95" customHeight="1" spans="1:14">
      <c r="A39" s="28" t="s">
        <v>11</v>
      </c>
      <c r="B39" s="29" t="s">
        <v>12</v>
      </c>
      <c r="C39" s="30" t="s">
        <v>13</v>
      </c>
      <c r="D39" s="113">
        <v>0.55</v>
      </c>
      <c r="E39" s="114">
        <v>0.55</v>
      </c>
      <c r="F39" s="2"/>
      <c r="G39" s="2"/>
      <c r="H39" s="2"/>
    </row>
    <row r="40" s="1" customFormat="1" ht="27.95" customHeight="1" spans="1:14">
      <c r="A40" s="28" t="s">
        <v>14</v>
      </c>
      <c r="B40" s="29" t="s">
        <v>88</v>
      </c>
      <c r="C40" s="30" t="s">
        <v>16</v>
      </c>
      <c r="D40" s="115"/>
      <c r="E40" s="116">
        <f>D40</f>
        <v>0</v>
      </c>
      <c r="F40" s="45"/>
      <c r="G40" s="45"/>
      <c r="H40" s="2"/>
    </row>
    <row r="41" s="1" customFormat="1" ht="27.95" customHeight="1" spans="1:14">
      <c r="A41" s="28" t="s">
        <v>19</v>
      </c>
      <c r="B41" s="29" t="s">
        <v>89</v>
      </c>
      <c r="C41" s="30" t="s">
        <v>16</v>
      </c>
      <c r="D41" s="117"/>
      <c r="E41" s="118">
        <f>D41</f>
        <v>0</v>
      </c>
      <c r="F41" s="45"/>
      <c r="G41" s="45"/>
      <c r="H41" s="2"/>
    </row>
    <row r="42" s="1" customFormat="1" ht="27.95" customHeight="1" spans="1:14">
      <c r="A42" s="28" t="s">
        <v>21</v>
      </c>
      <c r="B42" s="42" t="s">
        <v>25</v>
      </c>
      <c r="C42" s="43" t="s">
        <v>26</v>
      </c>
      <c r="D42" s="119">
        <v>0</v>
      </c>
      <c r="E42" s="202">
        <f>D42+'26.8'!E42</f>
        <v>441</v>
      </c>
      <c r="F42" s="45"/>
      <c r="G42" s="45"/>
      <c r="H42" s="2"/>
    </row>
    <row r="43" s="1" customFormat="1" ht="27.95" customHeight="1" spans="1:14">
      <c r="A43" s="28" t="s">
        <v>24</v>
      </c>
      <c r="B43" s="42" t="s">
        <v>38</v>
      </c>
      <c r="C43" s="43" t="s">
        <v>23</v>
      </c>
      <c r="D43" s="115"/>
      <c r="E43" s="202">
        <f>D43+'26.8'!E43</f>
        <v>3</v>
      </c>
      <c r="F43" s="45"/>
      <c r="G43" s="45"/>
      <c r="H43" s="2"/>
    </row>
    <row r="44" s="1" customFormat="1" ht="27.95" customHeight="1" spans="1:14">
      <c r="A44" s="28" t="s">
        <v>27</v>
      </c>
      <c r="B44" s="42" t="s">
        <v>41</v>
      </c>
      <c r="C44" s="43" t="s">
        <v>42</v>
      </c>
      <c r="D44" s="115"/>
      <c r="E44" s="202">
        <f>D44+'26.8'!E44</f>
        <v>132840.000000001</v>
      </c>
      <c r="F44" s="45"/>
      <c r="G44" s="45"/>
      <c r="H44" s="2"/>
    </row>
    <row r="45" s="1" customFormat="1" ht="27.95" customHeight="1" spans="1:14">
      <c r="A45" s="28"/>
      <c r="B45" s="42" t="s">
        <v>90</v>
      </c>
      <c r="C45" s="43" t="s">
        <v>42</v>
      </c>
      <c r="D45" s="115"/>
      <c r="E45" s="202">
        <f>D45+'26.8'!E45</f>
        <v>132840.000000001</v>
      </c>
      <c r="F45" s="45"/>
      <c r="G45" s="45"/>
      <c r="H45" s="2"/>
    </row>
    <row r="46" s="1" customFormat="1" ht="27.95" customHeight="1" spans="1:14">
      <c r="A46" s="28" t="s">
        <v>29</v>
      </c>
      <c r="B46" s="42" t="s">
        <v>52</v>
      </c>
      <c r="C46" s="43" t="s">
        <v>53</v>
      </c>
      <c r="D46" s="121" t="e">
        <f>D44/D42</f>
        <v>#DIV/0!</v>
      </c>
      <c r="E46" s="122">
        <f>E44/E42</f>
        <v>301.224489795921</v>
      </c>
      <c r="F46" s="45"/>
      <c r="G46" s="45"/>
      <c r="H46" s="2"/>
    </row>
    <row r="47" s="1" customFormat="1" ht="27.95" customHeight="1" spans="1:14">
      <c r="A47" s="28" t="s">
        <v>31</v>
      </c>
      <c r="B47" s="42" t="s">
        <v>70</v>
      </c>
      <c r="C47" s="79" t="s">
        <v>68</v>
      </c>
      <c r="D47" s="123">
        <f>D42/3.6/D39/(DAY(DATE(2026,10,0))*24)</f>
        <v>0</v>
      </c>
      <c r="E47" s="124">
        <f>E42/3.6/E39/(DATEDIF(DATE(2026,1,1),DATE(2026,10,1),"D")*24)</f>
        <v>0.033993783993784</v>
      </c>
      <c r="F47" s="45"/>
      <c r="G47" s="45"/>
      <c r="H47" s="2"/>
    </row>
    <row r="48" s="1" customFormat="1" ht="27.95" customHeight="1" spans="1:14">
      <c r="A48" s="28" t="s">
        <v>33</v>
      </c>
      <c r="B48" s="42" t="s">
        <v>72</v>
      </c>
      <c r="C48" s="43" t="s">
        <v>73</v>
      </c>
      <c r="D48" s="125" t="e">
        <f>D42/D41</f>
        <v>#DIV/0!</v>
      </c>
      <c r="E48" s="126" t="e">
        <f>E42/E41</f>
        <v>#DIV/0!</v>
      </c>
      <c r="F48" s="45"/>
      <c r="G48" s="45"/>
      <c r="H48" s="2"/>
    </row>
    <row r="49" s="1" customFormat="1" ht="27.95" customHeight="1" spans="1:10">
      <c r="A49" s="28" t="s">
        <v>37</v>
      </c>
      <c r="B49" s="42" t="s">
        <v>78</v>
      </c>
      <c r="C49" s="43" t="s">
        <v>79</v>
      </c>
      <c r="D49" s="127" t="e">
        <f>D44/D41</f>
        <v>#DIV/0!</v>
      </c>
      <c r="E49" s="128" t="e">
        <f>E44/E41</f>
        <v>#DIV/0!</v>
      </c>
      <c r="F49" s="45"/>
      <c r="G49" s="45"/>
      <c r="H49" s="2"/>
    </row>
    <row r="50" s="1" customFormat="1" ht="27.95" customHeight="1" spans="1:10">
      <c r="A50" s="129" t="s">
        <v>40</v>
      </c>
      <c r="B50" s="97" t="s">
        <v>81</v>
      </c>
      <c r="C50" s="98" t="s">
        <v>76</v>
      </c>
      <c r="D50" s="130" t="e">
        <f>D43*1000/D41</f>
        <v>#DIV/0!</v>
      </c>
      <c r="E50" s="130" t="e">
        <f>E43*1000/E41</f>
        <v>#DIV/0!</v>
      </c>
      <c r="F50" s="45"/>
      <c r="G50" s="45"/>
      <c r="H50" s="2"/>
    </row>
    <row r="51" s="1" customFormat="1" ht="18" customHeight="1" spans="1:10">
      <c r="C51" s="4"/>
      <c r="D51" s="5"/>
    </row>
    <row r="52" s="1" customFormat="1" ht="29.25" customHeight="1" spans="1:10">
      <c r="A52" s="108" t="s">
        <v>91</v>
      </c>
      <c r="C52" s="4"/>
      <c r="D52" s="5" t="s">
        <v>84</v>
      </c>
      <c r="E52" s="2"/>
      <c r="F52" s="2"/>
      <c r="G52" s="2"/>
      <c r="H52" s="2"/>
      <c r="I52" s="2"/>
      <c r="J52" s="2"/>
    </row>
    <row r="53" s="1" customFormat="1" ht="31.5" customHeight="1" spans="1:10">
      <c r="A53" s="131" t="s">
        <v>0</v>
      </c>
      <c r="B53" s="132" t="s">
        <v>85</v>
      </c>
      <c r="C53" s="132" t="s">
        <v>2</v>
      </c>
      <c r="D53" s="133" t="s">
        <v>86</v>
      </c>
      <c r="E53" s="134"/>
      <c r="F53" s="135"/>
      <c r="G53" s="136" t="s">
        <v>87</v>
      </c>
      <c r="H53" s="134"/>
      <c r="I53" s="134"/>
    </row>
    <row r="54" s="1" customFormat="1" ht="31.5" customHeight="1" spans="1:10">
      <c r="A54" s="137"/>
      <c r="B54" s="138"/>
      <c r="C54" s="138"/>
      <c r="D54" s="139" t="s">
        <v>92</v>
      </c>
      <c r="E54" s="139" t="s">
        <v>93</v>
      </c>
      <c r="F54" s="140" t="s">
        <v>9</v>
      </c>
      <c r="G54" s="141" t="s">
        <v>92</v>
      </c>
      <c r="H54" s="139" t="s">
        <v>93</v>
      </c>
      <c r="I54" s="142" t="s">
        <v>9</v>
      </c>
    </row>
    <row r="55" s="1" customFormat="1" ht="27.95" customHeight="1" spans="1:10">
      <c r="A55" s="28" t="s">
        <v>11</v>
      </c>
      <c r="B55" s="29" t="s">
        <v>12</v>
      </c>
      <c r="C55" s="30" t="s">
        <v>13</v>
      </c>
      <c r="D55" s="143">
        <v>6</v>
      </c>
      <c r="E55" s="143">
        <v>6.4</v>
      </c>
      <c r="F55" s="144">
        <f t="shared" ref="F55:F61" si="24">SUM(D55:E55)</f>
        <v>12.4</v>
      </c>
      <c r="G55" s="145">
        <f t="shared" ref="G55:G57" si="25">D55</f>
        <v>6</v>
      </c>
      <c r="H55" s="146">
        <f t="shared" ref="H55:H57" si="26">E55</f>
        <v>6.4</v>
      </c>
      <c r="I55" s="146">
        <f t="shared" ref="I55:I61" si="27">SUM(G55:H55)</f>
        <v>12.4</v>
      </c>
    </row>
    <row r="56" s="1" customFormat="1" ht="27.95" customHeight="1" spans="1:10">
      <c r="A56" s="28" t="s">
        <v>14</v>
      </c>
      <c r="B56" s="29" t="s">
        <v>88</v>
      </c>
      <c r="C56" s="30" t="s">
        <v>16</v>
      </c>
      <c r="D56" s="148"/>
      <c r="E56" s="148"/>
      <c r="F56" s="117">
        <f t="shared" si="24"/>
        <v>0</v>
      </c>
      <c r="G56" s="118">
        <f t="shared" si="25"/>
        <v>0</v>
      </c>
      <c r="H56" s="118">
        <f t="shared" si="26"/>
        <v>0</v>
      </c>
      <c r="I56" s="147">
        <f t="shared" si="27"/>
        <v>0</v>
      </c>
    </row>
    <row r="57" s="1" customFormat="1" ht="27.95" customHeight="1" spans="1:10">
      <c r="A57" s="28" t="s">
        <v>19</v>
      </c>
      <c r="B57" s="29" t="s">
        <v>89</v>
      </c>
      <c r="C57" s="30" t="s">
        <v>16</v>
      </c>
      <c r="D57" s="147"/>
      <c r="E57" s="147"/>
      <c r="F57" s="117">
        <f t="shared" si="24"/>
        <v>0</v>
      </c>
      <c r="G57" s="118">
        <f t="shared" si="25"/>
        <v>0</v>
      </c>
      <c r="H57" s="118">
        <f t="shared" si="26"/>
        <v>0</v>
      </c>
      <c r="I57" s="147">
        <f t="shared" si="27"/>
        <v>0</v>
      </c>
    </row>
    <row r="58" s="1" customFormat="1" ht="27.95" customHeight="1" spans="1:10">
      <c r="A58" s="28" t="s">
        <v>21</v>
      </c>
      <c r="B58" s="42" t="s">
        <v>25</v>
      </c>
      <c r="C58" s="43" t="s">
        <v>26</v>
      </c>
      <c r="D58" s="148"/>
      <c r="E58" s="149"/>
      <c r="F58" s="117">
        <f t="shared" si="24"/>
        <v>0</v>
      </c>
      <c r="G58" s="203">
        <f>D58+'26.8'!G58</f>
        <v>0</v>
      </c>
      <c r="H58" s="203">
        <f>E58+'26.8'!H58</f>
        <v>0</v>
      </c>
      <c r="I58" s="147">
        <f t="shared" si="27"/>
        <v>0</v>
      </c>
    </row>
    <row r="59" s="1" customFormat="1" ht="27.95" customHeight="1" spans="1:10">
      <c r="A59" s="28" t="s">
        <v>24</v>
      </c>
      <c r="B59" s="42" t="s">
        <v>38</v>
      </c>
      <c r="C59" s="43" t="s">
        <v>23</v>
      </c>
      <c r="D59" s="148"/>
      <c r="E59" s="148"/>
      <c r="F59" s="117">
        <f t="shared" si="24"/>
        <v>0</v>
      </c>
      <c r="G59" s="203">
        <f>D59+'26.8'!G59</f>
        <v>0</v>
      </c>
      <c r="H59" s="203">
        <f>E59+'26.8'!H59</f>
        <v>0</v>
      </c>
      <c r="I59" s="147">
        <f t="shared" si="27"/>
        <v>0</v>
      </c>
    </row>
    <row r="60" s="1" customFormat="1" ht="27.95" customHeight="1" spans="1:10">
      <c r="A60" s="28" t="s">
        <v>27</v>
      </c>
      <c r="B60" s="42" t="s">
        <v>41</v>
      </c>
      <c r="C60" s="43" t="s">
        <v>42</v>
      </c>
      <c r="D60" s="148"/>
      <c r="E60" s="148"/>
      <c r="F60" s="117">
        <f t="shared" si="24"/>
        <v>0</v>
      </c>
      <c r="G60" s="203">
        <f>D60+'26.8'!G60</f>
        <v>0</v>
      </c>
      <c r="H60" s="203">
        <f>E60+'26.8'!H60</f>
        <v>0</v>
      </c>
      <c r="I60" s="147">
        <f t="shared" si="27"/>
        <v>0</v>
      </c>
    </row>
    <row r="61" s="1" customFormat="1" ht="27.95" customHeight="1" spans="1:10">
      <c r="A61" s="28"/>
      <c r="B61" s="42" t="s">
        <v>90</v>
      </c>
      <c r="C61" s="43" t="s">
        <v>42</v>
      </c>
      <c r="D61" s="148"/>
      <c r="E61" s="148"/>
      <c r="F61" s="117">
        <f t="shared" si="24"/>
        <v>0</v>
      </c>
      <c r="G61" s="203">
        <f>D61+'26.8'!G61</f>
        <v>0</v>
      </c>
      <c r="H61" s="203">
        <f>E61+'26.8'!H61</f>
        <v>0</v>
      </c>
      <c r="I61" s="147">
        <f t="shared" si="27"/>
        <v>0</v>
      </c>
    </row>
    <row r="62" s="1" customFormat="1" ht="27.95" customHeight="1" spans="1:10">
      <c r="A62" s="28" t="s">
        <v>29</v>
      </c>
      <c r="B62" s="42" t="s">
        <v>52</v>
      </c>
      <c r="C62" s="43" t="s">
        <v>53</v>
      </c>
      <c r="D62" s="151" t="e">
        <f t="shared" ref="D62:I62" si="28">D60/D58</f>
        <v>#DIV/0!</v>
      </c>
      <c r="E62" s="151" t="e">
        <f t="shared" si="28"/>
        <v>#DIV/0!</v>
      </c>
      <c r="F62" s="121" t="e">
        <f t="shared" si="28"/>
        <v>#DIV/0!</v>
      </c>
      <c r="G62" s="152" t="e">
        <f t="shared" si="28"/>
        <v>#DIV/0!</v>
      </c>
      <c r="H62" s="60" t="e">
        <f t="shared" si="28"/>
        <v>#DIV/0!</v>
      </c>
      <c r="I62" s="61" t="e">
        <f t="shared" si="28"/>
        <v>#DIV/0!</v>
      </c>
    </row>
    <row r="63" s="1" customFormat="1" ht="27.95" customHeight="1" spans="1:10">
      <c r="A63" s="28" t="s">
        <v>31</v>
      </c>
      <c r="B63" s="42" t="s">
        <v>70</v>
      </c>
      <c r="C63" s="79" t="s">
        <v>68</v>
      </c>
      <c r="D63" s="83">
        <f>D58/3.6/D55/(DAY(DATE(2026,10,0))*24)</f>
        <v>0</v>
      </c>
      <c r="E63" s="83">
        <f>E58/3.6/E55/(DAY(DATE(2026,10,0))*24)</f>
        <v>0</v>
      </c>
      <c r="F63" s="123">
        <f>F58/3.6/F55/(DAY(DATE(2026,10,0))*24)</f>
        <v>0</v>
      </c>
      <c r="G63" s="85">
        <f>G58/3.6/G55/(DATEDIF(DATE(2026,1,1),DATE(2026,10,1),"D")*24)</f>
        <v>0</v>
      </c>
      <c r="H63" s="83">
        <f>H58/3.6/H55/(DATEDIF(DATE(2026,1,1),DATE(2026,10,1),"D")*24)</f>
        <v>0</v>
      </c>
      <c r="I63" s="84">
        <f>I58/3.6/I55/(DATEDIF(DATE(2026,1,1),DATE(2026,10,1),"D")*24)</f>
        <v>0</v>
      </c>
    </row>
    <row r="64" s="1" customFormat="1" ht="27.95" customHeight="1" spans="1:10">
      <c r="A64" s="28" t="s">
        <v>33</v>
      </c>
      <c r="B64" s="42" t="s">
        <v>72</v>
      </c>
      <c r="C64" s="43" t="s">
        <v>73</v>
      </c>
      <c r="D64" s="87" t="e">
        <f t="shared" ref="D64:I64" si="29">D58/D57</f>
        <v>#DIV/0!</v>
      </c>
      <c r="E64" s="87" t="e">
        <f t="shared" si="29"/>
        <v>#DIV/0!</v>
      </c>
      <c r="F64" s="89" t="e">
        <f t="shared" si="29"/>
        <v>#DIV/0!</v>
      </c>
      <c r="G64" s="153" t="e">
        <f t="shared" si="29"/>
        <v>#DIV/0!</v>
      </c>
      <c r="H64" s="87" t="e">
        <f t="shared" si="29"/>
        <v>#DIV/0!</v>
      </c>
      <c r="I64" s="89" t="e">
        <f t="shared" si="29"/>
        <v>#DIV/0!</v>
      </c>
    </row>
    <row r="65" s="1" customFormat="1" ht="27.95" customHeight="1" spans="1:9">
      <c r="A65" s="28" t="s">
        <v>37</v>
      </c>
      <c r="B65" s="42" t="s">
        <v>78</v>
      </c>
      <c r="C65" s="43" t="s">
        <v>79</v>
      </c>
      <c r="D65" s="91" t="e">
        <f t="shared" ref="D65:I65" si="30">D60/D57</f>
        <v>#DIV/0!</v>
      </c>
      <c r="E65" s="91" t="e">
        <f t="shared" si="30"/>
        <v>#DIV/0!</v>
      </c>
      <c r="F65" s="92" t="e">
        <f t="shared" si="30"/>
        <v>#DIV/0!</v>
      </c>
      <c r="G65" s="154" t="e">
        <f t="shared" si="30"/>
        <v>#DIV/0!</v>
      </c>
      <c r="H65" s="91" t="e">
        <f t="shared" si="30"/>
        <v>#DIV/0!</v>
      </c>
      <c r="I65" s="92" t="e">
        <f t="shared" si="30"/>
        <v>#DIV/0!</v>
      </c>
    </row>
    <row r="66" s="1" customFormat="1" ht="27.95" customHeight="1" spans="1:9">
      <c r="A66" s="129" t="s">
        <v>40</v>
      </c>
      <c r="B66" s="97" t="s">
        <v>81</v>
      </c>
      <c r="C66" s="98" t="s">
        <v>76</v>
      </c>
      <c r="D66" s="100" t="e">
        <f t="shared" ref="D66:I66" si="31">D59*1000/D57</f>
        <v>#DIV/0!</v>
      </c>
      <c r="E66" s="100" t="e">
        <f t="shared" si="31"/>
        <v>#DIV/0!</v>
      </c>
      <c r="F66" s="101" t="e">
        <f t="shared" si="31"/>
        <v>#DIV/0!</v>
      </c>
      <c r="G66" s="155" t="e">
        <f t="shared" si="31"/>
        <v>#DIV/0!</v>
      </c>
      <c r="H66" s="100" t="e">
        <f t="shared" si="31"/>
        <v>#DIV/0!</v>
      </c>
      <c r="I66" s="101" t="e">
        <f t="shared" si="31"/>
        <v>#DIV/0!</v>
      </c>
    </row>
    <row r="67" s="1" customFormat="1" ht="18" customHeight="1" spans="1:9">
      <c r="C67" s="4"/>
      <c r="D67" s="5"/>
    </row>
    <row r="68" s="1" customFormat="1" ht="29.25" customHeight="1" spans="1:9">
      <c r="A68" s="108" t="s">
        <v>94</v>
      </c>
      <c r="C68" s="4"/>
      <c r="D68" s="5"/>
    </row>
    <row r="69" s="1" customFormat="1" ht="30" customHeight="1" spans="1:9">
      <c r="A69" s="131" t="s">
        <v>0</v>
      </c>
      <c r="B69" s="7" t="s">
        <v>1</v>
      </c>
      <c r="C69" s="7" t="s">
        <v>2</v>
      </c>
      <c r="D69" s="133" t="s">
        <v>86</v>
      </c>
      <c r="E69" s="135"/>
      <c r="F69" s="134" t="s">
        <v>87</v>
      </c>
      <c r="G69" s="134"/>
    </row>
    <row r="70" s="1" customFormat="1" ht="30" customHeight="1" spans="1:9">
      <c r="A70" s="137"/>
      <c r="B70" s="14"/>
      <c r="C70" s="14"/>
      <c r="D70" s="139" t="s">
        <v>95</v>
      </c>
      <c r="E70" s="156" t="s">
        <v>96</v>
      </c>
      <c r="F70" s="141" t="s">
        <v>95</v>
      </c>
      <c r="G70" s="142" t="s">
        <v>96</v>
      </c>
    </row>
    <row r="71" s="1" customFormat="1" ht="27.95" customHeight="1" spans="1:9">
      <c r="A71" s="19" t="s">
        <v>11</v>
      </c>
      <c r="B71" s="20" t="s">
        <v>12</v>
      </c>
      <c r="C71" s="21" t="s">
        <v>13</v>
      </c>
      <c r="D71" s="157">
        <v>217</v>
      </c>
      <c r="E71" s="158">
        <v>1.4</v>
      </c>
      <c r="F71" s="159">
        <f>D71</f>
        <v>217</v>
      </c>
      <c r="G71" s="160">
        <f>E71</f>
        <v>1.4</v>
      </c>
    </row>
    <row r="72" s="1" customFormat="1" ht="27.95" customHeight="1" spans="1:9">
      <c r="A72" s="28" t="s">
        <v>14</v>
      </c>
      <c r="B72" s="42" t="s">
        <v>22</v>
      </c>
      <c r="C72" s="43" t="s">
        <v>23</v>
      </c>
      <c r="D72" s="148"/>
      <c r="E72" s="115"/>
      <c r="F72" s="161">
        <f>D72</f>
        <v>0</v>
      </c>
      <c r="G72" s="162">
        <f>E72</f>
        <v>0</v>
      </c>
    </row>
    <row r="73" s="1" customFormat="1" ht="27.95" customHeight="1" spans="1:9">
      <c r="A73" s="28" t="s">
        <v>19</v>
      </c>
      <c r="B73" s="42" t="s">
        <v>25</v>
      </c>
      <c r="C73" s="43" t="s">
        <v>26</v>
      </c>
      <c r="D73" s="147">
        <f>D72*2.951694</f>
        <v>0</v>
      </c>
      <c r="E73" s="163">
        <f>E72*2.732</f>
        <v>0</v>
      </c>
      <c r="F73" s="202">
        <f>D73+'26.8'!F73</f>
        <v>0</v>
      </c>
      <c r="G73" s="202">
        <f>E73+'26.8'!G73</f>
        <v>0</v>
      </c>
    </row>
    <row r="74" s="1" customFormat="1" ht="27.95" customHeight="1" spans="1:9">
      <c r="A74" s="28" t="s">
        <v>21</v>
      </c>
      <c r="B74" s="42" t="s">
        <v>97</v>
      </c>
      <c r="C74" s="43" t="s">
        <v>98</v>
      </c>
      <c r="D74" s="148"/>
      <c r="E74" s="115"/>
      <c r="F74" s="202">
        <f>D74+'26.8'!F74</f>
        <v>0</v>
      </c>
      <c r="G74" s="202">
        <f>E74+'26.8'!G74</f>
        <v>0</v>
      </c>
    </row>
    <row r="75" s="1" customFormat="1" ht="27.95" customHeight="1" spans="1:9">
      <c r="A75" s="28" t="s">
        <v>24</v>
      </c>
      <c r="B75" s="42" t="s">
        <v>34</v>
      </c>
      <c r="C75" s="43" t="s">
        <v>23</v>
      </c>
      <c r="D75" s="147">
        <f>D74*D80/29308/1000</f>
        <v>0</v>
      </c>
      <c r="E75" s="117">
        <f>E74*E80/29308/1000</f>
        <v>0</v>
      </c>
      <c r="F75" s="202">
        <f>D75+'26.8'!F75</f>
        <v>0</v>
      </c>
      <c r="G75" s="202">
        <f>E75+'26.8'!G75</f>
        <v>0</v>
      </c>
    </row>
    <row r="76" s="1" customFormat="1" ht="27.95" customHeight="1" spans="1:9">
      <c r="A76" s="28" t="s">
        <v>27</v>
      </c>
      <c r="B76" s="42" t="s">
        <v>38</v>
      </c>
      <c r="C76" s="43" t="s">
        <v>23</v>
      </c>
      <c r="D76" s="148"/>
      <c r="E76" s="164"/>
      <c r="F76" s="202">
        <f>D76+'26.8'!F76</f>
        <v>0</v>
      </c>
      <c r="G76" s="202">
        <f>E76+'26.8'!G76</f>
        <v>0</v>
      </c>
    </row>
    <row r="77" s="1" customFormat="1" ht="27.95" customHeight="1" spans="1:9">
      <c r="A77" s="28" t="s">
        <v>29</v>
      </c>
      <c r="B77" s="42" t="s">
        <v>41</v>
      </c>
      <c r="C77" s="43" t="s">
        <v>42</v>
      </c>
      <c r="D77" s="148"/>
      <c r="E77" s="164"/>
      <c r="F77" s="202">
        <f>D77+'26.8'!F77</f>
        <v>0</v>
      </c>
      <c r="G77" s="202">
        <f>E77+'26.8'!G77</f>
        <v>0</v>
      </c>
    </row>
    <row r="78" s="1" customFormat="1" ht="27.95" customHeight="1" spans="1:9">
      <c r="A78" s="28" t="s">
        <v>31</v>
      </c>
      <c r="B78" s="42" t="s">
        <v>52</v>
      </c>
      <c r="C78" s="43" t="s">
        <v>53</v>
      </c>
      <c r="D78" s="165" t="e">
        <f>D77/D73</f>
        <v>#DIV/0!</v>
      </c>
      <c r="E78" s="166"/>
      <c r="F78" s="167" t="e">
        <f>F77/F73</f>
        <v>#DIV/0!</v>
      </c>
      <c r="G78" s="168"/>
    </row>
    <row r="79" s="1" customFormat="1" ht="27.95" customHeight="1" spans="1:9">
      <c r="A79" s="28" t="s">
        <v>33</v>
      </c>
      <c r="B79" s="42" t="s">
        <v>55</v>
      </c>
      <c r="C79" s="43" t="s">
        <v>56</v>
      </c>
      <c r="D79" s="60" t="e">
        <f t="shared" ref="D79:G79" si="32">D75*1000/D73</f>
        <v>#DIV/0!</v>
      </c>
      <c r="E79" s="169" t="e">
        <f t="shared" si="32"/>
        <v>#DIV/0!</v>
      </c>
      <c r="F79" s="170" t="e">
        <f t="shared" si="32"/>
        <v>#DIV/0!</v>
      </c>
      <c r="G79" s="61" t="e">
        <f t="shared" si="32"/>
        <v>#DIV/0!</v>
      </c>
      <c r="H79" s="12"/>
    </row>
    <row r="80" s="1" customFormat="1" ht="27.95" customHeight="1" spans="1:9">
      <c r="A80" s="28" t="s">
        <v>37</v>
      </c>
      <c r="B80" s="42" t="s">
        <v>99</v>
      </c>
      <c r="C80" s="43" t="s">
        <v>100</v>
      </c>
      <c r="D80" s="56"/>
      <c r="E80" s="171"/>
      <c r="F80" s="172" t="e">
        <f>F75*29308*1000/F74</f>
        <v>#DIV/0!</v>
      </c>
      <c r="G80" s="147" t="e">
        <f>G75*29308*1000/G74</f>
        <v>#DIV/0!</v>
      </c>
      <c r="H80" s="12"/>
    </row>
    <row r="81" s="1" customFormat="1" ht="27.95" customHeight="1" spans="1:11">
      <c r="A81" s="28" t="s">
        <v>40</v>
      </c>
      <c r="B81" s="42" t="s">
        <v>67</v>
      </c>
      <c r="C81" s="79" t="s">
        <v>68</v>
      </c>
      <c r="D81" s="80" t="e">
        <f t="shared" ref="D81:G81" si="33">D73/(D75*29.308)</f>
        <v>#DIV/0!</v>
      </c>
      <c r="E81" s="173" t="e">
        <f t="shared" si="33"/>
        <v>#DIV/0!</v>
      </c>
      <c r="F81" s="174" t="e">
        <f t="shared" si="33"/>
        <v>#DIV/0!</v>
      </c>
      <c r="G81" s="81" t="e">
        <f t="shared" si="33"/>
        <v>#DIV/0!</v>
      </c>
      <c r="H81" s="12"/>
    </row>
    <row r="82" s="1" customFormat="1" ht="27.95" customHeight="1" spans="1:11">
      <c r="A82" s="129" t="s">
        <v>47</v>
      </c>
      <c r="B82" s="175" t="s">
        <v>70</v>
      </c>
      <c r="C82" s="176" t="s">
        <v>68</v>
      </c>
      <c r="D82" s="177">
        <f>D73/3.6/D71/(DAY(DATE(2026,10,0))*24)</f>
        <v>0</v>
      </c>
      <c r="E82" s="178">
        <f>E73/3.6/E71/(DAY(DATE(2026,10,0))*24)</f>
        <v>0</v>
      </c>
      <c r="F82" s="179">
        <f>F73/3.6/F71/(DATEDIF(DATE(2026,1,1),DATE(2026,10,1),"D")*24)</f>
        <v>0</v>
      </c>
      <c r="G82" s="180">
        <f>G73/3.6/G71/(DATEDIF(DATE(2026,1,1),DATE(2026,10,1),"D")*24)</f>
        <v>0</v>
      </c>
      <c r="H82" s="12"/>
    </row>
    <row r="83" s="1" customFormat="1" ht="18" customHeight="1" spans="1:11">
      <c r="B83" s="181"/>
      <c r="C83" s="181"/>
      <c r="D83" s="5"/>
    </row>
    <row r="84" s="1" customFormat="1" customHeight="1" spans="1:11">
      <c r="A84" s="108" t="s">
        <v>101</v>
      </c>
      <c r="C84" s="4"/>
      <c r="D84" s="5" t="s">
        <v>84</v>
      </c>
      <c r="E84" s="2"/>
      <c r="F84" s="2"/>
      <c r="G84" s="2"/>
      <c r="H84" s="2"/>
      <c r="I84" s="2"/>
    </row>
    <row r="85" s="1" customFormat="1" customHeight="1" spans="1:11">
      <c r="A85" s="131" t="s">
        <v>0</v>
      </c>
      <c r="B85" s="132" t="s">
        <v>85</v>
      </c>
      <c r="C85" s="132" t="s">
        <v>2</v>
      </c>
      <c r="D85" s="182" t="s">
        <v>86</v>
      </c>
      <c r="E85" s="139" t="s">
        <v>87</v>
      </c>
      <c r="F85" s="182" t="s">
        <v>102</v>
      </c>
      <c r="G85" s="182" t="s">
        <v>103</v>
      </c>
      <c r="H85" s="183"/>
      <c r="I85" s="183"/>
    </row>
    <row r="86" s="1" customFormat="1" customHeight="1" spans="1:11">
      <c r="A86" s="137"/>
      <c r="B86" s="138"/>
      <c r="C86" s="138"/>
      <c r="D86" s="182" t="s">
        <v>104</v>
      </c>
      <c r="E86" s="182" t="s">
        <v>104</v>
      </c>
      <c r="F86" s="182"/>
      <c r="G86" s="182"/>
      <c r="H86" s="183"/>
      <c r="I86" s="184"/>
    </row>
    <row r="87" s="1" customFormat="1" customHeight="1" spans="1:11">
      <c r="A87" s="28" t="s">
        <v>11</v>
      </c>
      <c r="B87" s="29" t="s">
        <v>12</v>
      </c>
      <c r="C87" s="30" t="s">
        <v>13</v>
      </c>
      <c r="D87" s="185">
        <v>0.7888</v>
      </c>
      <c r="E87" s="186">
        <f t="shared" ref="E87:E89" si="34">D87</f>
        <v>0.7888</v>
      </c>
      <c r="F87" s="187">
        <f t="shared" ref="F87:F93" si="35">F55+D87</f>
        <v>13.1888</v>
      </c>
      <c r="G87" s="187">
        <f t="shared" ref="G87:G93" si="36">E87+I55</f>
        <v>13.1888</v>
      </c>
      <c r="H87" s="145"/>
      <c r="I87" s="145"/>
    </row>
    <row r="88" s="1" customFormat="1" customHeight="1" spans="1:11">
      <c r="A88" s="28" t="s">
        <v>14</v>
      </c>
      <c r="B88" s="29" t="s">
        <v>88</v>
      </c>
      <c r="C88" s="30" t="s">
        <v>16</v>
      </c>
      <c r="D88" s="188"/>
      <c r="E88" s="189">
        <f t="shared" si="34"/>
        <v>0</v>
      </c>
      <c r="F88" s="190">
        <v>83197.81</v>
      </c>
      <c r="G88" s="190">
        <v>83197.81</v>
      </c>
      <c r="H88" s="116"/>
      <c r="I88" s="116"/>
    </row>
    <row r="89" s="1" customFormat="1" customHeight="1" spans="1:11">
      <c r="A89" s="28" t="s">
        <v>19</v>
      </c>
      <c r="B89" s="29" t="s">
        <v>89</v>
      </c>
      <c r="C89" s="30" t="s">
        <v>16</v>
      </c>
      <c r="D89" s="188"/>
      <c r="E89" s="189">
        <f t="shared" si="34"/>
        <v>0</v>
      </c>
      <c r="F89" s="190">
        <v>83197.81</v>
      </c>
      <c r="G89" s="190">
        <v>83197.81</v>
      </c>
      <c r="H89" s="116"/>
      <c r="I89" s="116"/>
    </row>
    <row r="90" s="1" customFormat="1" customHeight="1" spans="1:11">
      <c r="A90" s="28" t="s">
        <v>21</v>
      </c>
      <c r="B90" s="42" t="s">
        <v>25</v>
      </c>
      <c r="C90" s="43" t="s">
        <v>26</v>
      </c>
      <c r="D90" s="188"/>
      <c r="E90" s="204">
        <f>D90+'26.8'!E90</f>
        <v>0</v>
      </c>
      <c r="F90" s="192">
        <f t="shared" si="35"/>
        <v>0</v>
      </c>
      <c r="G90" s="192">
        <f t="shared" si="36"/>
        <v>0</v>
      </c>
      <c r="H90" s="116"/>
      <c r="I90" s="116"/>
    </row>
    <row r="91" s="1" customFormat="1" customHeight="1" spans="1:11">
      <c r="A91" s="28" t="s">
        <v>24</v>
      </c>
      <c r="B91" s="42" t="s">
        <v>38</v>
      </c>
      <c r="C91" s="43" t="s">
        <v>23</v>
      </c>
      <c r="D91" s="188"/>
      <c r="E91" s="204">
        <f>D91+'26.8'!E91</f>
        <v>0</v>
      </c>
      <c r="F91" s="192">
        <f t="shared" si="35"/>
        <v>0</v>
      </c>
      <c r="G91" s="192">
        <f t="shared" si="36"/>
        <v>0</v>
      </c>
      <c r="H91" s="116"/>
      <c r="I91" s="116"/>
    </row>
    <row r="92" s="1" customFormat="1" customHeight="1" spans="1:11">
      <c r="A92" s="28" t="s">
        <v>27</v>
      </c>
      <c r="B92" s="42" t="s">
        <v>41</v>
      </c>
      <c r="C92" s="43" t="s">
        <v>42</v>
      </c>
      <c r="D92" s="188"/>
      <c r="E92" s="204">
        <f>D92+'26.8'!E92</f>
        <v>0</v>
      </c>
      <c r="F92" s="192">
        <f t="shared" si="35"/>
        <v>0</v>
      </c>
      <c r="G92" s="192">
        <f t="shared" si="36"/>
        <v>0</v>
      </c>
      <c r="H92" s="116"/>
      <c r="I92" s="116"/>
    </row>
    <row r="93" s="1" customFormat="1" customHeight="1" spans="1:11">
      <c r="A93" s="28"/>
      <c r="B93" s="42" t="s">
        <v>90</v>
      </c>
      <c r="C93" s="43" t="s">
        <v>42</v>
      </c>
      <c r="D93" s="188"/>
      <c r="E93" s="204">
        <f>D93+'26.8'!E93</f>
        <v>0</v>
      </c>
      <c r="F93" s="192">
        <f t="shared" si="35"/>
        <v>0</v>
      </c>
      <c r="G93" s="192">
        <f t="shared" si="36"/>
        <v>0</v>
      </c>
      <c r="H93" s="116"/>
      <c r="I93" s="116"/>
    </row>
    <row r="94" s="1" customFormat="1" customHeight="1" spans="1:11">
      <c r="A94" s="28" t="s">
        <v>29</v>
      </c>
      <c r="B94" s="42" t="s">
        <v>52</v>
      </c>
      <c r="C94" s="43" t="s">
        <v>53</v>
      </c>
      <c r="D94" s="193" t="e">
        <f t="shared" ref="D94:G94" si="37">D92/D90</f>
        <v>#DIV/0!</v>
      </c>
      <c r="E94" s="193" t="e">
        <f t="shared" si="37"/>
        <v>#DIV/0!</v>
      </c>
      <c r="F94" s="193" t="e">
        <f t="shared" si="37"/>
        <v>#DIV/0!</v>
      </c>
      <c r="G94" s="193" t="e">
        <f t="shared" si="37"/>
        <v>#DIV/0!</v>
      </c>
      <c r="H94" s="122"/>
      <c r="I94" s="122"/>
    </row>
    <row r="95" s="1" customFormat="1" customHeight="1" spans="1:11">
      <c r="A95" s="28" t="s">
        <v>31</v>
      </c>
      <c r="B95" s="42" t="s">
        <v>105</v>
      </c>
      <c r="C95" s="79" t="s">
        <v>68</v>
      </c>
      <c r="D95" s="194">
        <f>D90/3.6/D87/(DAY(DATE(2026,10,0))*24)</f>
        <v>0</v>
      </c>
      <c r="E95" s="84">
        <f>E90/3.6/E87/(DATEDIF(DATE(2026,1,1),DATE(2026,10,1),"D")*24)</f>
        <v>0</v>
      </c>
      <c r="F95" s="194">
        <f>F90/3.6/F87/(DAY(DATE(2026,10,0))*24)</f>
        <v>0</v>
      </c>
      <c r="G95" s="84">
        <f>G90/3.6/G87/(DATEDIF(DATE(2026,1,1),DATE(2026,10,1),"D")*24)</f>
        <v>0</v>
      </c>
      <c r="H95" s="195"/>
      <c r="I95" s="195"/>
      <c r="K95" s="196"/>
    </row>
    <row r="96" s="1" customFormat="1" customHeight="1" spans="1:11">
      <c r="A96" s="28" t="s">
        <v>33</v>
      </c>
      <c r="B96" s="42" t="s">
        <v>72</v>
      </c>
      <c r="C96" s="43" t="s">
        <v>73</v>
      </c>
      <c r="D96" s="197" t="e">
        <f t="shared" ref="D96:G96" si="38">D90/D89</f>
        <v>#DIV/0!</v>
      </c>
      <c r="E96" s="197" t="e">
        <f t="shared" si="38"/>
        <v>#DIV/0!</v>
      </c>
      <c r="F96" s="197">
        <f t="shared" si="38"/>
        <v>0</v>
      </c>
      <c r="G96" s="197">
        <f t="shared" si="38"/>
        <v>0</v>
      </c>
      <c r="H96" s="126"/>
      <c r="I96" s="126"/>
    </row>
    <row r="97" s="1" customFormat="1" customHeight="1" spans="1:9">
      <c r="A97" s="28" t="s">
        <v>37</v>
      </c>
      <c r="B97" s="42" t="s">
        <v>78</v>
      </c>
      <c r="C97" s="43" t="s">
        <v>79</v>
      </c>
      <c r="D97" s="198" t="e">
        <f t="shared" ref="D97:G97" si="39">D92/D89</f>
        <v>#DIV/0!</v>
      </c>
      <c r="E97" s="198" t="e">
        <f t="shared" si="39"/>
        <v>#DIV/0!</v>
      </c>
      <c r="F97" s="198">
        <f t="shared" si="39"/>
        <v>0</v>
      </c>
      <c r="G97" s="198">
        <f t="shared" si="39"/>
        <v>0</v>
      </c>
      <c r="H97" s="128"/>
      <c r="I97" s="128"/>
    </row>
    <row r="98" s="1" customFormat="1" customHeight="1" spans="1:9">
      <c r="A98" s="129" t="s">
        <v>40</v>
      </c>
      <c r="B98" s="97" t="s">
        <v>81</v>
      </c>
      <c r="C98" s="98" t="s">
        <v>76</v>
      </c>
      <c r="D98" s="198" t="e">
        <f t="shared" ref="D98:G98" si="40">D91*1000/D89</f>
        <v>#DIV/0!</v>
      </c>
      <c r="E98" s="198" t="e">
        <f t="shared" si="40"/>
        <v>#DIV/0!</v>
      </c>
      <c r="F98" s="198">
        <f t="shared" si="40"/>
        <v>0</v>
      </c>
      <c r="G98" s="198">
        <f t="shared" si="40"/>
        <v>0</v>
      </c>
      <c r="H98" s="128"/>
      <c r="I98" s="128"/>
    </row>
  </sheetData>
  <mergeCells count="20">
    <mergeCell ref="D1:H1"/>
    <mergeCell ref="I1:M1"/>
    <mergeCell ref="D53:F53"/>
    <mergeCell ref="G53:I53"/>
    <mergeCell ref="D69:E69"/>
    <mergeCell ref="F69:G69"/>
    <mergeCell ref="A1:A2"/>
    <mergeCell ref="A53:A54"/>
    <mergeCell ref="A69:A70"/>
    <mergeCell ref="A85:A86"/>
    <mergeCell ref="B1:B2"/>
    <mergeCell ref="B53:B54"/>
    <mergeCell ref="B69:B70"/>
    <mergeCell ref="B85:B86"/>
    <mergeCell ref="C1:C2"/>
    <mergeCell ref="C53:C54"/>
    <mergeCell ref="C69:C70"/>
    <mergeCell ref="C85:C86"/>
    <mergeCell ref="F85:F86"/>
    <mergeCell ref="G85:G86"/>
  </mergeCells>
  <pageMargins left="0.748031496062992" right="0.748031496062992" top="0.984251968503937" bottom="0.984251968503937" header="0.511811023622047" footer="0.511811023622047"/>
  <pageSetup paperSize="9" orientation="landscape" horizontalDpi="600" verticalDpi="600"/>
  <headerFooter alignWithMargins="0" scaleWithDoc="0">
    <oddHeader>&amp;C&amp;18 &amp;20 2022年9月份集团各锅炉站生产报表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8"/>
  <sheetViews>
    <sheetView showGridLines="0" zoomScale="70" zoomScaleNormal="70" zoomScaleSheetLayoutView="60" workbookViewId="0">
      <pane xSplit="2" ySplit="2" topLeftCell="C15" activePane="bottomRight" state="frozen"/>
      <selection/>
      <selection pane="topRight"/>
      <selection pane="bottomLeft"/>
      <selection pane="bottomRight" activeCell="L36" sqref="L36"/>
    </sheetView>
  </sheetViews>
  <sheetFormatPr defaultColWidth="8.625" defaultRowHeight="15" customHeight="1"/>
  <cols>
    <col min="1" max="1" width="7.375" style="1" customWidth="1"/>
    <col min="2" max="2" width="19.75" style="1" customWidth="1"/>
    <col min="3" max="3" width="13.5" style="4" customWidth="1"/>
    <col min="4" max="4" width="13.45" style="5" customWidth="1"/>
    <col min="5" max="13" width="13.45" style="1" customWidth="1"/>
    <col min="14" max="14" width="22.2083333333333" style="1"/>
    <col min="15" max="16384" width="8.625" style="1"/>
  </cols>
  <sheetData>
    <row r="1" s="1" customFormat="1" ht="39.95" customHeight="1" spans="1:14">
      <c r="A1" s="6" t="s">
        <v>0</v>
      </c>
      <c r="B1" s="7" t="s">
        <v>1</v>
      </c>
      <c r="C1" s="7" t="s">
        <v>2</v>
      </c>
      <c r="D1" s="8" t="s">
        <v>3</v>
      </c>
      <c r="E1" s="9"/>
      <c r="F1" s="9"/>
      <c r="G1" s="9"/>
      <c r="H1" s="10"/>
      <c r="I1" s="11" t="s">
        <v>4</v>
      </c>
      <c r="J1" s="9"/>
      <c r="K1" s="9"/>
      <c r="L1" s="9"/>
      <c r="M1" s="9"/>
      <c r="N1" s="12"/>
    </row>
    <row r="2" s="1" customFormat="1" ht="39.95" customHeight="1" spans="1:14">
      <c r="A2" s="13"/>
      <c r="B2" s="14"/>
      <c r="C2" s="14"/>
      <c r="D2" s="15" t="s">
        <v>5</v>
      </c>
      <c r="E2" s="15" t="s">
        <v>6</v>
      </c>
      <c r="F2" s="15" t="s">
        <v>7</v>
      </c>
      <c r="G2" s="16" t="s">
        <v>8</v>
      </c>
      <c r="H2" s="17" t="s">
        <v>9</v>
      </c>
      <c r="I2" s="18" t="s">
        <v>5</v>
      </c>
      <c r="J2" s="15" t="s">
        <v>6</v>
      </c>
      <c r="K2" s="15" t="s">
        <v>7</v>
      </c>
      <c r="L2" s="16" t="s">
        <v>10</v>
      </c>
      <c r="M2" s="17" t="s">
        <v>9</v>
      </c>
    </row>
    <row r="3" s="1" customFormat="1" ht="18" customHeight="1" spans="1:14">
      <c r="A3" s="19" t="s">
        <v>11</v>
      </c>
      <c r="B3" s="20" t="s">
        <v>12</v>
      </c>
      <c r="C3" s="21" t="s">
        <v>13</v>
      </c>
      <c r="D3" s="22">
        <v>348</v>
      </c>
      <c r="E3" s="23">
        <v>162</v>
      </c>
      <c r="F3" s="23"/>
      <c r="G3" s="24">
        <v>263</v>
      </c>
      <c r="H3" s="25">
        <f t="shared" ref="H3:H7" si="0">E3+F3+G3</f>
        <v>425</v>
      </c>
      <c r="I3" s="26">
        <f t="shared" ref="I3:L3" si="1">D3</f>
        <v>348</v>
      </c>
      <c r="J3" s="22">
        <f t="shared" si="1"/>
        <v>162</v>
      </c>
      <c r="K3" s="22">
        <f t="shared" si="1"/>
        <v>0</v>
      </c>
      <c r="L3" s="27">
        <f t="shared" si="1"/>
        <v>263</v>
      </c>
      <c r="M3" s="25">
        <f t="shared" ref="M3:M12" si="2">J3+K3+L3</f>
        <v>425</v>
      </c>
      <c r="N3" s="12"/>
    </row>
    <row r="4" s="1" customFormat="1" ht="18" customHeight="1" spans="1:14">
      <c r="A4" s="28" t="s">
        <v>14</v>
      </c>
      <c r="B4" s="29" t="s">
        <v>15</v>
      </c>
      <c r="C4" s="30" t="s">
        <v>16</v>
      </c>
      <c r="D4" s="31" t="s">
        <v>17</v>
      </c>
      <c r="E4" s="32"/>
      <c r="F4" s="33"/>
      <c r="G4" s="34"/>
      <c r="H4" s="35"/>
      <c r="I4" s="36" t="str">
        <f t="shared" ref="I4:L4" si="3">D4</f>
        <v> -   </v>
      </c>
      <c r="J4" s="32">
        <f t="shared" si="3"/>
        <v>0</v>
      </c>
      <c r="K4" s="37">
        <f t="shared" si="3"/>
        <v>0</v>
      </c>
      <c r="L4" s="38">
        <f t="shared" si="3"/>
        <v>0</v>
      </c>
      <c r="M4" s="35">
        <f t="shared" si="2"/>
        <v>0</v>
      </c>
      <c r="N4" s="12"/>
    </row>
    <row r="5" s="1" customFormat="1" ht="18" customHeight="1" spans="1:14">
      <c r="A5" s="28"/>
      <c r="B5" s="29" t="s">
        <v>18</v>
      </c>
      <c r="C5" s="30" t="s">
        <v>16</v>
      </c>
      <c r="D5" s="31" t="s">
        <v>17</v>
      </c>
      <c r="E5" s="33">
        <v>55000</v>
      </c>
      <c r="F5" s="39">
        <v>0</v>
      </c>
      <c r="G5" s="40">
        <v>0</v>
      </c>
      <c r="H5" s="35">
        <f t="shared" si="0"/>
        <v>55000</v>
      </c>
      <c r="I5" s="36" t="str">
        <f t="shared" ref="I5:L5" si="4">D5</f>
        <v> -   </v>
      </c>
      <c r="J5" s="32">
        <f t="shared" si="4"/>
        <v>55000</v>
      </c>
      <c r="K5" s="37">
        <f t="shared" si="4"/>
        <v>0</v>
      </c>
      <c r="L5" s="38">
        <f t="shared" si="4"/>
        <v>0</v>
      </c>
      <c r="M5" s="35">
        <f t="shared" si="2"/>
        <v>55000</v>
      </c>
      <c r="N5" s="12"/>
    </row>
    <row r="6" s="1" customFormat="1" ht="18" customHeight="1" spans="1:14">
      <c r="A6" s="28" t="s">
        <v>19</v>
      </c>
      <c r="B6" s="29" t="s">
        <v>20</v>
      </c>
      <c r="C6" s="30" t="s">
        <v>16</v>
      </c>
      <c r="D6" s="31" t="s">
        <v>17</v>
      </c>
      <c r="E6" s="34">
        <f t="shared" ref="E6:G6" si="5">E4</f>
        <v>0</v>
      </c>
      <c r="F6" s="34">
        <f t="shared" si="5"/>
        <v>0</v>
      </c>
      <c r="G6" s="34">
        <f t="shared" si="5"/>
        <v>0</v>
      </c>
      <c r="H6" s="35">
        <f t="shared" si="0"/>
        <v>0</v>
      </c>
      <c r="I6" s="36" t="str">
        <f t="shared" ref="I6:L6" si="6">D6</f>
        <v> -   </v>
      </c>
      <c r="J6" s="41">
        <f t="shared" si="6"/>
        <v>0</v>
      </c>
      <c r="K6" s="41">
        <f t="shared" si="6"/>
        <v>0</v>
      </c>
      <c r="L6" s="41">
        <f t="shared" si="6"/>
        <v>0</v>
      </c>
      <c r="M6" s="35">
        <f t="shared" si="2"/>
        <v>0</v>
      </c>
      <c r="N6" s="12"/>
    </row>
    <row r="7" s="2" customFormat="1" ht="18" customHeight="1" spans="1:14">
      <c r="A7" s="28" t="s">
        <v>21</v>
      </c>
      <c r="B7" s="42" t="s">
        <v>22</v>
      </c>
      <c r="C7" s="43" t="s">
        <v>23</v>
      </c>
      <c r="D7" s="40">
        <v>0</v>
      </c>
      <c r="E7" s="40">
        <v>0</v>
      </c>
      <c r="F7" s="40">
        <v>0</v>
      </c>
      <c r="G7" s="40"/>
      <c r="H7" s="35">
        <f t="shared" si="0"/>
        <v>0</v>
      </c>
      <c r="I7" s="44">
        <f>D7+'26.9'!I7</f>
        <v>0</v>
      </c>
      <c r="J7" s="44">
        <f>E7+'26.9'!J7</f>
        <v>0</v>
      </c>
      <c r="K7" s="44">
        <f>F7+'26.9'!K7</f>
        <v>0</v>
      </c>
      <c r="L7" s="44">
        <f>G7+'26.9'!L7</f>
        <v>0</v>
      </c>
      <c r="M7" s="35">
        <f t="shared" si="2"/>
        <v>0</v>
      </c>
      <c r="N7" s="45"/>
    </row>
    <row r="8" s="2" customFormat="1" ht="18" customHeight="1" spans="1:14">
      <c r="A8" s="28" t="s">
        <v>24</v>
      </c>
      <c r="B8" s="42" t="s">
        <v>25</v>
      </c>
      <c r="C8" s="43" t="s">
        <v>26</v>
      </c>
      <c r="D8" s="46"/>
      <c r="E8" s="40"/>
      <c r="F8" s="39"/>
      <c r="G8" s="34"/>
      <c r="H8" s="35"/>
      <c r="I8" s="44">
        <f>D8+'26.9'!I8</f>
        <v>0</v>
      </c>
      <c r="J8" s="44">
        <f>E8+'26.9'!J8</f>
        <v>0</v>
      </c>
      <c r="K8" s="44">
        <f>F8+'26.9'!K8</f>
        <v>0</v>
      </c>
      <c r="L8" s="44">
        <f>G8+'26.9'!L8</f>
        <v>0</v>
      </c>
      <c r="M8" s="35">
        <f t="shared" si="2"/>
        <v>0</v>
      </c>
      <c r="N8" s="47"/>
    </row>
    <row r="9" s="2" customFormat="1" ht="18" customHeight="1" spans="1:14">
      <c r="A9" s="28" t="s">
        <v>27</v>
      </c>
      <c r="B9" s="42" t="s">
        <v>28</v>
      </c>
      <c r="C9" s="43" t="s">
        <v>26</v>
      </c>
      <c r="D9" s="40">
        <v>0</v>
      </c>
      <c r="E9" s="48">
        <f>[1]售热量!$U$25</f>
        <v>0</v>
      </c>
      <c r="F9" s="39"/>
      <c r="G9" s="39"/>
      <c r="H9" s="35">
        <f t="shared" ref="H9:H12" si="7">E9+F9+G9</f>
        <v>0</v>
      </c>
      <c r="I9" s="44">
        <f>D9+'26.9'!I9</f>
        <v>0</v>
      </c>
      <c r="J9" s="44">
        <f>E9+'26.9'!J9</f>
        <v>0</v>
      </c>
      <c r="K9" s="44">
        <f>F9+'26.9'!K9</f>
        <v>0</v>
      </c>
      <c r="L9" s="44">
        <f>G9+'26.9'!L9</f>
        <v>0</v>
      </c>
      <c r="M9" s="35">
        <f t="shared" si="2"/>
        <v>0</v>
      </c>
      <c r="N9" s="45"/>
    </row>
    <row r="10" s="2" customFormat="1" ht="18" customHeight="1" spans="1:14">
      <c r="A10" s="28" t="s">
        <v>29</v>
      </c>
      <c r="B10" s="42" t="s">
        <v>30</v>
      </c>
      <c r="C10" s="43" t="s">
        <v>23</v>
      </c>
      <c r="D10" s="40"/>
      <c r="E10" s="33"/>
      <c r="F10" s="39"/>
      <c r="G10" s="34"/>
      <c r="H10" s="35">
        <f t="shared" si="7"/>
        <v>0</v>
      </c>
      <c r="I10" s="44">
        <f>D10+'26.9'!I10</f>
        <v>0</v>
      </c>
      <c r="J10" s="44">
        <f>E10+'26.9'!J10</f>
        <v>0</v>
      </c>
      <c r="K10" s="44">
        <f>F10+'26.9'!K10</f>
        <v>0</v>
      </c>
      <c r="L10" s="44">
        <f>G10+'26.9'!L10</f>
        <v>0</v>
      </c>
      <c r="M10" s="35">
        <f t="shared" si="2"/>
        <v>0</v>
      </c>
      <c r="N10" s="45"/>
    </row>
    <row r="11" s="2" customFormat="1" ht="18" customHeight="1" spans="1:14">
      <c r="A11" s="28" t="s">
        <v>31</v>
      </c>
      <c r="B11" s="42" t="s">
        <v>32</v>
      </c>
      <c r="C11" s="43" t="s">
        <v>23</v>
      </c>
      <c r="D11" s="40"/>
      <c r="E11" s="40">
        <v>0</v>
      </c>
      <c r="F11" s="40"/>
      <c r="G11" s="40"/>
      <c r="H11" s="35">
        <f t="shared" si="7"/>
        <v>0</v>
      </c>
      <c r="I11" s="44">
        <f>D11+'26.9'!I11</f>
        <v>0</v>
      </c>
      <c r="J11" s="44">
        <f>E11+'26.9'!J11</f>
        <v>0</v>
      </c>
      <c r="K11" s="44">
        <f>F11+'26.9'!K11</f>
        <v>0</v>
      </c>
      <c r="L11" s="44">
        <f>G11+'26.9'!L11</f>
        <v>0</v>
      </c>
      <c r="M11" s="35">
        <f t="shared" si="2"/>
        <v>0</v>
      </c>
      <c r="N11" s="45"/>
    </row>
    <row r="12" s="2" customFormat="1" ht="18" customHeight="1" spans="1:14">
      <c r="A12" s="28" t="s">
        <v>33</v>
      </c>
      <c r="B12" s="42" t="s">
        <v>34</v>
      </c>
      <c r="C12" s="43" t="s">
        <v>23</v>
      </c>
      <c r="D12" s="46">
        <f t="shared" ref="D12:G12" si="8">D13+D14</f>
        <v>0</v>
      </c>
      <c r="E12" s="46">
        <f t="shared" si="8"/>
        <v>0</v>
      </c>
      <c r="F12" s="46">
        <f t="shared" si="8"/>
        <v>0</v>
      </c>
      <c r="G12" s="46">
        <f t="shared" si="8"/>
        <v>0</v>
      </c>
      <c r="H12" s="35">
        <f t="shared" si="7"/>
        <v>0</v>
      </c>
      <c r="I12" s="44">
        <f>D12+'26.9'!I12</f>
        <v>0</v>
      </c>
      <c r="J12" s="44">
        <f>E12+'26.9'!J12</f>
        <v>0</v>
      </c>
      <c r="K12" s="44">
        <f>F12+'26.9'!K12</f>
        <v>0</v>
      </c>
      <c r="L12" s="44">
        <f>G12+'26.9'!L12</f>
        <v>0</v>
      </c>
      <c r="M12" s="35">
        <f t="shared" si="2"/>
        <v>0</v>
      </c>
      <c r="N12" s="45"/>
    </row>
    <row r="13" s="2" customFormat="1" ht="18" customHeight="1" spans="1:14">
      <c r="A13" s="28"/>
      <c r="B13" s="42" t="s">
        <v>35</v>
      </c>
      <c r="C13" s="43" t="s">
        <v>23</v>
      </c>
      <c r="D13" s="40"/>
      <c r="E13" s="40"/>
      <c r="F13" s="40"/>
      <c r="G13" s="46"/>
      <c r="H13" s="49"/>
      <c r="I13" s="44">
        <f>D13+'26.9'!I13</f>
        <v>0</v>
      </c>
      <c r="J13" s="44">
        <f>E13+'26.9'!J13</f>
        <v>0</v>
      </c>
      <c r="K13" s="44">
        <f>F13+'26.9'!K13</f>
        <v>0</v>
      </c>
      <c r="L13" s="44">
        <f>G13+'26.9'!L13</f>
        <v>0</v>
      </c>
      <c r="M13" s="49"/>
      <c r="N13" s="45"/>
    </row>
    <row r="14" s="2" customFormat="1" ht="18" customHeight="1" spans="1:14">
      <c r="A14" s="28"/>
      <c r="B14" s="42" t="s">
        <v>36</v>
      </c>
      <c r="C14" s="43" t="s">
        <v>23</v>
      </c>
      <c r="D14" s="46"/>
      <c r="E14" s="40"/>
      <c r="F14" s="40"/>
      <c r="G14" s="40"/>
      <c r="H14" s="49"/>
      <c r="I14" s="44">
        <f>D14+'26.9'!I14</f>
        <v>0</v>
      </c>
      <c r="J14" s="44">
        <f>E14+'26.9'!J14</f>
        <v>0</v>
      </c>
      <c r="K14" s="44">
        <f>F14+'26.9'!K14</f>
        <v>0</v>
      </c>
      <c r="L14" s="44">
        <f>G14+'26.9'!L14</f>
        <v>0</v>
      </c>
      <c r="M14" s="49"/>
      <c r="N14" s="45"/>
    </row>
    <row r="15" s="2" customFormat="1" ht="18" customHeight="1" spans="1:14">
      <c r="A15" s="28" t="s">
        <v>37</v>
      </c>
      <c r="B15" s="42" t="s">
        <v>38</v>
      </c>
      <c r="C15" s="43" t="s">
        <v>23</v>
      </c>
      <c r="D15" s="40"/>
      <c r="E15" s="50"/>
      <c r="F15" s="39"/>
      <c r="G15" s="34"/>
      <c r="H15" s="35"/>
      <c r="I15" s="44">
        <f>D15+'26.9'!I15</f>
        <v>0</v>
      </c>
      <c r="J15" s="44">
        <f>E15+'26.9'!J15</f>
        <v>0</v>
      </c>
      <c r="K15" s="44">
        <f>F15+'26.9'!K15</f>
        <v>0</v>
      </c>
      <c r="L15" s="44">
        <f>G15+'26.9'!L15</f>
        <v>0</v>
      </c>
      <c r="M15" s="35">
        <f t="shared" ref="M15:M17" si="9">J15+K15+L15</f>
        <v>0</v>
      </c>
      <c r="N15" s="45"/>
    </row>
    <row r="16" s="2" customFormat="1" ht="18" customHeight="1" spans="1:14">
      <c r="A16" s="28"/>
      <c r="B16" s="42" t="s">
        <v>39</v>
      </c>
      <c r="C16" s="43" t="s">
        <v>23</v>
      </c>
      <c r="D16" s="40"/>
      <c r="E16" s="50"/>
      <c r="F16" s="39"/>
      <c r="G16" s="39"/>
      <c r="H16" s="35"/>
      <c r="I16" s="44">
        <f>D16+'26.9'!I16</f>
        <v>0</v>
      </c>
      <c r="J16" s="44">
        <f>E16+'26.9'!J16</f>
        <v>0</v>
      </c>
      <c r="K16" s="44">
        <f>F16+'26.9'!K16</f>
        <v>0</v>
      </c>
      <c r="L16" s="44">
        <f>G16+'26.9'!L16</f>
        <v>0</v>
      </c>
      <c r="M16" s="35">
        <f t="shared" si="9"/>
        <v>0</v>
      </c>
      <c r="N16" s="45"/>
    </row>
    <row r="17" s="2" customFormat="1" ht="18" customHeight="1" spans="1:14">
      <c r="A17" s="28" t="s">
        <v>40</v>
      </c>
      <c r="B17" s="42" t="s">
        <v>41</v>
      </c>
      <c r="C17" s="43" t="s">
        <v>42</v>
      </c>
      <c r="D17" s="46"/>
      <c r="E17" s="50"/>
      <c r="F17" s="39"/>
      <c r="G17" s="34"/>
      <c r="H17" s="35"/>
      <c r="I17" s="44">
        <f>D17+'26.9'!I17</f>
        <v>0</v>
      </c>
      <c r="J17" s="44">
        <f>E17+'26.9'!J17</f>
        <v>0</v>
      </c>
      <c r="K17" s="51"/>
      <c r="L17" s="44">
        <f>G17+'26.9'!L17</f>
        <v>0</v>
      </c>
      <c r="M17" s="35">
        <f t="shared" si="9"/>
        <v>0</v>
      </c>
      <c r="N17" s="45"/>
    </row>
    <row r="18" s="2" customFormat="1" ht="18" customHeight="1" spans="1:14">
      <c r="A18" s="28"/>
      <c r="B18" s="42" t="s">
        <v>43</v>
      </c>
      <c r="C18" s="43" t="s">
        <v>42</v>
      </c>
      <c r="D18" s="40"/>
      <c r="E18" s="50"/>
      <c r="F18" s="39"/>
      <c r="G18" s="39"/>
      <c r="H18" s="49"/>
      <c r="I18" s="44">
        <f>D18+'26.9'!I18</f>
        <v>0</v>
      </c>
      <c r="J18" s="44">
        <f>E18+'26.9'!J18</f>
        <v>0</v>
      </c>
      <c r="K18" s="44">
        <f>F18+'26.9'!K18</f>
        <v>0</v>
      </c>
      <c r="L18" s="44">
        <f>G18+'26.9'!L18</f>
        <v>0</v>
      </c>
      <c r="M18" s="49"/>
      <c r="N18" s="45"/>
    </row>
    <row r="19" s="2" customFormat="1" ht="18" customHeight="1" spans="1:14">
      <c r="A19" s="28"/>
      <c r="B19" s="42" t="s">
        <v>44</v>
      </c>
      <c r="C19" s="43" t="s">
        <v>42</v>
      </c>
      <c r="D19" s="40"/>
      <c r="E19" s="50"/>
      <c r="F19" s="34"/>
      <c r="G19" s="34"/>
      <c r="H19" s="49"/>
      <c r="I19" s="44">
        <f>D19+'26.9'!I19</f>
        <v>0</v>
      </c>
      <c r="J19" s="52"/>
      <c r="K19" s="44">
        <f>F19+'26.9'!K19</f>
        <v>0</v>
      </c>
      <c r="L19" s="44">
        <f>G19+'26.9'!L19</f>
        <v>0</v>
      </c>
      <c r="M19" s="49"/>
      <c r="N19" s="45"/>
    </row>
    <row r="20" s="2" customFormat="1" ht="18" customHeight="1" spans="1:14">
      <c r="A20" s="28"/>
      <c r="B20" s="42" t="s">
        <v>45</v>
      </c>
      <c r="C20" s="43" t="s">
        <v>23</v>
      </c>
      <c r="D20" s="40"/>
      <c r="E20" s="50"/>
      <c r="F20" s="39"/>
      <c r="G20" s="39"/>
      <c r="H20" s="49"/>
      <c r="I20" s="44">
        <f>D20+'26.9'!I20</f>
        <v>0</v>
      </c>
      <c r="J20" s="44">
        <f>E20+'26.9'!J20</f>
        <v>0</v>
      </c>
      <c r="K20" s="44">
        <f>F20+'26.9'!K20</f>
        <v>0</v>
      </c>
      <c r="L20" s="44">
        <f>G20+'26.9'!L20</f>
        <v>0</v>
      </c>
      <c r="M20" s="49"/>
      <c r="N20" s="45"/>
    </row>
    <row r="21" s="2" customFormat="1" ht="18" customHeight="1" spans="1:14">
      <c r="A21" s="28"/>
      <c r="B21" s="42" t="s">
        <v>46</v>
      </c>
      <c r="C21" s="43" t="s">
        <v>42</v>
      </c>
      <c r="D21" s="40"/>
      <c r="E21" s="50"/>
      <c r="F21" s="39"/>
      <c r="G21" s="39"/>
      <c r="H21" s="49"/>
      <c r="I21" s="44">
        <f>D21+'26.9'!I21</f>
        <v>0</v>
      </c>
      <c r="J21" s="44">
        <f>E21+'26.9'!J21</f>
        <v>0</v>
      </c>
      <c r="K21" s="44">
        <f>F21+'26.9'!K21</f>
        <v>0</v>
      </c>
      <c r="L21" s="44">
        <f>G21+'26.9'!L21</f>
        <v>0</v>
      </c>
      <c r="M21" s="49"/>
      <c r="N21" s="45"/>
    </row>
    <row r="22" s="2" customFormat="1" customHeight="1" spans="1:14">
      <c r="A22" s="53" t="s">
        <v>47</v>
      </c>
      <c r="B22" s="54" t="s">
        <v>48</v>
      </c>
      <c r="C22" s="55" t="s">
        <v>23</v>
      </c>
      <c r="D22" s="56"/>
      <c r="E22" s="57"/>
      <c r="F22" s="57"/>
      <c r="G22" s="57"/>
      <c r="H22" s="58"/>
      <c r="I22" s="44">
        <f>D22+'26.9'!I22</f>
        <v>0</v>
      </c>
      <c r="J22" s="44">
        <f>E22+'26.9'!J22</f>
        <v>0</v>
      </c>
      <c r="K22" s="44">
        <f>F22+'26.9'!K22</f>
        <v>0</v>
      </c>
      <c r="L22" s="44">
        <f>G22+'26.9'!L22</f>
        <v>0</v>
      </c>
      <c r="M22" s="59">
        <f t="shared" ref="M22:M27" si="10">J22+K22+L22</f>
        <v>0</v>
      </c>
      <c r="N22" s="1"/>
    </row>
    <row r="23" s="2" customFormat="1" ht="21" customHeight="1" spans="1:14">
      <c r="A23" s="53" t="s">
        <v>49</v>
      </c>
      <c r="B23" s="54" t="s">
        <v>50</v>
      </c>
      <c r="C23" s="55" t="s">
        <v>23</v>
      </c>
      <c r="D23" s="56"/>
      <c r="E23" s="57"/>
      <c r="F23" s="57"/>
      <c r="G23" s="57"/>
      <c r="H23" s="58"/>
      <c r="I23" s="44">
        <f>D23+'26.9'!I23</f>
        <v>0</v>
      </c>
      <c r="J23" s="44">
        <f>E23+'26.9'!J23</f>
        <v>0</v>
      </c>
      <c r="K23" s="44">
        <f>F23+'26.9'!K23</f>
        <v>0</v>
      </c>
      <c r="L23" s="44">
        <f>G23+'26.9'!L23</f>
        <v>0</v>
      </c>
      <c r="M23" s="59">
        <f t="shared" si="10"/>
        <v>0</v>
      </c>
      <c r="N23" s="1"/>
    </row>
    <row r="24" s="2" customFormat="1" ht="18" customHeight="1" spans="1:14">
      <c r="A24" s="53" t="s">
        <v>51</v>
      </c>
      <c r="B24" s="42" t="s">
        <v>52</v>
      </c>
      <c r="C24" s="43" t="s">
        <v>53</v>
      </c>
      <c r="D24" s="60" t="e">
        <f t="shared" ref="D24:M24" si="11">D17/D8</f>
        <v>#DIV/0!</v>
      </c>
      <c r="E24" s="60" t="e">
        <f t="shared" si="11"/>
        <v>#DIV/0!</v>
      </c>
      <c r="F24" s="60" t="e">
        <f t="shared" si="11"/>
        <v>#DIV/0!</v>
      </c>
      <c r="G24" s="60" t="e">
        <f t="shared" si="11"/>
        <v>#DIV/0!</v>
      </c>
      <c r="H24" s="61" t="e">
        <f t="shared" si="11"/>
        <v>#DIV/0!</v>
      </c>
      <c r="I24" s="62" t="e">
        <f t="shared" si="11"/>
        <v>#DIV/0!</v>
      </c>
      <c r="J24" s="60" t="e">
        <f t="shared" si="11"/>
        <v>#DIV/0!</v>
      </c>
      <c r="K24" s="60" t="e">
        <f t="shared" si="11"/>
        <v>#DIV/0!</v>
      </c>
      <c r="L24" s="60" t="e">
        <f t="shared" si="11"/>
        <v>#DIV/0!</v>
      </c>
      <c r="M24" s="61" t="e">
        <f t="shared" si="11"/>
        <v>#DIV/0!</v>
      </c>
      <c r="N24" s="45"/>
    </row>
    <row r="25" s="2" customFormat="1" ht="18" customHeight="1" spans="1:14">
      <c r="A25" s="53" t="s">
        <v>54</v>
      </c>
      <c r="B25" s="42" t="s">
        <v>55</v>
      </c>
      <c r="C25" s="43" t="s">
        <v>56</v>
      </c>
      <c r="D25" s="60" t="e">
        <f t="shared" ref="D25:M25" si="12">D12*1000/D8</f>
        <v>#DIV/0!</v>
      </c>
      <c r="E25" s="60" t="e">
        <f t="shared" si="12"/>
        <v>#DIV/0!</v>
      </c>
      <c r="F25" s="60" t="e">
        <f t="shared" si="12"/>
        <v>#DIV/0!</v>
      </c>
      <c r="G25" s="60" t="e">
        <f t="shared" si="12"/>
        <v>#DIV/0!</v>
      </c>
      <c r="H25" s="61" t="e">
        <f t="shared" si="12"/>
        <v>#DIV/0!</v>
      </c>
      <c r="I25" s="62" t="e">
        <f t="shared" si="12"/>
        <v>#DIV/0!</v>
      </c>
      <c r="J25" s="60" t="e">
        <f t="shared" si="12"/>
        <v>#DIV/0!</v>
      </c>
      <c r="K25" s="60" t="e">
        <f t="shared" si="12"/>
        <v>#DIV/0!</v>
      </c>
      <c r="L25" s="60" t="e">
        <f t="shared" si="12"/>
        <v>#DIV/0!</v>
      </c>
      <c r="M25" s="61" t="e">
        <f t="shared" si="12"/>
        <v>#DIV/0!</v>
      </c>
      <c r="N25" s="45"/>
    </row>
    <row r="26" s="3" customFormat="1" ht="18" customHeight="1" spans="1:14">
      <c r="A26" s="53" t="s">
        <v>57</v>
      </c>
      <c r="B26" s="42" t="s">
        <v>58</v>
      </c>
      <c r="C26" s="63" t="s">
        <v>23</v>
      </c>
      <c r="D26" s="56"/>
      <c r="E26" s="64"/>
      <c r="F26" s="65"/>
      <c r="G26" s="34"/>
      <c r="H26" s="66"/>
      <c r="I26" s="44">
        <f>D26+'26.9'!I26</f>
        <v>0</v>
      </c>
      <c r="J26" s="44">
        <f>E26+'26.9'!J26</f>
        <v>0</v>
      </c>
      <c r="K26" s="44">
        <f>F26+'26.9'!K26</f>
        <v>0</v>
      </c>
      <c r="L26" s="44">
        <f>G26+'26.9'!L26</f>
        <v>0</v>
      </c>
      <c r="M26" s="66">
        <f t="shared" si="10"/>
        <v>0</v>
      </c>
      <c r="N26" s="67"/>
    </row>
    <row r="27" s="3" customFormat="1" ht="18" customHeight="1" spans="1:14">
      <c r="A27" s="53" t="s">
        <v>59</v>
      </c>
      <c r="B27" s="42" t="s">
        <v>60</v>
      </c>
      <c r="C27" s="63" t="s">
        <v>23</v>
      </c>
      <c r="D27" s="50"/>
      <c r="E27" s="68">
        <f>J27</f>
        <v>12569.7</v>
      </c>
      <c r="F27" s="68"/>
      <c r="G27" s="68">
        <f>L27</f>
        <v>1108.50000000002</v>
      </c>
      <c r="H27" s="69"/>
      <c r="I27" s="70">
        <v>76403</v>
      </c>
      <c r="J27" s="71">
        <f>'26.9'!J27+E26-E10</f>
        <v>12569.7</v>
      </c>
      <c r="K27" s="71">
        <f>'26.9'!K27+F26-F10</f>
        <v>0</v>
      </c>
      <c r="L27" s="71">
        <f>'26.9'!L27+G26-G10</f>
        <v>1108.50000000002</v>
      </c>
      <c r="M27" s="72">
        <f t="shared" si="10"/>
        <v>13678.2</v>
      </c>
      <c r="N27" s="67"/>
    </row>
    <row r="28" s="2" customFormat="1" ht="18" customHeight="1" spans="1:14">
      <c r="A28" s="53" t="s">
        <v>61</v>
      </c>
      <c r="B28" s="42" t="s">
        <v>62</v>
      </c>
      <c r="C28" s="43" t="s">
        <v>63</v>
      </c>
      <c r="D28" s="73" t="e">
        <f>D13*29308/D10</f>
        <v>#DIV/0!</v>
      </c>
      <c r="E28" s="73" t="e">
        <f t="shared" ref="E28:H28" si="13">E12*29308/E10</f>
        <v>#DIV/0!</v>
      </c>
      <c r="F28" s="73" t="e">
        <f t="shared" si="13"/>
        <v>#DIV/0!</v>
      </c>
      <c r="G28" s="73" t="e">
        <f t="shared" si="13"/>
        <v>#DIV/0!</v>
      </c>
      <c r="H28" s="73" t="e">
        <f t="shared" si="13"/>
        <v>#DIV/0!</v>
      </c>
      <c r="I28" s="74" t="e">
        <f>I13*29308/I10</f>
        <v>#DIV/0!</v>
      </c>
      <c r="J28" s="46" t="e">
        <f t="shared" ref="J28:M28" si="14">J12*29308/J10</f>
        <v>#DIV/0!</v>
      </c>
      <c r="K28" s="46" t="e">
        <f t="shared" si="14"/>
        <v>#DIV/0!</v>
      </c>
      <c r="L28" s="46" t="e">
        <f t="shared" si="14"/>
        <v>#DIV/0!</v>
      </c>
      <c r="M28" s="73" t="e">
        <f t="shared" si="14"/>
        <v>#DIV/0!</v>
      </c>
      <c r="N28" s="45"/>
    </row>
    <row r="29" s="2" customFormat="1" ht="18" customHeight="1" spans="1:14">
      <c r="A29" s="53" t="s">
        <v>64</v>
      </c>
      <c r="B29" s="42" t="s">
        <v>65</v>
      </c>
      <c r="C29" s="43" t="s">
        <v>63</v>
      </c>
      <c r="D29" s="75"/>
      <c r="E29" s="40"/>
      <c r="F29" s="40"/>
      <c r="G29" s="76"/>
      <c r="H29" s="77"/>
      <c r="I29" s="78"/>
      <c r="J29" s="40"/>
      <c r="K29" s="40"/>
      <c r="L29" s="76"/>
      <c r="M29" s="77"/>
      <c r="N29" s="45"/>
    </row>
    <row r="30" s="2" customFormat="1" ht="18" customHeight="1" spans="1:14">
      <c r="A30" s="53" t="s">
        <v>66</v>
      </c>
      <c r="B30" s="42" t="s">
        <v>67</v>
      </c>
      <c r="C30" s="79" t="s">
        <v>68</v>
      </c>
      <c r="D30" s="80" t="e">
        <f t="shared" ref="D30:M30" si="15">D8/(D12*29.308)</f>
        <v>#DIV/0!</v>
      </c>
      <c r="E30" s="80" t="e">
        <f t="shared" si="15"/>
        <v>#DIV/0!</v>
      </c>
      <c r="F30" s="80" t="e">
        <f t="shared" si="15"/>
        <v>#DIV/0!</v>
      </c>
      <c r="G30" s="80" t="e">
        <f>(G8-G36)/(G12*29.308)</f>
        <v>#DIV/0!</v>
      </c>
      <c r="H30" s="81" t="e">
        <f t="shared" si="15"/>
        <v>#DIV/0!</v>
      </c>
      <c r="I30" s="82" t="e">
        <f t="shared" si="15"/>
        <v>#DIV/0!</v>
      </c>
      <c r="J30" s="80" t="e">
        <f t="shared" si="15"/>
        <v>#DIV/0!</v>
      </c>
      <c r="K30" s="80" t="e">
        <f t="shared" si="15"/>
        <v>#DIV/0!</v>
      </c>
      <c r="L30" s="80" t="e">
        <f t="shared" si="15"/>
        <v>#DIV/0!</v>
      </c>
      <c r="M30" s="81" t="e">
        <f t="shared" si="15"/>
        <v>#DIV/0!</v>
      </c>
      <c r="N30" s="45"/>
    </row>
    <row r="31" s="2" customFormat="1" ht="18" customHeight="1" spans="1:14">
      <c r="A31" s="53" t="s">
        <v>69</v>
      </c>
      <c r="B31" s="42" t="s">
        <v>70</v>
      </c>
      <c r="C31" s="79" t="s">
        <v>68</v>
      </c>
      <c r="D31" s="83">
        <f>D8/3.6/D3/(DAY(DATE(2026,11,0))*24)</f>
        <v>0</v>
      </c>
      <c r="E31" s="83">
        <f>E8/3.6/E3/(DAY(DATE(2026,11,0))*24)</f>
        <v>0</v>
      </c>
      <c r="F31" s="83" t="e">
        <f>F8/3.6/F3/(DAY(DATE(2026,11,0))*24)</f>
        <v>#DIV/0!</v>
      </c>
      <c r="G31" s="83">
        <f>(G8-G36)/3.6/G3/(DAY(DATE(2026,11,0))*24)</f>
        <v>0</v>
      </c>
      <c r="H31" s="84">
        <f>H8/3.6/H3/(DAY(DATE(2026,11,0))*24)</f>
        <v>0</v>
      </c>
      <c r="I31" s="85">
        <f>I8/3.6/I3/(DATEDIF(DATE(2026,1,1),DATE(2026,11,1),"D")*24)</f>
        <v>0</v>
      </c>
      <c r="J31" s="83">
        <f>J8/3.6/J3/(DATEDIF(DATE(2026,1,1),DATE(2026,11,1),"D")*24)</f>
        <v>0</v>
      </c>
      <c r="K31" s="83" t="e">
        <f>K8/3.6/K3/(DATEDIF(DATE(2026,1,1),DATE(2026,11,1),"D")*24)</f>
        <v>#DIV/0!</v>
      </c>
      <c r="L31" s="83">
        <f>(L8-L36)/3.6/L3/(DATEDIF(DATE(2026,1,1),DATE(2026,11,1),"D")*24)</f>
        <v>0</v>
      </c>
      <c r="M31" s="84">
        <f>M8/3.6/M3/(DATEDIF(DATE(2026,1,1),DATE(2026,11,1),"D")*24)</f>
        <v>0</v>
      </c>
      <c r="N31" s="45"/>
    </row>
    <row r="32" s="2" customFormat="1" ht="18" customHeight="1" spans="1:14">
      <c r="A32" s="53" t="s">
        <v>71</v>
      </c>
      <c r="B32" s="42" t="s">
        <v>72</v>
      </c>
      <c r="C32" s="43" t="s">
        <v>73</v>
      </c>
      <c r="D32" s="86"/>
      <c r="E32" s="87" t="e">
        <f t="shared" ref="E32:H32" si="16">E8/E6</f>
        <v>#DIV/0!</v>
      </c>
      <c r="F32" s="87" t="e">
        <f t="shared" si="16"/>
        <v>#DIV/0!</v>
      </c>
      <c r="G32" s="87" t="e">
        <f t="shared" si="16"/>
        <v>#DIV/0!</v>
      </c>
      <c r="H32" s="87" t="e">
        <f t="shared" si="16"/>
        <v>#DIV/0!</v>
      </c>
      <c r="I32" s="88"/>
      <c r="J32" s="87" t="e">
        <f t="shared" ref="J32:M32" si="17">J8/J6</f>
        <v>#DIV/0!</v>
      </c>
      <c r="K32" s="87" t="e">
        <f t="shared" si="17"/>
        <v>#DIV/0!</v>
      </c>
      <c r="L32" s="87" t="e">
        <f t="shared" si="17"/>
        <v>#DIV/0!</v>
      </c>
      <c r="M32" s="89" t="e">
        <f t="shared" si="17"/>
        <v>#DIV/0!</v>
      </c>
      <c r="N32" s="45"/>
    </row>
    <row r="33" s="2" customFormat="1" ht="18" customHeight="1" spans="1:14">
      <c r="A33" s="53" t="s">
        <v>74</v>
      </c>
      <c r="B33" s="42" t="s">
        <v>75</v>
      </c>
      <c r="C33" s="43" t="s">
        <v>76</v>
      </c>
      <c r="D33" s="90"/>
      <c r="E33" s="91" t="e">
        <f t="shared" ref="E33:H33" si="18">E12*1000/E6</f>
        <v>#DIV/0!</v>
      </c>
      <c r="F33" s="91" t="e">
        <f t="shared" si="18"/>
        <v>#DIV/0!</v>
      </c>
      <c r="G33" s="91" t="e">
        <f t="shared" si="18"/>
        <v>#DIV/0!</v>
      </c>
      <c r="H33" s="92" t="e">
        <f t="shared" si="18"/>
        <v>#DIV/0!</v>
      </c>
      <c r="I33" s="93"/>
      <c r="J33" s="91" t="e">
        <f t="shared" ref="J33:M33" si="19">J12*1000/J6</f>
        <v>#DIV/0!</v>
      </c>
      <c r="K33" s="91" t="e">
        <f t="shared" si="19"/>
        <v>#DIV/0!</v>
      </c>
      <c r="L33" s="91" t="e">
        <f t="shared" si="19"/>
        <v>#DIV/0!</v>
      </c>
      <c r="M33" s="92" t="e">
        <f t="shared" si="19"/>
        <v>#DIV/0!</v>
      </c>
      <c r="N33" s="45"/>
    </row>
    <row r="34" s="2" customFormat="1" ht="18" customHeight="1" spans="1:14">
      <c r="A34" s="53" t="s">
        <v>77</v>
      </c>
      <c r="B34" s="42" t="s">
        <v>78</v>
      </c>
      <c r="C34" s="43" t="s">
        <v>79</v>
      </c>
      <c r="D34" s="94"/>
      <c r="E34" s="91" t="e">
        <f t="shared" ref="E34:H34" si="20">E17/E6</f>
        <v>#DIV/0!</v>
      </c>
      <c r="F34" s="91" t="e">
        <f t="shared" si="20"/>
        <v>#DIV/0!</v>
      </c>
      <c r="G34" s="91" t="e">
        <f t="shared" si="20"/>
        <v>#DIV/0!</v>
      </c>
      <c r="H34" s="92" t="e">
        <f t="shared" si="20"/>
        <v>#DIV/0!</v>
      </c>
      <c r="I34" s="95"/>
      <c r="J34" s="91" t="e">
        <f t="shared" ref="J34:M34" si="21">J17/J6</f>
        <v>#DIV/0!</v>
      </c>
      <c r="K34" s="91" t="e">
        <f t="shared" si="21"/>
        <v>#DIV/0!</v>
      </c>
      <c r="L34" s="91" t="e">
        <f t="shared" si="21"/>
        <v>#DIV/0!</v>
      </c>
      <c r="M34" s="92" t="e">
        <f t="shared" si="21"/>
        <v>#DIV/0!</v>
      </c>
      <c r="N34" s="45"/>
    </row>
    <row r="35" s="2" customFormat="1" ht="18" customHeight="1" spans="1:14">
      <c r="A35" s="96" t="s">
        <v>80</v>
      </c>
      <c r="B35" s="97" t="s">
        <v>81</v>
      </c>
      <c r="C35" s="98" t="s">
        <v>76</v>
      </c>
      <c r="D35" s="99"/>
      <c r="E35" s="100" t="e">
        <f t="shared" ref="E35:H35" si="22">E15*1000/E6</f>
        <v>#DIV/0!</v>
      </c>
      <c r="F35" s="100" t="e">
        <f t="shared" si="22"/>
        <v>#DIV/0!</v>
      </c>
      <c r="G35" s="100" t="e">
        <f t="shared" si="22"/>
        <v>#DIV/0!</v>
      </c>
      <c r="H35" s="101" t="e">
        <f t="shared" si="22"/>
        <v>#DIV/0!</v>
      </c>
      <c r="I35" s="102"/>
      <c r="J35" s="100" t="e">
        <f t="shared" ref="J35:M35" si="23">J15*1000/J6</f>
        <v>#DIV/0!</v>
      </c>
      <c r="K35" s="100" t="e">
        <f t="shared" si="23"/>
        <v>#DIV/0!</v>
      </c>
      <c r="L35" s="100" t="e">
        <f t="shared" si="23"/>
        <v>#DIV/0!</v>
      </c>
      <c r="M35" s="101" t="e">
        <f t="shared" si="23"/>
        <v>#DIV/0!</v>
      </c>
      <c r="N35" s="45"/>
    </row>
    <row r="36" s="2" customFormat="1" ht="21" customHeight="1" spans="1:14">
      <c r="A36" s="103"/>
      <c r="B36" s="104" t="s">
        <v>82</v>
      </c>
      <c r="C36" s="105" t="s">
        <v>26</v>
      </c>
      <c r="D36" s="106"/>
      <c r="E36" s="106"/>
      <c r="F36" s="106"/>
      <c r="G36" s="106"/>
      <c r="H36" s="107"/>
      <c r="I36" s="106"/>
      <c r="J36" s="106"/>
      <c r="K36" s="106"/>
      <c r="L36" s="44">
        <f>G36+'26.9'!L36</f>
        <v>0</v>
      </c>
      <c r="M36" s="107"/>
    </row>
    <row r="37" s="1" customFormat="1" ht="29.25" customHeight="1" spans="1:14">
      <c r="A37" s="108" t="s">
        <v>83</v>
      </c>
      <c r="C37" s="4"/>
      <c r="D37" s="5" t="s">
        <v>84</v>
      </c>
      <c r="E37" s="2"/>
      <c r="F37" s="2"/>
      <c r="G37" s="2"/>
      <c r="H37" s="2"/>
      <c r="I37" s="2"/>
      <c r="J37" s="2"/>
    </row>
    <row r="38" s="1" customFormat="1" ht="31.5" customHeight="1" spans="1:14">
      <c r="A38" s="109" t="s">
        <v>0</v>
      </c>
      <c r="B38" s="110" t="s">
        <v>85</v>
      </c>
      <c r="C38" s="110" t="s">
        <v>2</v>
      </c>
      <c r="D38" s="111" t="s">
        <v>86</v>
      </c>
      <c r="E38" s="112" t="s">
        <v>87</v>
      </c>
      <c r="F38" s="2"/>
      <c r="G38" s="2"/>
      <c r="H38" s="2"/>
    </row>
    <row r="39" s="1" customFormat="1" ht="27.95" customHeight="1" spans="1:14">
      <c r="A39" s="28" t="s">
        <v>11</v>
      </c>
      <c r="B39" s="29" t="s">
        <v>12</v>
      </c>
      <c r="C39" s="30" t="s">
        <v>13</v>
      </c>
      <c r="D39" s="113">
        <v>0.55</v>
      </c>
      <c r="E39" s="114">
        <v>0.55</v>
      </c>
      <c r="F39" s="2"/>
      <c r="G39" s="2"/>
      <c r="H39" s="2"/>
    </row>
    <row r="40" s="1" customFormat="1" ht="27.95" customHeight="1" spans="1:14">
      <c r="A40" s="28" t="s">
        <v>14</v>
      </c>
      <c r="B40" s="29" t="s">
        <v>88</v>
      </c>
      <c r="C40" s="30" t="s">
        <v>16</v>
      </c>
      <c r="D40" s="115"/>
      <c r="E40" s="116">
        <f>D40</f>
        <v>0</v>
      </c>
      <c r="F40" s="45"/>
      <c r="G40" s="45"/>
      <c r="H40" s="2"/>
    </row>
    <row r="41" s="1" customFormat="1" ht="27.95" customHeight="1" spans="1:14">
      <c r="A41" s="28" t="s">
        <v>19</v>
      </c>
      <c r="B41" s="29" t="s">
        <v>89</v>
      </c>
      <c r="C41" s="30" t="s">
        <v>16</v>
      </c>
      <c r="D41" s="117"/>
      <c r="E41" s="118">
        <f>D41</f>
        <v>0</v>
      </c>
      <c r="F41" s="45"/>
      <c r="G41" s="45"/>
      <c r="H41" s="2"/>
    </row>
    <row r="42" s="1" customFormat="1" ht="27.95" customHeight="1" spans="1:14">
      <c r="A42" s="28" t="s">
        <v>21</v>
      </c>
      <c r="B42" s="42" t="s">
        <v>25</v>
      </c>
      <c r="C42" s="43" t="s">
        <v>26</v>
      </c>
      <c r="D42" s="119"/>
      <c r="E42" s="120">
        <f>D42+'26.9'!E42</f>
        <v>441</v>
      </c>
      <c r="F42" s="45"/>
      <c r="G42" s="45"/>
      <c r="H42" s="2"/>
    </row>
    <row r="43" s="1" customFormat="1" ht="27.95" customHeight="1" spans="1:14">
      <c r="A43" s="28" t="s">
        <v>24</v>
      </c>
      <c r="B43" s="42" t="s">
        <v>38</v>
      </c>
      <c r="C43" s="43" t="s">
        <v>23</v>
      </c>
      <c r="D43" s="115"/>
      <c r="E43" s="120">
        <f>D43+'26.9'!E43</f>
        <v>3</v>
      </c>
      <c r="F43" s="45"/>
      <c r="G43" s="45"/>
      <c r="H43" s="2"/>
    </row>
    <row r="44" s="1" customFormat="1" ht="27.95" customHeight="1" spans="1:14">
      <c r="A44" s="28" t="s">
        <v>27</v>
      </c>
      <c r="B44" s="42" t="s">
        <v>41</v>
      </c>
      <c r="C44" s="43" t="s">
        <v>42</v>
      </c>
      <c r="D44" s="115"/>
      <c r="E44" s="120">
        <f>D44+'26.9'!E44</f>
        <v>132840.000000001</v>
      </c>
      <c r="F44" s="45"/>
      <c r="G44" s="45"/>
      <c r="H44" s="2"/>
    </row>
    <row r="45" s="1" customFormat="1" ht="27.95" customHeight="1" spans="1:14">
      <c r="A45" s="28"/>
      <c r="B45" s="42" t="s">
        <v>90</v>
      </c>
      <c r="C45" s="43" t="s">
        <v>42</v>
      </c>
      <c r="D45" s="115">
        <f>D44</f>
        <v>0</v>
      </c>
      <c r="E45" s="120">
        <f>D45+'26.9'!E45</f>
        <v>132840.000000001</v>
      </c>
      <c r="F45" s="45"/>
      <c r="G45" s="45"/>
      <c r="H45" s="2"/>
    </row>
    <row r="46" s="1" customFormat="1" ht="27.95" customHeight="1" spans="1:14">
      <c r="A46" s="28" t="s">
        <v>29</v>
      </c>
      <c r="B46" s="42" t="s">
        <v>52</v>
      </c>
      <c r="C46" s="43" t="s">
        <v>53</v>
      </c>
      <c r="D46" s="121" t="e">
        <f>D44/D42</f>
        <v>#DIV/0!</v>
      </c>
      <c r="E46" s="122">
        <f>E44/E42</f>
        <v>301.224489795921</v>
      </c>
      <c r="F46" s="45"/>
      <c r="G46" s="45"/>
      <c r="H46" s="2"/>
    </row>
    <row r="47" s="1" customFormat="1" ht="27.95" customHeight="1" spans="1:14">
      <c r="A47" s="28" t="s">
        <v>31</v>
      </c>
      <c r="B47" s="42" t="s">
        <v>70</v>
      </c>
      <c r="C47" s="79" t="s">
        <v>68</v>
      </c>
      <c r="D47" s="123">
        <f>D42/3.6/D39/(DAY(DATE(2026,11,0))*24)</f>
        <v>0</v>
      </c>
      <c r="E47" s="124">
        <f>E42/3.6/E39/(DATEDIF(DATE(2026,1,1),DATE(2026,11,1),"D")*24)</f>
        <v>0.030527312599681</v>
      </c>
      <c r="F47" s="45"/>
      <c r="G47" s="45"/>
      <c r="H47" s="2"/>
    </row>
    <row r="48" s="1" customFormat="1" ht="27.95" customHeight="1" spans="1:14">
      <c r="A48" s="28" t="s">
        <v>33</v>
      </c>
      <c r="B48" s="42" t="s">
        <v>72</v>
      </c>
      <c r="C48" s="43" t="s">
        <v>73</v>
      </c>
      <c r="D48" s="125" t="e">
        <f>D42/D41</f>
        <v>#DIV/0!</v>
      </c>
      <c r="E48" s="126" t="e">
        <f>E42/E41</f>
        <v>#DIV/0!</v>
      </c>
      <c r="F48" s="45"/>
      <c r="G48" s="45"/>
      <c r="H48" s="2"/>
    </row>
    <row r="49" s="1" customFormat="1" ht="27.95" customHeight="1" spans="1:10">
      <c r="A49" s="28" t="s">
        <v>37</v>
      </c>
      <c r="B49" s="42" t="s">
        <v>78</v>
      </c>
      <c r="C49" s="43" t="s">
        <v>79</v>
      </c>
      <c r="D49" s="127" t="e">
        <f>D44/D41</f>
        <v>#DIV/0!</v>
      </c>
      <c r="E49" s="128" t="e">
        <f>E44/E41</f>
        <v>#DIV/0!</v>
      </c>
      <c r="F49" s="45"/>
      <c r="G49" s="45"/>
      <c r="H49" s="2"/>
    </row>
    <row r="50" s="1" customFormat="1" ht="27.95" customHeight="1" spans="1:10">
      <c r="A50" s="129" t="s">
        <v>40</v>
      </c>
      <c r="B50" s="97" t="s">
        <v>81</v>
      </c>
      <c r="C50" s="98" t="s">
        <v>76</v>
      </c>
      <c r="D50" s="130" t="e">
        <f>D43*1000/D41</f>
        <v>#DIV/0!</v>
      </c>
      <c r="E50" s="130" t="e">
        <f>E43*1000/E41</f>
        <v>#DIV/0!</v>
      </c>
      <c r="F50" s="45"/>
      <c r="G50" s="45"/>
      <c r="H50" s="2"/>
    </row>
    <row r="51" s="1" customFormat="1" ht="18" customHeight="1" spans="1:10">
      <c r="C51" s="4"/>
      <c r="D51" s="5"/>
    </row>
    <row r="52" s="1" customFormat="1" ht="29.25" customHeight="1" spans="1:10">
      <c r="A52" s="108" t="s">
        <v>91</v>
      </c>
      <c r="C52" s="4"/>
      <c r="D52" s="5" t="s">
        <v>84</v>
      </c>
      <c r="E52" s="2"/>
      <c r="F52" s="2"/>
      <c r="G52" s="2"/>
      <c r="H52" s="2"/>
      <c r="I52" s="2"/>
      <c r="J52" s="2"/>
    </row>
    <row r="53" s="1" customFormat="1" ht="31.5" customHeight="1" spans="1:10">
      <c r="A53" s="131" t="s">
        <v>0</v>
      </c>
      <c r="B53" s="132" t="s">
        <v>85</v>
      </c>
      <c r="C53" s="132" t="s">
        <v>2</v>
      </c>
      <c r="D53" s="133" t="s">
        <v>86</v>
      </c>
      <c r="E53" s="134"/>
      <c r="F53" s="135"/>
      <c r="G53" s="136" t="s">
        <v>87</v>
      </c>
      <c r="H53" s="134"/>
      <c r="I53" s="134"/>
    </row>
    <row r="54" s="1" customFormat="1" ht="31.5" customHeight="1" spans="1:10">
      <c r="A54" s="137"/>
      <c r="B54" s="138"/>
      <c r="C54" s="138"/>
      <c r="D54" s="139" t="s">
        <v>92</v>
      </c>
      <c r="E54" s="139" t="s">
        <v>93</v>
      </c>
      <c r="F54" s="140" t="s">
        <v>9</v>
      </c>
      <c r="G54" s="141" t="s">
        <v>92</v>
      </c>
      <c r="H54" s="139" t="s">
        <v>93</v>
      </c>
      <c r="I54" s="142" t="s">
        <v>9</v>
      </c>
    </row>
    <row r="55" s="1" customFormat="1" ht="27.95" customHeight="1" spans="1:10">
      <c r="A55" s="28" t="s">
        <v>11</v>
      </c>
      <c r="B55" s="29" t="s">
        <v>12</v>
      </c>
      <c r="C55" s="30" t="s">
        <v>13</v>
      </c>
      <c r="D55" s="143">
        <v>6</v>
      </c>
      <c r="E55" s="143">
        <v>6.4</v>
      </c>
      <c r="F55" s="144">
        <f t="shared" ref="F55:F61" si="24">SUM(D55:E55)</f>
        <v>12.4</v>
      </c>
      <c r="G55" s="145">
        <f t="shared" ref="G55:G57" si="25">D55</f>
        <v>6</v>
      </c>
      <c r="H55" s="146">
        <f t="shared" ref="H55:H57" si="26">E55</f>
        <v>6.4</v>
      </c>
      <c r="I55" s="146">
        <f t="shared" ref="I55:I61" si="27">SUM(G55:H55)</f>
        <v>12.4</v>
      </c>
    </row>
    <row r="56" s="1" customFormat="1" ht="27.95" customHeight="1" spans="1:10">
      <c r="A56" s="28" t="s">
        <v>14</v>
      </c>
      <c r="B56" s="29" t="s">
        <v>88</v>
      </c>
      <c r="C56" s="30" t="s">
        <v>16</v>
      </c>
      <c r="D56" s="148"/>
      <c r="E56" s="148"/>
      <c r="F56" s="117">
        <f t="shared" si="24"/>
        <v>0</v>
      </c>
      <c r="G56" s="118">
        <f t="shared" si="25"/>
        <v>0</v>
      </c>
      <c r="H56" s="118">
        <f t="shared" si="26"/>
        <v>0</v>
      </c>
      <c r="I56" s="147">
        <f t="shared" si="27"/>
        <v>0</v>
      </c>
    </row>
    <row r="57" s="1" customFormat="1" ht="27.95" customHeight="1" spans="1:10">
      <c r="A57" s="28" t="s">
        <v>19</v>
      </c>
      <c r="B57" s="29" t="s">
        <v>89</v>
      </c>
      <c r="C57" s="30" t="s">
        <v>16</v>
      </c>
      <c r="D57" s="147"/>
      <c r="E57" s="147"/>
      <c r="F57" s="117">
        <f t="shared" si="24"/>
        <v>0</v>
      </c>
      <c r="G57" s="118">
        <f t="shared" si="25"/>
        <v>0</v>
      </c>
      <c r="H57" s="118">
        <f t="shared" si="26"/>
        <v>0</v>
      </c>
      <c r="I57" s="147">
        <f t="shared" si="27"/>
        <v>0</v>
      </c>
    </row>
    <row r="58" s="1" customFormat="1" ht="27.95" customHeight="1" spans="1:10">
      <c r="A58" s="28" t="s">
        <v>21</v>
      </c>
      <c r="B58" s="42" t="s">
        <v>25</v>
      </c>
      <c r="C58" s="43" t="s">
        <v>26</v>
      </c>
      <c r="D58" s="148"/>
      <c r="E58" s="149"/>
      <c r="F58" s="117">
        <f t="shared" si="24"/>
        <v>0</v>
      </c>
      <c r="G58" s="150">
        <f>D58+'26.9'!G58</f>
        <v>0</v>
      </c>
      <c r="H58" s="150">
        <f>E58+'26.9'!H58</f>
        <v>0</v>
      </c>
      <c r="I58" s="147">
        <f t="shared" si="27"/>
        <v>0</v>
      </c>
    </row>
    <row r="59" s="1" customFormat="1" ht="27.95" customHeight="1" spans="1:10">
      <c r="A59" s="28" t="s">
        <v>24</v>
      </c>
      <c r="B59" s="42" t="s">
        <v>38</v>
      </c>
      <c r="C59" s="43" t="s">
        <v>23</v>
      </c>
      <c r="D59" s="148"/>
      <c r="E59" s="148"/>
      <c r="F59" s="117">
        <f t="shared" si="24"/>
        <v>0</v>
      </c>
      <c r="G59" s="150">
        <f>D59+'26.9'!G59</f>
        <v>0</v>
      </c>
      <c r="H59" s="150">
        <f>E59+'26.9'!H59</f>
        <v>0</v>
      </c>
      <c r="I59" s="147">
        <f t="shared" si="27"/>
        <v>0</v>
      </c>
    </row>
    <row r="60" s="1" customFormat="1" ht="27.95" customHeight="1" spans="1:10">
      <c r="A60" s="28" t="s">
        <v>27</v>
      </c>
      <c r="B60" s="42" t="s">
        <v>41</v>
      </c>
      <c r="C60" s="43" t="s">
        <v>42</v>
      </c>
      <c r="D60" s="148"/>
      <c r="E60" s="148"/>
      <c r="F60" s="117">
        <f t="shared" si="24"/>
        <v>0</v>
      </c>
      <c r="G60" s="150">
        <f>D60+'26.9'!G60</f>
        <v>0</v>
      </c>
      <c r="H60" s="150">
        <f>E60+'26.9'!H60</f>
        <v>0</v>
      </c>
      <c r="I60" s="147">
        <f t="shared" si="27"/>
        <v>0</v>
      </c>
    </row>
    <row r="61" s="1" customFormat="1" ht="27.95" customHeight="1" spans="1:10">
      <c r="A61" s="28"/>
      <c r="B61" s="42" t="s">
        <v>90</v>
      </c>
      <c r="C61" s="43" t="s">
        <v>42</v>
      </c>
      <c r="D61" s="148"/>
      <c r="E61" s="148"/>
      <c r="F61" s="117">
        <f t="shared" si="24"/>
        <v>0</v>
      </c>
      <c r="G61" s="150">
        <f>D61+'26.9'!G61</f>
        <v>0</v>
      </c>
      <c r="H61" s="150">
        <f>E61+'26.9'!H61</f>
        <v>0</v>
      </c>
      <c r="I61" s="147">
        <f t="shared" si="27"/>
        <v>0</v>
      </c>
    </row>
    <row r="62" s="1" customFormat="1" ht="27.95" customHeight="1" spans="1:10">
      <c r="A62" s="28" t="s">
        <v>29</v>
      </c>
      <c r="B62" s="42" t="s">
        <v>52</v>
      </c>
      <c r="C62" s="43" t="s">
        <v>53</v>
      </c>
      <c r="D62" s="151" t="e">
        <f t="shared" ref="D62:I62" si="28">D60/D58</f>
        <v>#DIV/0!</v>
      </c>
      <c r="E62" s="151" t="e">
        <f t="shared" si="28"/>
        <v>#DIV/0!</v>
      </c>
      <c r="F62" s="121" t="e">
        <f t="shared" si="28"/>
        <v>#DIV/0!</v>
      </c>
      <c r="G62" s="152" t="e">
        <f t="shared" si="28"/>
        <v>#DIV/0!</v>
      </c>
      <c r="H62" s="60" t="e">
        <f t="shared" si="28"/>
        <v>#DIV/0!</v>
      </c>
      <c r="I62" s="61" t="e">
        <f t="shared" si="28"/>
        <v>#DIV/0!</v>
      </c>
    </row>
    <row r="63" s="1" customFormat="1" ht="27.95" customHeight="1" spans="1:10">
      <c r="A63" s="28" t="s">
        <v>31</v>
      </c>
      <c r="B63" s="42" t="s">
        <v>70</v>
      </c>
      <c r="C63" s="79" t="s">
        <v>68</v>
      </c>
      <c r="D63" s="83">
        <f>D58/3.6/D55/(DAY(DATE(2026,11,0))*24)</f>
        <v>0</v>
      </c>
      <c r="E63" s="83">
        <f>E58/3.6/E55/(DAY(DATE(2026,11,0))*24)</f>
        <v>0</v>
      </c>
      <c r="F63" s="123">
        <f>F58/3.6/F55/(DAY(DATE(2026,11,0))*24)</f>
        <v>0</v>
      </c>
      <c r="G63" s="85">
        <f>G58/3.6/G55/(DATEDIF(DATE(2026,1,1),DATE(2026,11,1),"D")*24)</f>
        <v>0</v>
      </c>
      <c r="H63" s="83">
        <f>H58/3.6/H55/(DATEDIF(DATE(2026,1,1),DATE(2026,11,1),"D")*24)</f>
        <v>0</v>
      </c>
      <c r="I63" s="84">
        <f>I58/3.6/I55/(DATEDIF(DATE(2026,1,1),DATE(2026,11,1),"D")*24)</f>
        <v>0</v>
      </c>
    </row>
    <row r="64" s="1" customFormat="1" ht="27.95" customHeight="1" spans="1:10">
      <c r="A64" s="28" t="s">
        <v>33</v>
      </c>
      <c r="B64" s="42" t="s">
        <v>72</v>
      </c>
      <c r="C64" s="43" t="s">
        <v>73</v>
      </c>
      <c r="D64" s="87" t="e">
        <f t="shared" ref="D64:I64" si="29">D58/D57</f>
        <v>#DIV/0!</v>
      </c>
      <c r="E64" s="87" t="e">
        <f t="shared" si="29"/>
        <v>#DIV/0!</v>
      </c>
      <c r="F64" s="89" t="e">
        <f t="shared" si="29"/>
        <v>#DIV/0!</v>
      </c>
      <c r="G64" s="153" t="e">
        <f t="shared" si="29"/>
        <v>#DIV/0!</v>
      </c>
      <c r="H64" s="87" t="e">
        <f t="shared" si="29"/>
        <v>#DIV/0!</v>
      </c>
      <c r="I64" s="89" t="e">
        <f t="shared" si="29"/>
        <v>#DIV/0!</v>
      </c>
    </row>
    <row r="65" s="1" customFormat="1" ht="27.95" customHeight="1" spans="1:9">
      <c r="A65" s="28" t="s">
        <v>37</v>
      </c>
      <c r="B65" s="42" t="s">
        <v>78</v>
      </c>
      <c r="C65" s="43" t="s">
        <v>79</v>
      </c>
      <c r="D65" s="91" t="e">
        <f t="shared" ref="D65:I65" si="30">D60/D57</f>
        <v>#DIV/0!</v>
      </c>
      <c r="E65" s="91" t="e">
        <f t="shared" si="30"/>
        <v>#DIV/0!</v>
      </c>
      <c r="F65" s="92" t="e">
        <f t="shared" si="30"/>
        <v>#DIV/0!</v>
      </c>
      <c r="G65" s="154" t="e">
        <f t="shared" si="30"/>
        <v>#DIV/0!</v>
      </c>
      <c r="H65" s="91" t="e">
        <f t="shared" si="30"/>
        <v>#DIV/0!</v>
      </c>
      <c r="I65" s="92" t="e">
        <f t="shared" si="30"/>
        <v>#DIV/0!</v>
      </c>
    </row>
    <row r="66" s="1" customFormat="1" ht="27.95" customHeight="1" spans="1:9">
      <c r="A66" s="129" t="s">
        <v>40</v>
      </c>
      <c r="B66" s="97" t="s">
        <v>81</v>
      </c>
      <c r="C66" s="98" t="s">
        <v>76</v>
      </c>
      <c r="D66" s="100" t="e">
        <f t="shared" ref="D66:I66" si="31">D59*1000/D57</f>
        <v>#DIV/0!</v>
      </c>
      <c r="E66" s="100" t="e">
        <f t="shared" si="31"/>
        <v>#DIV/0!</v>
      </c>
      <c r="F66" s="101" t="e">
        <f t="shared" si="31"/>
        <v>#DIV/0!</v>
      </c>
      <c r="G66" s="155" t="e">
        <f t="shared" si="31"/>
        <v>#DIV/0!</v>
      </c>
      <c r="H66" s="100" t="e">
        <f t="shared" si="31"/>
        <v>#DIV/0!</v>
      </c>
      <c r="I66" s="101" t="e">
        <f t="shared" si="31"/>
        <v>#DIV/0!</v>
      </c>
    </row>
    <row r="67" s="1" customFormat="1" ht="18" customHeight="1" spans="1:9">
      <c r="C67" s="4"/>
      <c r="D67" s="5"/>
    </row>
    <row r="68" s="1" customFormat="1" ht="29.25" customHeight="1" spans="1:9">
      <c r="A68" s="108" t="s">
        <v>94</v>
      </c>
      <c r="C68" s="4"/>
      <c r="D68" s="5"/>
    </row>
    <row r="69" s="1" customFormat="1" ht="30" customHeight="1" spans="1:9">
      <c r="A69" s="131" t="s">
        <v>0</v>
      </c>
      <c r="B69" s="7" t="s">
        <v>1</v>
      </c>
      <c r="C69" s="7" t="s">
        <v>2</v>
      </c>
      <c r="D69" s="133" t="s">
        <v>86</v>
      </c>
      <c r="E69" s="135"/>
      <c r="F69" s="134" t="s">
        <v>87</v>
      </c>
      <c r="G69" s="134"/>
    </row>
    <row r="70" s="1" customFormat="1" ht="30" customHeight="1" spans="1:9">
      <c r="A70" s="137"/>
      <c r="B70" s="14"/>
      <c r="C70" s="14"/>
      <c r="D70" s="139" t="s">
        <v>95</v>
      </c>
      <c r="E70" s="156" t="s">
        <v>96</v>
      </c>
      <c r="F70" s="141" t="s">
        <v>95</v>
      </c>
      <c r="G70" s="142" t="s">
        <v>96</v>
      </c>
    </row>
    <row r="71" s="1" customFormat="1" ht="27.95" customHeight="1" spans="1:9">
      <c r="A71" s="19" t="s">
        <v>11</v>
      </c>
      <c r="B71" s="20" t="s">
        <v>12</v>
      </c>
      <c r="C71" s="21" t="s">
        <v>13</v>
      </c>
      <c r="D71" s="157">
        <v>217</v>
      </c>
      <c r="E71" s="158">
        <v>1.4</v>
      </c>
      <c r="F71" s="159">
        <f>D71</f>
        <v>217</v>
      </c>
      <c r="G71" s="160">
        <f>E71</f>
        <v>1.4</v>
      </c>
    </row>
    <row r="72" s="1" customFormat="1" ht="27.95" customHeight="1" spans="1:9">
      <c r="A72" s="28" t="s">
        <v>14</v>
      </c>
      <c r="B72" s="42" t="s">
        <v>22</v>
      </c>
      <c r="C72" s="43" t="s">
        <v>23</v>
      </c>
      <c r="D72" s="148"/>
      <c r="E72" s="115"/>
      <c r="F72" s="161">
        <f>D72</f>
        <v>0</v>
      </c>
      <c r="G72" s="162">
        <f>E72</f>
        <v>0</v>
      </c>
    </row>
    <row r="73" s="1" customFormat="1" ht="27.95" customHeight="1" spans="1:9">
      <c r="A73" s="28" t="s">
        <v>19</v>
      </c>
      <c r="B73" s="42" t="s">
        <v>25</v>
      </c>
      <c r="C73" s="43" t="s">
        <v>26</v>
      </c>
      <c r="D73" s="147">
        <f>D72*2.951694</f>
        <v>0</v>
      </c>
      <c r="E73" s="163">
        <f>E72*2.732</f>
        <v>0</v>
      </c>
      <c r="F73" s="120">
        <f>D73+'26.9'!F73</f>
        <v>0</v>
      </c>
      <c r="G73" s="120">
        <f>E73+'26.9'!G73</f>
        <v>0</v>
      </c>
    </row>
    <row r="74" s="1" customFormat="1" ht="27.95" customHeight="1" spans="1:9">
      <c r="A74" s="28" t="s">
        <v>21</v>
      </c>
      <c r="B74" s="42" t="s">
        <v>97</v>
      </c>
      <c r="C74" s="43" t="s">
        <v>98</v>
      </c>
      <c r="D74" s="148"/>
      <c r="E74" s="115"/>
      <c r="F74" s="120">
        <f>D74+'26.9'!F74</f>
        <v>0</v>
      </c>
      <c r="G74" s="120">
        <f>E74+'26.9'!G74</f>
        <v>0</v>
      </c>
    </row>
    <row r="75" s="1" customFormat="1" ht="27.95" customHeight="1" spans="1:9">
      <c r="A75" s="28" t="s">
        <v>24</v>
      </c>
      <c r="B75" s="42" t="s">
        <v>34</v>
      </c>
      <c r="C75" s="43" t="s">
        <v>23</v>
      </c>
      <c r="D75" s="147">
        <f>D74*D80/29308/1000</f>
        <v>0</v>
      </c>
      <c r="E75" s="117">
        <f>E74*E80/29308/1000</f>
        <v>0</v>
      </c>
      <c r="F75" s="120">
        <f>D75+'26.9'!F75</f>
        <v>0</v>
      </c>
      <c r="G75" s="120">
        <f>E75+'26.9'!G75</f>
        <v>0</v>
      </c>
    </row>
    <row r="76" s="1" customFormat="1" ht="27.95" customHeight="1" spans="1:9">
      <c r="A76" s="28" t="s">
        <v>27</v>
      </c>
      <c r="B76" s="42" t="s">
        <v>38</v>
      </c>
      <c r="C76" s="43" t="s">
        <v>23</v>
      </c>
      <c r="D76" s="148"/>
      <c r="E76" s="164"/>
      <c r="F76" s="120">
        <f>D76+'26.9'!F76</f>
        <v>0</v>
      </c>
      <c r="G76" s="120">
        <f>E76+'26.9'!G76</f>
        <v>0</v>
      </c>
    </row>
    <row r="77" s="1" customFormat="1" ht="27.95" customHeight="1" spans="1:9">
      <c r="A77" s="28" t="s">
        <v>29</v>
      </c>
      <c r="B77" s="42" t="s">
        <v>41</v>
      </c>
      <c r="C77" s="43" t="s">
        <v>42</v>
      </c>
      <c r="D77" s="148"/>
      <c r="E77" s="164"/>
      <c r="F77" s="120">
        <f>D77+'26.9'!F77</f>
        <v>0</v>
      </c>
      <c r="G77" s="120">
        <f>E77+'26.9'!G77</f>
        <v>0</v>
      </c>
    </row>
    <row r="78" s="1" customFormat="1" ht="27.95" customHeight="1" spans="1:9">
      <c r="A78" s="28" t="s">
        <v>31</v>
      </c>
      <c r="B78" s="42" t="s">
        <v>52</v>
      </c>
      <c r="C78" s="43" t="s">
        <v>53</v>
      </c>
      <c r="D78" s="165" t="e">
        <f>D77/D73</f>
        <v>#DIV/0!</v>
      </c>
      <c r="E78" s="166"/>
      <c r="F78" s="167" t="e">
        <f>F77/F73</f>
        <v>#DIV/0!</v>
      </c>
      <c r="G78" s="168"/>
    </row>
    <row r="79" s="1" customFormat="1" ht="27.95" customHeight="1" spans="1:9">
      <c r="A79" s="28" t="s">
        <v>33</v>
      </c>
      <c r="B79" s="42" t="s">
        <v>55</v>
      </c>
      <c r="C79" s="43" t="s">
        <v>56</v>
      </c>
      <c r="D79" s="60" t="e">
        <f t="shared" ref="D79:G79" si="32">D75*1000/D73</f>
        <v>#DIV/0!</v>
      </c>
      <c r="E79" s="169" t="e">
        <f t="shared" si="32"/>
        <v>#DIV/0!</v>
      </c>
      <c r="F79" s="170" t="e">
        <f t="shared" si="32"/>
        <v>#DIV/0!</v>
      </c>
      <c r="G79" s="61" t="e">
        <f t="shared" si="32"/>
        <v>#DIV/0!</v>
      </c>
      <c r="H79" s="12"/>
    </row>
    <row r="80" s="1" customFormat="1" ht="27.95" customHeight="1" spans="1:9">
      <c r="A80" s="28" t="s">
        <v>37</v>
      </c>
      <c r="B80" s="42" t="s">
        <v>99</v>
      </c>
      <c r="C80" s="43" t="s">
        <v>100</v>
      </c>
      <c r="D80" s="56"/>
      <c r="E80" s="171"/>
      <c r="F80" s="172" t="e">
        <f>F75*29308*1000/F74</f>
        <v>#DIV/0!</v>
      </c>
      <c r="G80" s="147" t="e">
        <f>G75*29308*1000/G74</f>
        <v>#DIV/0!</v>
      </c>
      <c r="H80" s="12"/>
    </row>
    <row r="81" s="1" customFormat="1" ht="27.95" customHeight="1" spans="1:11">
      <c r="A81" s="28" t="s">
        <v>40</v>
      </c>
      <c r="B81" s="42" t="s">
        <v>67</v>
      </c>
      <c r="C81" s="79" t="s">
        <v>68</v>
      </c>
      <c r="D81" s="80" t="e">
        <f t="shared" ref="D81:G81" si="33">D73/(D75*29.308)</f>
        <v>#DIV/0!</v>
      </c>
      <c r="E81" s="173" t="e">
        <f t="shared" si="33"/>
        <v>#DIV/0!</v>
      </c>
      <c r="F81" s="174" t="e">
        <f t="shared" si="33"/>
        <v>#DIV/0!</v>
      </c>
      <c r="G81" s="81" t="e">
        <f t="shared" si="33"/>
        <v>#DIV/0!</v>
      </c>
      <c r="H81" s="12"/>
    </row>
    <row r="82" s="1" customFormat="1" ht="27.95" customHeight="1" spans="1:11">
      <c r="A82" s="129" t="s">
        <v>47</v>
      </c>
      <c r="B82" s="175" t="s">
        <v>70</v>
      </c>
      <c r="C82" s="176" t="s">
        <v>68</v>
      </c>
      <c r="D82" s="177">
        <f>D73/3.6/D71/(DAY(DATE(2026,11,0))*24)</f>
        <v>0</v>
      </c>
      <c r="E82" s="178">
        <f>E73/3.6/E71/(DAY(DATE(2026,11,0))*24)</f>
        <v>0</v>
      </c>
      <c r="F82" s="179">
        <f>F73/3.6/F71/(DATEDIF(DATE(2026,1,1),DATE(2026,11,1),"D")*24)</f>
        <v>0</v>
      </c>
      <c r="G82" s="180">
        <f>G73/3.6/G71/(DATEDIF(DATE(2026,1,1),DATE(2026,11,1),"D")*24)</f>
        <v>0</v>
      </c>
      <c r="H82" s="12"/>
    </row>
    <row r="83" s="1" customFormat="1" ht="18" customHeight="1" spans="1:11">
      <c r="B83" s="181"/>
      <c r="C83" s="181"/>
      <c r="D83" s="5"/>
    </row>
    <row r="84" s="1" customFormat="1" customHeight="1" spans="1:11">
      <c r="A84" s="108" t="s">
        <v>101</v>
      </c>
      <c r="C84" s="4"/>
      <c r="D84" s="5" t="s">
        <v>84</v>
      </c>
      <c r="E84" s="2"/>
      <c r="F84" s="2"/>
      <c r="G84" s="2"/>
      <c r="H84" s="2"/>
      <c r="I84" s="2"/>
    </row>
    <row r="85" s="1" customFormat="1" customHeight="1" spans="1:11">
      <c r="A85" s="131" t="s">
        <v>0</v>
      </c>
      <c r="B85" s="132" t="s">
        <v>85</v>
      </c>
      <c r="C85" s="132" t="s">
        <v>2</v>
      </c>
      <c r="D85" s="182" t="s">
        <v>86</v>
      </c>
      <c r="E85" s="139" t="s">
        <v>87</v>
      </c>
      <c r="F85" s="182" t="s">
        <v>102</v>
      </c>
      <c r="G85" s="182" t="s">
        <v>103</v>
      </c>
      <c r="H85" s="183"/>
      <c r="I85" s="183"/>
    </row>
    <row r="86" s="1" customFormat="1" customHeight="1" spans="1:11">
      <c r="A86" s="137"/>
      <c r="B86" s="138"/>
      <c r="C86" s="138"/>
      <c r="D86" s="182" t="s">
        <v>104</v>
      </c>
      <c r="E86" s="182" t="s">
        <v>104</v>
      </c>
      <c r="F86" s="182"/>
      <c r="G86" s="182"/>
      <c r="H86" s="183"/>
      <c r="I86" s="184"/>
    </row>
    <row r="87" s="1" customFormat="1" customHeight="1" spans="1:11">
      <c r="A87" s="28" t="s">
        <v>11</v>
      </c>
      <c r="B87" s="29" t="s">
        <v>12</v>
      </c>
      <c r="C87" s="30" t="s">
        <v>13</v>
      </c>
      <c r="D87" s="185">
        <v>0.7888</v>
      </c>
      <c r="E87" s="186">
        <f t="shared" ref="E87:E89" si="34">D87</f>
        <v>0.7888</v>
      </c>
      <c r="F87" s="187">
        <f t="shared" ref="F87:F93" si="35">F55+D87</f>
        <v>13.1888</v>
      </c>
      <c r="G87" s="187">
        <f t="shared" ref="G87:G93" si="36">E87+I55</f>
        <v>13.1888</v>
      </c>
      <c r="H87" s="145"/>
      <c r="I87" s="145"/>
    </row>
    <row r="88" s="1" customFormat="1" customHeight="1" spans="1:11">
      <c r="A88" s="28" t="s">
        <v>14</v>
      </c>
      <c r="B88" s="29" t="s">
        <v>88</v>
      </c>
      <c r="C88" s="30" t="s">
        <v>16</v>
      </c>
      <c r="D88" s="188"/>
      <c r="E88" s="189">
        <f t="shared" si="34"/>
        <v>0</v>
      </c>
      <c r="F88" s="190">
        <v>83197.81</v>
      </c>
      <c r="G88" s="190">
        <v>83197.81</v>
      </c>
      <c r="H88" s="116"/>
      <c r="I88" s="116"/>
    </row>
    <row r="89" s="1" customFormat="1" customHeight="1" spans="1:11">
      <c r="A89" s="28" t="s">
        <v>19</v>
      </c>
      <c r="B89" s="29" t="s">
        <v>89</v>
      </c>
      <c r="C89" s="30" t="s">
        <v>16</v>
      </c>
      <c r="D89" s="188"/>
      <c r="E89" s="189">
        <f t="shared" si="34"/>
        <v>0</v>
      </c>
      <c r="F89" s="190">
        <v>83197.81</v>
      </c>
      <c r="G89" s="190">
        <v>83197.81</v>
      </c>
      <c r="H89" s="116"/>
      <c r="I89" s="116"/>
    </row>
    <row r="90" s="1" customFormat="1" customHeight="1" spans="1:11">
      <c r="A90" s="28" t="s">
        <v>21</v>
      </c>
      <c r="B90" s="42" t="s">
        <v>25</v>
      </c>
      <c r="C90" s="43" t="s">
        <v>26</v>
      </c>
      <c r="D90" s="188"/>
      <c r="E90" s="191">
        <f>D90+'26.9'!E90</f>
        <v>0</v>
      </c>
      <c r="F90" s="192">
        <f t="shared" si="35"/>
        <v>0</v>
      </c>
      <c r="G90" s="192">
        <f t="shared" si="36"/>
        <v>0</v>
      </c>
      <c r="H90" s="116"/>
      <c r="I90" s="116"/>
    </row>
    <row r="91" s="1" customFormat="1" customHeight="1" spans="1:11">
      <c r="A91" s="28" t="s">
        <v>24</v>
      </c>
      <c r="B91" s="42" t="s">
        <v>38</v>
      </c>
      <c r="C91" s="43" t="s">
        <v>23</v>
      </c>
      <c r="D91" s="188"/>
      <c r="E91" s="191">
        <f>D91+'26.9'!E91</f>
        <v>0</v>
      </c>
      <c r="F91" s="192">
        <f t="shared" si="35"/>
        <v>0</v>
      </c>
      <c r="G91" s="192">
        <f t="shared" si="36"/>
        <v>0</v>
      </c>
      <c r="H91" s="116"/>
      <c r="I91" s="116"/>
    </row>
    <row r="92" s="1" customFormat="1" customHeight="1" spans="1:11">
      <c r="A92" s="28" t="s">
        <v>27</v>
      </c>
      <c r="B92" s="42" t="s">
        <v>41</v>
      </c>
      <c r="C92" s="43" t="s">
        <v>42</v>
      </c>
      <c r="D92" s="188"/>
      <c r="E92" s="191">
        <f>D92+'26.9'!E92</f>
        <v>0</v>
      </c>
      <c r="F92" s="192">
        <f t="shared" si="35"/>
        <v>0</v>
      </c>
      <c r="G92" s="192">
        <f t="shared" si="36"/>
        <v>0</v>
      </c>
      <c r="H92" s="116"/>
      <c r="I92" s="116"/>
    </row>
    <row r="93" s="1" customFormat="1" customHeight="1" spans="1:11">
      <c r="A93" s="28"/>
      <c r="B93" s="42" t="s">
        <v>90</v>
      </c>
      <c r="C93" s="43" t="s">
        <v>42</v>
      </c>
      <c r="D93" s="188"/>
      <c r="E93" s="191">
        <f>D93+'26.9'!E93</f>
        <v>0</v>
      </c>
      <c r="F93" s="192">
        <f t="shared" si="35"/>
        <v>0</v>
      </c>
      <c r="G93" s="192">
        <f t="shared" si="36"/>
        <v>0</v>
      </c>
      <c r="H93" s="116"/>
      <c r="I93" s="116"/>
    </row>
    <row r="94" s="1" customFormat="1" customHeight="1" spans="1:11">
      <c r="A94" s="28" t="s">
        <v>29</v>
      </c>
      <c r="B94" s="42" t="s">
        <v>52</v>
      </c>
      <c r="C94" s="43" t="s">
        <v>53</v>
      </c>
      <c r="D94" s="193" t="e">
        <f t="shared" ref="D94:G94" si="37">D92/D90</f>
        <v>#DIV/0!</v>
      </c>
      <c r="E94" s="193" t="e">
        <f t="shared" si="37"/>
        <v>#DIV/0!</v>
      </c>
      <c r="F94" s="193" t="e">
        <f t="shared" si="37"/>
        <v>#DIV/0!</v>
      </c>
      <c r="G94" s="193" t="e">
        <f t="shared" si="37"/>
        <v>#DIV/0!</v>
      </c>
      <c r="H94" s="122"/>
      <c r="I94" s="122"/>
    </row>
    <row r="95" s="1" customFormat="1" customHeight="1" spans="1:11">
      <c r="A95" s="28" t="s">
        <v>31</v>
      </c>
      <c r="B95" s="42" t="s">
        <v>105</v>
      </c>
      <c r="C95" s="79" t="s">
        <v>68</v>
      </c>
      <c r="D95" s="194">
        <f>D90/3.6/D87/(DAY(DATE(2026,11,0))*24)</f>
        <v>0</v>
      </c>
      <c r="E95" s="84">
        <f>E90/3.6/E87/(DATEDIF(DATE(2026,1,1),DATE(2026,11,1),"D")*24)</f>
        <v>0</v>
      </c>
      <c r="F95" s="194">
        <f>F90/3.6/F87/(DAY(DATE(2026,11,0))*24)</f>
        <v>0</v>
      </c>
      <c r="G95" s="84">
        <f>G90/3.6/G87/(DATEDIF(DATE(2026,1,1),DATE(2026,11,1),"D")*24)</f>
        <v>0</v>
      </c>
      <c r="H95" s="195"/>
      <c r="I95" s="195"/>
      <c r="K95" s="196"/>
    </row>
    <row r="96" s="1" customFormat="1" customHeight="1" spans="1:11">
      <c r="A96" s="28" t="s">
        <v>33</v>
      </c>
      <c r="B96" s="42" t="s">
        <v>72</v>
      </c>
      <c r="C96" s="43" t="s">
        <v>73</v>
      </c>
      <c r="D96" s="197" t="e">
        <f t="shared" ref="D96:G96" si="38">D90/D89</f>
        <v>#DIV/0!</v>
      </c>
      <c r="E96" s="197" t="e">
        <f t="shared" si="38"/>
        <v>#DIV/0!</v>
      </c>
      <c r="F96" s="197">
        <f t="shared" si="38"/>
        <v>0</v>
      </c>
      <c r="G96" s="197">
        <f t="shared" si="38"/>
        <v>0</v>
      </c>
      <c r="H96" s="126"/>
      <c r="I96" s="126"/>
    </row>
    <row r="97" s="1" customFormat="1" customHeight="1" spans="1:9">
      <c r="A97" s="28" t="s">
        <v>37</v>
      </c>
      <c r="B97" s="42" t="s">
        <v>78</v>
      </c>
      <c r="C97" s="43" t="s">
        <v>79</v>
      </c>
      <c r="D97" s="198" t="e">
        <f t="shared" ref="D97:G97" si="39">D92/D89</f>
        <v>#DIV/0!</v>
      </c>
      <c r="E97" s="198" t="e">
        <f t="shared" si="39"/>
        <v>#DIV/0!</v>
      </c>
      <c r="F97" s="198">
        <f t="shared" si="39"/>
        <v>0</v>
      </c>
      <c r="G97" s="198">
        <f t="shared" si="39"/>
        <v>0</v>
      </c>
      <c r="H97" s="128"/>
      <c r="I97" s="128"/>
    </row>
    <row r="98" s="1" customFormat="1" customHeight="1" spans="1:9">
      <c r="A98" s="129" t="s">
        <v>40</v>
      </c>
      <c r="B98" s="97" t="s">
        <v>81</v>
      </c>
      <c r="C98" s="98" t="s">
        <v>76</v>
      </c>
      <c r="D98" s="198" t="e">
        <f t="shared" ref="D98:G98" si="40">D91*1000/D89</f>
        <v>#DIV/0!</v>
      </c>
      <c r="E98" s="198" t="e">
        <f t="shared" si="40"/>
        <v>#DIV/0!</v>
      </c>
      <c r="F98" s="198">
        <f t="shared" si="40"/>
        <v>0</v>
      </c>
      <c r="G98" s="198">
        <f t="shared" si="40"/>
        <v>0</v>
      </c>
      <c r="H98" s="128"/>
      <c r="I98" s="128"/>
    </row>
  </sheetData>
  <mergeCells count="20">
    <mergeCell ref="D1:H1"/>
    <mergeCell ref="I1:M1"/>
    <mergeCell ref="D53:F53"/>
    <mergeCell ref="G53:I53"/>
    <mergeCell ref="D69:E69"/>
    <mergeCell ref="F69:G69"/>
    <mergeCell ref="A1:A2"/>
    <mergeCell ref="A53:A54"/>
    <mergeCell ref="A69:A70"/>
    <mergeCell ref="A85:A86"/>
    <mergeCell ref="B1:B2"/>
    <mergeCell ref="B53:B54"/>
    <mergeCell ref="B69:B70"/>
    <mergeCell ref="B85:B86"/>
    <mergeCell ref="C1:C2"/>
    <mergeCell ref="C53:C54"/>
    <mergeCell ref="C69:C70"/>
    <mergeCell ref="C85:C86"/>
    <mergeCell ref="F85:F86"/>
    <mergeCell ref="G85:G86"/>
  </mergeCells>
  <pageMargins left="0.751388888888889" right="0.751388888888889" top="1" bottom="1" header="0.5" footer="0.5"/>
  <pageSetup paperSize="9" orientation="landscape" horizontalDpi="600" verticalDpi="600"/>
  <headerFooter alignWithMargins="0" scaleWithDoc="0">
    <oddHeader>&amp;C&amp;18 &amp;20 2022年10月份集团各锅炉站生产报表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8"/>
  <sheetViews>
    <sheetView showGridLines="0" zoomScale="70" zoomScaleNormal="70" zoomScaleSheetLayoutView="60" workbookViewId="0">
      <pane xSplit="2" ySplit="2" topLeftCell="C21" activePane="bottomRight" state="frozen"/>
      <selection/>
      <selection pane="topRight"/>
      <selection pane="bottomLeft"/>
      <selection pane="bottomRight" activeCell="L36" sqref="L36"/>
    </sheetView>
  </sheetViews>
  <sheetFormatPr defaultColWidth="8.625" defaultRowHeight="15" customHeight="1"/>
  <cols>
    <col min="1" max="1" width="7.375" style="1" customWidth="1"/>
    <col min="2" max="2" width="19.75" style="1" customWidth="1"/>
    <col min="3" max="3" width="13.5" style="4" customWidth="1"/>
    <col min="4" max="4" width="13.45" style="5" customWidth="1"/>
    <col min="5" max="13" width="13.45" style="1" customWidth="1"/>
    <col min="14" max="14" width="22.2083333333333" style="1"/>
    <col min="15" max="16384" width="8.625" style="1"/>
  </cols>
  <sheetData>
    <row r="1" s="1" customFormat="1" ht="39.95" customHeight="1" spans="1:14">
      <c r="A1" s="6" t="s">
        <v>0</v>
      </c>
      <c r="B1" s="7" t="s">
        <v>1</v>
      </c>
      <c r="C1" s="7" t="s">
        <v>2</v>
      </c>
      <c r="D1" s="8" t="s">
        <v>3</v>
      </c>
      <c r="E1" s="9"/>
      <c r="F1" s="9"/>
      <c r="G1" s="9"/>
      <c r="H1" s="10"/>
      <c r="I1" s="11" t="s">
        <v>4</v>
      </c>
      <c r="J1" s="9"/>
      <c r="K1" s="9"/>
      <c r="L1" s="9"/>
      <c r="M1" s="9"/>
      <c r="N1" s="12"/>
    </row>
    <row r="2" s="1" customFormat="1" ht="39.95" customHeight="1" spans="1:14">
      <c r="A2" s="13"/>
      <c r="B2" s="14"/>
      <c r="C2" s="14"/>
      <c r="D2" s="15" t="s">
        <v>5</v>
      </c>
      <c r="E2" s="15" t="s">
        <v>6</v>
      </c>
      <c r="F2" s="15" t="s">
        <v>7</v>
      </c>
      <c r="G2" s="16" t="s">
        <v>8</v>
      </c>
      <c r="H2" s="17" t="s">
        <v>9</v>
      </c>
      <c r="I2" s="18" t="s">
        <v>5</v>
      </c>
      <c r="J2" s="15" t="s">
        <v>6</v>
      </c>
      <c r="K2" s="15" t="s">
        <v>7</v>
      </c>
      <c r="L2" s="16" t="s">
        <v>10</v>
      </c>
      <c r="M2" s="17" t="s">
        <v>9</v>
      </c>
    </row>
    <row r="3" s="1" customFormat="1" ht="18" customHeight="1" spans="1:14">
      <c r="A3" s="19" t="s">
        <v>11</v>
      </c>
      <c r="B3" s="20" t="s">
        <v>12</v>
      </c>
      <c r="C3" s="21" t="s">
        <v>13</v>
      </c>
      <c r="D3" s="22">
        <v>348</v>
      </c>
      <c r="E3" s="23">
        <v>162</v>
      </c>
      <c r="F3" s="23"/>
      <c r="G3" s="24">
        <v>263</v>
      </c>
      <c r="H3" s="25">
        <f t="shared" ref="H3:H7" si="0">E3+F3+G3</f>
        <v>425</v>
      </c>
      <c r="I3" s="26">
        <f t="shared" ref="I3:L3" si="1">D3</f>
        <v>348</v>
      </c>
      <c r="J3" s="22">
        <f t="shared" si="1"/>
        <v>162</v>
      </c>
      <c r="K3" s="22">
        <f t="shared" si="1"/>
        <v>0</v>
      </c>
      <c r="L3" s="27">
        <f t="shared" si="1"/>
        <v>263</v>
      </c>
      <c r="M3" s="25">
        <f t="shared" ref="M3:M12" si="2">J3+K3+L3</f>
        <v>425</v>
      </c>
      <c r="N3" s="12"/>
    </row>
    <row r="4" s="1" customFormat="1" ht="18" customHeight="1" spans="1:14">
      <c r="A4" s="28" t="s">
        <v>14</v>
      </c>
      <c r="B4" s="29" t="s">
        <v>15</v>
      </c>
      <c r="C4" s="30" t="s">
        <v>16</v>
      </c>
      <c r="D4" s="31" t="s">
        <v>17</v>
      </c>
      <c r="E4" s="32"/>
      <c r="F4" s="33"/>
      <c r="G4" s="34"/>
      <c r="H4" s="35"/>
      <c r="I4" s="36" t="str">
        <f t="shared" ref="I4:L4" si="3">D4</f>
        <v> -   </v>
      </c>
      <c r="J4" s="32">
        <f t="shared" si="3"/>
        <v>0</v>
      </c>
      <c r="K4" s="37">
        <f t="shared" si="3"/>
        <v>0</v>
      </c>
      <c r="L4" s="38">
        <f t="shared" si="3"/>
        <v>0</v>
      </c>
      <c r="M4" s="35">
        <f t="shared" si="2"/>
        <v>0</v>
      </c>
      <c r="N4" s="12"/>
    </row>
    <row r="5" s="1" customFormat="1" ht="18" customHeight="1" spans="1:14">
      <c r="A5" s="28"/>
      <c r="B5" s="29" t="s">
        <v>18</v>
      </c>
      <c r="C5" s="30" t="s">
        <v>16</v>
      </c>
      <c r="D5" s="31" t="s">
        <v>17</v>
      </c>
      <c r="E5" s="33">
        <v>55000</v>
      </c>
      <c r="F5" s="39">
        <v>0</v>
      </c>
      <c r="G5" s="40">
        <v>0</v>
      </c>
      <c r="H5" s="35">
        <f t="shared" si="0"/>
        <v>55000</v>
      </c>
      <c r="I5" s="36" t="str">
        <f t="shared" ref="I5:L5" si="4">D5</f>
        <v> -   </v>
      </c>
      <c r="J5" s="32">
        <f t="shared" si="4"/>
        <v>55000</v>
      </c>
      <c r="K5" s="37">
        <f t="shared" si="4"/>
        <v>0</v>
      </c>
      <c r="L5" s="38">
        <f t="shared" si="4"/>
        <v>0</v>
      </c>
      <c r="M5" s="35">
        <f t="shared" si="2"/>
        <v>55000</v>
      </c>
      <c r="N5" s="12"/>
    </row>
    <row r="6" s="1" customFormat="1" ht="18" customHeight="1" spans="1:14">
      <c r="A6" s="28" t="s">
        <v>19</v>
      </c>
      <c r="B6" s="29" t="s">
        <v>20</v>
      </c>
      <c r="C6" s="30" t="s">
        <v>16</v>
      </c>
      <c r="D6" s="31" t="s">
        <v>17</v>
      </c>
      <c r="E6" s="34">
        <f t="shared" ref="E6:G6" si="5">E4</f>
        <v>0</v>
      </c>
      <c r="F6" s="34">
        <f t="shared" si="5"/>
        <v>0</v>
      </c>
      <c r="G6" s="34">
        <f t="shared" si="5"/>
        <v>0</v>
      </c>
      <c r="H6" s="35">
        <f t="shared" si="0"/>
        <v>0</v>
      </c>
      <c r="I6" s="36" t="str">
        <f t="shared" ref="I6:L6" si="6">D6</f>
        <v> -   </v>
      </c>
      <c r="J6" s="41">
        <f t="shared" si="6"/>
        <v>0</v>
      </c>
      <c r="K6" s="41">
        <f t="shared" si="6"/>
        <v>0</v>
      </c>
      <c r="L6" s="41">
        <f t="shared" si="6"/>
        <v>0</v>
      </c>
      <c r="M6" s="35">
        <f t="shared" si="2"/>
        <v>0</v>
      </c>
      <c r="N6" s="12"/>
    </row>
    <row r="7" s="2" customFormat="1" ht="18" customHeight="1" spans="1:14">
      <c r="A7" s="28" t="s">
        <v>21</v>
      </c>
      <c r="B7" s="42" t="s">
        <v>22</v>
      </c>
      <c r="C7" s="43" t="s">
        <v>23</v>
      </c>
      <c r="D7" s="40">
        <v>0</v>
      </c>
      <c r="E7" s="40">
        <v>0</v>
      </c>
      <c r="F7" s="40">
        <v>0</v>
      </c>
      <c r="G7" s="40"/>
      <c r="H7" s="35">
        <f t="shared" si="0"/>
        <v>0</v>
      </c>
      <c r="I7" s="199">
        <f>D7+'26.10'!I7</f>
        <v>0</v>
      </c>
      <c r="J7" s="199">
        <f>E7+'26.10'!J7</f>
        <v>0</v>
      </c>
      <c r="K7" s="199">
        <f>F7+'26.10'!K7</f>
        <v>0</v>
      </c>
      <c r="L7" s="199">
        <f>G7+'26.10'!L7</f>
        <v>0</v>
      </c>
      <c r="M7" s="35">
        <f t="shared" si="2"/>
        <v>0</v>
      </c>
      <c r="N7" s="45"/>
    </row>
    <row r="8" s="2" customFormat="1" ht="18" customHeight="1" spans="1:14">
      <c r="A8" s="28" t="s">
        <v>24</v>
      </c>
      <c r="B8" s="42" t="s">
        <v>25</v>
      </c>
      <c r="C8" s="43" t="s">
        <v>26</v>
      </c>
      <c r="D8" s="46"/>
      <c r="E8" s="40"/>
      <c r="F8" s="39"/>
      <c r="G8" s="34"/>
      <c r="H8" s="35"/>
      <c r="I8" s="199">
        <f>D8+'26.10'!I8</f>
        <v>0</v>
      </c>
      <c r="J8" s="199">
        <f>E8+'26.10'!J8</f>
        <v>0</v>
      </c>
      <c r="K8" s="199">
        <f>F8+'26.10'!K8</f>
        <v>0</v>
      </c>
      <c r="L8" s="199">
        <f>G8+'26.10'!L8</f>
        <v>0</v>
      </c>
      <c r="M8" s="35">
        <f t="shared" si="2"/>
        <v>0</v>
      </c>
      <c r="N8" s="47"/>
    </row>
    <row r="9" s="2" customFormat="1" ht="18" customHeight="1" spans="1:14">
      <c r="A9" s="28" t="s">
        <v>27</v>
      </c>
      <c r="B9" s="42" t="s">
        <v>28</v>
      </c>
      <c r="C9" s="43" t="s">
        <v>26</v>
      </c>
      <c r="D9" s="40">
        <v>0</v>
      </c>
      <c r="E9" s="200">
        <f>[1]售热量!$W$25</f>
        <v>0</v>
      </c>
      <c r="F9" s="39"/>
      <c r="G9" s="39"/>
      <c r="H9" s="35">
        <f t="shared" ref="H9:H12" si="7">E9+F9+G9</f>
        <v>0</v>
      </c>
      <c r="I9" s="199">
        <f>D9+'26.10'!I9</f>
        <v>0</v>
      </c>
      <c r="J9" s="199">
        <f>E9+'26.10'!J9</f>
        <v>0</v>
      </c>
      <c r="K9" s="199">
        <f>F9+'26.10'!K9</f>
        <v>0</v>
      </c>
      <c r="L9" s="199">
        <f>G9+'26.10'!L9</f>
        <v>0</v>
      </c>
      <c r="M9" s="35">
        <f t="shared" si="2"/>
        <v>0</v>
      </c>
      <c r="N9" s="45"/>
    </row>
    <row r="10" s="2" customFormat="1" ht="18" customHeight="1" spans="1:14">
      <c r="A10" s="28" t="s">
        <v>29</v>
      </c>
      <c r="B10" s="42" t="s">
        <v>30</v>
      </c>
      <c r="C10" s="43" t="s">
        <v>23</v>
      </c>
      <c r="D10" s="40"/>
      <c r="E10" s="33"/>
      <c r="F10" s="39"/>
      <c r="G10" s="34"/>
      <c r="H10" s="35">
        <f t="shared" si="7"/>
        <v>0</v>
      </c>
      <c r="I10" s="199">
        <f>D10+'26.10'!I10</f>
        <v>0</v>
      </c>
      <c r="J10" s="199">
        <f>E10+'26.10'!J10</f>
        <v>0</v>
      </c>
      <c r="K10" s="199">
        <f>F10+'26.10'!K10</f>
        <v>0</v>
      </c>
      <c r="L10" s="199">
        <f>G10+'26.10'!L10</f>
        <v>0</v>
      </c>
      <c r="M10" s="35">
        <f t="shared" si="2"/>
        <v>0</v>
      </c>
      <c r="N10" s="45"/>
    </row>
    <row r="11" s="2" customFormat="1" ht="18" customHeight="1" spans="1:14">
      <c r="A11" s="28" t="s">
        <v>31</v>
      </c>
      <c r="B11" s="42" t="s">
        <v>32</v>
      </c>
      <c r="C11" s="43" t="s">
        <v>23</v>
      </c>
      <c r="D11" s="40"/>
      <c r="E11" s="40"/>
      <c r="F11" s="40"/>
      <c r="G11" s="40"/>
      <c r="H11" s="35">
        <f t="shared" si="7"/>
        <v>0</v>
      </c>
      <c r="I11" s="199">
        <f>D11+'26.10'!I11</f>
        <v>0</v>
      </c>
      <c r="J11" s="199">
        <f>E11+'26.10'!J11</f>
        <v>0</v>
      </c>
      <c r="K11" s="199">
        <f>F11+'26.10'!K11</f>
        <v>0</v>
      </c>
      <c r="L11" s="199">
        <f>G11+'26.10'!L11</f>
        <v>0</v>
      </c>
      <c r="M11" s="35">
        <f t="shared" si="2"/>
        <v>0</v>
      </c>
      <c r="N11" s="45"/>
    </row>
    <row r="12" s="2" customFormat="1" ht="18" customHeight="1" spans="1:14">
      <c r="A12" s="28" t="s">
        <v>33</v>
      </c>
      <c r="B12" s="42" t="s">
        <v>34</v>
      </c>
      <c r="C12" s="43" t="s">
        <v>23</v>
      </c>
      <c r="D12" s="46">
        <f t="shared" ref="D12:G12" si="8">D13+D14</f>
        <v>0</v>
      </c>
      <c r="E12" s="46">
        <f t="shared" si="8"/>
        <v>0</v>
      </c>
      <c r="F12" s="46">
        <f t="shared" si="8"/>
        <v>0</v>
      </c>
      <c r="G12" s="46">
        <f t="shared" si="8"/>
        <v>0</v>
      </c>
      <c r="H12" s="35">
        <f t="shared" si="7"/>
        <v>0</v>
      </c>
      <c r="I12" s="199">
        <f>D12+'26.10'!I12</f>
        <v>0</v>
      </c>
      <c r="J12" s="199">
        <f>E12+'26.10'!J12</f>
        <v>0</v>
      </c>
      <c r="K12" s="199">
        <f>F12+'26.10'!K12</f>
        <v>0</v>
      </c>
      <c r="L12" s="199">
        <f>G12+'26.10'!L12</f>
        <v>0</v>
      </c>
      <c r="M12" s="35">
        <f t="shared" si="2"/>
        <v>0</v>
      </c>
      <c r="N12" s="45"/>
    </row>
    <row r="13" s="2" customFormat="1" ht="18" customHeight="1" spans="1:14">
      <c r="A13" s="28"/>
      <c r="B13" s="42" t="s">
        <v>35</v>
      </c>
      <c r="C13" s="43" t="s">
        <v>23</v>
      </c>
      <c r="D13" s="40"/>
      <c r="E13" s="40"/>
      <c r="F13" s="40"/>
      <c r="G13" s="46"/>
      <c r="H13" s="49"/>
      <c r="I13" s="199">
        <f>D13+'26.10'!I13</f>
        <v>0</v>
      </c>
      <c r="J13" s="199">
        <f>E13+'26.10'!J13</f>
        <v>0</v>
      </c>
      <c r="K13" s="199">
        <f>F13+'26.10'!K13</f>
        <v>0</v>
      </c>
      <c r="L13" s="199">
        <f>G13+'26.10'!L13</f>
        <v>0</v>
      </c>
      <c r="M13" s="49"/>
      <c r="N13" s="45"/>
    </row>
    <row r="14" s="2" customFormat="1" ht="18" customHeight="1" spans="1:14">
      <c r="A14" s="28"/>
      <c r="B14" s="42" t="s">
        <v>36</v>
      </c>
      <c r="C14" s="43" t="s">
        <v>23</v>
      </c>
      <c r="D14" s="46"/>
      <c r="E14" s="40"/>
      <c r="F14" s="40"/>
      <c r="G14" s="40"/>
      <c r="H14" s="49"/>
      <c r="I14" s="199">
        <f>D14+'26.10'!I14</f>
        <v>0</v>
      </c>
      <c r="J14" s="199">
        <f>E14+'26.10'!J14</f>
        <v>0</v>
      </c>
      <c r="K14" s="199">
        <f>F14+'26.10'!K14</f>
        <v>0</v>
      </c>
      <c r="L14" s="199">
        <f>G14+'26.10'!L14</f>
        <v>0</v>
      </c>
      <c r="M14" s="49"/>
      <c r="N14" s="45"/>
    </row>
    <row r="15" s="2" customFormat="1" ht="18" customHeight="1" spans="1:14">
      <c r="A15" s="28" t="s">
        <v>37</v>
      </c>
      <c r="B15" s="42" t="s">
        <v>38</v>
      </c>
      <c r="C15" s="43" t="s">
        <v>23</v>
      </c>
      <c r="D15" s="40"/>
      <c r="E15" s="50"/>
      <c r="F15" s="39"/>
      <c r="G15" s="34"/>
      <c r="H15" s="35"/>
      <c r="I15" s="199">
        <f>D15+'26.10'!I15</f>
        <v>0</v>
      </c>
      <c r="J15" s="199">
        <f>E15+'26.10'!J15</f>
        <v>0</v>
      </c>
      <c r="K15" s="199">
        <f>F15+'26.10'!K15</f>
        <v>0</v>
      </c>
      <c r="L15" s="199">
        <f>G15+'26.10'!L15</f>
        <v>0</v>
      </c>
      <c r="M15" s="35">
        <f t="shared" ref="M15:M17" si="9">J15+K15+L15</f>
        <v>0</v>
      </c>
      <c r="N15" s="45"/>
    </row>
    <row r="16" s="2" customFormat="1" ht="18" customHeight="1" spans="1:14">
      <c r="A16" s="28"/>
      <c r="B16" s="42" t="s">
        <v>39</v>
      </c>
      <c r="C16" s="43" t="s">
        <v>23</v>
      </c>
      <c r="D16" s="40"/>
      <c r="E16" s="50"/>
      <c r="F16" s="39"/>
      <c r="G16" s="39"/>
      <c r="H16" s="35"/>
      <c r="I16" s="199">
        <f>D16+'26.10'!I16</f>
        <v>0</v>
      </c>
      <c r="J16" s="199">
        <f>E16+'26.10'!J16</f>
        <v>0</v>
      </c>
      <c r="K16" s="199">
        <f>F16+'26.10'!K16</f>
        <v>0</v>
      </c>
      <c r="L16" s="199">
        <f>G16+'26.10'!L16</f>
        <v>0</v>
      </c>
      <c r="M16" s="35">
        <f t="shared" si="9"/>
        <v>0</v>
      </c>
      <c r="N16" s="45"/>
    </row>
    <row r="17" s="2" customFormat="1" ht="18" customHeight="1" spans="1:14">
      <c r="A17" s="28" t="s">
        <v>40</v>
      </c>
      <c r="B17" s="42" t="s">
        <v>41</v>
      </c>
      <c r="C17" s="43" t="s">
        <v>42</v>
      </c>
      <c r="D17" s="46"/>
      <c r="E17" s="50"/>
      <c r="F17" s="39"/>
      <c r="G17" s="34"/>
      <c r="H17" s="35"/>
      <c r="I17" s="199">
        <f>D17+'26.10'!I17</f>
        <v>0</v>
      </c>
      <c r="J17" s="199">
        <f>E17+'26.10'!J17</f>
        <v>0</v>
      </c>
      <c r="K17" s="51"/>
      <c r="L17" s="199">
        <f>G17+'26.10'!L17</f>
        <v>0</v>
      </c>
      <c r="M17" s="35">
        <f t="shared" si="9"/>
        <v>0</v>
      </c>
      <c r="N17" s="45"/>
    </row>
    <row r="18" s="2" customFormat="1" ht="18" customHeight="1" spans="1:14">
      <c r="A18" s="28"/>
      <c r="B18" s="42" t="s">
        <v>43</v>
      </c>
      <c r="C18" s="43" t="s">
        <v>42</v>
      </c>
      <c r="D18" s="40"/>
      <c r="E18" s="50"/>
      <c r="F18" s="39"/>
      <c r="G18" s="39"/>
      <c r="H18" s="49"/>
      <c r="I18" s="199">
        <f>D18+'26.10'!I18</f>
        <v>0</v>
      </c>
      <c r="J18" s="199">
        <f>E18+'26.10'!J18</f>
        <v>0</v>
      </c>
      <c r="K18" s="199">
        <f>F18+'26.10'!K18</f>
        <v>0</v>
      </c>
      <c r="L18" s="199">
        <f>G18+'26.10'!L18</f>
        <v>0</v>
      </c>
      <c r="M18" s="49"/>
      <c r="N18" s="45"/>
    </row>
    <row r="19" s="2" customFormat="1" ht="18" customHeight="1" spans="1:14">
      <c r="A19" s="28"/>
      <c r="B19" s="42" t="s">
        <v>44</v>
      </c>
      <c r="C19" s="43" t="s">
        <v>42</v>
      </c>
      <c r="D19" s="40"/>
      <c r="E19" s="50"/>
      <c r="F19" s="34"/>
      <c r="G19" s="34"/>
      <c r="H19" s="49"/>
      <c r="I19" s="199">
        <f>D19+'26.10'!I19</f>
        <v>0</v>
      </c>
      <c r="J19" s="52"/>
      <c r="K19" s="199">
        <f>F19+'26.10'!K19</f>
        <v>0</v>
      </c>
      <c r="L19" s="199">
        <f>G19+'26.10'!L19</f>
        <v>0</v>
      </c>
      <c r="M19" s="49"/>
      <c r="N19" s="45"/>
    </row>
    <row r="20" s="2" customFormat="1" ht="18" customHeight="1" spans="1:14">
      <c r="A20" s="28"/>
      <c r="B20" s="42" t="s">
        <v>45</v>
      </c>
      <c r="C20" s="43" t="s">
        <v>23</v>
      </c>
      <c r="D20" s="40"/>
      <c r="E20" s="50"/>
      <c r="F20" s="39"/>
      <c r="G20" s="39"/>
      <c r="H20" s="49"/>
      <c r="I20" s="199">
        <f>D20+'26.10'!I20</f>
        <v>0</v>
      </c>
      <c r="J20" s="199">
        <f>E20+'26.10'!J20</f>
        <v>0</v>
      </c>
      <c r="K20" s="199">
        <f>F20+'26.10'!K20</f>
        <v>0</v>
      </c>
      <c r="L20" s="199">
        <f>G20+'26.10'!L20</f>
        <v>0</v>
      </c>
      <c r="M20" s="49"/>
      <c r="N20" s="45"/>
    </row>
    <row r="21" s="2" customFormat="1" ht="18" customHeight="1" spans="1:14">
      <c r="A21" s="28"/>
      <c r="B21" s="42" t="s">
        <v>46</v>
      </c>
      <c r="C21" s="43" t="s">
        <v>42</v>
      </c>
      <c r="D21" s="40"/>
      <c r="E21" s="50"/>
      <c r="F21" s="39"/>
      <c r="G21" s="39"/>
      <c r="H21" s="49"/>
      <c r="I21" s="199">
        <f>D21+'26.10'!I21</f>
        <v>0</v>
      </c>
      <c r="J21" s="199">
        <f>E21+'26.10'!J21</f>
        <v>0</v>
      </c>
      <c r="K21" s="199">
        <f>F21+'26.10'!K21</f>
        <v>0</v>
      </c>
      <c r="L21" s="199">
        <f>G21+'26.10'!L21</f>
        <v>0</v>
      </c>
      <c r="M21" s="49"/>
      <c r="N21" s="45"/>
    </row>
    <row r="22" s="2" customFormat="1" customHeight="1" spans="1:14">
      <c r="A22" s="53" t="s">
        <v>47</v>
      </c>
      <c r="B22" s="54" t="s">
        <v>48</v>
      </c>
      <c r="C22" s="55" t="s">
        <v>23</v>
      </c>
      <c r="D22" s="56"/>
      <c r="E22" s="57"/>
      <c r="F22" s="57"/>
      <c r="G22" s="57"/>
      <c r="H22" s="58"/>
      <c r="I22" s="199">
        <f>D22+'26.10'!I22</f>
        <v>0</v>
      </c>
      <c r="J22" s="199">
        <f>E22+'26.10'!J22</f>
        <v>0</v>
      </c>
      <c r="K22" s="199">
        <f>F22+'26.10'!K22</f>
        <v>0</v>
      </c>
      <c r="L22" s="199">
        <f>G22+'26.10'!L22</f>
        <v>0</v>
      </c>
      <c r="M22" s="59">
        <f t="shared" ref="M22:M27" si="10">J22+K22+L22</f>
        <v>0</v>
      </c>
      <c r="N22" s="1"/>
    </row>
    <row r="23" s="2" customFormat="1" ht="21" customHeight="1" spans="1:14">
      <c r="A23" s="53" t="s">
        <v>49</v>
      </c>
      <c r="B23" s="54" t="s">
        <v>50</v>
      </c>
      <c r="C23" s="55" t="s">
        <v>23</v>
      </c>
      <c r="D23" s="56"/>
      <c r="E23" s="57"/>
      <c r="F23" s="57"/>
      <c r="G23" s="57"/>
      <c r="H23" s="58"/>
      <c r="I23" s="199">
        <f>D23+'26.10'!I23</f>
        <v>0</v>
      </c>
      <c r="J23" s="199">
        <f>E23+'26.10'!J23</f>
        <v>0</v>
      </c>
      <c r="K23" s="199">
        <f>F23+'26.10'!K23</f>
        <v>0</v>
      </c>
      <c r="L23" s="199">
        <f>G23+'26.10'!L23</f>
        <v>0</v>
      </c>
      <c r="M23" s="59">
        <f t="shared" si="10"/>
        <v>0</v>
      </c>
      <c r="N23" s="1"/>
    </row>
    <row r="24" s="2" customFormat="1" ht="18" customHeight="1" spans="1:14">
      <c r="A24" s="53" t="s">
        <v>51</v>
      </c>
      <c r="B24" s="42" t="s">
        <v>52</v>
      </c>
      <c r="C24" s="43" t="s">
        <v>53</v>
      </c>
      <c r="D24" s="60" t="e">
        <f t="shared" ref="D24:M24" si="11">D17/D8</f>
        <v>#DIV/0!</v>
      </c>
      <c r="E24" s="60" t="e">
        <f t="shared" si="11"/>
        <v>#DIV/0!</v>
      </c>
      <c r="F24" s="60" t="e">
        <f t="shared" si="11"/>
        <v>#DIV/0!</v>
      </c>
      <c r="G24" s="60" t="e">
        <f t="shared" si="11"/>
        <v>#DIV/0!</v>
      </c>
      <c r="H24" s="61" t="e">
        <f t="shared" si="11"/>
        <v>#DIV/0!</v>
      </c>
      <c r="I24" s="62" t="e">
        <f t="shared" si="11"/>
        <v>#DIV/0!</v>
      </c>
      <c r="J24" s="60" t="e">
        <f t="shared" si="11"/>
        <v>#DIV/0!</v>
      </c>
      <c r="K24" s="60" t="e">
        <f t="shared" si="11"/>
        <v>#DIV/0!</v>
      </c>
      <c r="L24" s="60" t="e">
        <f t="shared" si="11"/>
        <v>#DIV/0!</v>
      </c>
      <c r="M24" s="61" t="e">
        <f t="shared" si="11"/>
        <v>#DIV/0!</v>
      </c>
      <c r="N24" s="45"/>
    </row>
    <row r="25" s="2" customFormat="1" ht="18" customHeight="1" spans="1:14">
      <c r="A25" s="53" t="s">
        <v>54</v>
      </c>
      <c r="B25" s="42" t="s">
        <v>55</v>
      </c>
      <c r="C25" s="43" t="s">
        <v>56</v>
      </c>
      <c r="D25" s="60" t="e">
        <f t="shared" ref="D25:M25" si="12">D12*1000/D8</f>
        <v>#DIV/0!</v>
      </c>
      <c r="E25" s="60" t="e">
        <f t="shared" si="12"/>
        <v>#DIV/0!</v>
      </c>
      <c r="F25" s="60" t="e">
        <f t="shared" si="12"/>
        <v>#DIV/0!</v>
      </c>
      <c r="G25" s="60" t="e">
        <f t="shared" si="12"/>
        <v>#DIV/0!</v>
      </c>
      <c r="H25" s="61" t="e">
        <f t="shared" si="12"/>
        <v>#DIV/0!</v>
      </c>
      <c r="I25" s="62" t="e">
        <f t="shared" si="12"/>
        <v>#DIV/0!</v>
      </c>
      <c r="J25" s="60" t="e">
        <f t="shared" si="12"/>
        <v>#DIV/0!</v>
      </c>
      <c r="K25" s="60" t="e">
        <f t="shared" si="12"/>
        <v>#DIV/0!</v>
      </c>
      <c r="L25" s="60" t="e">
        <f t="shared" si="12"/>
        <v>#DIV/0!</v>
      </c>
      <c r="M25" s="61" t="e">
        <f t="shared" si="12"/>
        <v>#DIV/0!</v>
      </c>
      <c r="N25" s="45"/>
    </row>
    <row r="26" s="3" customFormat="1" ht="18" customHeight="1" spans="1:14">
      <c r="A26" s="53" t="s">
        <v>57</v>
      </c>
      <c r="B26" s="42" t="s">
        <v>58</v>
      </c>
      <c r="C26" s="63" t="s">
        <v>23</v>
      </c>
      <c r="D26" s="56"/>
      <c r="E26" s="64"/>
      <c r="F26" s="65"/>
      <c r="G26" s="34"/>
      <c r="H26" s="66"/>
      <c r="I26" s="199">
        <f>D26+'26.10'!I26</f>
        <v>0</v>
      </c>
      <c r="J26" s="199">
        <f>E26+'26.10'!J26</f>
        <v>0</v>
      </c>
      <c r="K26" s="199">
        <f>F26+'26.10'!K26</f>
        <v>0</v>
      </c>
      <c r="L26" s="199">
        <f>G26+'26.10'!L26</f>
        <v>0</v>
      </c>
      <c r="M26" s="66">
        <f t="shared" si="10"/>
        <v>0</v>
      </c>
      <c r="N26" s="67"/>
    </row>
    <row r="27" s="3" customFormat="1" ht="18" customHeight="1" spans="1:14">
      <c r="A27" s="53" t="s">
        <v>59</v>
      </c>
      <c r="B27" s="42" t="s">
        <v>60</v>
      </c>
      <c r="C27" s="63" t="s">
        <v>23</v>
      </c>
      <c r="D27" s="50"/>
      <c r="E27" s="68">
        <f>J27</f>
        <v>12569.7</v>
      </c>
      <c r="F27" s="68"/>
      <c r="G27" s="68">
        <f>L27</f>
        <v>1108.50000000002</v>
      </c>
      <c r="H27" s="69"/>
      <c r="I27" s="70">
        <v>68931.3</v>
      </c>
      <c r="J27" s="201">
        <f>'26.10'!J27+E26-E10</f>
        <v>12569.7</v>
      </c>
      <c r="K27" s="201">
        <f>'26.10'!K27+F26-F10</f>
        <v>0</v>
      </c>
      <c r="L27" s="201">
        <f>'26.10'!L27+G26-G10</f>
        <v>1108.50000000002</v>
      </c>
      <c r="M27" s="72">
        <f t="shared" si="10"/>
        <v>13678.2</v>
      </c>
      <c r="N27" s="67"/>
    </row>
    <row r="28" s="2" customFormat="1" ht="18" customHeight="1" spans="1:14">
      <c r="A28" s="53" t="s">
        <v>61</v>
      </c>
      <c r="B28" s="42" t="s">
        <v>62</v>
      </c>
      <c r="C28" s="43" t="s">
        <v>63</v>
      </c>
      <c r="D28" s="73" t="e">
        <f>D13*29308/D10</f>
        <v>#DIV/0!</v>
      </c>
      <c r="E28" s="73" t="e">
        <f t="shared" ref="E28:H28" si="13">E12*29308/E10</f>
        <v>#DIV/0!</v>
      </c>
      <c r="F28" s="73" t="e">
        <f t="shared" si="13"/>
        <v>#DIV/0!</v>
      </c>
      <c r="G28" s="73" t="e">
        <f t="shared" si="13"/>
        <v>#DIV/0!</v>
      </c>
      <c r="H28" s="73" t="e">
        <f t="shared" si="13"/>
        <v>#DIV/0!</v>
      </c>
      <c r="I28" s="74" t="e">
        <f>I13*29308/I10</f>
        <v>#DIV/0!</v>
      </c>
      <c r="J28" s="46" t="e">
        <f t="shared" ref="J28:M28" si="14">J12*29308/J10</f>
        <v>#DIV/0!</v>
      </c>
      <c r="K28" s="46" t="e">
        <f t="shared" si="14"/>
        <v>#DIV/0!</v>
      </c>
      <c r="L28" s="46" t="e">
        <f t="shared" si="14"/>
        <v>#DIV/0!</v>
      </c>
      <c r="M28" s="73" t="e">
        <f t="shared" si="14"/>
        <v>#DIV/0!</v>
      </c>
      <c r="N28" s="45"/>
    </row>
    <row r="29" s="2" customFormat="1" ht="18" customHeight="1" spans="1:14">
      <c r="A29" s="53" t="s">
        <v>64</v>
      </c>
      <c r="B29" s="42" t="s">
        <v>65</v>
      </c>
      <c r="C29" s="43" t="s">
        <v>63</v>
      </c>
      <c r="D29" s="75"/>
      <c r="E29" s="40"/>
      <c r="F29" s="40"/>
      <c r="G29" s="76"/>
      <c r="H29" s="77"/>
      <c r="I29" s="78"/>
      <c r="J29" s="40"/>
      <c r="K29" s="40"/>
      <c r="L29" s="76"/>
      <c r="M29" s="77"/>
      <c r="N29" s="45"/>
    </row>
    <row r="30" s="2" customFormat="1" ht="18" customHeight="1" spans="1:14">
      <c r="A30" s="53" t="s">
        <v>66</v>
      </c>
      <c r="B30" s="42" t="s">
        <v>67</v>
      </c>
      <c r="C30" s="79" t="s">
        <v>68</v>
      </c>
      <c r="D30" s="80" t="e">
        <f t="shared" ref="D30:M30" si="15">D8/(D12*29.308)</f>
        <v>#DIV/0!</v>
      </c>
      <c r="E30" s="80" t="e">
        <f t="shared" si="15"/>
        <v>#DIV/0!</v>
      </c>
      <c r="F30" s="80" t="e">
        <f t="shared" si="15"/>
        <v>#DIV/0!</v>
      </c>
      <c r="G30" s="80" t="e">
        <f>(G8-G36)/(G12*29.308)</f>
        <v>#DIV/0!</v>
      </c>
      <c r="H30" s="81" t="e">
        <f t="shared" si="15"/>
        <v>#DIV/0!</v>
      </c>
      <c r="I30" s="82" t="e">
        <f t="shared" si="15"/>
        <v>#DIV/0!</v>
      </c>
      <c r="J30" s="80" t="e">
        <f t="shared" si="15"/>
        <v>#DIV/0!</v>
      </c>
      <c r="K30" s="80" t="e">
        <f t="shared" si="15"/>
        <v>#DIV/0!</v>
      </c>
      <c r="L30" s="80" t="e">
        <f t="shared" si="15"/>
        <v>#DIV/0!</v>
      </c>
      <c r="M30" s="81" t="e">
        <f t="shared" si="15"/>
        <v>#DIV/0!</v>
      </c>
      <c r="N30" s="45"/>
    </row>
    <row r="31" s="2" customFormat="1" ht="18" customHeight="1" spans="1:14">
      <c r="A31" s="53" t="s">
        <v>69</v>
      </c>
      <c r="B31" s="42" t="s">
        <v>70</v>
      </c>
      <c r="C31" s="79" t="s">
        <v>68</v>
      </c>
      <c r="D31" s="83">
        <f>D8/3.6/D3/(DAY(DATE(2026,12,0))*24)</f>
        <v>0</v>
      </c>
      <c r="E31" s="83">
        <f>E8/3.6/E3/(DAY(DATE(2026,12,0))*24)</f>
        <v>0</v>
      </c>
      <c r="F31" s="83" t="e">
        <f>F8/3.6/F3/(DAY(DATE(2026,12,0))*24)</f>
        <v>#DIV/0!</v>
      </c>
      <c r="G31" s="83">
        <f>(G8-G36)/3.6/G3/(DAY(DATE(2026,12,0))*24)</f>
        <v>0</v>
      </c>
      <c r="H31" s="84">
        <f>H8/3.6/H3/(DAY(DATE(2026,12,0))*24)</f>
        <v>0</v>
      </c>
      <c r="I31" s="85">
        <f>I8/3.6/I3/(DATEDIF(DATE(2026,1,1),DATE(2026,12,1),"D")*24)</f>
        <v>0</v>
      </c>
      <c r="J31" s="83">
        <f>J8/3.6/J3/(DATEDIF(DATE(2026,1,1),DATE(2026,12,1),"D")*24)</f>
        <v>0</v>
      </c>
      <c r="K31" s="83" t="e">
        <f>K8/3.6/K3/(DATEDIF(DATE(2026,1,1),DATE(2026,12,1),"D")*24)</f>
        <v>#DIV/0!</v>
      </c>
      <c r="L31" s="83">
        <f>(L8-L36)/3.6/L3/(DATEDIF(DATE(2026,1,1),DATE(2026,12,1),"D")*24)</f>
        <v>0</v>
      </c>
      <c r="M31" s="84">
        <f>M8/3.6/M3/(DATEDIF(DATE(2026,1,1),DATE(2026,12,1),"D")*24)</f>
        <v>0</v>
      </c>
      <c r="N31" s="45"/>
    </row>
    <row r="32" s="2" customFormat="1" ht="18" customHeight="1" spans="1:14">
      <c r="A32" s="53" t="s">
        <v>71</v>
      </c>
      <c r="B32" s="42" t="s">
        <v>72</v>
      </c>
      <c r="C32" s="43" t="s">
        <v>73</v>
      </c>
      <c r="D32" s="86"/>
      <c r="E32" s="87" t="e">
        <f t="shared" ref="E32:H32" si="16">E8/E6</f>
        <v>#DIV/0!</v>
      </c>
      <c r="F32" s="87" t="e">
        <f t="shared" si="16"/>
        <v>#DIV/0!</v>
      </c>
      <c r="G32" s="87" t="e">
        <f t="shared" si="16"/>
        <v>#DIV/0!</v>
      </c>
      <c r="H32" s="87" t="e">
        <f t="shared" si="16"/>
        <v>#DIV/0!</v>
      </c>
      <c r="I32" s="88"/>
      <c r="J32" s="87" t="e">
        <f t="shared" ref="J32:M32" si="17">J8/J6</f>
        <v>#DIV/0!</v>
      </c>
      <c r="K32" s="87" t="e">
        <f t="shared" si="17"/>
        <v>#DIV/0!</v>
      </c>
      <c r="L32" s="87" t="e">
        <f t="shared" si="17"/>
        <v>#DIV/0!</v>
      </c>
      <c r="M32" s="89" t="e">
        <f t="shared" si="17"/>
        <v>#DIV/0!</v>
      </c>
      <c r="N32" s="45"/>
    </row>
    <row r="33" s="2" customFormat="1" ht="18" customHeight="1" spans="1:14">
      <c r="A33" s="53" t="s">
        <v>74</v>
      </c>
      <c r="B33" s="42" t="s">
        <v>75</v>
      </c>
      <c r="C33" s="43" t="s">
        <v>76</v>
      </c>
      <c r="D33" s="90"/>
      <c r="E33" s="91" t="e">
        <f t="shared" ref="E33:H33" si="18">E12*1000/E6</f>
        <v>#DIV/0!</v>
      </c>
      <c r="F33" s="91" t="e">
        <f t="shared" si="18"/>
        <v>#DIV/0!</v>
      </c>
      <c r="G33" s="91" t="e">
        <f t="shared" si="18"/>
        <v>#DIV/0!</v>
      </c>
      <c r="H33" s="92" t="e">
        <f t="shared" si="18"/>
        <v>#DIV/0!</v>
      </c>
      <c r="I33" s="93"/>
      <c r="J33" s="91" t="e">
        <f t="shared" ref="J33:M33" si="19">J12*1000/J6</f>
        <v>#DIV/0!</v>
      </c>
      <c r="K33" s="91" t="e">
        <f t="shared" si="19"/>
        <v>#DIV/0!</v>
      </c>
      <c r="L33" s="91" t="e">
        <f t="shared" si="19"/>
        <v>#DIV/0!</v>
      </c>
      <c r="M33" s="92" t="e">
        <f t="shared" si="19"/>
        <v>#DIV/0!</v>
      </c>
      <c r="N33" s="45"/>
    </row>
    <row r="34" s="2" customFormat="1" ht="18" customHeight="1" spans="1:14">
      <c r="A34" s="53" t="s">
        <v>77</v>
      </c>
      <c r="B34" s="42" t="s">
        <v>78</v>
      </c>
      <c r="C34" s="43" t="s">
        <v>79</v>
      </c>
      <c r="D34" s="94"/>
      <c r="E34" s="91" t="e">
        <f t="shared" ref="E34:H34" si="20">E17/E6</f>
        <v>#DIV/0!</v>
      </c>
      <c r="F34" s="91" t="e">
        <f t="shared" si="20"/>
        <v>#DIV/0!</v>
      </c>
      <c r="G34" s="91" t="e">
        <f t="shared" si="20"/>
        <v>#DIV/0!</v>
      </c>
      <c r="H34" s="92" t="e">
        <f t="shared" si="20"/>
        <v>#DIV/0!</v>
      </c>
      <c r="I34" s="95"/>
      <c r="J34" s="91" t="e">
        <f t="shared" ref="J34:M34" si="21">J17/J6</f>
        <v>#DIV/0!</v>
      </c>
      <c r="K34" s="91" t="e">
        <f t="shared" si="21"/>
        <v>#DIV/0!</v>
      </c>
      <c r="L34" s="91" t="e">
        <f t="shared" si="21"/>
        <v>#DIV/0!</v>
      </c>
      <c r="M34" s="92" t="e">
        <f t="shared" si="21"/>
        <v>#DIV/0!</v>
      </c>
      <c r="N34" s="45"/>
    </row>
    <row r="35" s="2" customFormat="1" ht="18" customHeight="1" spans="1:14">
      <c r="A35" s="96" t="s">
        <v>80</v>
      </c>
      <c r="B35" s="97" t="s">
        <v>81</v>
      </c>
      <c r="C35" s="98" t="s">
        <v>76</v>
      </c>
      <c r="D35" s="99"/>
      <c r="E35" s="100" t="e">
        <f t="shared" ref="E35:H35" si="22">E15*1000/E6</f>
        <v>#DIV/0!</v>
      </c>
      <c r="F35" s="100" t="e">
        <f t="shared" si="22"/>
        <v>#DIV/0!</v>
      </c>
      <c r="G35" s="100" t="e">
        <f t="shared" si="22"/>
        <v>#DIV/0!</v>
      </c>
      <c r="H35" s="101" t="e">
        <f t="shared" si="22"/>
        <v>#DIV/0!</v>
      </c>
      <c r="I35" s="102"/>
      <c r="J35" s="100" t="e">
        <f t="shared" ref="J35:M35" si="23">J15*1000/J6</f>
        <v>#DIV/0!</v>
      </c>
      <c r="K35" s="100" t="e">
        <f t="shared" si="23"/>
        <v>#DIV/0!</v>
      </c>
      <c r="L35" s="100" t="e">
        <f t="shared" si="23"/>
        <v>#DIV/0!</v>
      </c>
      <c r="M35" s="101" t="e">
        <f t="shared" si="23"/>
        <v>#DIV/0!</v>
      </c>
      <c r="N35" s="45"/>
    </row>
    <row r="36" s="2" customFormat="1" ht="21" customHeight="1" spans="1:14">
      <c r="A36" s="103"/>
      <c r="B36" s="104" t="s">
        <v>82</v>
      </c>
      <c r="C36" s="105" t="s">
        <v>26</v>
      </c>
      <c r="D36" s="106"/>
      <c r="E36" s="106"/>
      <c r="F36" s="106"/>
      <c r="G36" s="106"/>
      <c r="H36" s="107"/>
      <c r="I36" s="106"/>
      <c r="J36" s="106"/>
      <c r="K36" s="106"/>
      <c r="L36" s="199">
        <f>G36+'26.10'!L36</f>
        <v>0</v>
      </c>
      <c r="M36" s="107"/>
    </row>
    <row r="37" s="1" customFormat="1" ht="29.25" customHeight="1" spans="1:14">
      <c r="A37" s="108" t="s">
        <v>83</v>
      </c>
      <c r="C37" s="4"/>
      <c r="D37" s="5" t="s">
        <v>84</v>
      </c>
      <c r="E37" s="2"/>
      <c r="F37" s="2"/>
      <c r="G37" s="2"/>
      <c r="H37" s="2"/>
      <c r="I37" s="2"/>
      <c r="J37" s="2"/>
    </row>
    <row r="38" s="1" customFormat="1" ht="31.5" customHeight="1" spans="1:14">
      <c r="A38" s="109" t="s">
        <v>0</v>
      </c>
      <c r="B38" s="110" t="s">
        <v>85</v>
      </c>
      <c r="C38" s="110" t="s">
        <v>2</v>
      </c>
      <c r="D38" s="111" t="s">
        <v>86</v>
      </c>
      <c r="E38" s="112" t="s">
        <v>87</v>
      </c>
      <c r="F38" s="2"/>
      <c r="G38" s="2"/>
      <c r="H38" s="2"/>
    </row>
    <row r="39" s="1" customFormat="1" ht="27.95" customHeight="1" spans="1:14">
      <c r="A39" s="28" t="s">
        <v>11</v>
      </c>
      <c r="B39" s="29" t="s">
        <v>12</v>
      </c>
      <c r="C39" s="30" t="s">
        <v>13</v>
      </c>
      <c r="D39" s="113">
        <v>0.55</v>
      </c>
      <c r="E39" s="114">
        <v>0.55</v>
      </c>
      <c r="F39" s="2"/>
      <c r="G39" s="2"/>
      <c r="H39" s="2"/>
    </row>
    <row r="40" s="1" customFormat="1" ht="27.95" customHeight="1" spans="1:14">
      <c r="A40" s="28" t="s">
        <v>14</v>
      </c>
      <c r="B40" s="29" t="s">
        <v>88</v>
      </c>
      <c r="C40" s="30" t="s">
        <v>16</v>
      </c>
      <c r="D40" s="115"/>
      <c r="E40" s="116">
        <f>D40</f>
        <v>0</v>
      </c>
      <c r="F40" s="45"/>
      <c r="G40" s="45"/>
      <c r="H40" s="2"/>
    </row>
    <row r="41" s="1" customFormat="1" ht="27.95" customHeight="1" spans="1:14">
      <c r="A41" s="28" t="s">
        <v>19</v>
      </c>
      <c r="B41" s="29" t="s">
        <v>89</v>
      </c>
      <c r="C41" s="30" t="s">
        <v>16</v>
      </c>
      <c r="D41" s="117"/>
      <c r="E41" s="118">
        <f>D41</f>
        <v>0</v>
      </c>
      <c r="F41" s="45"/>
      <c r="G41" s="45"/>
      <c r="H41" s="2"/>
    </row>
    <row r="42" s="1" customFormat="1" ht="27.95" customHeight="1" spans="1:14">
      <c r="A42" s="28" t="s">
        <v>21</v>
      </c>
      <c r="B42" s="42" t="s">
        <v>25</v>
      </c>
      <c r="C42" s="43" t="s">
        <v>26</v>
      </c>
      <c r="D42" s="119"/>
      <c r="E42" s="202">
        <f>D42+'26.10'!E42</f>
        <v>441</v>
      </c>
      <c r="F42" s="45"/>
      <c r="G42" s="45"/>
      <c r="H42" s="2"/>
    </row>
    <row r="43" s="1" customFormat="1" ht="27.95" customHeight="1" spans="1:14">
      <c r="A43" s="28" t="s">
        <v>24</v>
      </c>
      <c r="B43" s="42" t="s">
        <v>38</v>
      </c>
      <c r="C43" s="43" t="s">
        <v>23</v>
      </c>
      <c r="D43" s="115"/>
      <c r="E43" s="202">
        <f>D43+'26.10'!E43</f>
        <v>3</v>
      </c>
      <c r="F43" s="45"/>
      <c r="G43" s="45"/>
      <c r="H43" s="2"/>
    </row>
    <row r="44" s="1" customFormat="1" ht="27.95" customHeight="1" spans="1:14">
      <c r="A44" s="28" t="s">
        <v>27</v>
      </c>
      <c r="B44" s="42" t="s">
        <v>41</v>
      </c>
      <c r="C44" s="43" t="s">
        <v>42</v>
      </c>
      <c r="D44" s="115"/>
      <c r="E44" s="202">
        <f>D44+'26.10'!E44</f>
        <v>132840.000000001</v>
      </c>
      <c r="F44" s="45"/>
      <c r="G44" s="45"/>
      <c r="H44" s="2"/>
    </row>
    <row r="45" s="1" customFormat="1" ht="27.95" customHeight="1" spans="1:14">
      <c r="A45" s="28"/>
      <c r="B45" s="42" t="s">
        <v>90</v>
      </c>
      <c r="C45" s="43" t="s">
        <v>42</v>
      </c>
      <c r="D45" s="115">
        <f>D44</f>
        <v>0</v>
      </c>
      <c r="E45" s="202">
        <f>D45+'26.10'!E45</f>
        <v>132840.000000001</v>
      </c>
      <c r="F45" s="45"/>
      <c r="G45" s="45"/>
      <c r="H45" s="2"/>
    </row>
    <row r="46" s="1" customFormat="1" ht="27.95" customHeight="1" spans="1:14">
      <c r="A46" s="28" t="s">
        <v>29</v>
      </c>
      <c r="B46" s="42" t="s">
        <v>52</v>
      </c>
      <c r="C46" s="43" t="s">
        <v>53</v>
      </c>
      <c r="D46" s="121" t="e">
        <f>D44/D42</f>
        <v>#DIV/0!</v>
      </c>
      <c r="E46" s="122">
        <f>E44/E42</f>
        <v>301.224489795921</v>
      </c>
      <c r="F46" s="45"/>
      <c r="G46" s="45"/>
      <c r="H46" s="2"/>
    </row>
    <row r="47" s="1" customFormat="1" ht="27.95" customHeight="1" spans="1:14">
      <c r="A47" s="28" t="s">
        <v>31</v>
      </c>
      <c r="B47" s="42" t="s">
        <v>70</v>
      </c>
      <c r="C47" s="79" t="s">
        <v>68</v>
      </c>
      <c r="D47" s="123">
        <f>D42/3.6/D39/(DAY(DATE(2026,12,0))*24)</f>
        <v>0</v>
      </c>
      <c r="E47" s="124">
        <f>E42/3.6/E39/(DATEDIF(DATE(2026,1,1),DATE(2026,12,1),"D")*24)</f>
        <v>0.0277853384140809</v>
      </c>
      <c r="F47" s="45"/>
      <c r="G47" s="45"/>
      <c r="H47" s="2"/>
    </row>
    <row r="48" s="1" customFormat="1" ht="27.95" customHeight="1" spans="1:14">
      <c r="A48" s="28" t="s">
        <v>33</v>
      </c>
      <c r="B48" s="42" t="s">
        <v>72</v>
      </c>
      <c r="C48" s="43" t="s">
        <v>73</v>
      </c>
      <c r="D48" s="125" t="e">
        <f>D42/D41</f>
        <v>#DIV/0!</v>
      </c>
      <c r="E48" s="126" t="e">
        <f>E42/E41</f>
        <v>#DIV/0!</v>
      </c>
      <c r="F48" s="45"/>
      <c r="G48" s="45"/>
      <c r="H48" s="2"/>
    </row>
    <row r="49" s="1" customFormat="1" ht="27.95" customHeight="1" spans="1:10">
      <c r="A49" s="28" t="s">
        <v>37</v>
      </c>
      <c r="B49" s="42" t="s">
        <v>78</v>
      </c>
      <c r="C49" s="43" t="s">
        <v>79</v>
      </c>
      <c r="D49" s="127" t="e">
        <f>D44/D41</f>
        <v>#DIV/0!</v>
      </c>
      <c r="E49" s="128" t="e">
        <f>E44/E41</f>
        <v>#DIV/0!</v>
      </c>
      <c r="F49" s="45"/>
      <c r="G49" s="45"/>
      <c r="H49" s="2"/>
    </row>
    <row r="50" s="1" customFormat="1" ht="27.95" customHeight="1" spans="1:10">
      <c r="A50" s="129" t="s">
        <v>40</v>
      </c>
      <c r="B50" s="97" t="s">
        <v>81</v>
      </c>
      <c r="C50" s="98" t="s">
        <v>76</v>
      </c>
      <c r="D50" s="130" t="e">
        <f>D43*1000/D41</f>
        <v>#DIV/0!</v>
      </c>
      <c r="E50" s="130" t="e">
        <f>E43*1000/E41</f>
        <v>#DIV/0!</v>
      </c>
      <c r="F50" s="45"/>
      <c r="G50" s="45"/>
      <c r="H50" s="2"/>
    </row>
    <row r="51" s="1" customFormat="1" ht="18" customHeight="1" spans="1:10">
      <c r="C51" s="4"/>
      <c r="D51" s="5"/>
    </row>
    <row r="52" s="1" customFormat="1" ht="29.25" customHeight="1" spans="1:10">
      <c r="A52" s="108" t="s">
        <v>91</v>
      </c>
      <c r="C52" s="4"/>
      <c r="D52" s="5" t="s">
        <v>84</v>
      </c>
      <c r="E52" s="2"/>
      <c r="F52" s="2"/>
      <c r="G52" s="2"/>
      <c r="H52" s="2"/>
      <c r="I52" s="2"/>
      <c r="J52" s="2"/>
    </row>
    <row r="53" s="1" customFormat="1" ht="31.5" customHeight="1" spans="1:10">
      <c r="A53" s="131" t="s">
        <v>0</v>
      </c>
      <c r="B53" s="132" t="s">
        <v>85</v>
      </c>
      <c r="C53" s="132" t="s">
        <v>2</v>
      </c>
      <c r="D53" s="133" t="s">
        <v>86</v>
      </c>
      <c r="E53" s="134"/>
      <c r="F53" s="135"/>
      <c r="G53" s="136" t="s">
        <v>87</v>
      </c>
      <c r="H53" s="134"/>
      <c r="I53" s="134"/>
    </row>
    <row r="54" s="1" customFormat="1" ht="31.5" customHeight="1" spans="1:10">
      <c r="A54" s="137"/>
      <c r="B54" s="138"/>
      <c r="C54" s="138"/>
      <c r="D54" s="139" t="s">
        <v>92</v>
      </c>
      <c r="E54" s="139" t="s">
        <v>93</v>
      </c>
      <c r="F54" s="140" t="s">
        <v>9</v>
      </c>
      <c r="G54" s="141" t="s">
        <v>92</v>
      </c>
      <c r="H54" s="139" t="s">
        <v>93</v>
      </c>
      <c r="I54" s="142" t="s">
        <v>9</v>
      </c>
    </row>
    <row r="55" s="1" customFormat="1" ht="27.95" customHeight="1" spans="1:10">
      <c r="A55" s="28" t="s">
        <v>11</v>
      </c>
      <c r="B55" s="29" t="s">
        <v>12</v>
      </c>
      <c r="C55" s="30" t="s">
        <v>13</v>
      </c>
      <c r="D55" s="143">
        <v>6</v>
      </c>
      <c r="E55" s="143">
        <v>6.4</v>
      </c>
      <c r="F55" s="144">
        <f t="shared" ref="F55:F61" si="24">SUM(D55:E55)</f>
        <v>12.4</v>
      </c>
      <c r="G55" s="145">
        <f t="shared" ref="G55:G57" si="25">D55</f>
        <v>6</v>
      </c>
      <c r="H55" s="146">
        <f t="shared" ref="H55:H57" si="26">E55</f>
        <v>6.4</v>
      </c>
      <c r="I55" s="146">
        <f t="shared" ref="I55:I61" si="27">SUM(G55:H55)</f>
        <v>12.4</v>
      </c>
    </row>
    <row r="56" s="1" customFormat="1" ht="27.95" customHeight="1" spans="1:10">
      <c r="A56" s="28" t="s">
        <v>14</v>
      </c>
      <c r="B56" s="29" t="s">
        <v>88</v>
      </c>
      <c r="C56" s="30" t="s">
        <v>16</v>
      </c>
      <c r="D56" s="147"/>
      <c r="E56" s="147"/>
      <c r="F56" s="117">
        <f t="shared" si="24"/>
        <v>0</v>
      </c>
      <c r="G56" s="118">
        <f t="shared" si="25"/>
        <v>0</v>
      </c>
      <c r="H56" s="118">
        <f t="shared" si="26"/>
        <v>0</v>
      </c>
      <c r="I56" s="147">
        <f t="shared" si="27"/>
        <v>0</v>
      </c>
    </row>
    <row r="57" s="1" customFormat="1" ht="27.95" customHeight="1" spans="1:10">
      <c r="A57" s="28" t="s">
        <v>19</v>
      </c>
      <c r="B57" s="29" t="s">
        <v>89</v>
      </c>
      <c r="C57" s="30" t="s">
        <v>16</v>
      </c>
      <c r="D57" s="147"/>
      <c r="E57" s="147"/>
      <c r="F57" s="117">
        <f t="shared" si="24"/>
        <v>0</v>
      </c>
      <c r="G57" s="118">
        <f t="shared" si="25"/>
        <v>0</v>
      </c>
      <c r="H57" s="118">
        <f t="shared" si="26"/>
        <v>0</v>
      </c>
      <c r="I57" s="147">
        <f t="shared" si="27"/>
        <v>0</v>
      </c>
    </row>
    <row r="58" s="1" customFormat="1" ht="27.95" customHeight="1" spans="1:10">
      <c r="A58" s="28" t="s">
        <v>21</v>
      </c>
      <c r="B58" s="42" t="s">
        <v>25</v>
      </c>
      <c r="C58" s="43" t="s">
        <v>26</v>
      </c>
      <c r="D58" s="148"/>
      <c r="E58" s="149"/>
      <c r="F58" s="117">
        <f t="shared" si="24"/>
        <v>0</v>
      </c>
      <c r="G58" s="203">
        <f>D58+'26.10'!G58</f>
        <v>0</v>
      </c>
      <c r="H58" s="203">
        <f>E58+'26.10'!H58</f>
        <v>0</v>
      </c>
      <c r="I58" s="147">
        <f t="shared" si="27"/>
        <v>0</v>
      </c>
    </row>
    <row r="59" s="1" customFormat="1" ht="27.95" customHeight="1" spans="1:10">
      <c r="A59" s="28" t="s">
        <v>24</v>
      </c>
      <c r="B59" s="42" t="s">
        <v>38</v>
      </c>
      <c r="C59" s="43" t="s">
        <v>23</v>
      </c>
      <c r="D59" s="148"/>
      <c r="E59" s="148"/>
      <c r="F59" s="117">
        <f t="shared" si="24"/>
        <v>0</v>
      </c>
      <c r="G59" s="203">
        <f>D59+'26.10'!G59</f>
        <v>0</v>
      </c>
      <c r="H59" s="203">
        <f>E59+'26.10'!H59</f>
        <v>0</v>
      </c>
      <c r="I59" s="147">
        <f t="shared" si="27"/>
        <v>0</v>
      </c>
    </row>
    <row r="60" s="1" customFormat="1" ht="27.95" customHeight="1" spans="1:10">
      <c r="A60" s="28" t="s">
        <v>27</v>
      </c>
      <c r="B60" s="42" t="s">
        <v>41</v>
      </c>
      <c r="C60" s="43" t="s">
        <v>42</v>
      </c>
      <c r="D60" s="148"/>
      <c r="E60" s="148"/>
      <c r="F60" s="117">
        <f t="shared" si="24"/>
        <v>0</v>
      </c>
      <c r="G60" s="203">
        <f>D60+'26.10'!G60</f>
        <v>0</v>
      </c>
      <c r="H60" s="203">
        <f>E60+'26.10'!H60</f>
        <v>0</v>
      </c>
      <c r="I60" s="147">
        <f t="shared" si="27"/>
        <v>0</v>
      </c>
    </row>
    <row r="61" s="1" customFormat="1" ht="27.95" customHeight="1" spans="1:10">
      <c r="A61" s="28"/>
      <c r="B61" s="42" t="s">
        <v>90</v>
      </c>
      <c r="C61" s="43" t="s">
        <v>42</v>
      </c>
      <c r="D61" s="148"/>
      <c r="E61" s="148"/>
      <c r="F61" s="117">
        <f t="shared" si="24"/>
        <v>0</v>
      </c>
      <c r="G61" s="203">
        <f>D61+'26.10'!G61</f>
        <v>0</v>
      </c>
      <c r="H61" s="203">
        <f>E61+'26.10'!H61</f>
        <v>0</v>
      </c>
      <c r="I61" s="147">
        <f t="shared" si="27"/>
        <v>0</v>
      </c>
    </row>
    <row r="62" s="1" customFormat="1" ht="27.95" customHeight="1" spans="1:10">
      <c r="A62" s="28" t="s">
        <v>29</v>
      </c>
      <c r="B62" s="42" t="s">
        <v>52</v>
      </c>
      <c r="C62" s="43" t="s">
        <v>53</v>
      </c>
      <c r="D62" s="151" t="e">
        <f t="shared" ref="D62:I62" si="28">D60/D58</f>
        <v>#DIV/0!</v>
      </c>
      <c r="E62" s="151" t="e">
        <f t="shared" si="28"/>
        <v>#DIV/0!</v>
      </c>
      <c r="F62" s="121" t="e">
        <f t="shared" si="28"/>
        <v>#DIV/0!</v>
      </c>
      <c r="G62" s="152" t="e">
        <f t="shared" si="28"/>
        <v>#DIV/0!</v>
      </c>
      <c r="H62" s="60" t="e">
        <f t="shared" si="28"/>
        <v>#DIV/0!</v>
      </c>
      <c r="I62" s="61" t="e">
        <f t="shared" si="28"/>
        <v>#DIV/0!</v>
      </c>
    </row>
    <row r="63" s="1" customFormat="1" ht="27.95" customHeight="1" spans="1:10">
      <c r="A63" s="28" t="s">
        <v>31</v>
      </c>
      <c r="B63" s="42" t="s">
        <v>70</v>
      </c>
      <c r="C63" s="79" t="s">
        <v>68</v>
      </c>
      <c r="D63" s="83">
        <f>D58/3.6/D55/(DAY(DATE(2026,12,0))*24)</f>
        <v>0</v>
      </c>
      <c r="E63" s="83">
        <f>E58/3.6/E55/(DAY(DATE(2026,12,0))*24)</f>
        <v>0</v>
      </c>
      <c r="F63" s="123">
        <f>F58/3.6/F55/(DAY(DATE(2026,12,0))*24)</f>
        <v>0</v>
      </c>
      <c r="G63" s="85">
        <f>G58/3.6/G55/(DATEDIF(DATE(2026,1,1),DATE(2026,12,1),"D")*24)</f>
        <v>0</v>
      </c>
      <c r="H63" s="83">
        <f>H58/3.6/H55/(DATEDIF(DATE(2026,1,1),DATE(2026,12,1),"D")*24)</f>
        <v>0</v>
      </c>
      <c r="I63" s="84">
        <f>I58/3.6/I55/(DATEDIF(DATE(2026,1,1),DATE(2026,12,1),"D")*24)</f>
        <v>0</v>
      </c>
    </row>
    <row r="64" s="1" customFormat="1" ht="27.95" customHeight="1" spans="1:10">
      <c r="A64" s="28" t="s">
        <v>33</v>
      </c>
      <c r="B64" s="42" t="s">
        <v>72</v>
      </c>
      <c r="C64" s="43" t="s">
        <v>73</v>
      </c>
      <c r="D64" s="87" t="e">
        <f t="shared" ref="D64:I64" si="29">D58/D57</f>
        <v>#DIV/0!</v>
      </c>
      <c r="E64" s="87" t="e">
        <f t="shared" si="29"/>
        <v>#DIV/0!</v>
      </c>
      <c r="F64" s="89" t="e">
        <f t="shared" si="29"/>
        <v>#DIV/0!</v>
      </c>
      <c r="G64" s="153" t="e">
        <f t="shared" si="29"/>
        <v>#DIV/0!</v>
      </c>
      <c r="H64" s="87" t="e">
        <f t="shared" si="29"/>
        <v>#DIV/0!</v>
      </c>
      <c r="I64" s="89" t="e">
        <f t="shared" si="29"/>
        <v>#DIV/0!</v>
      </c>
    </row>
    <row r="65" s="1" customFormat="1" ht="27.95" customHeight="1" spans="1:9">
      <c r="A65" s="28" t="s">
        <v>37</v>
      </c>
      <c r="B65" s="42" t="s">
        <v>78</v>
      </c>
      <c r="C65" s="43" t="s">
        <v>79</v>
      </c>
      <c r="D65" s="91" t="e">
        <f t="shared" ref="D65:I65" si="30">D60/D57</f>
        <v>#DIV/0!</v>
      </c>
      <c r="E65" s="91" t="e">
        <f t="shared" si="30"/>
        <v>#DIV/0!</v>
      </c>
      <c r="F65" s="92" t="e">
        <f t="shared" si="30"/>
        <v>#DIV/0!</v>
      </c>
      <c r="G65" s="154" t="e">
        <f t="shared" si="30"/>
        <v>#DIV/0!</v>
      </c>
      <c r="H65" s="91" t="e">
        <f t="shared" si="30"/>
        <v>#DIV/0!</v>
      </c>
      <c r="I65" s="92" t="e">
        <f t="shared" si="30"/>
        <v>#DIV/0!</v>
      </c>
    </row>
    <row r="66" s="1" customFormat="1" ht="27.95" customHeight="1" spans="1:9">
      <c r="A66" s="129" t="s">
        <v>40</v>
      </c>
      <c r="B66" s="97" t="s">
        <v>81</v>
      </c>
      <c r="C66" s="98" t="s">
        <v>76</v>
      </c>
      <c r="D66" s="100" t="e">
        <f t="shared" ref="D66:I66" si="31">D59*1000/D57</f>
        <v>#DIV/0!</v>
      </c>
      <c r="E66" s="100" t="e">
        <f t="shared" si="31"/>
        <v>#DIV/0!</v>
      </c>
      <c r="F66" s="101" t="e">
        <f t="shared" si="31"/>
        <v>#DIV/0!</v>
      </c>
      <c r="G66" s="155" t="e">
        <f t="shared" si="31"/>
        <v>#DIV/0!</v>
      </c>
      <c r="H66" s="100" t="e">
        <f t="shared" si="31"/>
        <v>#DIV/0!</v>
      </c>
      <c r="I66" s="101" t="e">
        <f t="shared" si="31"/>
        <v>#DIV/0!</v>
      </c>
    </row>
    <row r="67" s="1" customFormat="1" ht="18" customHeight="1" spans="1:9">
      <c r="C67" s="4"/>
      <c r="D67" s="5"/>
    </row>
    <row r="68" s="1" customFormat="1" ht="29.25" customHeight="1" spans="1:9">
      <c r="A68" s="108" t="s">
        <v>94</v>
      </c>
      <c r="C68" s="4"/>
      <c r="D68" s="5"/>
    </row>
    <row r="69" s="1" customFormat="1" ht="30" customHeight="1" spans="1:9">
      <c r="A69" s="131" t="s">
        <v>0</v>
      </c>
      <c r="B69" s="7" t="s">
        <v>1</v>
      </c>
      <c r="C69" s="7" t="s">
        <v>2</v>
      </c>
      <c r="D69" s="133" t="s">
        <v>86</v>
      </c>
      <c r="E69" s="135"/>
      <c r="F69" s="134" t="s">
        <v>87</v>
      </c>
      <c r="G69" s="134"/>
    </row>
    <row r="70" s="1" customFormat="1" ht="30" customHeight="1" spans="1:9">
      <c r="A70" s="137"/>
      <c r="B70" s="14"/>
      <c r="C70" s="14"/>
      <c r="D70" s="139" t="s">
        <v>95</v>
      </c>
      <c r="E70" s="156" t="s">
        <v>96</v>
      </c>
      <c r="F70" s="141" t="s">
        <v>95</v>
      </c>
      <c r="G70" s="142" t="s">
        <v>96</v>
      </c>
    </row>
    <row r="71" s="1" customFormat="1" ht="27.95" customHeight="1" spans="1:9">
      <c r="A71" s="19" t="s">
        <v>11</v>
      </c>
      <c r="B71" s="20" t="s">
        <v>12</v>
      </c>
      <c r="C71" s="21" t="s">
        <v>13</v>
      </c>
      <c r="D71" s="157">
        <v>217</v>
      </c>
      <c r="E71" s="158">
        <v>1.4</v>
      </c>
      <c r="F71" s="159">
        <f>D71</f>
        <v>217</v>
      </c>
      <c r="G71" s="160">
        <f>E71</f>
        <v>1.4</v>
      </c>
    </row>
    <row r="72" s="1" customFormat="1" ht="27.95" customHeight="1" spans="1:9">
      <c r="A72" s="28" t="s">
        <v>14</v>
      </c>
      <c r="B72" s="42" t="s">
        <v>22</v>
      </c>
      <c r="C72" s="43" t="s">
        <v>23</v>
      </c>
      <c r="D72" s="148"/>
      <c r="E72" s="115"/>
      <c r="F72" s="161">
        <f>D72</f>
        <v>0</v>
      </c>
      <c r="G72" s="162">
        <f>E72</f>
        <v>0</v>
      </c>
    </row>
    <row r="73" s="1" customFormat="1" ht="27.95" customHeight="1" spans="1:9">
      <c r="A73" s="28" t="s">
        <v>19</v>
      </c>
      <c r="B73" s="42" t="s">
        <v>25</v>
      </c>
      <c r="C73" s="43" t="s">
        <v>26</v>
      </c>
      <c r="D73" s="147">
        <f>D72*2.951694</f>
        <v>0</v>
      </c>
      <c r="E73" s="163">
        <f>E72*2.732</f>
        <v>0</v>
      </c>
      <c r="F73" s="202">
        <f>D73+'26.10'!F73</f>
        <v>0</v>
      </c>
      <c r="G73" s="202">
        <f>E73+'26.10'!G73</f>
        <v>0</v>
      </c>
    </row>
    <row r="74" s="1" customFormat="1" ht="27.95" customHeight="1" spans="1:9">
      <c r="A74" s="28" t="s">
        <v>21</v>
      </c>
      <c r="B74" s="42" t="s">
        <v>97</v>
      </c>
      <c r="C74" s="43" t="s">
        <v>98</v>
      </c>
      <c r="D74" s="148"/>
      <c r="E74" s="115"/>
      <c r="F74" s="202">
        <f>D74+'26.10'!F74</f>
        <v>0</v>
      </c>
      <c r="G74" s="202">
        <f>E74+'26.10'!G74</f>
        <v>0</v>
      </c>
    </row>
    <row r="75" s="1" customFormat="1" ht="27.95" customHeight="1" spans="1:9">
      <c r="A75" s="28" t="s">
        <v>24</v>
      </c>
      <c r="B75" s="42" t="s">
        <v>34</v>
      </c>
      <c r="C75" s="43" t="s">
        <v>23</v>
      </c>
      <c r="D75" s="147">
        <f>D74*D80/29308/1000</f>
        <v>0</v>
      </c>
      <c r="E75" s="117">
        <f>E74*E80/29308/1000</f>
        <v>0</v>
      </c>
      <c r="F75" s="202">
        <f>D75+'26.10'!F75</f>
        <v>0</v>
      </c>
      <c r="G75" s="202">
        <f>E75+'26.10'!G75</f>
        <v>0</v>
      </c>
    </row>
    <row r="76" s="1" customFormat="1" ht="27.95" customHeight="1" spans="1:9">
      <c r="A76" s="28" t="s">
        <v>27</v>
      </c>
      <c r="B76" s="42" t="s">
        <v>38</v>
      </c>
      <c r="C76" s="43" t="s">
        <v>23</v>
      </c>
      <c r="D76" s="148"/>
      <c r="E76" s="164"/>
      <c r="F76" s="202">
        <f>D76+'26.10'!F76</f>
        <v>0</v>
      </c>
      <c r="G76" s="202">
        <f>E76+'26.10'!G76</f>
        <v>0</v>
      </c>
    </row>
    <row r="77" s="1" customFormat="1" ht="27.95" customHeight="1" spans="1:9">
      <c r="A77" s="28" t="s">
        <v>29</v>
      </c>
      <c r="B77" s="42" t="s">
        <v>41</v>
      </c>
      <c r="C77" s="43" t="s">
        <v>42</v>
      </c>
      <c r="D77" s="148"/>
      <c r="E77" s="164"/>
      <c r="F77" s="202">
        <f>D77+'26.10'!F77</f>
        <v>0</v>
      </c>
      <c r="G77" s="202">
        <f>E77+'26.10'!G77</f>
        <v>0</v>
      </c>
    </row>
    <row r="78" s="1" customFormat="1" ht="27.95" customHeight="1" spans="1:9">
      <c r="A78" s="28" t="s">
        <v>31</v>
      </c>
      <c r="B78" s="42" t="s">
        <v>52</v>
      </c>
      <c r="C78" s="43" t="s">
        <v>53</v>
      </c>
      <c r="D78" s="165" t="e">
        <f>D77/D73</f>
        <v>#DIV/0!</v>
      </c>
      <c r="E78" s="166"/>
      <c r="F78" s="167" t="e">
        <f>F77/F73</f>
        <v>#DIV/0!</v>
      </c>
      <c r="G78" s="168"/>
    </row>
    <row r="79" s="1" customFormat="1" ht="27.95" customHeight="1" spans="1:9">
      <c r="A79" s="28" t="s">
        <v>33</v>
      </c>
      <c r="B79" s="42" t="s">
        <v>55</v>
      </c>
      <c r="C79" s="43" t="s">
        <v>56</v>
      </c>
      <c r="D79" s="60" t="e">
        <f t="shared" ref="D79:G79" si="32">D75*1000/D73</f>
        <v>#DIV/0!</v>
      </c>
      <c r="E79" s="169" t="e">
        <f t="shared" si="32"/>
        <v>#DIV/0!</v>
      </c>
      <c r="F79" s="170" t="e">
        <f t="shared" si="32"/>
        <v>#DIV/0!</v>
      </c>
      <c r="G79" s="61" t="e">
        <f t="shared" si="32"/>
        <v>#DIV/0!</v>
      </c>
      <c r="H79" s="12"/>
    </row>
    <row r="80" s="1" customFormat="1" ht="27.95" customHeight="1" spans="1:9">
      <c r="A80" s="28" t="s">
        <v>37</v>
      </c>
      <c r="B80" s="42" t="s">
        <v>99</v>
      </c>
      <c r="C80" s="43" t="s">
        <v>100</v>
      </c>
      <c r="D80" s="56"/>
      <c r="E80" s="171"/>
      <c r="F80" s="172" t="e">
        <f>F75*29308*1000/F74</f>
        <v>#DIV/0!</v>
      </c>
      <c r="G80" s="147" t="e">
        <f>G75*29308*1000/G74</f>
        <v>#DIV/0!</v>
      </c>
      <c r="H80" s="12"/>
    </row>
    <row r="81" s="1" customFormat="1" ht="27.95" customHeight="1" spans="1:11">
      <c r="A81" s="28" t="s">
        <v>40</v>
      </c>
      <c r="B81" s="42" t="s">
        <v>67</v>
      </c>
      <c r="C81" s="79" t="s">
        <v>68</v>
      </c>
      <c r="D81" s="80" t="e">
        <f t="shared" ref="D81:G81" si="33">D73/(D75*29.308)</f>
        <v>#DIV/0!</v>
      </c>
      <c r="E81" s="173" t="e">
        <f t="shared" si="33"/>
        <v>#DIV/0!</v>
      </c>
      <c r="F81" s="174" t="e">
        <f t="shared" si="33"/>
        <v>#DIV/0!</v>
      </c>
      <c r="G81" s="81" t="e">
        <f t="shared" si="33"/>
        <v>#DIV/0!</v>
      </c>
      <c r="H81" s="12"/>
    </row>
    <row r="82" s="1" customFormat="1" ht="27.95" customHeight="1" spans="1:11">
      <c r="A82" s="129" t="s">
        <v>47</v>
      </c>
      <c r="B82" s="175" t="s">
        <v>70</v>
      </c>
      <c r="C82" s="176" t="s">
        <v>68</v>
      </c>
      <c r="D82" s="177">
        <f>D73/3.6/D71/(DAY(DATE(2026,12,0))*24)</f>
        <v>0</v>
      </c>
      <c r="E82" s="178">
        <f>E73/3.6/E71/(DAY(DATE(2026,12,0))*24)</f>
        <v>0</v>
      </c>
      <c r="F82" s="179">
        <f>F73/3.6/F71/(DATEDIF(DATE(2026,1,1),DATE(2026,12,1),"D")*24)</f>
        <v>0</v>
      </c>
      <c r="G82" s="180">
        <f>G73/3.6/G71/(DATEDIF(DATE(2026,1,1),DATE(2026,12,1),"D")*24)</f>
        <v>0</v>
      </c>
      <c r="H82" s="12"/>
    </row>
    <row r="83" s="1" customFormat="1" ht="18" customHeight="1" spans="1:11">
      <c r="B83" s="181"/>
      <c r="C83" s="181"/>
      <c r="D83" s="5"/>
    </row>
    <row r="84" s="1" customFormat="1" customHeight="1" spans="1:11">
      <c r="A84" s="108" t="s">
        <v>101</v>
      </c>
      <c r="C84" s="4"/>
      <c r="D84" s="5" t="s">
        <v>84</v>
      </c>
      <c r="E84" s="2"/>
      <c r="F84" s="2"/>
      <c r="G84" s="2"/>
      <c r="H84" s="2"/>
      <c r="I84" s="2"/>
    </row>
    <row r="85" s="1" customFormat="1" customHeight="1" spans="1:11">
      <c r="A85" s="131" t="s">
        <v>0</v>
      </c>
      <c r="B85" s="132" t="s">
        <v>85</v>
      </c>
      <c r="C85" s="132" t="s">
        <v>2</v>
      </c>
      <c r="D85" s="182" t="s">
        <v>86</v>
      </c>
      <c r="E85" s="139" t="s">
        <v>87</v>
      </c>
      <c r="F85" s="182" t="s">
        <v>102</v>
      </c>
      <c r="G85" s="182" t="s">
        <v>103</v>
      </c>
      <c r="H85" s="183"/>
      <c r="I85" s="183"/>
    </row>
    <row r="86" s="1" customFormat="1" customHeight="1" spans="1:11">
      <c r="A86" s="137"/>
      <c r="B86" s="138"/>
      <c r="C86" s="138"/>
      <c r="D86" s="182" t="s">
        <v>104</v>
      </c>
      <c r="E86" s="182" t="s">
        <v>104</v>
      </c>
      <c r="F86" s="182"/>
      <c r="G86" s="182"/>
      <c r="H86" s="183"/>
      <c r="I86" s="184"/>
    </row>
    <row r="87" s="1" customFormat="1" customHeight="1" spans="1:11">
      <c r="A87" s="28" t="s">
        <v>11</v>
      </c>
      <c r="B87" s="29" t="s">
        <v>12</v>
      </c>
      <c r="C87" s="30" t="s">
        <v>13</v>
      </c>
      <c r="D87" s="185">
        <v>0.7888</v>
      </c>
      <c r="E87" s="186">
        <f t="shared" ref="E87:E89" si="34">D87</f>
        <v>0.7888</v>
      </c>
      <c r="F87" s="187">
        <f t="shared" ref="F87:F93" si="35">F55+D87</f>
        <v>13.1888</v>
      </c>
      <c r="G87" s="187">
        <f t="shared" ref="G87:G93" si="36">E87+I55</f>
        <v>13.1888</v>
      </c>
      <c r="H87" s="145"/>
      <c r="I87" s="145"/>
    </row>
    <row r="88" s="1" customFormat="1" customHeight="1" spans="1:11">
      <c r="A88" s="28" t="s">
        <v>14</v>
      </c>
      <c r="B88" s="29" t="s">
        <v>88</v>
      </c>
      <c r="C88" s="30" t="s">
        <v>16</v>
      </c>
      <c r="D88" s="188"/>
      <c r="E88" s="189">
        <f t="shared" si="34"/>
        <v>0</v>
      </c>
      <c r="F88" s="190">
        <f>D88+D56+E56</f>
        <v>0</v>
      </c>
      <c r="G88" s="190">
        <f>E88+G56+H56</f>
        <v>0</v>
      </c>
      <c r="H88" s="116"/>
      <c r="I88" s="116"/>
    </row>
    <row r="89" s="1" customFormat="1" customHeight="1" spans="1:11">
      <c r="A89" s="28" t="s">
        <v>19</v>
      </c>
      <c r="B89" s="29" t="s">
        <v>89</v>
      </c>
      <c r="C89" s="30" t="s">
        <v>16</v>
      </c>
      <c r="D89" s="188"/>
      <c r="E89" s="189">
        <f t="shared" si="34"/>
        <v>0</v>
      </c>
      <c r="F89" s="190">
        <f>D89+D57+E57</f>
        <v>0</v>
      </c>
      <c r="G89" s="190">
        <f>E89+G57+H57</f>
        <v>0</v>
      </c>
      <c r="H89" s="116"/>
      <c r="I89" s="116"/>
    </row>
    <row r="90" s="1" customFormat="1" customHeight="1" spans="1:11">
      <c r="A90" s="28" t="s">
        <v>21</v>
      </c>
      <c r="B90" s="42" t="s">
        <v>25</v>
      </c>
      <c r="C90" s="43" t="s">
        <v>26</v>
      </c>
      <c r="D90" s="188"/>
      <c r="E90" s="204">
        <f>D90+'26.10'!E90</f>
        <v>0</v>
      </c>
      <c r="F90" s="192">
        <f t="shared" si="35"/>
        <v>0</v>
      </c>
      <c r="G90" s="192">
        <f t="shared" si="36"/>
        <v>0</v>
      </c>
      <c r="H90" s="116"/>
      <c r="I90" s="116"/>
    </row>
    <row r="91" s="1" customFormat="1" customHeight="1" spans="1:11">
      <c r="A91" s="28" t="s">
        <v>24</v>
      </c>
      <c r="B91" s="42" t="s">
        <v>38</v>
      </c>
      <c r="C91" s="43" t="s">
        <v>23</v>
      </c>
      <c r="D91" s="188"/>
      <c r="E91" s="204">
        <f>D91+'26.10'!E91</f>
        <v>0</v>
      </c>
      <c r="F91" s="192">
        <f t="shared" si="35"/>
        <v>0</v>
      </c>
      <c r="G91" s="192">
        <f t="shared" si="36"/>
        <v>0</v>
      </c>
      <c r="H91" s="116"/>
      <c r="I91" s="116"/>
    </row>
    <row r="92" s="1" customFormat="1" customHeight="1" spans="1:11">
      <c r="A92" s="28" t="s">
        <v>27</v>
      </c>
      <c r="B92" s="42" t="s">
        <v>41</v>
      </c>
      <c r="C92" s="43" t="s">
        <v>42</v>
      </c>
      <c r="D92" s="188"/>
      <c r="E92" s="204">
        <f>D92+'26.10'!E92</f>
        <v>0</v>
      </c>
      <c r="F92" s="192">
        <f t="shared" si="35"/>
        <v>0</v>
      </c>
      <c r="G92" s="192">
        <f t="shared" si="36"/>
        <v>0</v>
      </c>
      <c r="H92" s="116"/>
      <c r="I92" s="116"/>
    </row>
    <row r="93" s="1" customFormat="1" customHeight="1" spans="1:11">
      <c r="A93" s="28"/>
      <c r="B93" s="42" t="s">
        <v>90</v>
      </c>
      <c r="C93" s="43" t="s">
        <v>42</v>
      </c>
      <c r="D93" s="188"/>
      <c r="E93" s="204">
        <f>D93+'26.10'!E93</f>
        <v>0</v>
      </c>
      <c r="F93" s="192">
        <f t="shared" si="35"/>
        <v>0</v>
      </c>
      <c r="G93" s="192">
        <f t="shared" si="36"/>
        <v>0</v>
      </c>
      <c r="H93" s="116"/>
      <c r="I93" s="116"/>
    </row>
    <row r="94" s="1" customFormat="1" customHeight="1" spans="1:11">
      <c r="A94" s="28" t="s">
        <v>29</v>
      </c>
      <c r="B94" s="42" t="s">
        <v>52</v>
      </c>
      <c r="C94" s="43" t="s">
        <v>53</v>
      </c>
      <c r="D94" s="193" t="e">
        <f t="shared" ref="D94:G94" si="37">D92/D90</f>
        <v>#DIV/0!</v>
      </c>
      <c r="E94" s="193" t="e">
        <f t="shared" si="37"/>
        <v>#DIV/0!</v>
      </c>
      <c r="F94" s="193" t="e">
        <f t="shared" si="37"/>
        <v>#DIV/0!</v>
      </c>
      <c r="G94" s="193" t="e">
        <f t="shared" si="37"/>
        <v>#DIV/0!</v>
      </c>
      <c r="H94" s="122"/>
      <c r="I94" s="122"/>
    </row>
    <row r="95" s="1" customFormat="1" customHeight="1" spans="1:11">
      <c r="A95" s="28" t="s">
        <v>31</v>
      </c>
      <c r="B95" s="42" t="s">
        <v>105</v>
      </c>
      <c r="C95" s="79" t="s">
        <v>68</v>
      </c>
      <c r="D95" s="194">
        <f>D90/3.6/D87/(DAY(DATE(2026,12,0))*24)</f>
        <v>0</v>
      </c>
      <c r="E95" s="84">
        <f>E90/3.6/E87/(DATEDIF(DATE(2026,1,1),DATE(2026,12,1),"D")*24)</f>
        <v>0</v>
      </c>
      <c r="F95" s="194">
        <f>F90/3.6/F87/(DAY(DATE(2026,12,0))*24)</f>
        <v>0</v>
      </c>
      <c r="G95" s="84">
        <f>G90/3.6/G87/(DATEDIF(DATE(2026,1,1),DATE(2026,12,1),"D")*24)</f>
        <v>0</v>
      </c>
      <c r="H95" s="195"/>
      <c r="I95" s="195"/>
      <c r="K95" s="196"/>
    </row>
    <row r="96" s="1" customFormat="1" customHeight="1" spans="1:11">
      <c r="A96" s="28" t="s">
        <v>33</v>
      </c>
      <c r="B96" s="42" t="s">
        <v>72</v>
      </c>
      <c r="C96" s="43" t="s">
        <v>73</v>
      </c>
      <c r="D96" s="197" t="e">
        <f t="shared" ref="D96:G96" si="38">D90/D89</f>
        <v>#DIV/0!</v>
      </c>
      <c r="E96" s="197" t="e">
        <f t="shared" si="38"/>
        <v>#DIV/0!</v>
      </c>
      <c r="F96" s="197" t="e">
        <f t="shared" si="38"/>
        <v>#DIV/0!</v>
      </c>
      <c r="G96" s="197" t="e">
        <f t="shared" si="38"/>
        <v>#DIV/0!</v>
      </c>
      <c r="H96" s="126"/>
      <c r="I96" s="126"/>
    </row>
    <row r="97" s="1" customFormat="1" customHeight="1" spans="1:9">
      <c r="A97" s="28" t="s">
        <v>37</v>
      </c>
      <c r="B97" s="42" t="s">
        <v>78</v>
      </c>
      <c r="C97" s="43" t="s">
        <v>79</v>
      </c>
      <c r="D97" s="198" t="e">
        <f t="shared" ref="D97:G97" si="39">D92/D89</f>
        <v>#DIV/0!</v>
      </c>
      <c r="E97" s="198" t="e">
        <f t="shared" si="39"/>
        <v>#DIV/0!</v>
      </c>
      <c r="F97" s="198" t="e">
        <f t="shared" si="39"/>
        <v>#DIV/0!</v>
      </c>
      <c r="G97" s="198" t="e">
        <f t="shared" si="39"/>
        <v>#DIV/0!</v>
      </c>
      <c r="H97" s="128"/>
      <c r="I97" s="128"/>
    </row>
    <row r="98" s="1" customFormat="1" customHeight="1" spans="1:9">
      <c r="A98" s="129" t="s">
        <v>40</v>
      </c>
      <c r="B98" s="97" t="s">
        <v>81</v>
      </c>
      <c r="C98" s="98" t="s">
        <v>76</v>
      </c>
      <c r="D98" s="198" t="e">
        <f t="shared" ref="D98:G98" si="40">D91*1000/D89</f>
        <v>#DIV/0!</v>
      </c>
      <c r="E98" s="198" t="e">
        <f t="shared" si="40"/>
        <v>#DIV/0!</v>
      </c>
      <c r="F98" s="198" t="e">
        <f t="shared" si="40"/>
        <v>#DIV/0!</v>
      </c>
      <c r="G98" s="198" t="e">
        <f t="shared" si="40"/>
        <v>#DIV/0!</v>
      </c>
      <c r="H98" s="128"/>
      <c r="I98" s="128"/>
    </row>
  </sheetData>
  <mergeCells count="20">
    <mergeCell ref="D1:H1"/>
    <mergeCell ref="I1:M1"/>
    <mergeCell ref="D53:F53"/>
    <mergeCell ref="G53:I53"/>
    <mergeCell ref="D69:E69"/>
    <mergeCell ref="F69:G69"/>
    <mergeCell ref="A1:A2"/>
    <mergeCell ref="A53:A54"/>
    <mergeCell ref="A69:A70"/>
    <mergeCell ref="A85:A86"/>
    <mergeCell ref="B1:B2"/>
    <mergeCell ref="B53:B54"/>
    <mergeCell ref="B69:B70"/>
    <mergeCell ref="B85:B86"/>
    <mergeCell ref="C1:C2"/>
    <mergeCell ref="C53:C54"/>
    <mergeCell ref="C69:C70"/>
    <mergeCell ref="C85:C86"/>
    <mergeCell ref="F85:F86"/>
    <mergeCell ref="G85:G86"/>
  </mergeCells>
  <pageMargins left="0.748031496062992" right="0.748031496062992" top="0.984251968503937" bottom="0.984251968503937" header="0.511811023622047" footer="0.511811023622047"/>
  <pageSetup paperSize="9" orientation="landscape" horizontalDpi="600" verticalDpi="600"/>
  <headerFooter alignWithMargins="0" scaleWithDoc="0">
    <oddHeader>&amp;C&amp;20 2022年11月份集团各锅炉站生产报表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8"/>
  <sheetViews>
    <sheetView showGridLines="0" zoomScale="70" zoomScaleNormal="70" zoomScaleSheetLayoutView="60" workbookViewId="0">
      <pane xSplit="2" ySplit="2" topLeftCell="C21" activePane="bottomRight" state="frozen"/>
      <selection/>
      <selection pane="topRight"/>
      <selection pane="bottomLeft"/>
      <selection pane="bottomRight" activeCell="L36" sqref="L36"/>
    </sheetView>
  </sheetViews>
  <sheetFormatPr defaultColWidth="8.625" defaultRowHeight="15" customHeight="1"/>
  <cols>
    <col min="1" max="1" width="7.375" style="1" customWidth="1"/>
    <col min="2" max="2" width="19.75" style="1" customWidth="1"/>
    <col min="3" max="3" width="13.5" style="4" customWidth="1"/>
    <col min="4" max="4" width="13.45" style="5" customWidth="1"/>
    <col min="5" max="13" width="13.45" style="1" customWidth="1"/>
    <col min="14" max="14" width="22.2083333333333" style="1"/>
    <col min="15" max="16384" width="8.625" style="1"/>
  </cols>
  <sheetData>
    <row r="1" s="1" customFormat="1" ht="39.95" customHeight="1" spans="1:14">
      <c r="A1" s="6" t="s">
        <v>0</v>
      </c>
      <c r="B1" s="7" t="s">
        <v>1</v>
      </c>
      <c r="C1" s="7" t="s">
        <v>2</v>
      </c>
      <c r="D1" s="8" t="s">
        <v>3</v>
      </c>
      <c r="E1" s="9"/>
      <c r="F1" s="9"/>
      <c r="G1" s="9"/>
      <c r="H1" s="10"/>
      <c r="I1" s="11" t="s">
        <v>4</v>
      </c>
      <c r="J1" s="9"/>
      <c r="K1" s="9"/>
      <c r="L1" s="9"/>
      <c r="M1" s="9"/>
      <c r="N1" s="12"/>
    </row>
    <row r="2" s="1" customFormat="1" ht="39.95" customHeight="1" spans="1:14">
      <c r="A2" s="13"/>
      <c r="B2" s="14"/>
      <c r="C2" s="14"/>
      <c r="D2" s="15" t="s">
        <v>5</v>
      </c>
      <c r="E2" s="15" t="s">
        <v>6</v>
      </c>
      <c r="F2" s="15" t="s">
        <v>7</v>
      </c>
      <c r="G2" s="16" t="s">
        <v>8</v>
      </c>
      <c r="H2" s="17" t="s">
        <v>9</v>
      </c>
      <c r="I2" s="18" t="s">
        <v>5</v>
      </c>
      <c r="J2" s="15" t="s">
        <v>6</v>
      </c>
      <c r="K2" s="15" t="s">
        <v>7</v>
      </c>
      <c r="L2" s="16" t="s">
        <v>10</v>
      </c>
      <c r="M2" s="17" t="s">
        <v>9</v>
      </c>
    </row>
    <row r="3" s="1" customFormat="1" ht="18" customHeight="1" spans="1:14">
      <c r="A3" s="19" t="s">
        <v>11</v>
      </c>
      <c r="B3" s="20" t="s">
        <v>12</v>
      </c>
      <c r="C3" s="21" t="s">
        <v>13</v>
      </c>
      <c r="D3" s="22">
        <v>348</v>
      </c>
      <c r="E3" s="23">
        <v>162</v>
      </c>
      <c r="F3" s="23"/>
      <c r="G3" s="24">
        <v>263</v>
      </c>
      <c r="H3" s="25">
        <f t="shared" ref="H3:H7" si="0">E3+F3+G3</f>
        <v>425</v>
      </c>
      <c r="I3" s="26">
        <f t="shared" ref="I3:L3" si="1">D3</f>
        <v>348</v>
      </c>
      <c r="J3" s="22">
        <f t="shared" si="1"/>
        <v>162</v>
      </c>
      <c r="K3" s="22">
        <f t="shared" si="1"/>
        <v>0</v>
      </c>
      <c r="L3" s="27">
        <f t="shared" si="1"/>
        <v>263</v>
      </c>
      <c r="M3" s="25">
        <f t="shared" ref="M3:M12" si="2">J3+K3+L3</f>
        <v>425</v>
      </c>
      <c r="N3" s="12"/>
    </row>
    <row r="4" s="1" customFormat="1" ht="18" customHeight="1" spans="1:14">
      <c r="A4" s="28" t="s">
        <v>14</v>
      </c>
      <c r="B4" s="29" t="s">
        <v>15</v>
      </c>
      <c r="C4" s="30" t="s">
        <v>16</v>
      </c>
      <c r="D4" s="31" t="s">
        <v>17</v>
      </c>
      <c r="E4" s="32"/>
      <c r="F4" s="33"/>
      <c r="G4" s="34"/>
      <c r="H4" s="35"/>
      <c r="I4" s="36" t="str">
        <f t="shared" ref="I4:L4" si="3">D4</f>
        <v> -   </v>
      </c>
      <c r="J4" s="32">
        <f t="shared" si="3"/>
        <v>0</v>
      </c>
      <c r="K4" s="37">
        <f t="shared" si="3"/>
        <v>0</v>
      </c>
      <c r="L4" s="38">
        <f t="shared" si="3"/>
        <v>0</v>
      </c>
      <c r="M4" s="35">
        <f t="shared" si="2"/>
        <v>0</v>
      </c>
      <c r="N4" s="12"/>
    </row>
    <row r="5" s="1" customFormat="1" ht="18" customHeight="1" spans="1:14">
      <c r="A5" s="28"/>
      <c r="B5" s="29" t="s">
        <v>18</v>
      </c>
      <c r="C5" s="30" t="s">
        <v>16</v>
      </c>
      <c r="D5" s="31" t="s">
        <v>17</v>
      </c>
      <c r="E5" s="33">
        <v>55000</v>
      </c>
      <c r="F5" s="39">
        <v>0</v>
      </c>
      <c r="G5" s="40">
        <v>0</v>
      </c>
      <c r="H5" s="35">
        <f t="shared" si="0"/>
        <v>55000</v>
      </c>
      <c r="I5" s="36" t="str">
        <f t="shared" ref="I5:L5" si="4">D5</f>
        <v> -   </v>
      </c>
      <c r="J5" s="32">
        <f t="shared" si="4"/>
        <v>55000</v>
      </c>
      <c r="K5" s="37">
        <f t="shared" si="4"/>
        <v>0</v>
      </c>
      <c r="L5" s="38">
        <f t="shared" si="4"/>
        <v>0</v>
      </c>
      <c r="M5" s="35">
        <f t="shared" si="2"/>
        <v>55000</v>
      </c>
      <c r="N5" s="12"/>
    </row>
    <row r="6" s="1" customFormat="1" ht="18" customHeight="1" spans="1:14">
      <c r="A6" s="28" t="s">
        <v>19</v>
      </c>
      <c r="B6" s="29" t="s">
        <v>20</v>
      </c>
      <c r="C6" s="30" t="s">
        <v>16</v>
      </c>
      <c r="D6" s="31" t="s">
        <v>17</v>
      </c>
      <c r="E6" s="34">
        <f t="shared" ref="E6:G6" si="5">E4</f>
        <v>0</v>
      </c>
      <c r="F6" s="34">
        <f t="shared" si="5"/>
        <v>0</v>
      </c>
      <c r="G6" s="34">
        <f t="shared" si="5"/>
        <v>0</v>
      </c>
      <c r="H6" s="35">
        <f t="shared" si="0"/>
        <v>0</v>
      </c>
      <c r="I6" s="36" t="str">
        <f t="shared" ref="I6:L6" si="6">D6</f>
        <v> -   </v>
      </c>
      <c r="J6" s="41">
        <f t="shared" si="6"/>
        <v>0</v>
      </c>
      <c r="K6" s="41">
        <f t="shared" si="6"/>
        <v>0</v>
      </c>
      <c r="L6" s="41">
        <f t="shared" si="6"/>
        <v>0</v>
      </c>
      <c r="M6" s="35">
        <f t="shared" si="2"/>
        <v>0</v>
      </c>
      <c r="N6" s="12"/>
    </row>
    <row r="7" s="2" customFormat="1" ht="18" customHeight="1" spans="1:14">
      <c r="A7" s="28" t="s">
        <v>21</v>
      </c>
      <c r="B7" s="42" t="s">
        <v>22</v>
      </c>
      <c r="C7" s="43" t="s">
        <v>23</v>
      </c>
      <c r="D7" s="40">
        <v>0</v>
      </c>
      <c r="E7" s="40">
        <v>0</v>
      </c>
      <c r="F7" s="40">
        <v>0</v>
      </c>
      <c r="G7" s="40"/>
      <c r="H7" s="35">
        <f t="shared" si="0"/>
        <v>0</v>
      </c>
      <c r="I7" s="44">
        <f>D7+'26.11'!I7</f>
        <v>0</v>
      </c>
      <c r="J7" s="44">
        <f>E7+'26.11'!J7</f>
        <v>0</v>
      </c>
      <c r="K7" s="44">
        <f>F7+'26.11'!K7</f>
        <v>0</v>
      </c>
      <c r="L7" s="44">
        <f>G7+'26.11'!L7</f>
        <v>0</v>
      </c>
      <c r="M7" s="35">
        <f t="shared" si="2"/>
        <v>0</v>
      </c>
      <c r="N7" s="45"/>
    </row>
    <row r="8" s="2" customFormat="1" ht="18" customHeight="1" spans="1:14">
      <c r="A8" s="28" t="s">
        <v>24</v>
      </c>
      <c r="B8" s="42" t="s">
        <v>25</v>
      </c>
      <c r="C8" s="43" t="s">
        <v>26</v>
      </c>
      <c r="D8" s="46"/>
      <c r="E8" s="40"/>
      <c r="F8" s="39"/>
      <c r="G8" s="34"/>
      <c r="H8" s="35"/>
      <c r="I8" s="44">
        <f>D8+'26.11'!I8</f>
        <v>0</v>
      </c>
      <c r="J8" s="44">
        <f>E8+'26.11'!J8</f>
        <v>0</v>
      </c>
      <c r="K8" s="44">
        <f>F8+'26.11'!K8</f>
        <v>0</v>
      </c>
      <c r="L8" s="44">
        <f>G8+'26.11'!L8</f>
        <v>0</v>
      </c>
      <c r="M8" s="35">
        <f t="shared" si="2"/>
        <v>0</v>
      </c>
      <c r="N8" s="47"/>
    </row>
    <row r="9" s="2" customFormat="1" ht="18" customHeight="1" spans="1:14">
      <c r="A9" s="28" t="s">
        <v>27</v>
      </c>
      <c r="B9" s="42" t="s">
        <v>28</v>
      </c>
      <c r="C9" s="43" t="s">
        <v>26</v>
      </c>
      <c r="D9" s="40"/>
      <c r="E9" s="48">
        <f>[1]售热量!$Y$25</f>
        <v>0</v>
      </c>
      <c r="F9" s="39"/>
      <c r="G9" s="39"/>
      <c r="H9" s="35">
        <f t="shared" ref="H9:H12" si="7">E9+F9+G9</f>
        <v>0</v>
      </c>
      <c r="I9" s="44">
        <f>D9+'26.11'!I9</f>
        <v>0</v>
      </c>
      <c r="J9" s="44">
        <f>E9+'26.11'!J9</f>
        <v>0</v>
      </c>
      <c r="K9" s="44">
        <f>F9+'26.11'!K9</f>
        <v>0</v>
      </c>
      <c r="L9" s="44">
        <f>G9+'26.11'!L9</f>
        <v>0</v>
      </c>
      <c r="M9" s="35">
        <f t="shared" si="2"/>
        <v>0</v>
      </c>
      <c r="N9" s="45"/>
    </row>
    <row r="10" s="2" customFormat="1" ht="18" customHeight="1" spans="1:14">
      <c r="A10" s="28" t="s">
        <v>29</v>
      </c>
      <c r="B10" s="42" t="s">
        <v>30</v>
      </c>
      <c r="C10" s="43" t="s">
        <v>23</v>
      </c>
      <c r="D10" s="40"/>
      <c r="E10" s="33"/>
      <c r="F10" s="39"/>
      <c r="G10" s="34"/>
      <c r="H10" s="35">
        <f t="shared" si="7"/>
        <v>0</v>
      </c>
      <c r="I10" s="44">
        <f>D10+'26.11'!I10</f>
        <v>0</v>
      </c>
      <c r="J10" s="44">
        <f>E10+'26.11'!J10</f>
        <v>0</v>
      </c>
      <c r="K10" s="44">
        <f>F10+'26.11'!K10</f>
        <v>0</v>
      </c>
      <c r="L10" s="44">
        <f>G10+'26.11'!L10</f>
        <v>0</v>
      </c>
      <c r="M10" s="35">
        <f t="shared" si="2"/>
        <v>0</v>
      </c>
      <c r="N10" s="45"/>
    </row>
    <row r="11" s="2" customFormat="1" ht="18" customHeight="1" spans="1:14">
      <c r="A11" s="28" t="s">
        <v>31</v>
      </c>
      <c r="B11" s="42" t="s">
        <v>32</v>
      </c>
      <c r="C11" s="43" t="s">
        <v>23</v>
      </c>
      <c r="D11" s="40"/>
      <c r="E11" s="40"/>
      <c r="F11" s="40"/>
      <c r="G11" s="40"/>
      <c r="H11" s="35">
        <f t="shared" si="7"/>
        <v>0</v>
      </c>
      <c r="I11" s="44">
        <f>D11+'26.11'!I11</f>
        <v>0</v>
      </c>
      <c r="J11" s="44">
        <f>E11+'26.11'!J11</f>
        <v>0</v>
      </c>
      <c r="K11" s="44">
        <f>F11+'26.11'!K11</f>
        <v>0</v>
      </c>
      <c r="L11" s="44">
        <f>G11+'26.11'!L11</f>
        <v>0</v>
      </c>
      <c r="M11" s="35">
        <f t="shared" si="2"/>
        <v>0</v>
      </c>
      <c r="N11" s="45"/>
    </row>
    <row r="12" s="2" customFormat="1" ht="18" customHeight="1" spans="1:14">
      <c r="A12" s="28" t="s">
        <v>33</v>
      </c>
      <c r="B12" s="42" t="s">
        <v>34</v>
      </c>
      <c r="C12" s="43" t="s">
        <v>23</v>
      </c>
      <c r="D12" s="46">
        <f t="shared" ref="D12:G12" si="8">D13+D14</f>
        <v>0</v>
      </c>
      <c r="E12" s="46">
        <f t="shared" si="8"/>
        <v>0</v>
      </c>
      <c r="F12" s="46">
        <f t="shared" si="8"/>
        <v>0</v>
      </c>
      <c r="G12" s="46">
        <f t="shared" si="8"/>
        <v>0</v>
      </c>
      <c r="H12" s="35">
        <f t="shared" si="7"/>
        <v>0</v>
      </c>
      <c r="I12" s="44">
        <f>D12+'26.11'!I12</f>
        <v>0</v>
      </c>
      <c r="J12" s="44">
        <f>E12+'26.11'!J12</f>
        <v>0</v>
      </c>
      <c r="K12" s="44">
        <f>F12+'26.11'!K12</f>
        <v>0</v>
      </c>
      <c r="L12" s="44">
        <f>G12+'26.11'!L12</f>
        <v>0</v>
      </c>
      <c r="M12" s="35">
        <f t="shared" si="2"/>
        <v>0</v>
      </c>
      <c r="N12" s="45"/>
    </row>
    <row r="13" s="2" customFormat="1" ht="18" customHeight="1" spans="1:14">
      <c r="A13" s="28"/>
      <c r="B13" s="42" t="s">
        <v>35</v>
      </c>
      <c r="C13" s="43" t="s">
        <v>23</v>
      </c>
      <c r="D13" s="40"/>
      <c r="E13" s="40"/>
      <c r="F13" s="40"/>
      <c r="G13" s="46"/>
      <c r="H13" s="49"/>
      <c r="I13" s="44">
        <f>D13+'26.11'!I13</f>
        <v>0</v>
      </c>
      <c r="J13" s="44">
        <f>E13+'26.11'!J13</f>
        <v>0</v>
      </c>
      <c r="K13" s="44">
        <f>F13+'26.11'!K13</f>
        <v>0</v>
      </c>
      <c r="L13" s="44">
        <f>G13+'26.11'!L13</f>
        <v>0</v>
      </c>
      <c r="M13" s="49"/>
      <c r="N13" s="45"/>
    </row>
    <row r="14" s="2" customFormat="1" ht="18" customHeight="1" spans="1:14">
      <c r="A14" s="28"/>
      <c r="B14" s="42" t="s">
        <v>36</v>
      </c>
      <c r="C14" s="43" t="s">
        <v>23</v>
      </c>
      <c r="D14" s="46"/>
      <c r="E14" s="40"/>
      <c r="F14" s="40"/>
      <c r="G14" s="40"/>
      <c r="H14" s="49"/>
      <c r="I14" s="44">
        <f>D14+'26.11'!I14</f>
        <v>0</v>
      </c>
      <c r="J14" s="44">
        <f>E14+'26.11'!J14</f>
        <v>0</v>
      </c>
      <c r="K14" s="44">
        <f>F14+'26.11'!K14</f>
        <v>0</v>
      </c>
      <c r="L14" s="44">
        <f>G14+'26.11'!L14</f>
        <v>0</v>
      </c>
      <c r="M14" s="49"/>
      <c r="N14" s="45"/>
    </row>
    <row r="15" s="2" customFormat="1" ht="18" customHeight="1" spans="1:14">
      <c r="A15" s="28" t="s">
        <v>37</v>
      </c>
      <c r="B15" s="42" t="s">
        <v>38</v>
      </c>
      <c r="C15" s="43" t="s">
        <v>23</v>
      </c>
      <c r="D15" s="40"/>
      <c r="E15" s="50"/>
      <c r="F15" s="39"/>
      <c r="G15" s="34"/>
      <c r="H15" s="35"/>
      <c r="I15" s="44">
        <f>D15+'26.11'!I15</f>
        <v>0</v>
      </c>
      <c r="J15" s="44">
        <f>E15+'26.11'!J15</f>
        <v>0</v>
      </c>
      <c r="K15" s="44">
        <f>F15+'26.11'!K15</f>
        <v>0</v>
      </c>
      <c r="L15" s="44">
        <f>G15+'26.11'!L15</f>
        <v>0</v>
      </c>
      <c r="M15" s="35">
        <f t="shared" ref="M15:M17" si="9">J15+K15+L15</f>
        <v>0</v>
      </c>
      <c r="N15" s="45"/>
    </row>
    <row r="16" s="2" customFormat="1" ht="18" customHeight="1" spans="1:14">
      <c r="A16" s="28"/>
      <c r="B16" s="42" t="s">
        <v>39</v>
      </c>
      <c r="C16" s="43" t="s">
        <v>23</v>
      </c>
      <c r="D16" s="40"/>
      <c r="E16" s="50"/>
      <c r="F16" s="39"/>
      <c r="G16" s="39"/>
      <c r="H16" s="35"/>
      <c r="I16" s="44">
        <f>D16+'26.11'!I16</f>
        <v>0</v>
      </c>
      <c r="J16" s="44">
        <f>E16+'26.11'!J16</f>
        <v>0</v>
      </c>
      <c r="K16" s="44">
        <f>F16+'26.11'!K16</f>
        <v>0</v>
      </c>
      <c r="L16" s="44">
        <f>G16+'26.11'!L16</f>
        <v>0</v>
      </c>
      <c r="M16" s="35">
        <f t="shared" si="9"/>
        <v>0</v>
      </c>
      <c r="N16" s="45"/>
    </row>
    <row r="17" s="2" customFormat="1" ht="18" customHeight="1" spans="1:14">
      <c r="A17" s="28" t="s">
        <v>40</v>
      </c>
      <c r="B17" s="42" t="s">
        <v>41</v>
      </c>
      <c r="C17" s="43" t="s">
        <v>42</v>
      </c>
      <c r="D17" s="46">
        <f>D18+D19</f>
        <v>0</v>
      </c>
      <c r="E17" s="50">
        <v>1665006.8</v>
      </c>
      <c r="F17" s="39"/>
      <c r="G17" s="34">
        <v>1105022.09999999</v>
      </c>
      <c r="H17" s="35"/>
      <c r="I17" s="44">
        <f>D17+'26.11'!I17</f>
        <v>0</v>
      </c>
      <c r="J17" s="44">
        <f>E17+'26.11'!J17</f>
        <v>1665006.8</v>
      </c>
      <c r="K17" s="51"/>
      <c r="L17" s="44">
        <f>G17+'26.11'!L17</f>
        <v>1105022.09999999</v>
      </c>
      <c r="M17" s="35">
        <f t="shared" si="9"/>
        <v>2770028.89999999</v>
      </c>
      <c r="N17" s="45"/>
    </row>
    <row r="18" s="2" customFormat="1" ht="18" customHeight="1" spans="1:14">
      <c r="A18" s="28"/>
      <c r="B18" s="42" t="s">
        <v>43</v>
      </c>
      <c r="C18" s="43" t="s">
        <v>42</v>
      </c>
      <c r="D18" s="40"/>
      <c r="E18" s="50"/>
      <c r="F18" s="39"/>
      <c r="G18" s="39"/>
      <c r="H18" s="49"/>
      <c r="I18" s="44">
        <f>D18+'26.11'!I18</f>
        <v>0</v>
      </c>
      <c r="J18" s="44">
        <f>E18+'26.11'!J18</f>
        <v>0</v>
      </c>
      <c r="K18" s="44">
        <f>F18+'26.11'!K18</f>
        <v>0</v>
      </c>
      <c r="L18" s="44">
        <f>G18+'26.11'!L18</f>
        <v>0</v>
      </c>
      <c r="M18" s="49"/>
      <c r="N18" s="45"/>
    </row>
    <row r="19" s="2" customFormat="1" ht="18" customHeight="1" spans="1:14">
      <c r="A19" s="28"/>
      <c r="B19" s="42" t="s">
        <v>44</v>
      </c>
      <c r="C19" s="43" t="s">
        <v>42</v>
      </c>
      <c r="D19" s="40"/>
      <c r="E19" s="50"/>
      <c r="F19" s="34"/>
      <c r="G19" s="34"/>
      <c r="H19" s="49"/>
      <c r="I19" s="44">
        <f>D19+'26.11'!I19</f>
        <v>0</v>
      </c>
      <c r="J19" s="52"/>
      <c r="K19" s="44">
        <f>F19+'26.11'!K19</f>
        <v>0</v>
      </c>
      <c r="L19" s="44">
        <f>G19+'26.11'!L19</f>
        <v>0</v>
      </c>
      <c r="M19" s="49"/>
      <c r="N19" s="45"/>
    </row>
    <row r="20" s="2" customFormat="1" ht="18" customHeight="1" spans="1:14">
      <c r="A20" s="28"/>
      <c r="B20" s="42" t="s">
        <v>45</v>
      </c>
      <c r="C20" s="43" t="s">
        <v>23</v>
      </c>
      <c r="D20" s="40"/>
      <c r="E20" s="50"/>
      <c r="F20" s="39"/>
      <c r="G20" s="39"/>
      <c r="H20" s="49"/>
      <c r="I20" s="44">
        <f>D20+'26.11'!I20</f>
        <v>0</v>
      </c>
      <c r="J20" s="44">
        <f>E20+'26.11'!J20</f>
        <v>0</v>
      </c>
      <c r="K20" s="44">
        <f>F20+'26.11'!K20</f>
        <v>0</v>
      </c>
      <c r="L20" s="44">
        <f>G20+'26.11'!L20</f>
        <v>0</v>
      </c>
      <c r="M20" s="49"/>
      <c r="N20" s="45"/>
    </row>
    <row r="21" s="2" customFormat="1" ht="18" customHeight="1" spans="1:14">
      <c r="A21" s="28"/>
      <c r="B21" s="42" t="s">
        <v>46</v>
      </c>
      <c r="C21" s="43" t="s">
        <v>42</v>
      </c>
      <c r="D21" s="40"/>
      <c r="E21" s="50"/>
      <c r="F21" s="39"/>
      <c r="G21" s="39"/>
      <c r="H21" s="49"/>
      <c r="I21" s="44">
        <f>D21+'26.11'!I21</f>
        <v>0</v>
      </c>
      <c r="J21" s="44">
        <f>E21+'26.11'!J21</f>
        <v>0</v>
      </c>
      <c r="K21" s="44">
        <f>F21+'26.11'!K21</f>
        <v>0</v>
      </c>
      <c r="L21" s="44">
        <f>G21+'26.11'!L21</f>
        <v>0</v>
      </c>
      <c r="M21" s="49"/>
      <c r="N21" s="45"/>
    </row>
    <row r="22" s="2" customFormat="1" customHeight="1" spans="1:14">
      <c r="A22" s="53" t="s">
        <v>47</v>
      </c>
      <c r="B22" s="54" t="s">
        <v>48</v>
      </c>
      <c r="C22" s="55" t="s">
        <v>23</v>
      </c>
      <c r="D22" s="56"/>
      <c r="E22" s="57"/>
      <c r="F22" s="57"/>
      <c r="G22" s="57"/>
      <c r="H22" s="58"/>
      <c r="I22" s="44">
        <f>D22+'26.11'!I22</f>
        <v>0</v>
      </c>
      <c r="J22" s="44">
        <f>E22+'26.11'!J22</f>
        <v>0</v>
      </c>
      <c r="K22" s="44">
        <f>F22+'26.11'!K22</f>
        <v>0</v>
      </c>
      <c r="L22" s="44">
        <f>G22+'26.11'!L22</f>
        <v>0</v>
      </c>
      <c r="M22" s="59">
        <f t="shared" ref="M22:M27" si="10">J22+K22+L22</f>
        <v>0</v>
      </c>
      <c r="N22" s="1"/>
    </row>
    <row r="23" s="2" customFormat="1" ht="21" customHeight="1" spans="1:14">
      <c r="A23" s="53" t="s">
        <v>49</v>
      </c>
      <c r="B23" s="54" t="s">
        <v>50</v>
      </c>
      <c r="C23" s="55" t="s">
        <v>23</v>
      </c>
      <c r="D23" s="56"/>
      <c r="E23" s="57"/>
      <c r="F23" s="57"/>
      <c r="G23" s="57"/>
      <c r="H23" s="58"/>
      <c r="I23" s="44">
        <f>D23+'26.11'!I23</f>
        <v>0</v>
      </c>
      <c r="J23" s="44">
        <f>E23+'26.11'!J23</f>
        <v>0</v>
      </c>
      <c r="K23" s="44">
        <f>F23+'26.11'!K23</f>
        <v>0</v>
      </c>
      <c r="L23" s="44">
        <f>G23+'26.11'!L23</f>
        <v>0</v>
      </c>
      <c r="M23" s="59">
        <f t="shared" si="10"/>
        <v>0</v>
      </c>
      <c r="N23" s="1"/>
    </row>
    <row r="24" s="2" customFormat="1" ht="18" customHeight="1" spans="1:14">
      <c r="A24" s="53" t="s">
        <v>51</v>
      </c>
      <c r="B24" s="42" t="s">
        <v>52</v>
      </c>
      <c r="C24" s="43" t="s">
        <v>53</v>
      </c>
      <c r="D24" s="60" t="e">
        <f t="shared" ref="D24:M24" si="11">D17/D8</f>
        <v>#DIV/0!</v>
      </c>
      <c r="E24" s="60" t="e">
        <f t="shared" si="11"/>
        <v>#DIV/0!</v>
      </c>
      <c r="F24" s="60" t="e">
        <f t="shared" si="11"/>
        <v>#DIV/0!</v>
      </c>
      <c r="G24" s="60" t="e">
        <f t="shared" si="11"/>
        <v>#DIV/0!</v>
      </c>
      <c r="H24" s="61" t="e">
        <f t="shared" si="11"/>
        <v>#DIV/0!</v>
      </c>
      <c r="I24" s="62" t="e">
        <f t="shared" si="11"/>
        <v>#DIV/0!</v>
      </c>
      <c r="J24" s="60" t="e">
        <f t="shared" si="11"/>
        <v>#DIV/0!</v>
      </c>
      <c r="K24" s="60" t="e">
        <f t="shared" si="11"/>
        <v>#DIV/0!</v>
      </c>
      <c r="L24" s="60" t="e">
        <f t="shared" si="11"/>
        <v>#DIV/0!</v>
      </c>
      <c r="M24" s="61" t="e">
        <f t="shared" si="11"/>
        <v>#DIV/0!</v>
      </c>
      <c r="N24" s="45"/>
    </row>
    <row r="25" s="2" customFormat="1" ht="18" customHeight="1" spans="1:14">
      <c r="A25" s="53" t="s">
        <v>54</v>
      </c>
      <c r="B25" s="42" t="s">
        <v>55</v>
      </c>
      <c r="C25" s="43" t="s">
        <v>56</v>
      </c>
      <c r="D25" s="60" t="e">
        <f t="shared" ref="D25:M25" si="12">D12*1000/D8</f>
        <v>#DIV/0!</v>
      </c>
      <c r="E25" s="60" t="e">
        <f t="shared" si="12"/>
        <v>#DIV/0!</v>
      </c>
      <c r="F25" s="60" t="e">
        <f t="shared" si="12"/>
        <v>#DIV/0!</v>
      </c>
      <c r="G25" s="60" t="e">
        <f t="shared" si="12"/>
        <v>#DIV/0!</v>
      </c>
      <c r="H25" s="61" t="e">
        <f t="shared" si="12"/>
        <v>#DIV/0!</v>
      </c>
      <c r="I25" s="62" t="e">
        <f t="shared" si="12"/>
        <v>#DIV/0!</v>
      </c>
      <c r="J25" s="60" t="e">
        <f t="shared" si="12"/>
        <v>#DIV/0!</v>
      </c>
      <c r="K25" s="60" t="e">
        <f t="shared" si="12"/>
        <v>#DIV/0!</v>
      </c>
      <c r="L25" s="60" t="e">
        <f t="shared" si="12"/>
        <v>#DIV/0!</v>
      </c>
      <c r="M25" s="61" t="e">
        <f t="shared" si="12"/>
        <v>#DIV/0!</v>
      </c>
      <c r="N25" s="45"/>
    </row>
    <row r="26" s="3" customFormat="1" ht="18" customHeight="1" spans="1:14">
      <c r="A26" s="53" t="s">
        <v>57</v>
      </c>
      <c r="B26" s="42" t="s">
        <v>58</v>
      </c>
      <c r="C26" s="63" t="s">
        <v>23</v>
      </c>
      <c r="D26" s="56"/>
      <c r="E26" s="64"/>
      <c r="F26" s="65"/>
      <c r="G26" s="34"/>
      <c r="H26" s="66"/>
      <c r="I26" s="44">
        <f>D26+'26.11'!I26</f>
        <v>0</v>
      </c>
      <c r="J26" s="44">
        <f>E26+'26.11'!J26</f>
        <v>0</v>
      </c>
      <c r="K26" s="44">
        <f>F26+'26.11'!K26</f>
        <v>0</v>
      </c>
      <c r="L26" s="44">
        <f>G26+'26.11'!L26</f>
        <v>0</v>
      </c>
      <c r="M26" s="66">
        <f t="shared" si="10"/>
        <v>0</v>
      </c>
      <c r="N26" s="67"/>
    </row>
    <row r="27" s="3" customFormat="1" ht="18" customHeight="1" spans="1:14">
      <c r="A27" s="53" t="s">
        <v>59</v>
      </c>
      <c r="B27" s="42" t="s">
        <v>60</v>
      </c>
      <c r="C27" s="63" t="s">
        <v>23</v>
      </c>
      <c r="D27" s="50"/>
      <c r="E27" s="68">
        <f>J27</f>
        <v>12569.7</v>
      </c>
      <c r="F27" s="68"/>
      <c r="G27" s="68">
        <f>L27</f>
        <v>1108.50000000002</v>
      </c>
      <c r="H27" s="69"/>
      <c r="I27" s="70">
        <v>50324</v>
      </c>
      <c r="J27" s="71">
        <f>'26.11'!J27+E26-E10</f>
        <v>12569.7</v>
      </c>
      <c r="K27" s="71">
        <f>'26.11'!K27+F26-F10</f>
        <v>0</v>
      </c>
      <c r="L27" s="71">
        <f>'26.11'!L27+G26-G10</f>
        <v>1108.50000000002</v>
      </c>
      <c r="M27" s="72">
        <f t="shared" si="10"/>
        <v>13678.2</v>
      </c>
      <c r="N27" s="67"/>
    </row>
    <row r="28" s="2" customFormat="1" ht="18" customHeight="1" spans="1:14">
      <c r="A28" s="53" t="s">
        <v>61</v>
      </c>
      <c r="B28" s="42" t="s">
        <v>62</v>
      </c>
      <c r="C28" s="43" t="s">
        <v>63</v>
      </c>
      <c r="D28" s="73" t="e">
        <f>D13*29308/D10</f>
        <v>#DIV/0!</v>
      </c>
      <c r="E28" s="73" t="e">
        <f t="shared" ref="E28:H28" si="13">E12*29308/E10</f>
        <v>#DIV/0!</v>
      </c>
      <c r="F28" s="73" t="e">
        <f t="shared" si="13"/>
        <v>#DIV/0!</v>
      </c>
      <c r="G28" s="73" t="e">
        <f t="shared" si="13"/>
        <v>#DIV/0!</v>
      </c>
      <c r="H28" s="73" t="e">
        <f t="shared" si="13"/>
        <v>#DIV/0!</v>
      </c>
      <c r="I28" s="74" t="e">
        <f>I13*29308/I10</f>
        <v>#DIV/0!</v>
      </c>
      <c r="J28" s="46" t="e">
        <f t="shared" ref="J28:M28" si="14">J12*29308/J10</f>
        <v>#DIV/0!</v>
      </c>
      <c r="K28" s="46" t="e">
        <f t="shared" si="14"/>
        <v>#DIV/0!</v>
      </c>
      <c r="L28" s="46" t="e">
        <f t="shared" si="14"/>
        <v>#DIV/0!</v>
      </c>
      <c r="M28" s="73" t="e">
        <f t="shared" si="14"/>
        <v>#DIV/0!</v>
      </c>
      <c r="N28" s="45"/>
    </row>
    <row r="29" s="2" customFormat="1" ht="18" customHeight="1" spans="1:14">
      <c r="A29" s="53" t="s">
        <v>64</v>
      </c>
      <c r="B29" s="42" t="s">
        <v>65</v>
      </c>
      <c r="C29" s="43" t="s">
        <v>63</v>
      </c>
      <c r="D29" s="75"/>
      <c r="E29" s="40"/>
      <c r="F29" s="40"/>
      <c r="G29" s="76"/>
      <c r="H29" s="77"/>
      <c r="I29" s="78"/>
      <c r="J29" s="40">
        <v>17636</v>
      </c>
      <c r="K29" s="40"/>
      <c r="L29" s="76"/>
      <c r="M29" s="77"/>
      <c r="N29" s="45"/>
    </row>
    <row r="30" s="2" customFormat="1" ht="18" customHeight="1" spans="1:14">
      <c r="A30" s="53" t="s">
        <v>66</v>
      </c>
      <c r="B30" s="42" t="s">
        <v>67</v>
      </c>
      <c r="C30" s="79" t="s">
        <v>68</v>
      </c>
      <c r="D30" s="80" t="e">
        <f t="shared" ref="D30:M30" si="15">D8/(D12*29.308)</f>
        <v>#DIV/0!</v>
      </c>
      <c r="E30" s="80" t="e">
        <f t="shared" si="15"/>
        <v>#DIV/0!</v>
      </c>
      <c r="F30" s="80" t="e">
        <f t="shared" si="15"/>
        <v>#DIV/0!</v>
      </c>
      <c r="G30" s="80" t="e">
        <f>(G8-G36)/(G12*29.308)</f>
        <v>#DIV/0!</v>
      </c>
      <c r="H30" s="81" t="e">
        <f t="shared" si="15"/>
        <v>#DIV/0!</v>
      </c>
      <c r="I30" s="82" t="e">
        <f t="shared" si="15"/>
        <v>#DIV/0!</v>
      </c>
      <c r="J30" s="80" t="e">
        <f t="shared" si="15"/>
        <v>#DIV/0!</v>
      </c>
      <c r="K30" s="80" t="e">
        <f t="shared" si="15"/>
        <v>#DIV/0!</v>
      </c>
      <c r="L30" s="80" t="e">
        <f t="shared" si="15"/>
        <v>#DIV/0!</v>
      </c>
      <c r="M30" s="81" t="e">
        <f t="shared" si="15"/>
        <v>#DIV/0!</v>
      </c>
      <c r="N30" s="45"/>
    </row>
    <row r="31" s="2" customFormat="1" ht="18" customHeight="1" spans="1:14">
      <c r="A31" s="53" t="s">
        <v>69</v>
      </c>
      <c r="B31" s="42" t="s">
        <v>70</v>
      </c>
      <c r="C31" s="79" t="s">
        <v>68</v>
      </c>
      <c r="D31" s="83">
        <f>D8/3.6/D3/(DAY(DATE(2027,1,0))*24)</f>
        <v>0</v>
      </c>
      <c r="E31" s="83">
        <f>E8/3.6/E3/(DAY(DATE(2027,1,0))*24)</f>
        <v>0</v>
      </c>
      <c r="F31" s="83" t="e">
        <f>F8/3.6/F3/(DAY(DATE(2027,1,0))*24)</f>
        <v>#DIV/0!</v>
      </c>
      <c r="G31" s="83">
        <f>(G8-G36)/3.6/G3/(DAY(DATE(2027,1,0))*24)</f>
        <v>0</v>
      </c>
      <c r="H31" s="84">
        <f>H8/3.6/H3/(DAY(DATE(2027,1,0))*24)</f>
        <v>0</v>
      </c>
      <c r="I31" s="85">
        <f>I8/3.6/I3/(DATEDIF(DATE(2026,1,1),DATE(2027,1,1),"D")*24)</f>
        <v>0</v>
      </c>
      <c r="J31" s="83">
        <f>J8/3.6/J3/(DATEDIF(DATE(2026,1,1),DATE(2027,1,1),"D")*24)</f>
        <v>0</v>
      </c>
      <c r="K31" s="83" t="e">
        <f>K8/3.6/K3/(DATEDIF(DATE(2026,1,1),DATE(2027,1,1),"D")*24)</f>
        <v>#DIV/0!</v>
      </c>
      <c r="L31" s="83">
        <f>(L8-L36)/3.6/L3/(DATEDIF(DATE(2026,1,1),DATE(2027,1,1),"D")*24)</f>
        <v>0</v>
      </c>
      <c r="M31" s="84">
        <f>M8/3.6/M3/(DATEDIF(DATE(2026,1,1),DATE(2027,1,1),"D")*24)</f>
        <v>0</v>
      </c>
      <c r="N31" s="45"/>
    </row>
    <row r="32" s="2" customFormat="1" ht="18" customHeight="1" spans="1:14">
      <c r="A32" s="53" t="s">
        <v>71</v>
      </c>
      <c r="B32" s="42" t="s">
        <v>72</v>
      </c>
      <c r="C32" s="43" t="s">
        <v>73</v>
      </c>
      <c r="D32" s="86"/>
      <c r="E32" s="87" t="e">
        <f t="shared" ref="E32:H32" si="16">E8/E6</f>
        <v>#DIV/0!</v>
      </c>
      <c r="F32" s="87" t="e">
        <f t="shared" si="16"/>
        <v>#DIV/0!</v>
      </c>
      <c r="G32" s="87" t="e">
        <f t="shared" si="16"/>
        <v>#DIV/0!</v>
      </c>
      <c r="H32" s="87" t="e">
        <f t="shared" si="16"/>
        <v>#DIV/0!</v>
      </c>
      <c r="I32" s="88"/>
      <c r="J32" s="87" t="e">
        <f t="shared" ref="J32:M32" si="17">J8/J6</f>
        <v>#DIV/0!</v>
      </c>
      <c r="K32" s="87" t="e">
        <f t="shared" si="17"/>
        <v>#DIV/0!</v>
      </c>
      <c r="L32" s="87" t="e">
        <f t="shared" si="17"/>
        <v>#DIV/0!</v>
      </c>
      <c r="M32" s="89" t="e">
        <f t="shared" si="17"/>
        <v>#DIV/0!</v>
      </c>
      <c r="N32" s="45"/>
    </row>
    <row r="33" s="2" customFormat="1" ht="18" customHeight="1" spans="1:14">
      <c r="A33" s="53" t="s">
        <v>74</v>
      </c>
      <c r="B33" s="42" t="s">
        <v>75</v>
      </c>
      <c r="C33" s="43" t="s">
        <v>76</v>
      </c>
      <c r="D33" s="90"/>
      <c r="E33" s="91" t="e">
        <f t="shared" ref="E33:H33" si="18">E12*1000/E6</f>
        <v>#DIV/0!</v>
      </c>
      <c r="F33" s="91" t="e">
        <f t="shared" si="18"/>
        <v>#DIV/0!</v>
      </c>
      <c r="G33" s="91" t="e">
        <f t="shared" si="18"/>
        <v>#DIV/0!</v>
      </c>
      <c r="H33" s="92" t="e">
        <f t="shared" si="18"/>
        <v>#DIV/0!</v>
      </c>
      <c r="I33" s="93"/>
      <c r="J33" s="91" t="e">
        <f t="shared" ref="J33:M33" si="19">J12*1000/J6</f>
        <v>#DIV/0!</v>
      </c>
      <c r="K33" s="91" t="e">
        <f t="shared" si="19"/>
        <v>#DIV/0!</v>
      </c>
      <c r="L33" s="91" t="e">
        <f t="shared" si="19"/>
        <v>#DIV/0!</v>
      </c>
      <c r="M33" s="92" t="e">
        <f t="shared" si="19"/>
        <v>#DIV/0!</v>
      </c>
      <c r="N33" s="45"/>
    </row>
    <row r="34" s="2" customFormat="1" ht="18" customHeight="1" spans="1:14">
      <c r="A34" s="53" t="s">
        <v>77</v>
      </c>
      <c r="B34" s="42" t="s">
        <v>78</v>
      </c>
      <c r="C34" s="43" t="s">
        <v>79</v>
      </c>
      <c r="D34" s="94"/>
      <c r="E34" s="91" t="e">
        <f t="shared" ref="E34:H34" si="20">E17/E6</f>
        <v>#DIV/0!</v>
      </c>
      <c r="F34" s="91" t="e">
        <f t="shared" si="20"/>
        <v>#DIV/0!</v>
      </c>
      <c r="G34" s="91" t="e">
        <f t="shared" si="20"/>
        <v>#DIV/0!</v>
      </c>
      <c r="H34" s="92" t="e">
        <f t="shared" si="20"/>
        <v>#DIV/0!</v>
      </c>
      <c r="I34" s="95"/>
      <c r="J34" s="91" t="e">
        <f t="shared" ref="J34:M34" si="21">J17/J6</f>
        <v>#DIV/0!</v>
      </c>
      <c r="K34" s="91" t="e">
        <f t="shared" si="21"/>
        <v>#DIV/0!</v>
      </c>
      <c r="L34" s="91" t="e">
        <f t="shared" si="21"/>
        <v>#DIV/0!</v>
      </c>
      <c r="M34" s="92" t="e">
        <f t="shared" si="21"/>
        <v>#DIV/0!</v>
      </c>
      <c r="N34" s="45"/>
    </row>
    <row r="35" s="2" customFormat="1" ht="18" customHeight="1" spans="1:14">
      <c r="A35" s="96" t="s">
        <v>80</v>
      </c>
      <c r="B35" s="97" t="s">
        <v>81</v>
      </c>
      <c r="C35" s="98" t="s">
        <v>76</v>
      </c>
      <c r="D35" s="99"/>
      <c r="E35" s="100" t="e">
        <f t="shared" ref="E35:H35" si="22">E15*1000/E6</f>
        <v>#DIV/0!</v>
      </c>
      <c r="F35" s="100" t="e">
        <f t="shared" si="22"/>
        <v>#DIV/0!</v>
      </c>
      <c r="G35" s="100" t="e">
        <f t="shared" si="22"/>
        <v>#DIV/0!</v>
      </c>
      <c r="H35" s="101" t="e">
        <f t="shared" si="22"/>
        <v>#DIV/0!</v>
      </c>
      <c r="I35" s="102"/>
      <c r="J35" s="100" t="e">
        <f t="shared" ref="J35:M35" si="23">J15*1000/J6</f>
        <v>#DIV/0!</v>
      </c>
      <c r="K35" s="100" t="e">
        <f t="shared" si="23"/>
        <v>#DIV/0!</v>
      </c>
      <c r="L35" s="100" t="e">
        <f t="shared" si="23"/>
        <v>#DIV/0!</v>
      </c>
      <c r="M35" s="101" t="e">
        <f t="shared" si="23"/>
        <v>#DIV/0!</v>
      </c>
      <c r="N35" s="45"/>
    </row>
    <row r="36" s="2" customFormat="1" ht="21" customHeight="1" spans="1:14">
      <c r="A36" s="103"/>
      <c r="B36" s="104" t="s">
        <v>82</v>
      </c>
      <c r="C36" s="105" t="s">
        <v>26</v>
      </c>
      <c r="D36" s="106"/>
      <c r="E36" s="106"/>
      <c r="F36" s="106"/>
      <c r="G36" s="106"/>
      <c r="H36" s="107"/>
      <c r="I36" s="106"/>
      <c r="J36" s="106"/>
      <c r="K36" s="106"/>
      <c r="L36" s="44">
        <f>G36+'26.11'!L36</f>
        <v>0</v>
      </c>
      <c r="M36" s="107"/>
    </row>
    <row r="37" s="1" customFormat="1" ht="29.25" customHeight="1" spans="1:14">
      <c r="A37" s="108" t="s">
        <v>83</v>
      </c>
      <c r="C37" s="4"/>
      <c r="D37" s="5" t="s">
        <v>84</v>
      </c>
      <c r="E37" s="2"/>
      <c r="F37" s="2"/>
      <c r="G37" s="2"/>
      <c r="H37" s="2"/>
      <c r="I37" s="2"/>
      <c r="J37" s="2"/>
    </row>
    <row r="38" s="1" customFormat="1" ht="31.5" customHeight="1" spans="1:14">
      <c r="A38" s="109" t="s">
        <v>0</v>
      </c>
      <c r="B38" s="110" t="s">
        <v>85</v>
      </c>
      <c r="C38" s="110" t="s">
        <v>2</v>
      </c>
      <c r="D38" s="111" t="s">
        <v>86</v>
      </c>
      <c r="E38" s="112" t="s">
        <v>87</v>
      </c>
      <c r="F38" s="2"/>
      <c r="G38" s="2"/>
      <c r="H38" s="2"/>
    </row>
    <row r="39" s="1" customFormat="1" ht="27.95" customHeight="1" spans="1:14">
      <c r="A39" s="28" t="s">
        <v>11</v>
      </c>
      <c r="B39" s="29" t="s">
        <v>12</v>
      </c>
      <c r="C39" s="30" t="s">
        <v>13</v>
      </c>
      <c r="D39" s="113">
        <v>0.55</v>
      </c>
      <c r="E39" s="114">
        <v>0.55</v>
      </c>
      <c r="F39" s="2"/>
      <c r="G39" s="2"/>
      <c r="H39" s="2"/>
    </row>
    <row r="40" s="1" customFormat="1" ht="27.95" customHeight="1" spans="1:14">
      <c r="A40" s="28" t="s">
        <v>14</v>
      </c>
      <c r="B40" s="29" t="s">
        <v>88</v>
      </c>
      <c r="C40" s="30" t="s">
        <v>16</v>
      </c>
      <c r="D40" s="115"/>
      <c r="E40" s="116">
        <f>D40</f>
        <v>0</v>
      </c>
      <c r="F40" s="45"/>
      <c r="G40" s="45"/>
      <c r="H40" s="2"/>
    </row>
    <row r="41" s="1" customFormat="1" ht="27.95" customHeight="1" spans="1:14">
      <c r="A41" s="28" t="s">
        <v>19</v>
      </c>
      <c r="B41" s="29" t="s">
        <v>89</v>
      </c>
      <c r="C41" s="30" t="s">
        <v>16</v>
      </c>
      <c r="D41" s="117"/>
      <c r="E41" s="118">
        <v>7603.52230769231</v>
      </c>
      <c r="F41" s="45"/>
      <c r="G41" s="45"/>
      <c r="H41" s="2"/>
    </row>
    <row r="42" s="1" customFormat="1" ht="27.95" customHeight="1" spans="1:14">
      <c r="A42" s="28" t="s">
        <v>21</v>
      </c>
      <c r="B42" s="42" t="s">
        <v>25</v>
      </c>
      <c r="C42" s="43" t="s">
        <v>26</v>
      </c>
      <c r="D42" s="119"/>
      <c r="E42" s="120">
        <f>D42+'26.11'!E42</f>
        <v>441</v>
      </c>
      <c r="F42" s="45"/>
      <c r="G42" s="45"/>
      <c r="H42" s="2"/>
    </row>
    <row r="43" s="1" customFormat="1" ht="27.95" customHeight="1" spans="1:14">
      <c r="A43" s="28" t="s">
        <v>24</v>
      </c>
      <c r="B43" s="42" t="s">
        <v>38</v>
      </c>
      <c r="C43" s="43" t="s">
        <v>23</v>
      </c>
      <c r="D43" s="115"/>
      <c r="E43" s="120">
        <f>D43+'26.11'!E43</f>
        <v>3</v>
      </c>
      <c r="F43" s="45"/>
      <c r="G43" s="45"/>
      <c r="H43" s="2"/>
    </row>
    <row r="44" s="1" customFormat="1" ht="27.95" customHeight="1" spans="1:14">
      <c r="A44" s="28" t="s">
        <v>27</v>
      </c>
      <c r="B44" s="42" t="s">
        <v>41</v>
      </c>
      <c r="C44" s="43" t="s">
        <v>42</v>
      </c>
      <c r="D44" s="115"/>
      <c r="E44" s="120">
        <f>D44+'26.11'!E44</f>
        <v>132840.000000001</v>
      </c>
      <c r="F44" s="45"/>
      <c r="G44" s="45"/>
      <c r="H44" s="2"/>
    </row>
    <row r="45" s="1" customFormat="1" ht="27.95" customHeight="1" spans="1:14">
      <c r="A45" s="28"/>
      <c r="B45" s="42" t="s">
        <v>90</v>
      </c>
      <c r="C45" s="43" t="s">
        <v>42</v>
      </c>
      <c r="D45" s="115">
        <f>D44</f>
        <v>0</v>
      </c>
      <c r="E45" s="120">
        <f>D45+'26.11'!E45</f>
        <v>132840.000000001</v>
      </c>
      <c r="F45" s="45"/>
      <c r="G45" s="45"/>
      <c r="H45" s="2"/>
    </row>
    <row r="46" s="1" customFormat="1" ht="27.95" customHeight="1" spans="1:14">
      <c r="A46" s="28" t="s">
        <v>29</v>
      </c>
      <c r="B46" s="42" t="s">
        <v>52</v>
      </c>
      <c r="C46" s="43" t="s">
        <v>53</v>
      </c>
      <c r="D46" s="121" t="e">
        <f>D44/D42</f>
        <v>#DIV/0!</v>
      </c>
      <c r="E46" s="122">
        <f>E44/E42</f>
        <v>301.224489795921</v>
      </c>
      <c r="F46" s="45"/>
      <c r="G46" s="45"/>
      <c r="H46" s="2"/>
    </row>
    <row r="47" s="1" customFormat="1" ht="27.95" customHeight="1" spans="1:14">
      <c r="A47" s="28" t="s">
        <v>31</v>
      </c>
      <c r="B47" s="42" t="s">
        <v>70</v>
      </c>
      <c r="C47" s="79" t="s">
        <v>68</v>
      </c>
      <c r="D47" s="123">
        <f>D42/3.6/D39/(DAY(DATE(2027,1,0))*24)</f>
        <v>0</v>
      </c>
      <c r="E47" s="124">
        <f>E42/3.6/E39/(DATEDIF(DATE(2026,1,1),DATE(2027,1,1),"D")*24)</f>
        <v>0.0254254877542549</v>
      </c>
      <c r="F47" s="45"/>
      <c r="G47" s="45"/>
      <c r="H47" s="2"/>
    </row>
    <row r="48" s="1" customFormat="1" ht="27.95" customHeight="1" spans="1:14">
      <c r="A48" s="28" t="s">
        <v>33</v>
      </c>
      <c r="B48" s="42" t="s">
        <v>72</v>
      </c>
      <c r="C48" s="43" t="s">
        <v>73</v>
      </c>
      <c r="D48" s="125" t="e">
        <f>D42/D41</f>
        <v>#DIV/0!</v>
      </c>
      <c r="E48" s="126">
        <f>E42/E41</f>
        <v>0.057999435281968</v>
      </c>
      <c r="F48" s="45"/>
      <c r="G48" s="45"/>
      <c r="H48" s="2"/>
    </row>
    <row r="49" s="1" customFormat="1" ht="27.95" customHeight="1" spans="1:10">
      <c r="A49" s="28" t="s">
        <v>37</v>
      </c>
      <c r="B49" s="42" t="s">
        <v>78</v>
      </c>
      <c r="C49" s="43" t="s">
        <v>79</v>
      </c>
      <c r="D49" s="127" t="e">
        <f>D44/D41</f>
        <v>#DIV/0!</v>
      </c>
      <c r="E49" s="128">
        <f>E44/E41</f>
        <v>17.4708503012623</v>
      </c>
      <c r="F49" s="45"/>
      <c r="G49" s="45"/>
      <c r="H49" s="2"/>
    </row>
    <row r="50" s="1" customFormat="1" ht="27.95" customHeight="1" spans="1:10">
      <c r="A50" s="129" t="s">
        <v>40</v>
      </c>
      <c r="B50" s="97" t="s">
        <v>81</v>
      </c>
      <c r="C50" s="98" t="s">
        <v>76</v>
      </c>
      <c r="D50" s="130" t="e">
        <f>D43*1000/D41</f>
        <v>#DIV/0!</v>
      </c>
      <c r="E50" s="130">
        <f>E43*1000/E41</f>
        <v>0.394553981509986</v>
      </c>
      <c r="F50" s="45"/>
      <c r="G50" s="45"/>
      <c r="H50" s="2"/>
    </row>
    <row r="51" s="1" customFormat="1" ht="18" customHeight="1" spans="1:10">
      <c r="C51" s="4"/>
      <c r="D51" s="5"/>
    </row>
    <row r="52" s="1" customFormat="1" ht="29.25" customHeight="1" spans="1:10">
      <c r="A52" s="108" t="s">
        <v>91</v>
      </c>
      <c r="C52" s="4"/>
      <c r="D52" s="5" t="s">
        <v>84</v>
      </c>
      <c r="E52" s="2"/>
      <c r="F52" s="2"/>
      <c r="G52" s="2"/>
      <c r="H52" s="2"/>
      <c r="I52" s="2"/>
      <c r="J52" s="2"/>
    </row>
    <row r="53" s="1" customFormat="1" ht="31.5" customHeight="1" spans="1:10">
      <c r="A53" s="131" t="s">
        <v>0</v>
      </c>
      <c r="B53" s="132" t="s">
        <v>85</v>
      </c>
      <c r="C53" s="132" t="s">
        <v>2</v>
      </c>
      <c r="D53" s="133" t="s">
        <v>86</v>
      </c>
      <c r="E53" s="134"/>
      <c r="F53" s="135"/>
      <c r="G53" s="136" t="s">
        <v>87</v>
      </c>
      <c r="H53" s="134"/>
      <c r="I53" s="134"/>
    </row>
    <row r="54" s="1" customFormat="1" ht="31.5" customHeight="1" spans="1:10">
      <c r="A54" s="137"/>
      <c r="B54" s="138"/>
      <c r="C54" s="138"/>
      <c r="D54" s="139" t="s">
        <v>92</v>
      </c>
      <c r="E54" s="139" t="s">
        <v>93</v>
      </c>
      <c r="F54" s="140" t="s">
        <v>9</v>
      </c>
      <c r="G54" s="141" t="s">
        <v>92</v>
      </c>
      <c r="H54" s="139" t="s">
        <v>93</v>
      </c>
      <c r="I54" s="142" t="s">
        <v>9</v>
      </c>
    </row>
    <row r="55" s="1" customFormat="1" ht="27.95" customHeight="1" spans="1:10">
      <c r="A55" s="28" t="s">
        <v>11</v>
      </c>
      <c r="B55" s="29" t="s">
        <v>12</v>
      </c>
      <c r="C55" s="30" t="s">
        <v>13</v>
      </c>
      <c r="D55" s="143">
        <v>6</v>
      </c>
      <c r="E55" s="143">
        <v>6.4</v>
      </c>
      <c r="F55" s="144">
        <f t="shared" ref="F55:F61" si="24">SUM(D55:E55)</f>
        <v>12.4</v>
      </c>
      <c r="G55" s="145">
        <f t="shared" ref="G55:G57" si="25">D55</f>
        <v>6</v>
      </c>
      <c r="H55" s="146">
        <f t="shared" ref="H55:H57" si="26">E55</f>
        <v>6.4</v>
      </c>
      <c r="I55" s="146">
        <f t="shared" ref="I55:I61" si="27">SUM(G55:H55)</f>
        <v>12.4</v>
      </c>
    </row>
    <row r="56" s="1" customFormat="1" ht="27.95" customHeight="1" spans="1:10">
      <c r="A56" s="28" t="s">
        <v>14</v>
      </c>
      <c r="B56" s="29" t="s">
        <v>88</v>
      </c>
      <c r="C56" s="30" t="s">
        <v>16</v>
      </c>
      <c r="D56" s="147"/>
      <c r="E56" s="147"/>
      <c r="F56" s="117">
        <f t="shared" si="24"/>
        <v>0</v>
      </c>
      <c r="G56" s="118">
        <f t="shared" si="25"/>
        <v>0</v>
      </c>
      <c r="H56" s="118">
        <f t="shared" si="26"/>
        <v>0</v>
      </c>
      <c r="I56" s="147">
        <f t="shared" si="27"/>
        <v>0</v>
      </c>
    </row>
    <row r="57" s="1" customFormat="1" ht="27.95" customHeight="1" spans="1:10">
      <c r="A57" s="28" t="s">
        <v>19</v>
      </c>
      <c r="B57" s="29" t="s">
        <v>89</v>
      </c>
      <c r="C57" s="30" t="s">
        <v>16</v>
      </c>
      <c r="D57" s="147"/>
      <c r="E57" s="147"/>
      <c r="F57" s="117">
        <f t="shared" si="24"/>
        <v>0</v>
      </c>
      <c r="G57" s="118">
        <f t="shared" si="25"/>
        <v>0</v>
      </c>
      <c r="H57" s="118">
        <f t="shared" si="26"/>
        <v>0</v>
      </c>
      <c r="I57" s="147">
        <f t="shared" si="27"/>
        <v>0</v>
      </c>
    </row>
    <row r="58" s="1" customFormat="1" ht="27.95" customHeight="1" spans="1:10">
      <c r="A58" s="28" t="s">
        <v>21</v>
      </c>
      <c r="B58" s="42" t="s">
        <v>25</v>
      </c>
      <c r="C58" s="43" t="s">
        <v>26</v>
      </c>
      <c r="D58" s="148"/>
      <c r="E58" s="149"/>
      <c r="F58" s="117">
        <f t="shared" si="24"/>
        <v>0</v>
      </c>
      <c r="G58" s="150">
        <f>D58+'26.11'!G58</f>
        <v>0</v>
      </c>
      <c r="H58" s="150">
        <f>E58+'26.11'!H58</f>
        <v>0</v>
      </c>
      <c r="I58" s="147">
        <f t="shared" si="27"/>
        <v>0</v>
      </c>
    </row>
    <row r="59" s="1" customFormat="1" ht="27.95" customHeight="1" spans="1:10">
      <c r="A59" s="28" t="s">
        <v>24</v>
      </c>
      <c r="B59" s="42" t="s">
        <v>38</v>
      </c>
      <c r="C59" s="43" t="s">
        <v>23</v>
      </c>
      <c r="D59" s="148"/>
      <c r="E59" s="148"/>
      <c r="F59" s="117">
        <f t="shared" si="24"/>
        <v>0</v>
      </c>
      <c r="G59" s="150">
        <f>D59+'26.11'!G59</f>
        <v>0</v>
      </c>
      <c r="H59" s="150">
        <f>E59+'26.11'!H59</f>
        <v>0</v>
      </c>
      <c r="I59" s="147">
        <f t="shared" si="27"/>
        <v>0</v>
      </c>
    </row>
    <row r="60" s="1" customFormat="1" ht="27.95" customHeight="1" spans="1:10">
      <c r="A60" s="28" t="s">
        <v>27</v>
      </c>
      <c r="B60" s="42" t="s">
        <v>41</v>
      </c>
      <c r="C60" s="43" t="s">
        <v>42</v>
      </c>
      <c r="D60" s="148"/>
      <c r="E60" s="148"/>
      <c r="F60" s="117">
        <f t="shared" si="24"/>
        <v>0</v>
      </c>
      <c r="G60" s="150">
        <f>D60+'26.11'!G60</f>
        <v>0</v>
      </c>
      <c r="H60" s="150">
        <f>E60+'26.11'!H60</f>
        <v>0</v>
      </c>
      <c r="I60" s="147">
        <f t="shared" si="27"/>
        <v>0</v>
      </c>
    </row>
    <row r="61" s="1" customFormat="1" ht="27.95" customHeight="1" spans="1:10">
      <c r="A61" s="28"/>
      <c r="B61" s="42" t="s">
        <v>90</v>
      </c>
      <c r="C61" s="43" t="s">
        <v>42</v>
      </c>
      <c r="D61" s="148"/>
      <c r="E61" s="148"/>
      <c r="F61" s="117">
        <f t="shared" si="24"/>
        <v>0</v>
      </c>
      <c r="G61" s="150">
        <f>D61+'26.11'!G61</f>
        <v>0</v>
      </c>
      <c r="H61" s="150">
        <f>E61+'26.11'!H61</f>
        <v>0</v>
      </c>
      <c r="I61" s="147">
        <f t="shared" si="27"/>
        <v>0</v>
      </c>
    </row>
    <row r="62" s="1" customFormat="1" ht="27.95" customHeight="1" spans="1:10">
      <c r="A62" s="28" t="s">
        <v>29</v>
      </c>
      <c r="B62" s="42" t="s">
        <v>52</v>
      </c>
      <c r="C62" s="43" t="s">
        <v>53</v>
      </c>
      <c r="D62" s="151" t="e">
        <f t="shared" ref="D62:I62" si="28">D60/D58</f>
        <v>#DIV/0!</v>
      </c>
      <c r="E62" s="151" t="e">
        <f t="shared" si="28"/>
        <v>#DIV/0!</v>
      </c>
      <c r="F62" s="121" t="e">
        <f t="shared" si="28"/>
        <v>#DIV/0!</v>
      </c>
      <c r="G62" s="152" t="e">
        <f t="shared" si="28"/>
        <v>#DIV/0!</v>
      </c>
      <c r="H62" s="60" t="e">
        <f t="shared" si="28"/>
        <v>#DIV/0!</v>
      </c>
      <c r="I62" s="61" t="e">
        <f t="shared" si="28"/>
        <v>#DIV/0!</v>
      </c>
    </row>
    <row r="63" s="1" customFormat="1" ht="27.95" customHeight="1" spans="1:10">
      <c r="A63" s="28" t="s">
        <v>31</v>
      </c>
      <c r="B63" s="42" t="s">
        <v>70</v>
      </c>
      <c r="C63" s="79" t="s">
        <v>68</v>
      </c>
      <c r="D63" s="83">
        <f>D58/3.6/D55/(DAY(DATE(2027,1,0))*24)</f>
        <v>0</v>
      </c>
      <c r="E63" s="83">
        <f>E58/3.6/E55/(DAY(DATE(2027,1,0))*24)</f>
        <v>0</v>
      </c>
      <c r="F63" s="123">
        <f>F58/3.6/F55/(DAY(DATE(2027,1,0))*24)</f>
        <v>0</v>
      </c>
      <c r="G63" s="85">
        <f>G58/3.6/G55/(DATEDIF(DATE(2026,1,1),DATE(2027,1,1),"D")*24)</f>
        <v>0</v>
      </c>
      <c r="H63" s="83">
        <f>H58/3.6/H55/(DATEDIF(DATE(2026,1,1),DATE(2027,1,1),"D")*24)</f>
        <v>0</v>
      </c>
      <c r="I63" s="84">
        <f>I58/3.6/I55/(DATEDIF(DATE(2026,1,1),DATE(2027,1,1),"D")*24)</f>
        <v>0</v>
      </c>
    </row>
    <row r="64" s="1" customFormat="1" ht="27.95" customHeight="1" spans="1:10">
      <c r="A64" s="28" t="s">
        <v>33</v>
      </c>
      <c r="B64" s="42" t="s">
        <v>72</v>
      </c>
      <c r="C64" s="43" t="s">
        <v>73</v>
      </c>
      <c r="D64" s="87" t="e">
        <f t="shared" ref="D64:I64" si="29">D58/D57</f>
        <v>#DIV/0!</v>
      </c>
      <c r="E64" s="87" t="e">
        <f t="shared" si="29"/>
        <v>#DIV/0!</v>
      </c>
      <c r="F64" s="89" t="e">
        <f t="shared" si="29"/>
        <v>#DIV/0!</v>
      </c>
      <c r="G64" s="153" t="e">
        <f t="shared" si="29"/>
        <v>#DIV/0!</v>
      </c>
      <c r="H64" s="87" t="e">
        <f t="shared" si="29"/>
        <v>#DIV/0!</v>
      </c>
      <c r="I64" s="89" t="e">
        <f t="shared" si="29"/>
        <v>#DIV/0!</v>
      </c>
    </row>
    <row r="65" s="1" customFormat="1" ht="27.95" customHeight="1" spans="1:9">
      <c r="A65" s="28" t="s">
        <v>37</v>
      </c>
      <c r="B65" s="42" t="s">
        <v>78</v>
      </c>
      <c r="C65" s="43" t="s">
        <v>79</v>
      </c>
      <c r="D65" s="91" t="e">
        <f t="shared" ref="D65:I65" si="30">D60/D57</f>
        <v>#DIV/0!</v>
      </c>
      <c r="E65" s="91" t="e">
        <f t="shared" si="30"/>
        <v>#DIV/0!</v>
      </c>
      <c r="F65" s="92" t="e">
        <f t="shared" si="30"/>
        <v>#DIV/0!</v>
      </c>
      <c r="G65" s="154" t="e">
        <f t="shared" si="30"/>
        <v>#DIV/0!</v>
      </c>
      <c r="H65" s="91" t="e">
        <f t="shared" si="30"/>
        <v>#DIV/0!</v>
      </c>
      <c r="I65" s="92" t="e">
        <f t="shared" si="30"/>
        <v>#DIV/0!</v>
      </c>
    </row>
    <row r="66" s="1" customFormat="1" ht="27.95" customHeight="1" spans="1:9">
      <c r="A66" s="129" t="s">
        <v>40</v>
      </c>
      <c r="B66" s="97" t="s">
        <v>81</v>
      </c>
      <c r="C66" s="98" t="s">
        <v>76</v>
      </c>
      <c r="D66" s="100" t="e">
        <f t="shared" ref="D66:I66" si="31">D59*1000/D57</f>
        <v>#DIV/0!</v>
      </c>
      <c r="E66" s="100" t="e">
        <f t="shared" si="31"/>
        <v>#DIV/0!</v>
      </c>
      <c r="F66" s="101" t="e">
        <f t="shared" si="31"/>
        <v>#DIV/0!</v>
      </c>
      <c r="G66" s="155" t="e">
        <f t="shared" si="31"/>
        <v>#DIV/0!</v>
      </c>
      <c r="H66" s="100" t="e">
        <f t="shared" si="31"/>
        <v>#DIV/0!</v>
      </c>
      <c r="I66" s="101" t="e">
        <f t="shared" si="31"/>
        <v>#DIV/0!</v>
      </c>
    </row>
    <row r="67" s="1" customFormat="1" ht="18" customHeight="1" spans="1:9">
      <c r="C67" s="4"/>
      <c r="D67" s="5"/>
    </row>
    <row r="68" s="1" customFormat="1" ht="29.25" customHeight="1" spans="1:9">
      <c r="A68" s="108" t="s">
        <v>94</v>
      </c>
      <c r="C68" s="4"/>
      <c r="D68" s="5"/>
    </row>
    <row r="69" s="1" customFormat="1" ht="30" customHeight="1" spans="1:9">
      <c r="A69" s="131" t="s">
        <v>0</v>
      </c>
      <c r="B69" s="7" t="s">
        <v>1</v>
      </c>
      <c r="C69" s="7" t="s">
        <v>2</v>
      </c>
      <c r="D69" s="133" t="s">
        <v>86</v>
      </c>
      <c r="E69" s="135"/>
      <c r="F69" s="134" t="s">
        <v>87</v>
      </c>
      <c r="G69" s="134"/>
    </row>
    <row r="70" s="1" customFormat="1" ht="30" customHeight="1" spans="1:9">
      <c r="A70" s="137"/>
      <c r="B70" s="14"/>
      <c r="C70" s="14"/>
      <c r="D70" s="139" t="s">
        <v>95</v>
      </c>
      <c r="E70" s="156" t="s">
        <v>96</v>
      </c>
      <c r="F70" s="141" t="s">
        <v>95</v>
      </c>
      <c r="G70" s="142" t="s">
        <v>96</v>
      </c>
    </row>
    <row r="71" s="1" customFormat="1" ht="27.95" customHeight="1" spans="1:9">
      <c r="A71" s="19" t="s">
        <v>11</v>
      </c>
      <c r="B71" s="20" t="s">
        <v>12</v>
      </c>
      <c r="C71" s="21" t="s">
        <v>13</v>
      </c>
      <c r="D71" s="157">
        <v>217</v>
      </c>
      <c r="E71" s="158">
        <v>1.4</v>
      </c>
      <c r="F71" s="159">
        <f>D71</f>
        <v>217</v>
      </c>
      <c r="G71" s="160">
        <f>E71</f>
        <v>1.4</v>
      </c>
    </row>
    <row r="72" s="1" customFormat="1" ht="27.95" customHeight="1" spans="1:9">
      <c r="A72" s="28" t="s">
        <v>14</v>
      </c>
      <c r="B72" s="42" t="s">
        <v>22</v>
      </c>
      <c r="C72" s="43" t="s">
        <v>23</v>
      </c>
      <c r="D72" s="148"/>
      <c r="E72" s="115"/>
      <c r="F72" s="161">
        <f>D72</f>
        <v>0</v>
      </c>
      <c r="G72" s="162">
        <f>E72</f>
        <v>0</v>
      </c>
    </row>
    <row r="73" s="1" customFormat="1" ht="27.95" customHeight="1" spans="1:9">
      <c r="A73" s="28" t="s">
        <v>19</v>
      </c>
      <c r="B73" s="42" t="s">
        <v>25</v>
      </c>
      <c r="C73" s="43" t="s">
        <v>26</v>
      </c>
      <c r="D73" s="147">
        <f>D72*2.951694</f>
        <v>0</v>
      </c>
      <c r="E73" s="163">
        <f>E72*2.732</f>
        <v>0</v>
      </c>
      <c r="F73" s="120">
        <f>D73+'26.11'!F73</f>
        <v>0</v>
      </c>
      <c r="G73" s="120">
        <f>E73+'26.11'!G73</f>
        <v>0</v>
      </c>
    </row>
    <row r="74" s="1" customFormat="1" ht="27.95" customHeight="1" spans="1:9">
      <c r="A74" s="28" t="s">
        <v>21</v>
      </c>
      <c r="B74" s="42" t="s">
        <v>97</v>
      </c>
      <c r="C74" s="43" t="s">
        <v>98</v>
      </c>
      <c r="D74" s="148"/>
      <c r="E74" s="115"/>
      <c r="F74" s="120">
        <f>D74+'26.11'!F74</f>
        <v>0</v>
      </c>
      <c r="G74" s="120">
        <f>E74+'26.11'!G74</f>
        <v>0</v>
      </c>
    </row>
    <row r="75" s="1" customFormat="1" ht="27.95" customHeight="1" spans="1:9">
      <c r="A75" s="28" t="s">
        <v>24</v>
      </c>
      <c r="B75" s="42" t="s">
        <v>34</v>
      </c>
      <c r="C75" s="43" t="s">
        <v>23</v>
      </c>
      <c r="D75" s="147">
        <f>D74*D80/29308/1000</f>
        <v>0</v>
      </c>
      <c r="E75" s="117">
        <f>E74*E80/29308/1000</f>
        <v>0</v>
      </c>
      <c r="F75" s="120">
        <f>D75+'26.11'!F75</f>
        <v>0</v>
      </c>
      <c r="G75" s="120">
        <f>E75+'26.11'!G75</f>
        <v>0</v>
      </c>
    </row>
    <row r="76" s="1" customFormat="1" ht="27.95" customHeight="1" spans="1:9">
      <c r="A76" s="28" t="s">
        <v>27</v>
      </c>
      <c r="B76" s="42" t="s">
        <v>38</v>
      </c>
      <c r="C76" s="43" t="s">
        <v>23</v>
      </c>
      <c r="D76" s="148"/>
      <c r="E76" s="164"/>
      <c r="F76" s="120">
        <f>D76+'26.11'!F76</f>
        <v>0</v>
      </c>
      <c r="G76" s="120">
        <f>E76+'26.11'!G76</f>
        <v>0</v>
      </c>
    </row>
    <row r="77" s="1" customFormat="1" ht="27.95" customHeight="1" spans="1:9">
      <c r="A77" s="28" t="s">
        <v>29</v>
      </c>
      <c r="B77" s="42" t="s">
        <v>41</v>
      </c>
      <c r="C77" s="43" t="s">
        <v>42</v>
      </c>
      <c r="D77" s="148"/>
      <c r="E77" s="164"/>
      <c r="F77" s="120">
        <f>D77+'26.11'!F77</f>
        <v>0</v>
      </c>
      <c r="G77" s="120">
        <f>E77+'26.11'!G77</f>
        <v>0</v>
      </c>
    </row>
    <row r="78" s="1" customFormat="1" ht="27.95" customHeight="1" spans="1:9">
      <c r="A78" s="28" t="s">
        <v>31</v>
      </c>
      <c r="B78" s="42" t="s">
        <v>52</v>
      </c>
      <c r="C78" s="43" t="s">
        <v>53</v>
      </c>
      <c r="D78" s="165" t="e">
        <f>D77/D73</f>
        <v>#DIV/0!</v>
      </c>
      <c r="E78" s="166"/>
      <c r="F78" s="167" t="e">
        <f>F77/F73</f>
        <v>#DIV/0!</v>
      </c>
      <c r="G78" s="168"/>
    </row>
    <row r="79" s="1" customFormat="1" ht="27.95" customHeight="1" spans="1:9">
      <c r="A79" s="28" t="s">
        <v>33</v>
      </c>
      <c r="B79" s="42" t="s">
        <v>55</v>
      </c>
      <c r="C79" s="43" t="s">
        <v>56</v>
      </c>
      <c r="D79" s="60" t="e">
        <f t="shared" ref="D79:G79" si="32">D75*1000/D73</f>
        <v>#DIV/0!</v>
      </c>
      <c r="E79" s="169" t="e">
        <f t="shared" si="32"/>
        <v>#DIV/0!</v>
      </c>
      <c r="F79" s="170" t="e">
        <f t="shared" si="32"/>
        <v>#DIV/0!</v>
      </c>
      <c r="G79" s="61" t="e">
        <f t="shared" si="32"/>
        <v>#DIV/0!</v>
      </c>
      <c r="H79" s="12"/>
    </row>
    <row r="80" s="1" customFormat="1" ht="27.95" customHeight="1" spans="1:9">
      <c r="A80" s="28" t="s">
        <v>37</v>
      </c>
      <c r="B80" s="42" t="s">
        <v>99</v>
      </c>
      <c r="C80" s="43" t="s">
        <v>100</v>
      </c>
      <c r="D80" s="56"/>
      <c r="E80" s="171"/>
      <c r="F80" s="172" t="e">
        <f>F75*29308*1000/F74</f>
        <v>#DIV/0!</v>
      </c>
      <c r="G80" s="147" t="e">
        <f>G75*29308*1000/G74</f>
        <v>#DIV/0!</v>
      </c>
      <c r="H80" s="12"/>
    </row>
    <row r="81" s="1" customFormat="1" ht="27.95" customHeight="1" spans="1:11">
      <c r="A81" s="28" t="s">
        <v>40</v>
      </c>
      <c r="B81" s="42" t="s">
        <v>67</v>
      </c>
      <c r="C81" s="79" t="s">
        <v>68</v>
      </c>
      <c r="D81" s="80" t="e">
        <f t="shared" ref="D81:G81" si="33">D73/(D75*29.308)</f>
        <v>#DIV/0!</v>
      </c>
      <c r="E81" s="173" t="e">
        <f t="shared" si="33"/>
        <v>#DIV/0!</v>
      </c>
      <c r="F81" s="174" t="e">
        <f t="shared" si="33"/>
        <v>#DIV/0!</v>
      </c>
      <c r="G81" s="81" t="e">
        <f t="shared" si="33"/>
        <v>#DIV/0!</v>
      </c>
      <c r="H81" s="12"/>
    </row>
    <row r="82" s="1" customFormat="1" ht="27.95" customHeight="1" spans="1:11">
      <c r="A82" s="129" t="s">
        <v>47</v>
      </c>
      <c r="B82" s="175" t="s">
        <v>70</v>
      </c>
      <c r="C82" s="176" t="s">
        <v>68</v>
      </c>
      <c r="D82" s="177">
        <f>D73/3.6/D71/(DAY(DATE(2027,1,0))*24)</f>
        <v>0</v>
      </c>
      <c r="E82" s="178">
        <f>E73/3.6/E71/(DAY(DATE(2027,1,0))*24)</f>
        <v>0</v>
      </c>
      <c r="F82" s="179">
        <f>F73/3.6/F71/(DATEDIF(DATE(2026,1,1),DATE(2027,1,1),"D")*24)</f>
        <v>0</v>
      </c>
      <c r="G82" s="180">
        <f>G73/3.6/G71/(DATEDIF(DATE(2026,1,1),DATE(2027,1,1),"D")*24)</f>
        <v>0</v>
      </c>
      <c r="H82" s="12"/>
    </row>
    <row r="83" s="1" customFormat="1" ht="18" customHeight="1" spans="1:11">
      <c r="B83" s="181"/>
      <c r="C83" s="181"/>
      <c r="D83" s="5"/>
    </row>
    <row r="84" s="1" customFormat="1" customHeight="1" spans="1:11">
      <c r="A84" s="108" t="s">
        <v>101</v>
      </c>
      <c r="C84" s="4"/>
      <c r="D84" s="5" t="s">
        <v>84</v>
      </c>
      <c r="E84" s="2"/>
      <c r="F84" s="2"/>
      <c r="G84" s="2"/>
      <c r="H84" s="2"/>
      <c r="I84" s="2"/>
    </row>
    <row r="85" s="1" customFormat="1" customHeight="1" spans="1:11">
      <c r="A85" s="131" t="s">
        <v>0</v>
      </c>
      <c r="B85" s="132" t="s">
        <v>85</v>
      </c>
      <c r="C85" s="132" t="s">
        <v>2</v>
      </c>
      <c r="D85" s="182" t="s">
        <v>86</v>
      </c>
      <c r="E85" s="139" t="s">
        <v>87</v>
      </c>
      <c r="F85" s="182" t="s">
        <v>102</v>
      </c>
      <c r="G85" s="182" t="s">
        <v>103</v>
      </c>
      <c r="H85" s="183"/>
      <c r="I85" s="183"/>
    </row>
    <row r="86" s="1" customFormat="1" customHeight="1" spans="1:11">
      <c r="A86" s="137"/>
      <c r="B86" s="138"/>
      <c r="C86" s="138"/>
      <c r="D86" s="182" t="s">
        <v>104</v>
      </c>
      <c r="E86" s="182" t="s">
        <v>104</v>
      </c>
      <c r="F86" s="182"/>
      <c r="G86" s="182"/>
      <c r="H86" s="183"/>
      <c r="I86" s="184"/>
    </row>
    <row r="87" s="1" customFormat="1" customHeight="1" spans="1:11">
      <c r="A87" s="28" t="s">
        <v>11</v>
      </c>
      <c r="B87" s="29" t="s">
        <v>12</v>
      </c>
      <c r="C87" s="30" t="s">
        <v>13</v>
      </c>
      <c r="D87" s="185">
        <v>0.7888</v>
      </c>
      <c r="E87" s="186">
        <f t="shared" ref="E87:E89" si="34">D87</f>
        <v>0.7888</v>
      </c>
      <c r="F87" s="187">
        <f t="shared" ref="F87:F93" si="35">F55+D87</f>
        <v>13.1888</v>
      </c>
      <c r="G87" s="187">
        <f t="shared" ref="G87:G93" si="36">E87+I55</f>
        <v>13.1888</v>
      </c>
      <c r="H87" s="145"/>
      <c r="I87" s="145"/>
    </row>
    <row r="88" s="1" customFormat="1" customHeight="1" spans="1:11">
      <c r="A88" s="28" t="s">
        <v>14</v>
      </c>
      <c r="B88" s="29" t="s">
        <v>88</v>
      </c>
      <c r="C88" s="30" t="s">
        <v>16</v>
      </c>
      <c r="D88" s="188"/>
      <c r="E88" s="189">
        <f t="shared" si="34"/>
        <v>0</v>
      </c>
      <c r="F88" s="190">
        <f>D88+D56+E56</f>
        <v>0</v>
      </c>
      <c r="G88" s="190">
        <f>E88+G56+H56</f>
        <v>0</v>
      </c>
      <c r="H88" s="116"/>
      <c r="I88" s="116"/>
    </row>
    <row r="89" s="1" customFormat="1" customHeight="1" spans="1:11">
      <c r="A89" s="28" t="s">
        <v>19</v>
      </c>
      <c r="B89" s="29" t="s">
        <v>89</v>
      </c>
      <c r="C89" s="30" t="s">
        <v>16</v>
      </c>
      <c r="D89" s="188"/>
      <c r="E89" s="189">
        <f t="shared" si="34"/>
        <v>0</v>
      </c>
      <c r="F89" s="190">
        <f>D89+D57+E57</f>
        <v>0</v>
      </c>
      <c r="G89" s="190">
        <f>E89+G57+H57</f>
        <v>0</v>
      </c>
      <c r="H89" s="116"/>
      <c r="I89" s="116"/>
    </row>
    <row r="90" s="1" customFormat="1" customHeight="1" spans="1:11">
      <c r="A90" s="28" t="s">
        <v>21</v>
      </c>
      <c r="B90" s="42" t="s">
        <v>25</v>
      </c>
      <c r="C90" s="43" t="s">
        <v>26</v>
      </c>
      <c r="D90" s="188"/>
      <c r="E90" s="191">
        <f>D90+'26.11'!E90</f>
        <v>0</v>
      </c>
      <c r="F90" s="192">
        <f t="shared" si="35"/>
        <v>0</v>
      </c>
      <c r="G90" s="192">
        <f t="shared" si="36"/>
        <v>0</v>
      </c>
      <c r="H90" s="116"/>
      <c r="I90" s="116"/>
    </row>
    <row r="91" s="1" customFormat="1" customHeight="1" spans="1:11">
      <c r="A91" s="28" t="s">
        <v>24</v>
      </c>
      <c r="B91" s="42" t="s">
        <v>38</v>
      </c>
      <c r="C91" s="43" t="s">
        <v>23</v>
      </c>
      <c r="D91" s="188"/>
      <c r="E91" s="191">
        <f>D91+'26.11'!E91</f>
        <v>0</v>
      </c>
      <c r="F91" s="192">
        <f t="shared" si="35"/>
        <v>0</v>
      </c>
      <c r="G91" s="192">
        <f t="shared" si="36"/>
        <v>0</v>
      </c>
      <c r="H91" s="116"/>
      <c r="I91" s="116"/>
    </row>
    <row r="92" s="1" customFormat="1" customHeight="1" spans="1:11">
      <c r="A92" s="28" t="s">
        <v>27</v>
      </c>
      <c r="B92" s="42" t="s">
        <v>41</v>
      </c>
      <c r="C92" s="43" t="s">
        <v>42</v>
      </c>
      <c r="D92" s="188"/>
      <c r="E92" s="191">
        <f>D92+'26.11'!E92</f>
        <v>0</v>
      </c>
      <c r="F92" s="192">
        <f t="shared" si="35"/>
        <v>0</v>
      </c>
      <c r="G92" s="192">
        <f t="shared" si="36"/>
        <v>0</v>
      </c>
      <c r="H92" s="116"/>
      <c r="I92" s="116"/>
    </row>
    <row r="93" s="1" customFormat="1" customHeight="1" spans="1:11">
      <c r="A93" s="28"/>
      <c r="B93" s="42" t="s">
        <v>90</v>
      </c>
      <c r="C93" s="43" t="s">
        <v>42</v>
      </c>
      <c r="D93" s="188"/>
      <c r="E93" s="191">
        <f>D93+'26.11'!E93</f>
        <v>0</v>
      </c>
      <c r="F93" s="192">
        <f t="shared" si="35"/>
        <v>0</v>
      </c>
      <c r="G93" s="192">
        <f t="shared" si="36"/>
        <v>0</v>
      </c>
      <c r="H93" s="116"/>
      <c r="I93" s="116"/>
    </row>
    <row r="94" s="1" customFormat="1" customHeight="1" spans="1:11">
      <c r="A94" s="28" t="s">
        <v>29</v>
      </c>
      <c r="B94" s="42" t="s">
        <v>52</v>
      </c>
      <c r="C94" s="43" t="s">
        <v>53</v>
      </c>
      <c r="D94" s="193" t="e">
        <f t="shared" ref="D94:G94" si="37">D92/D90</f>
        <v>#DIV/0!</v>
      </c>
      <c r="E94" s="193" t="e">
        <f t="shared" si="37"/>
        <v>#DIV/0!</v>
      </c>
      <c r="F94" s="193" t="e">
        <f t="shared" si="37"/>
        <v>#DIV/0!</v>
      </c>
      <c r="G94" s="193" t="e">
        <f t="shared" si="37"/>
        <v>#DIV/0!</v>
      </c>
      <c r="H94" s="122"/>
      <c r="I94" s="122"/>
    </row>
    <row r="95" s="1" customFormat="1" customHeight="1" spans="1:11">
      <c r="A95" s="28" t="s">
        <v>31</v>
      </c>
      <c r="B95" s="42" t="s">
        <v>105</v>
      </c>
      <c r="C95" s="79" t="s">
        <v>68</v>
      </c>
      <c r="D95" s="194">
        <f>D90/3.6/D87/(DAY(DATE(2027,1,0))*24)</f>
        <v>0</v>
      </c>
      <c r="E95" s="84">
        <f>E90/3.6/E87/(DATEDIF(DATE(2026,1,1),DATE(2027,1,1),"D")*24)</f>
        <v>0</v>
      </c>
      <c r="F95" s="194">
        <f>F90/3.6/F87/(DAY(DATE(2027,1,0))*24)</f>
        <v>0</v>
      </c>
      <c r="G95" s="84">
        <f>G90/3.6/G87/(DATEDIF(DATE(2026,1,1),DATE(2027,1,1),"D")*24)</f>
        <v>0</v>
      </c>
      <c r="H95" s="195"/>
      <c r="I95" s="195"/>
      <c r="K95" s="196"/>
    </row>
    <row r="96" s="1" customFormat="1" customHeight="1" spans="1:11">
      <c r="A96" s="28" t="s">
        <v>33</v>
      </c>
      <c r="B96" s="42" t="s">
        <v>72</v>
      </c>
      <c r="C96" s="43" t="s">
        <v>73</v>
      </c>
      <c r="D96" s="197" t="e">
        <f t="shared" ref="D96:G96" si="38">D90/D89</f>
        <v>#DIV/0!</v>
      </c>
      <c r="E96" s="197" t="e">
        <f t="shared" si="38"/>
        <v>#DIV/0!</v>
      </c>
      <c r="F96" s="197" t="e">
        <f t="shared" si="38"/>
        <v>#DIV/0!</v>
      </c>
      <c r="G96" s="197" t="e">
        <f t="shared" si="38"/>
        <v>#DIV/0!</v>
      </c>
      <c r="H96" s="126"/>
      <c r="I96" s="126"/>
    </row>
    <row r="97" s="1" customFormat="1" customHeight="1" spans="1:9">
      <c r="A97" s="28" t="s">
        <v>37</v>
      </c>
      <c r="B97" s="42" t="s">
        <v>78</v>
      </c>
      <c r="C97" s="43" t="s">
        <v>79</v>
      </c>
      <c r="D97" s="198" t="e">
        <f t="shared" ref="D97:G97" si="39">D92/D89</f>
        <v>#DIV/0!</v>
      </c>
      <c r="E97" s="198" t="e">
        <f t="shared" si="39"/>
        <v>#DIV/0!</v>
      </c>
      <c r="F97" s="198" t="e">
        <f t="shared" si="39"/>
        <v>#DIV/0!</v>
      </c>
      <c r="G97" s="198" t="e">
        <f t="shared" si="39"/>
        <v>#DIV/0!</v>
      </c>
      <c r="H97" s="128"/>
      <c r="I97" s="128"/>
    </row>
    <row r="98" s="1" customFormat="1" customHeight="1" spans="1:9">
      <c r="A98" s="129" t="s">
        <v>40</v>
      </c>
      <c r="B98" s="97" t="s">
        <v>81</v>
      </c>
      <c r="C98" s="98" t="s">
        <v>76</v>
      </c>
      <c r="D98" s="198" t="e">
        <f t="shared" ref="D98:G98" si="40">D91*1000/D89</f>
        <v>#DIV/0!</v>
      </c>
      <c r="E98" s="198" t="e">
        <f t="shared" si="40"/>
        <v>#DIV/0!</v>
      </c>
      <c r="F98" s="198" t="e">
        <f t="shared" si="40"/>
        <v>#DIV/0!</v>
      </c>
      <c r="G98" s="198" t="e">
        <f t="shared" si="40"/>
        <v>#DIV/0!</v>
      </c>
      <c r="H98" s="128"/>
      <c r="I98" s="128"/>
    </row>
  </sheetData>
  <mergeCells count="20">
    <mergeCell ref="D1:H1"/>
    <mergeCell ref="I1:M1"/>
    <mergeCell ref="D53:F53"/>
    <mergeCell ref="G53:I53"/>
    <mergeCell ref="D69:E69"/>
    <mergeCell ref="F69:G69"/>
    <mergeCell ref="A1:A2"/>
    <mergeCell ref="A53:A54"/>
    <mergeCell ref="A69:A70"/>
    <mergeCell ref="A85:A86"/>
    <mergeCell ref="B1:B2"/>
    <mergeCell ref="B53:B54"/>
    <mergeCell ref="B69:B70"/>
    <mergeCell ref="B85:B86"/>
    <mergeCell ref="C1:C2"/>
    <mergeCell ref="C53:C54"/>
    <mergeCell ref="C69:C70"/>
    <mergeCell ref="C85:C86"/>
    <mergeCell ref="F85:F86"/>
    <mergeCell ref="G85:G86"/>
  </mergeCells>
  <pageMargins left="0.748031496062992" right="0.748031496062992" top="0.984251968503937" bottom="0.984251968503937" header="0.511811023622047" footer="0.511811023622047"/>
  <pageSetup paperSize="9" orientation="landscape" horizontalDpi="600" verticalDpi="600"/>
  <headerFooter alignWithMargins="0" scaleWithDoc="0">
    <oddHeader>&amp;C&amp;20 2022年12月份集团各锅炉站生产报表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26.1</vt:lpstr>
      <vt:lpstr>26.2</vt:lpstr>
      <vt:lpstr>26.3</vt:lpstr>
      <vt:lpstr>26.4</vt:lpstr>
      <vt:lpstr>26.5</vt:lpstr>
      <vt:lpstr>26.6</vt:lpstr>
      <vt:lpstr>26.7</vt:lpstr>
      <vt:lpstr>26.8</vt:lpstr>
      <vt:lpstr>26.9</vt:lpstr>
      <vt:lpstr>26.10</vt:lpstr>
      <vt:lpstr>26.11</vt:lpstr>
      <vt:lpstr>26.12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jhb8955</dc:creator>
  <cp:lastModifiedBy>王巍</cp:lastModifiedBy>
  <dcterms:created xsi:type="dcterms:W3CDTF">2012-11-29T00:35:00Z</dcterms:created>
  <cp:lastPrinted>2023-02-21T02:27:00Z</cp:lastPrinted>
  <dcterms:modified xsi:type="dcterms:W3CDTF">2026-02-01T03:22:21Z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7B79BB2DECEF4193B5C60B2AFE8B6A02_13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