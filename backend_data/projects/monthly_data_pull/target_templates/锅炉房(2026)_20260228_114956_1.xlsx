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6590" tabRatio="645"/>
  </bookViews>
  <sheets>
    <sheet name="26.1" sheetId="16" r:id="rId1"/>
    <sheet name="26.2" sheetId="19" r:id="rId2"/>
    <sheet name="26.3" sheetId="28" r:id="rId3"/>
    <sheet name="26.4" sheetId="20" r:id="rId4"/>
    <sheet name="26.5" sheetId="21" r:id="rId5"/>
    <sheet name="26.6" sheetId="22" r:id="rId6"/>
    <sheet name="26.7" sheetId="23" r:id="rId7"/>
    <sheet name="26.8" sheetId="27" r:id="rId8"/>
    <sheet name="26.9" sheetId="26" r:id="rId9"/>
    <sheet name="26.10" sheetId="25" r:id="rId10"/>
    <sheet name="26.11" sheetId="24" r:id="rId11"/>
    <sheet name="26.12" sheetId="17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zqb8182</author>
  </authors>
  <commentList>
    <comment ref="K12" authorId="0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小改累计值</t>
        </r>
      </text>
    </comment>
  </commentList>
</comments>
</file>

<file path=xl/sharedStrings.xml><?xml version="1.0" encoding="utf-8"?>
<sst xmlns="http://schemas.openxmlformats.org/spreadsheetml/2006/main" count="3517" uniqueCount="106">
  <si>
    <t>代码</t>
  </si>
  <si>
    <t>项目</t>
  </si>
  <si>
    <t>计量单位</t>
  </si>
  <si>
    <r>
      <rPr>
        <sz val="12"/>
        <rFont val="宋体"/>
        <charset val="134"/>
      </rPr>
      <t xml:space="preserve">本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月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实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际</t>
    </r>
  </si>
  <si>
    <r>
      <rPr>
        <sz val="12"/>
        <rFont val="宋体"/>
        <charset val="134"/>
      </rPr>
      <t xml:space="preserve">本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年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累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计</t>
    </r>
  </si>
  <si>
    <t>北海水炉</t>
  </si>
  <si>
    <t xml:space="preserve">金普   </t>
  </si>
  <si>
    <t xml:space="preserve">临海   </t>
  </si>
  <si>
    <t xml:space="preserve">庄河    </t>
  </si>
  <si>
    <t>合计</t>
  </si>
  <si>
    <t xml:space="preserve">庄河  </t>
  </si>
  <si>
    <t>001</t>
  </si>
  <si>
    <t>装机总容量</t>
  </si>
  <si>
    <t>兆瓦</t>
  </si>
  <si>
    <t>002</t>
  </si>
  <si>
    <t>期末供热面积</t>
  </si>
  <si>
    <t>平方米</t>
  </si>
  <si>
    <t xml:space="preserve"> -   </t>
  </si>
  <si>
    <t>其中：高温水面积</t>
  </si>
  <si>
    <t>003</t>
  </si>
  <si>
    <t>实际平均供热面积</t>
  </si>
  <si>
    <t>004</t>
  </si>
  <si>
    <t>供汽量</t>
  </si>
  <si>
    <t>吨</t>
  </si>
  <si>
    <t>005</t>
  </si>
  <si>
    <t>供热量</t>
  </si>
  <si>
    <t>吉焦</t>
  </si>
  <si>
    <t>006</t>
  </si>
  <si>
    <t>高温水销售量</t>
  </si>
  <si>
    <t>007</t>
  </si>
  <si>
    <t>生产耗原煤量</t>
  </si>
  <si>
    <t>008</t>
  </si>
  <si>
    <t>耗油量</t>
  </si>
  <si>
    <t>009</t>
  </si>
  <si>
    <t>耗标煤总量</t>
  </si>
  <si>
    <t>其中：煤折标准煤量</t>
  </si>
  <si>
    <r>
      <rPr>
        <sz val="11"/>
        <rFont val="宋体"/>
        <charset val="134"/>
      </rPr>
      <t xml:space="preserve">      </t>
    </r>
    <r>
      <rPr>
        <sz val="11"/>
        <rFont val="宋体"/>
        <charset val="134"/>
      </rPr>
      <t>油折标准煤量</t>
    </r>
  </si>
  <si>
    <t>010</t>
  </si>
  <si>
    <t>耗水量</t>
  </si>
  <si>
    <r>
      <rPr>
        <sz val="11"/>
        <rFont val="宋体"/>
        <charset val="134"/>
      </rPr>
      <t>其中：耗井水(再生水</t>
    </r>
    <r>
      <rPr>
        <sz val="11"/>
        <rFont val="宋体"/>
        <charset val="134"/>
      </rPr>
      <t>)</t>
    </r>
    <r>
      <rPr>
        <sz val="11"/>
        <rFont val="宋体"/>
        <charset val="134"/>
      </rPr>
      <t>量</t>
    </r>
  </si>
  <si>
    <t>011</t>
  </si>
  <si>
    <t>耗电量</t>
  </si>
  <si>
    <t>千瓦时</t>
  </si>
  <si>
    <t>其中：耗厂用电量</t>
  </si>
  <si>
    <r>
      <rPr>
        <sz val="11"/>
        <rFont val="宋体"/>
        <charset val="134"/>
      </rPr>
      <t xml:space="preserve"> </t>
    </r>
    <r>
      <rPr>
        <sz val="11"/>
        <rFont val="宋体"/>
        <charset val="134"/>
      </rPr>
      <t xml:space="preserve">     耗外购电量</t>
    </r>
  </si>
  <si>
    <t>脱硫脱硝耗水量</t>
  </si>
  <si>
    <t>脱硫脱硝耗电量</t>
  </si>
  <si>
    <t>012</t>
  </si>
  <si>
    <t>耗氧化镁(石灰石粉)量</t>
  </si>
  <si>
    <t>013</t>
  </si>
  <si>
    <t>耗脱硝剂(氨水)量</t>
  </si>
  <si>
    <t>014</t>
  </si>
  <si>
    <t>供热用电率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</si>
  <si>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</si>
  <si>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015</t>
  </si>
  <si>
    <t>供热煤耗率</t>
  </si>
  <si>
    <r>
      <rPr>
        <sz val="11"/>
        <rFont val="宋体"/>
        <charset val="134"/>
      </rPr>
      <t>千克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</si>
  <si>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016</t>
  </si>
  <si>
    <t>入厂煤量</t>
  </si>
  <si>
    <t>017</t>
  </si>
  <si>
    <t>期末库存煤量</t>
  </si>
  <si>
    <t>018</t>
  </si>
  <si>
    <t>入炉煤低位发热量</t>
  </si>
  <si>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千克</t>
    </r>
  </si>
  <si>
    <t>019</t>
  </si>
  <si>
    <t>入厂煤低位发热量</t>
  </si>
  <si>
    <t>020</t>
  </si>
  <si>
    <t>锅炉热效率</t>
  </si>
  <si>
    <t>%</t>
  </si>
  <si>
    <t>021</t>
  </si>
  <si>
    <t>锅炉设备利用率</t>
  </si>
  <si>
    <t>022</t>
  </si>
  <si>
    <t>供暖热耗率</t>
  </si>
  <si>
    <r>
      <rPr>
        <sz val="11"/>
        <rFont val="宋体"/>
        <charset val="134"/>
      </rPr>
      <t>吉焦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</si>
  <si>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023</t>
  </si>
  <si>
    <t>单位面积耗标准煤量</t>
  </si>
  <si>
    <r>
      <rPr>
        <sz val="11"/>
        <rFont val="宋体"/>
        <charset val="134"/>
      </rPr>
      <t>千克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</si>
  <si>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024</t>
  </si>
  <si>
    <t>单位面积耗电量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</si>
  <si>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</si>
  <si>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025</t>
  </si>
  <si>
    <t>单位面积耗水量</t>
  </si>
  <si>
    <t>外购热量</t>
  </si>
  <si>
    <t>电锅炉房(机车)</t>
  </si>
  <si>
    <t xml:space="preserve"> </t>
  </si>
  <si>
    <t>项  目</t>
  </si>
  <si>
    <t>本月实际</t>
  </si>
  <si>
    <t>本年累计</t>
  </si>
  <si>
    <t>期末供暖面积</t>
  </si>
  <si>
    <t>实际平均供暖面积</t>
  </si>
  <si>
    <t>其中：高压电量</t>
  </si>
  <si>
    <t>电锅炉房(研究院)</t>
  </si>
  <si>
    <t>旅顺   锅炉房</t>
  </si>
  <si>
    <t>复州湾  锅炉房</t>
  </si>
  <si>
    <t>天然气锅炉</t>
  </si>
  <si>
    <t>北海</t>
  </si>
  <si>
    <t>裕景</t>
  </si>
  <si>
    <t>耗天然气(人工煤气)量</t>
  </si>
  <si>
    <t>立方米</t>
  </si>
  <si>
    <t>天然气(煤气)发热量</t>
  </si>
  <si>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立方米</t>
    </r>
  </si>
  <si>
    <t>空气源热泵(研究院)</t>
  </si>
  <si>
    <t>研究院本月实际</t>
  </si>
  <si>
    <t>研究院本年累计</t>
  </si>
  <si>
    <t>碧流河</t>
  </si>
  <si>
    <t>设备利用率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</si>
</sst>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#,##0.00_ "/>
    <numFmt numFmtId="178" formatCode="#,##0_ "/>
    <numFmt numFmtId="179" formatCode="_ * #,##0_ ;_ * \-#,##0_ ;_ * &quot;-&quot;??_ ;_ @_ "/>
    <numFmt numFmtId="180" formatCode="0.00_ "/>
    <numFmt numFmtId="181" formatCode="0.0"/>
    <numFmt numFmtId="182" formatCode="0.0%"/>
    <numFmt numFmtId="183" formatCode="#,##0.0_ "/>
  </numFmts>
  <fonts count="28">
    <font>
      <sz val="12"/>
      <name val="宋体"/>
      <charset val="134"/>
    </font>
    <font>
      <sz val="10"/>
      <name val="Times New Roman"/>
      <charset val="0"/>
    </font>
    <font>
      <sz val="11"/>
      <name val="Times New Roman"/>
      <charset val="0"/>
    </font>
    <font>
      <sz val="12"/>
      <name val="Times New Roman"/>
      <charset val="0"/>
    </font>
    <font>
      <sz val="11"/>
      <name val="华文细黑"/>
      <charset val="134"/>
    </font>
    <font>
      <sz val="10"/>
      <name val="宋体"/>
      <charset val="134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6" borderId="3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37" applyNumberFormat="0" applyAlignment="0" applyProtection="0">
      <alignment vertical="center"/>
    </xf>
    <xf numFmtId="0" fontId="17" fillId="8" borderId="38" applyNumberFormat="0" applyAlignment="0" applyProtection="0">
      <alignment vertical="center"/>
    </xf>
    <xf numFmtId="0" fontId="18" fillId="8" borderId="37" applyNumberFormat="0" applyAlignment="0" applyProtection="0">
      <alignment vertical="center"/>
    </xf>
    <xf numFmtId="0" fontId="19" fillId="9" borderId="39" applyNumberFormat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shrinkToFit="1"/>
    </xf>
    <xf numFmtId="43" fontId="6" fillId="0" borderId="13" xfId="1" applyNumberFormat="1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43" fontId="2" fillId="0" borderId="13" xfId="1" applyNumberFormat="1" applyFont="1" applyFill="1" applyBorder="1" applyAlignment="1" applyProtection="1">
      <alignment vertical="center" wrapText="1"/>
      <protection locked="0"/>
    </xf>
    <xf numFmtId="43" fontId="2" fillId="0" borderId="13" xfId="1" applyNumberFormat="1" applyFont="1" applyFill="1" applyBorder="1" applyAlignment="1">
      <alignment vertical="center" wrapText="1"/>
    </xf>
    <xf numFmtId="177" fontId="2" fillId="0" borderId="14" xfId="0" applyNumberFormat="1" applyFont="1" applyFill="1" applyBorder="1" applyAlignment="1">
      <alignment vertical="center"/>
    </xf>
    <xf numFmtId="43" fontId="2" fillId="0" borderId="14" xfId="0" applyNumberFormat="1" applyFont="1" applyFill="1" applyBorder="1" applyAlignment="1" applyProtection="1">
      <alignment vertical="center"/>
      <protection locked="0"/>
    </xf>
    <xf numFmtId="43" fontId="2" fillId="0" borderId="15" xfId="1" applyNumberFormat="1" applyFont="1" applyFill="1" applyBorder="1" applyAlignment="1" applyProtection="1">
      <alignment vertical="center" wrapText="1"/>
      <protection locked="0"/>
    </xf>
    <xf numFmtId="177" fontId="2" fillId="0" borderId="14" xfId="0" applyNumberFormat="1" applyFont="1" applyFill="1" applyBorder="1" applyAlignment="1" applyProtection="1">
      <alignment vertical="center"/>
      <protection locked="0"/>
    </xf>
    <xf numFmtId="49" fontId="2" fillId="0" borderId="16" xfId="0" applyNumberFormat="1" applyFont="1" applyFill="1" applyBorder="1" applyAlignment="1">
      <alignment horizontal="center" vertical="center" shrinkToFit="1"/>
    </xf>
    <xf numFmtId="43" fontId="6" fillId="0" borderId="17" xfId="1" applyNumberFormat="1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43" fontId="2" fillId="0" borderId="17" xfId="1" applyNumberFormat="1" applyFont="1" applyFill="1" applyBorder="1" applyAlignment="1">
      <alignment vertical="center" wrapText="1"/>
    </xf>
    <xf numFmtId="41" fontId="2" fillId="0" borderId="17" xfId="0" applyNumberFormat="1" applyFont="1" applyFill="1" applyBorder="1" applyAlignment="1" applyProtection="1">
      <alignment vertical="center" wrapText="1"/>
      <protection locked="0"/>
    </xf>
    <xf numFmtId="41" fontId="2" fillId="0" borderId="17" xfId="0" applyNumberFormat="1" applyFont="1" applyFill="1" applyBorder="1" applyAlignment="1">
      <alignment vertical="center" wrapText="1"/>
    </xf>
    <xf numFmtId="178" fontId="2" fillId="0" borderId="17" xfId="0" applyNumberFormat="1" applyFont="1" applyFill="1" applyBorder="1" applyAlignment="1">
      <alignment vertical="center"/>
    </xf>
    <xf numFmtId="179" fontId="2" fillId="0" borderId="18" xfId="0" applyNumberFormat="1" applyFont="1" applyFill="1" applyBorder="1" applyAlignment="1" applyProtection="1">
      <alignment vertical="center"/>
      <protection locked="0"/>
    </xf>
    <xf numFmtId="43" fontId="2" fillId="0" borderId="19" xfId="1" applyNumberFormat="1" applyFont="1" applyFill="1" applyBorder="1" applyAlignment="1" applyProtection="1">
      <alignment vertical="center" wrapText="1"/>
      <protection locked="0"/>
    </xf>
    <xf numFmtId="41" fontId="2" fillId="0" borderId="17" xfId="4" applyNumberFormat="1" applyFont="1" applyFill="1" applyBorder="1" applyAlignment="1" applyProtection="1">
      <alignment vertical="center"/>
      <protection locked="0"/>
    </xf>
    <xf numFmtId="178" fontId="2" fillId="0" borderId="17" xfId="0" applyNumberFormat="1" applyFont="1" applyFill="1" applyBorder="1" applyAlignment="1" applyProtection="1">
      <alignment vertical="center"/>
      <protection locked="0"/>
    </xf>
    <xf numFmtId="41" fontId="2" fillId="0" borderId="17" xfId="4" applyNumberFormat="1" applyFont="1" applyFill="1" applyBorder="1" applyAlignment="1">
      <alignment vertical="center"/>
    </xf>
    <xf numFmtId="179" fontId="2" fillId="0" borderId="17" xfId="1" applyNumberFormat="1" applyFont="1" applyFill="1" applyBorder="1" applyAlignment="1">
      <alignment vertical="center" shrinkToFit="1"/>
    </xf>
    <xf numFmtId="41" fontId="2" fillId="2" borderId="17" xfId="0" applyNumberFormat="1" applyFont="1" applyFill="1" applyBorder="1" applyAlignment="1">
      <alignment vertical="center" wrapText="1"/>
    </xf>
    <xf numFmtId="43" fontId="6" fillId="0" borderId="17" xfId="1" applyNumberFormat="1" applyFont="1" applyFill="1" applyBorder="1" applyAlignment="1">
      <alignment vertical="center" shrinkToFit="1"/>
    </xf>
    <xf numFmtId="0" fontId="6" fillId="0" borderId="17" xfId="0" applyFont="1" applyFill="1" applyBorder="1" applyAlignment="1">
      <alignment horizontal="center" vertical="center" shrinkToFit="1"/>
    </xf>
    <xf numFmtId="180" fontId="2" fillId="2" borderId="20" xfId="1" applyNumberFormat="1" applyFont="1" applyFill="1" applyBorder="1" applyAlignment="1">
      <alignment vertical="center" shrinkToFit="1"/>
    </xf>
    <xf numFmtId="0" fontId="2" fillId="0" borderId="0" xfId="0" applyFont="1" applyFill="1" applyBorder="1">
      <alignment vertical="center"/>
    </xf>
    <xf numFmtId="179" fontId="2" fillId="0" borderId="17" xfId="1" applyNumberFormat="1" applyFont="1" applyFill="1" applyBorder="1" applyAlignment="1" applyProtection="1">
      <alignment vertical="center" shrinkToFit="1"/>
      <protection locked="0"/>
    </xf>
    <xf numFmtId="0" fontId="2" fillId="3" borderId="0" xfId="0" applyFont="1" applyFill="1" applyBorder="1">
      <alignment vertical="center"/>
    </xf>
    <xf numFmtId="178" fontId="1" fillId="2" borderId="17" xfId="0" applyNumberFormat="1" applyFont="1" applyFill="1" applyBorder="1" applyAlignment="1" applyProtection="1">
      <alignment vertical="center"/>
      <protection locked="0"/>
    </xf>
    <xf numFmtId="179" fontId="2" fillId="0" borderId="18" xfId="0" applyNumberFormat="1" applyFont="1" applyFill="1" applyBorder="1" applyAlignment="1">
      <alignment vertical="center"/>
    </xf>
    <xf numFmtId="179" fontId="2" fillId="0" borderId="17" xfId="1" applyNumberFormat="1" applyFont="1" applyFill="1" applyBorder="1" applyAlignment="1">
      <alignment vertical="center"/>
    </xf>
    <xf numFmtId="179" fontId="2" fillId="3" borderId="20" xfId="1" applyNumberFormat="1" applyFont="1" applyFill="1" applyBorder="1" applyAlignment="1">
      <alignment vertical="center" shrinkToFit="1"/>
    </xf>
    <xf numFmtId="179" fontId="2" fillId="2" borderId="20" xfId="1" applyNumberFormat="1" applyFont="1" applyFill="1" applyBorder="1" applyAlignment="1">
      <alignment vertical="center" shrinkToFit="1"/>
    </xf>
    <xf numFmtId="49" fontId="2" fillId="0" borderId="16" xfId="0" applyNumberFormat="1" applyFont="1" applyFill="1" applyBorder="1" applyAlignment="1">
      <alignment horizontal="center" vertical="center"/>
    </xf>
    <xf numFmtId="43" fontId="6" fillId="0" borderId="17" xfId="1" applyNumberFormat="1" applyFont="1" applyFill="1" applyBorder="1">
      <alignment vertical="center"/>
    </xf>
    <xf numFmtId="0" fontId="6" fillId="0" borderId="17" xfId="0" applyFont="1" applyFill="1" applyBorder="1" applyAlignment="1">
      <alignment horizontal="center" vertical="center"/>
    </xf>
    <xf numFmtId="178" fontId="2" fillId="0" borderId="17" xfId="0" applyNumberFormat="1" applyFont="1" applyFill="1" applyBorder="1">
      <alignment vertical="center"/>
    </xf>
    <xf numFmtId="180" fontId="2" fillId="0" borderId="17" xfId="0" applyNumberFormat="1" applyFont="1" applyFill="1" applyBorder="1">
      <alignment vertical="center"/>
    </xf>
    <xf numFmtId="180" fontId="2" fillId="0" borderId="21" xfId="0" applyNumberFormat="1" applyFont="1" applyFill="1" applyBorder="1" applyAlignment="1" applyProtection="1">
      <alignment vertical="center"/>
      <protection locked="0"/>
    </xf>
    <xf numFmtId="180" fontId="2" fillId="0" borderId="18" xfId="0" applyNumberFormat="1" applyFont="1" applyFill="1" applyBorder="1" applyAlignment="1" applyProtection="1">
      <alignment vertical="center"/>
      <protection locked="0"/>
    </xf>
    <xf numFmtId="181" fontId="2" fillId="0" borderId="17" xfId="3" applyNumberFormat="1" applyFont="1" applyFill="1" applyBorder="1" applyAlignment="1" applyProtection="1">
      <alignment vertical="center" shrinkToFit="1"/>
      <protection locked="0"/>
    </xf>
    <xf numFmtId="181" fontId="2" fillId="0" borderId="18" xfId="3" applyNumberFormat="1" applyFont="1" applyFill="1" applyBorder="1" applyAlignment="1" applyProtection="1">
      <alignment vertical="center" shrinkToFit="1"/>
      <protection locked="0"/>
    </xf>
    <xf numFmtId="181" fontId="2" fillId="0" borderId="20" xfId="3" applyNumberFormat="1" applyFont="1" applyFill="1" applyBorder="1" applyAlignment="1" applyProtection="1">
      <alignment vertical="center" shrinkToFit="1"/>
      <protection locked="0"/>
    </xf>
    <xf numFmtId="176" fontId="6" fillId="0" borderId="17" xfId="0" applyNumberFormat="1" applyFont="1" applyFill="1" applyBorder="1" applyAlignment="1">
      <alignment horizontal="center" vertical="center" shrinkToFit="1"/>
    </xf>
    <xf numFmtId="176" fontId="2" fillId="0" borderId="17" xfId="0" applyNumberFormat="1" applyFont="1" applyFill="1" applyBorder="1" applyAlignment="1">
      <alignment vertical="center" wrapText="1"/>
    </xf>
    <xf numFmtId="178" fontId="2" fillId="0" borderId="17" xfId="4" applyNumberFormat="1" applyFont="1" applyFill="1" applyBorder="1" applyAlignment="1">
      <alignment vertical="center"/>
    </xf>
    <xf numFmtId="176" fontId="2" fillId="0" borderId="18" xfId="0" applyNumberFormat="1" applyFont="1" applyFill="1" applyBorder="1" applyAlignment="1" applyProtection="1">
      <alignment vertical="center"/>
      <protection locked="0"/>
    </xf>
    <xf numFmtId="176" fontId="2" fillId="0" borderId="0" xfId="0" applyNumberFormat="1" applyFont="1" applyFill="1" applyBorder="1">
      <alignment vertical="center"/>
    </xf>
    <xf numFmtId="176" fontId="2" fillId="2" borderId="17" xfId="0" applyNumberFormat="1" applyFont="1" applyFill="1" applyBorder="1" applyAlignment="1">
      <alignment vertical="center" wrapText="1"/>
    </xf>
    <xf numFmtId="176" fontId="2" fillId="0" borderId="18" xfId="0" applyNumberFormat="1" applyFont="1" applyFill="1" applyBorder="1" applyAlignment="1">
      <alignment horizontal="right" vertical="center"/>
    </xf>
    <xf numFmtId="179" fontId="2" fillId="0" borderId="20" xfId="1" applyNumberFormat="1" applyFont="1" applyFill="1" applyBorder="1" applyAlignment="1">
      <alignment vertical="center" shrinkToFit="1"/>
    </xf>
    <xf numFmtId="180" fontId="2" fillId="2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Fill="1" applyBorder="1" applyAlignment="1" applyProtection="1">
      <alignment vertical="center"/>
      <protection locked="0"/>
    </xf>
    <xf numFmtId="179" fontId="2" fillId="0" borderId="18" xfId="1" applyNumberFormat="1" applyFont="1" applyFill="1" applyBorder="1" applyAlignment="1" applyProtection="1">
      <alignment vertical="center" shrinkToFit="1"/>
      <protection locked="0"/>
    </xf>
    <xf numFmtId="179" fontId="2" fillId="0" borderId="19" xfId="0" applyNumberFormat="1" applyFont="1" applyFill="1" applyBorder="1" applyAlignment="1" applyProtection="1">
      <alignment vertical="center" shrinkToFit="1"/>
      <protection locked="0"/>
    </xf>
    <xf numFmtId="179" fontId="2" fillId="0" borderId="17" xfId="0" applyNumberFormat="1" applyFont="1" applyFill="1" applyBorder="1" applyAlignment="1">
      <alignment vertical="center" shrinkToFit="1"/>
    </xf>
    <xf numFmtId="178" fontId="2" fillId="0" borderId="18" xfId="0" applyNumberFormat="1" applyFont="1" applyFill="1" applyBorder="1" applyAlignment="1">
      <alignment vertical="center"/>
    </xf>
    <xf numFmtId="179" fontId="2" fillId="0" borderId="18" xfId="1" applyNumberFormat="1" applyFont="1" applyFill="1" applyBorder="1" applyAlignment="1">
      <alignment vertical="center" shrinkToFit="1"/>
    </xf>
    <xf numFmtId="179" fontId="2" fillId="0" borderId="19" xfId="0" applyNumberFormat="1" applyFont="1" applyFill="1" applyBorder="1" applyAlignment="1">
      <alignment vertical="center" shrinkToFit="1"/>
    </xf>
    <xf numFmtId="0" fontId="2" fillId="0" borderId="17" xfId="0" applyFont="1" applyFill="1" applyBorder="1" applyAlignment="1">
      <alignment horizontal="center" vertical="center" shrinkToFit="1"/>
    </xf>
    <xf numFmtId="182" fontId="2" fillId="0" borderId="17" xfId="3" applyNumberFormat="1" applyFont="1" applyFill="1" applyBorder="1" applyAlignment="1" applyProtection="1">
      <alignment vertical="center" shrinkToFit="1"/>
      <protection locked="0"/>
    </xf>
    <xf numFmtId="182" fontId="2" fillId="0" borderId="18" xfId="3" applyNumberFormat="1" applyFont="1" applyFill="1" applyBorder="1" applyAlignment="1" applyProtection="1">
      <alignment vertical="center" shrinkToFit="1"/>
      <protection locked="0"/>
    </xf>
    <xf numFmtId="182" fontId="2" fillId="0" borderId="19" xfId="3" applyNumberFormat="1" applyFont="1" applyFill="1" applyBorder="1" applyAlignment="1" applyProtection="1">
      <alignment vertical="center" shrinkToFit="1"/>
      <protection locked="0"/>
    </xf>
    <xf numFmtId="180" fontId="2" fillId="4" borderId="17" xfId="3" applyNumberFormat="1" applyFont="1" applyFill="1" applyBorder="1" applyAlignment="1" applyProtection="1">
      <alignment vertical="center"/>
      <protection locked="0"/>
    </xf>
    <xf numFmtId="180" fontId="2" fillId="4" borderId="18" xfId="3" applyNumberFormat="1" applyFont="1" applyFill="1" applyBorder="1" applyAlignment="1" applyProtection="1">
      <alignment vertical="center"/>
      <protection locked="0"/>
    </xf>
    <xf numFmtId="180" fontId="2" fillId="4" borderId="19" xfId="3" applyNumberFormat="1" applyFont="1" applyFill="1" applyBorder="1" applyAlignment="1" applyProtection="1">
      <alignment vertical="center"/>
      <protection locked="0"/>
    </xf>
    <xf numFmtId="183" fontId="2" fillId="0" borderId="17" xfId="3" applyNumberFormat="1" applyFont="1" applyFill="1" applyBorder="1" applyAlignment="1">
      <alignment vertical="center"/>
    </xf>
    <xf numFmtId="183" fontId="2" fillId="0" borderId="17" xfId="3" applyNumberFormat="1" applyFont="1" applyFill="1" applyBorder="1" applyAlignment="1" applyProtection="1">
      <alignment vertical="center"/>
      <protection locked="0"/>
    </xf>
    <xf numFmtId="183" fontId="2" fillId="0" borderId="19" xfId="3" applyNumberFormat="1" applyFont="1" applyFill="1" applyBorder="1" applyAlignment="1">
      <alignment vertical="center"/>
    </xf>
    <xf numFmtId="183" fontId="2" fillId="0" borderId="18" xfId="3" applyNumberFormat="1" applyFont="1" applyFill="1" applyBorder="1" applyAlignment="1" applyProtection="1">
      <alignment vertical="center"/>
      <protection locked="0"/>
    </xf>
    <xf numFmtId="183" fontId="2" fillId="0" borderId="17" xfId="1" applyNumberFormat="1" applyFont="1" applyFill="1" applyBorder="1" applyAlignment="1">
      <alignment vertical="center"/>
    </xf>
    <xf numFmtId="183" fontId="2" fillId="0" borderId="17" xfId="1" applyNumberFormat="1" applyFont="1" applyFill="1" applyBorder="1" applyAlignment="1" applyProtection="1">
      <alignment vertical="center"/>
      <protection locked="0"/>
    </xf>
    <xf numFmtId="183" fontId="2" fillId="0" borderId="18" xfId="1" applyNumberFormat="1" applyFont="1" applyFill="1" applyBorder="1" applyAlignment="1" applyProtection="1">
      <alignment vertical="center"/>
      <protection locked="0"/>
    </xf>
    <xf numFmtId="183" fontId="2" fillId="0" borderId="19" xfId="1" applyNumberFormat="1" applyFont="1" applyFill="1" applyBorder="1" applyAlignment="1">
      <alignment vertical="center"/>
    </xf>
    <xf numFmtId="183" fontId="2" fillId="0" borderId="17" xfId="0" applyNumberFormat="1" applyFont="1" applyFill="1" applyBorder="1" applyAlignment="1">
      <alignment vertical="center"/>
    </xf>
    <xf numFmtId="183" fontId="2" fillId="0" borderId="19" xfId="0" applyNumberFormat="1" applyFont="1" applyFill="1" applyBorder="1" applyAlignment="1">
      <alignment vertical="center"/>
    </xf>
    <xf numFmtId="49" fontId="2" fillId="0" borderId="22" xfId="0" applyNumberFormat="1" applyFont="1" applyFill="1" applyBorder="1" applyAlignment="1">
      <alignment horizontal="center" vertical="center"/>
    </xf>
    <xf numFmtId="43" fontId="6" fillId="0" borderId="23" xfId="1" applyNumberFormat="1" applyFont="1" applyFill="1" applyBorder="1">
      <alignment vertical="center"/>
    </xf>
    <xf numFmtId="0" fontId="6" fillId="0" borderId="23" xfId="0" applyFont="1" applyFill="1" applyBorder="1" applyAlignment="1">
      <alignment horizontal="center" vertical="center" shrinkToFit="1"/>
    </xf>
    <xf numFmtId="183" fontId="2" fillId="0" borderId="23" xfId="0" applyNumberFormat="1" applyFont="1" applyFill="1" applyBorder="1" applyAlignment="1">
      <alignment vertical="center"/>
    </xf>
    <xf numFmtId="183" fontId="2" fillId="0" borderId="23" xfId="1" applyNumberFormat="1" applyFont="1" applyFill="1" applyBorder="1" applyAlignment="1" applyProtection="1">
      <alignment vertical="center"/>
      <protection locked="0"/>
    </xf>
    <xf numFmtId="183" fontId="2" fillId="0" borderId="24" xfId="1" applyNumberFormat="1" applyFont="1" applyFill="1" applyBorder="1" applyAlignment="1" applyProtection="1">
      <alignment vertical="center"/>
      <protection locked="0"/>
    </xf>
    <xf numFmtId="183" fontId="2" fillId="0" borderId="25" xfId="1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43" fontId="6" fillId="0" borderId="0" xfId="1" applyNumberFormat="1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177" fontId="2" fillId="0" borderId="21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21" xfId="0" applyNumberFormat="1" applyFont="1" applyFill="1" applyBorder="1">
      <alignment vertical="center"/>
    </xf>
    <xf numFmtId="178" fontId="2" fillId="0" borderId="0" xfId="0" applyNumberFormat="1" applyFont="1" applyFill="1" applyBorder="1" applyProtection="1">
      <alignment vertical="center"/>
      <protection locked="0"/>
    </xf>
    <xf numFmtId="178" fontId="2" fillId="0" borderId="21" xfId="0" applyNumberFormat="1" applyFont="1" applyFill="1" applyBorder="1" applyProtection="1">
      <alignment vertical="center"/>
      <protection locked="0"/>
    </xf>
    <xf numFmtId="178" fontId="2" fillId="2" borderId="20" xfId="0" applyNumberFormat="1" applyFont="1" applyFill="1" applyBorder="1" applyProtection="1">
      <alignment vertical="center"/>
      <protection locked="0"/>
    </xf>
    <xf numFmtId="178" fontId="2" fillId="0" borderId="21" xfId="1" applyNumberFormat="1" applyFont="1" applyFill="1" applyBorder="1" applyAlignment="1">
      <alignment vertical="center" shrinkToFit="1"/>
    </xf>
    <xf numFmtId="180" fontId="2" fillId="2" borderId="0" xfId="0" applyNumberFormat="1" applyFont="1" applyFill="1" applyBorder="1" applyProtection="1">
      <alignment vertical="center"/>
      <protection locked="0"/>
    </xf>
    <xf numFmtId="183" fontId="2" fillId="0" borderId="21" xfId="3" applyNumberFormat="1" applyFont="1" applyFill="1" applyBorder="1" applyAlignment="1" applyProtection="1">
      <alignment vertical="center" shrinkToFit="1"/>
      <protection locked="0"/>
    </xf>
    <xf numFmtId="181" fontId="2" fillId="0" borderId="0" xfId="3" applyNumberFormat="1" applyFont="1" applyFill="1" applyBorder="1" applyAlignment="1" applyProtection="1">
      <alignment vertical="center" shrinkToFit="1"/>
      <protection locked="0"/>
    </xf>
    <xf numFmtId="180" fontId="2" fillId="4" borderId="21" xfId="3" applyNumberFormat="1" applyFont="1" applyFill="1" applyBorder="1" applyAlignment="1" applyProtection="1">
      <alignment vertical="center"/>
      <protection locked="0"/>
    </xf>
    <xf numFmtId="180" fontId="2" fillId="4" borderId="0" xfId="3" applyNumberFormat="1" applyFont="1" applyFill="1" applyBorder="1" applyAlignment="1" applyProtection="1">
      <alignment vertical="center"/>
      <protection locked="0"/>
    </xf>
    <xf numFmtId="183" fontId="2" fillId="0" borderId="21" xfId="3" applyNumberFormat="1" applyFont="1" applyFill="1" applyBorder="1" applyAlignment="1" applyProtection="1">
      <alignment vertical="center"/>
      <protection locked="0"/>
    </xf>
    <xf numFmtId="183" fontId="2" fillId="0" borderId="0" xfId="3" applyNumberFormat="1" applyFont="1" applyFill="1" applyBorder="1" applyAlignment="1" applyProtection="1">
      <alignment vertical="center"/>
      <protection locked="0"/>
    </xf>
    <xf numFmtId="183" fontId="2" fillId="0" borderId="21" xfId="1" applyNumberFormat="1" applyFont="1" applyFill="1" applyBorder="1" applyAlignment="1" applyProtection="1">
      <alignment vertical="center"/>
      <protection locked="0"/>
    </xf>
    <xf numFmtId="183" fontId="2" fillId="0" borderId="0" xfId="1" applyNumberFormat="1" applyFont="1" applyFill="1" applyBorder="1" applyAlignment="1" applyProtection="1">
      <alignment vertical="center"/>
      <protection locked="0"/>
    </xf>
    <xf numFmtId="49" fontId="2" fillId="0" borderId="22" xfId="0" applyNumberFormat="1" applyFont="1" applyFill="1" applyBorder="1" applyAlignment="1">
      <alignment horizontal="center" vertical="center" shrinkToFit="1"/>
    </xf>
    <xf numFmtId="183" fontId="2" fillId="0" borderId="27" xfId="1" applyNumberFormat="1" applyFont="1" applyFill="1" applyBorder="1" applyAlignment="1" applyProtection="1">
      <alignment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177" fontId="2" fillId="0" borderId="18" xfId="0" applyNumberFormat="1" applyFont="1" applyFill="1" applyBorder="1">
      <alignment vertical="center"/>
    </xf>
    <xf numFmtId="177" fontId="2" fillId="0" borderId="30" xfId="0" applyNumberFormat="1" applyFont="1" applyFill="1" applyBorder="1" applyProtection="1">
      <alignment vertical="center"/>
      <protection locked="0"/>
    </xf>
    <xf numFmtId="177" fontId="2" fillId="0" borderId="0" xfId="0" applyNumberFormat="1" applyFont="1" applyFill="1" applyBorder="1" applyProtection="1">
      <alignment vertical="center"/>
      <protection locked="0"/>
    </xf>
    <xf numFmtId="177" fontId="2" fillId="0" borderId="18" xfId="0" applyNumberFormat="1" applyFont="1" applyFill="1" applyBorder="1" applyProtection="1">
      <alignment vertical="center"/>
      <protection locked="0"/>
    </xf>
    <xf numFmtId="178" fontId="2" fillId="0" borderId="18" xfId="0" applyNumberFormat="1" applyFont="1" applyFill="1" applyBorder="1" applyProtection="1">
      <alignment vertical="center"/>
      <protection locked="0"/>
    </xf>
    <xf numFmtId="178" fontId="2" fillId="0" borderId="18" xfId="0" applyNumberFormat="1" applyFont="1" applyFill="1" applyBorder="1">
      <alignment vertical="center"/>
    </xf>
    <xf numFmtId="178" fontId="2" fillId="0" borderId="18" xfId="1" applyNumberFormat="1" applyFont="1" applyFill="1" applyBorder="1" applyAlignment="1">
      <alignment vertical="center" shrinkToFit="1"/>
    </xf>
    <xf numFmtId="180" fontId="2" fillId="2" borderId="20" xfId="0" applyNumberFormat="1" applyFont="1" applyFill="1" applyBorder="1" applyProtection="1">
      <alignment vertical="center"/>
      <protection locked="0"/>
    </xf>
    <xf numFmtId="183" fontId="2" fillId="0" borderId="17" xfId="3" applyNumberFormat="1" applyFont="1" applyFill="1" applyBorder="1" applyAlignment="1" applyProtection="1">
      <alignment vertical="center" shrinkToFit="1"/>
      <protection locked="0"/>
    </xf>
    <xf numFmtId="181" fontId="2" fillId="0" borderId="19" xfId="3" applyNumberFormat="1" applyFont="1" applyFill="1" applyBorder="1" applyAlignment="1" applyProtection="1">
      <alignment vertical="center" shrinkToFit="1"/>
      <protection locked="0"/>
    </xf>
    <xf numFmtId="183" fontId="2" fillId="0" borderId="19" xfId="3" applyNumberFormat="1" applyFont="1" applyFill="1" applyBorder="1" applyAlignment="1" applyProtection="1">
      <alignment vertical="center"/>
      <protection locked="0"/>
    </xf>
    <xf numFmtId="183" fontId="2" fillId="0" borderId="19" xfId="1" applyNumberFormat="1" applyFont="1" applyFill="1" applyBorder="1" applyAlignment="1" applyProtection="1">
      <alignment vertical="center"/>
      <protection locked="0"/>
    </xf>
    <xf numFmtId="183" fontId="2" fillId="0" borderId="25" xfId="1" applyNumberFormat="1" applyFont="1" applyFill="1" applyBorder="1" applyAlignment="1" applyProtection="1">
      <alignment vertical="center"/>
      <protection locked="0"/>
    </xf>
    <xf numFmtId="0" fontId="6" fillId="0" borderId="28" xfId="0" applyFont="1" applyFill="1" applyBorder="1" applyAlignment="1">
      <alignment horizontal="center" vertical="center"/>
    </xf>
    <xf numFmtId="177" fontId="2" fillId="0" borderId="14" xfId="0" applyNumberFormat="1" applyFont="1" applyFill="1" applyBorder="1">
      <alignment vertical="center"/>
    </xf>
    <xf numFmtId="177" fontId="2" fillId="0" borderId="30" xfId="0" applyNumberFormat="1" applyFont="1" applyFill="1" applyBorder="1">
      <alignment vertical="center"/>
    </xf>
    <xf numFmtId="177" fontId="2" fillId="0" borderId="31" xfId="0" applyNumberFormat="1" applyFont="1" applyFill="1" applyBorder="1" applyProtection="1">
      <alignment vertical="center"/>
      <protection locked="0"/>
    </xf>
    <xf numFmtId="177" fontId="2" fillId="0" borderId="14" xfId="0" applyNumberFormat="1" applyFont="1" applyFill="1" applyBorder="1" applyProtection="1">
      <alignment vertical="center"/>
      <protection locked="0"/>
    </xf>
    <xf numFmtId="178" fontId="2" fillId="2" borderId="0" xfId="0" applyNumberFormat="1" applyFont="1" applyFill="1" applyBorder="1" applyProtection="1">
      <alignment vertical="center"/>
      <protection locked="0"/>
    </xf>
    <xf numFmtId="178" fontId="2" fillId="2" borderId="18" xfId="0" applyNumberFormat="1" applyFont="1" applyFill="1" applyBorder="1" applyProtection="1">
      <alignment vertical="center"/>
      <protection locked="0"/>
    </xf>
    <xf numFmtId="178" fontId="2" fillId="0" borderId="21" xfId="63" applyNumberFormat="1" applyFont="1" applyFill="1" applyBorder="1" applyProtection="1">
      <alignment vertical="center"/>
      <protection locked="0"/>
    </xf>
    <xf numFmtId="178" fontId="2" fillId="0" borderId="21" xfId="0" applyNumberFormat="1" applyFont="1" applyFill="1" applyBorder="1" applyAlignment="1">
      <alignment horizontal="right" vertical="center"/>
    </xf>
    <xf numFmtId="183" fontId="2" fillId="0" borderId="17" xfId="0" applyNumberFormat="1" applyFont="1" applyFill="1" applyBorder="1" applyProtection="1">
      <alignment vertical="center"/>
      <protection locked="0"/>
    </xf>
    <xf numFmtId="183" fontId="2" fillId="0" borderId="32" xfId="0" applyNumberFormat="1" applyFont="1" applyFill="1" applyBorder="1" applyAlignment="1">
      <alignment horizontal="right" vertical="center"/>
    </xf>
    <xf numFmtId="183" fontId="2" fillId="0" borderId="16" xfId="0" applyNumberFormat="1" applyFont="1" applyFill="1" applyBorder="1" applyProtection="1">
      <alignment vertical="center"/>
      <protection locked="0"/>
    </xf>
    <xf numFmtId="183" fontId="2" fillId="0" borderId="0" xfId="0" applyNumberFormat="1" applyFont="1" applyFill="1" applyBorder="1" applyAlignment="1">
      <alignment horizontal="right" vertical="center"/>
    </xf>
    <xf numFmtId="181" fontId="2" fillId="0" borderId="21" xfId="3" applyNumberFormat="1" applyFont="1" applyFill="1" applyBorder="1" applyAlignment="1" applyProtection="1">
      <alignment vertical="center" shrinkToFit="1"/>
      <protection locked="0"/>
    </xf>
    <xf numFmtId="181" fontId="2" fillId="0" borderId="16" xfId="3" applyNumberFormat="1" applyFont="1" applyFill="1" applyBorder="1" applyAlignment="1" applyProtection="1">
      <alignment vertical="center" shrinkToFit="1"/>
      <protection locked="0"/>
    </xf>
    <xf numFmtId="178" fontId="2" fillId="0" borderId="32" xfId="0" applyNumberFormat="1" applyFont="1" applyFill="1" applyBorder="1">
      <alignment vertical="center"/>
    </xf>
    <xf numFmtId="178" fontId="2" fillId="0" borderId="16" xfId="0" applyNumberFormat="1" applyFont="1" applyFill="1" applyBorder="1" applyProtection="1">
      <alignment vertical="center"/>
      <protection locked="0"/>
    </xf>
    <xf numFmtId="182" fontId="2" fillId="0" borderId="21" xfId="3" applyNumberFormat="1" applyFont="1" applyFill="1" applyBorder="1" applyAlignment="1" applyProtection="1">
      <alignment vertical="center" shrinkToFit="1"/>
      <protection locked="0"/>
    </xf>
    <xf numFmtId="182" fontId="2" fillId="0" borderId="16" xfId="3" applyNumberFormat="1" applyFont="1" applyFill="1" applyBorder="1" applyAlignment="1" applyProtection="1">
      <alignment vertical="center" shrinkToFit="1"/>
      <protection locked="0"/>
    </xf>
    <xf numFmtId="43" fontId="6" fillId="0" borderId="23" xfId="1" applyNumberFormat="1" applyFont="1" applyFill="1" applyBorder="1" applyAlignment="1">
      <alignment vertical="center" shrinkToFit="1"/>
    </xf>
    <xf numFmtId="0" fontId="2" fillId="0" borderId="23" xfId="0" applyFont="1" applyFill="1" applyBorder="1" applyAlignment="1">
      <alignment horizontal="center" vertical="center" shrinkToFit="1"/>
    </xf>
    <xf numFmtId="180" fontId="2" fillId="4" borderId="23" xfId="3" applyNumberFormat="1" applyFont="1" applyFill="1" applyBorder="1" applyAlignment="1" applyProtection="1">
      <alignment vertical="center"/>
      <protection locked="0"/>
    </xf>
    <xf numFmtId="180" fontId="2" fillId="4" borderId="27" xfId="3" applyNumberFormat="1" applyFont="1" applyFill="1" applyBorder="1" applyAlignment="1" applyProtection="1">
      <alignment vertical="center"/>
      <protection locked="0"/>
    </xf>
    <xf numFmtId="180" fontId="2" fillId="4" borderId="22" xfId="3" applyNumberFormat="1" applyFont="1" applyFill="1" applyBorder="1" applyAlignment="1" applyProtection="1">
      <alignment vertical="center"/>
      <protection locked="0"/>
    </xf>
    <xf numFmtId="180" fontId="2" fillId="4" borderId="24" xfId="3" applyNumberFormat="1" applyFont="1" applyFill="1" applyBorder="1" applyAlignment="1" applyProtection="1">
      <alignment vertical="center"/>
      <protection locked="0"/>
    </xf>
    <xf numFmtId="0" fontId="5" fillId="0" borderId="0" xfId="0" applyFont="1" applyFill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177" fontId="2" fillId="0" borderId="9" xfId="0" applyNumberFormat="1" applyFont="1" applyFill="1" applyBorder="1">
      <alignment vertical="center"/>
    </xf>
    <xf numFmtId="177" fontId="2" fillId="0" borderId="10" xfId="0" applyNumberFormat="1" applyFont="1" applyFill="1" applyBorder="1">
      <alignment vertical="center"/>
    </xf>
    <xf numFmtId="177" fontId="2" fillId="0" borderId="9" xfId="0" applyNumberFormat="1" applyFont="1" applyFill="1" applyBorder="1" applyProtection="1">
      <alignment vertical="center"/>
      <protection locked="0"/>
    </xf>
    <xf numFmtId="178" fontId="2" fillId="0" borderId="9" xfId="0" applyNumberFormat="1" applyFont="1" applyFill="1" applyBorder="1">
      <alignment vertical="center"/>
    </xf>
    <xf numFmtId="178" fontId="2" fillId="0" borderId="10" xfId="0" applyNumberFormat="1" applyFont="1" applyFill="1" applyBorder="1">
      <alignment vertical="center"/>
    </xf>
    <xf numFmtId="178" fontId="2" fillId="5" borderId="9" xfId="0" applyNumberFormat="1" applyFont="1" applyFill="1" applyBorder="1" applyProtection="1">
      <alignment vertical="center"/>
      <protection locked="0"/>
    </xf>
    <xf numFmtId="180" fontId="2" fillId="2" borderId="10" xfId="0" applyNumberFormat="1" applyFont="1" applyFill="1" applyBorder="1">
      <alignment vertical="center"/>
    </xf>
    <xf numFmtId="178" fontId="2" fillId="0" borderId="9" xfId="0" applyNumberFormat="1" applyFont="1" applyFill="1" applyBorder="1" applyProtection="1">
      <alignment vertical="center"/>
      <protection locked="0"/>
    </xf>
    <xf numFmtId="183" fontId="2" fillId="0" borderId="9" xfId="3" applyNumberFormat="1" applyFont="1" applyFill="1" applyBorder="1" applyAlignment="1" applyProtection="1">
      <alignment vertical="center" shrinkToFit="1"/>
      <protection locked="0"/>
    </xf>
    <xf numFmtId="180" fontId="2" fillId="4" borderId="9" xfId="3" applyNumberFormat="1" applyFont="1" applyFill="1" applyBorder="1" applyAlignment="1" applyProtection="1">
      <alignment vertical="center"/>
      <protection locked="0"/>
    </xf>
    <xf numFmtId="182" fontId="2" fillId="0" borderId="0" xfId="3" applyNumberFormat="1" applyFont="1" applyFill="1" applyBorder="1" applyAlignment="1" applyProtection="1">
      <alignment vertical="center"/>
      <protection locked="0"/>
    </xf>
    <xf numFmtId="0" fontId="5" fillId="0" borderId="0" xfId="0" applyFont="1" applyFill="1">
      <alignment vertical="center"/>
    </xf>
    <xf numFmtId="183" fontId="2" fillId="0" borderId="9" xfId="3" applyNumberFormat="1" applyFont="1" applyFill="1" applyBorder="1" applyAlignment="1" applyProtection="1">
      <alignment vertical="center"/>
      <protection locked="0"/>
    </xf>
    <xf numFmtId="183" fontId="2" fillId="0" borderId="9" xfId="1" applyNumberFormat="1" applyFont="1" applyFill="1" applyBorder="1" applyAlignment="1" applyProtection="1">
      <alignment vertical="center"/>
      <protection locked="0"/>
    </xf>
    <xf numFmtId="180" fontId="2" fillId="3" borderId="20" xfId="1" applyNumberFormat="1" applyFont="1" applyFill="1" applyBorder="1" applyAlignment="1">
      <alignment vertical="center" shrinkToFit="1"/>
    </xf>
    <xf numFmtId="178" fontId="1" fillId="3" borderId="17" xfId="0" applyNumberFormat="1" applyFont="1" applyFill="1" applyBorder="1" applyAlignment="1" applyProtection="1">
      <alignment vertical="center"/>
      <protection locked="0"/>
    </xf>
    <xf numFmtId="180" fontId="2" fillId="3" borderId="17" xfId="0" applyNumberFormat="1" applyFont="1" applyFill="1" applyBorder="1" applyAlignment="1" applyProtection="1">
      <alignment vertical="center" wrapText="1"/>
      <protection locked="0"/>
    </xf>
    <xf numFmtId="180" fontId="2" fillId="3" borderId="0" xfId="0" applyNumberFormat="1" applyFont="1" applyFill="1" applyBorder="1" applyProtection="1">
      <alignment vertical="center"/>
      <protection locked="0"/>
    </xf>
    <xf numFmtId="180" fontId="2" fillId="3" borderId="20" xfId="0" applyNumberFormat="1" applyFont="1" applyFill="1" applyBorder="1" applyProtection="1">
      <alignment vertical="center"/>
      <protection locked="0"/>
    </xf>
    <xf numFmtId="180" fontId="2" fillId="3" borderId="10" xfId="0" applyNumberFormat="1" applyFont="1" applyFill="1" applyBorder="1">
      <alignment vertical="center"/>
    </xf>
    <xf numFmtId="178" fontId="2" fillId="3" borderId="17" xfId="0" applyNumberFormat="1" applyFont="1" applyFill="1" applyBorder="1" applyAlignment="1" applyProtection="1">
      <alignment vertical="center" wrapText="1"/>
      <protection locked="0"/>
    </xf>
    <xf numFmtId="182" fontId="2" fillId="3" borderId="17" xfId="3" applyNumberFormat="1" applyFont="1" applyFill="1" applyBorder="1" applyAlignment="1" applyProtection="1">
      <alignment vertical="center"/>
      <protection locked="0"/>
    </xf>
    <xf numFmtId="182" fontId="2" fillId="4" borderId="17" xfId="3" applyNumberFormat="1" applyFont="1" applyFill="1" applyBorder="1" applyAlignment="1" applyProtection="1">
      <alignment vertical="center"/>
      <protection locked="0"/>
    </xf>
    <xf numFmtId="182" fontId="2" fillId="3" borderId="18" xfId="3" applyNumberFormat="1" applyFont="1" applyFill="1" applyBorder="1" applyAlignment="1" applyProtection="1">
      <alignment vertical="center"/>
      <protection locked="0"/>
    </xf>
    <xf numFmtId="178" fontId="2" fillId="3" borderId="0" xfId="0" applyNumberFormat="1" applyFont="1" applyFill="1" applyBorder="1" applyProtection="1">
      <alignment vertical="center"/>
      <protection locked="0"/>
    </xf>
    <xf numFmtId="182" fontId="2" fillId="3" borderId="21" xfId="3" applyNumberFormat="1" applyFont="1" applyFill="1" applyBorder="1" applyAlignment="1" applyProtection="1">
      <alignment vertical="center"/>
      <protection locked="0"/>
    </xf>
    <xf numFmtId="178" fontId="2" fillId="3" borderId="20" xfId="0" applyNumberFormat="1" applyFont="1" applyFill="1" applyBorder="1" applyProtection="1">
      <alignment vertical="center"/>
      <protection locked="0"/>
    </xf>
    <xf numFmtId="182" fontId="2" fillId="3" borderId="23" xfId="3" applyNumberFormat="1" applyFont="1" applyFill="1" applyBorder="1" applyAlignment="1" applyProtection="1">
      <alignment vertical="center"/>
      <protection locked="0"/>
    </xf>
    <xf numFmtId="182" fontId="2" fillId="3" borderId="27" xfId="3" applyNumberFormat="1" applyFont="1" applyFill="1" applyBorder="1" applyAlignment="1" applyProtection="1">
      <alignment vertical="center"/>
      <protection locked="0"/>
    </xf>
    <xf numFmtId="178" fontId="2" fillId="3" borderId="10" xfId="0" applyNumberFormat="1" applyFont="1" applyFill="1" applyBorder="1">
      <alignment vertical="center"/>
    </xf>
    <xf numFmtId="182" fontId="2" fillId="3" borderId="9" xfId="3" applyNumberFormat="1" applyFont="1" applyFill="1" applyBorder="1" applyAlignment="1" applyProtection="1">
      <alignment vertical="center"/>
      <protection locked="0"/>
    </xf>
    <xf numFmtId="178" fontId="2" fillId="2" borderId="17" xfId="0" applyNumberFormat="1" applyFont="1" applyFill="1" applyBorder="1" applyAlignment="1" applyProtection="1">
      <alignment vertical="center" wrapText="1"/>
      <protection locked="0"/>
    </xf>
    <xf numFmtId="182" fontId="2" fillId="4" borderId="18" xfId="3" applyNumberFormat="1" applyFont="1" applyFill="1" applyBorder="1" applyAlignment="1" applyProtection="1">
      <alignment vertical="center"/>
      <protection locked="0"/>
    </xf>
    <xf numFmtId="182" fontId="2" fillId="4" borderId="19" xfId="3" applyNumberFormat="1" applyFont="1" applyFill="1" applyBorder="1" applyAlignment="1" applyProtection="1">
      <alignment vertical="center"/>
      <protection locked="0"/>
    </xf>
    <xf numFmtId="182" fontId="2" fillId="4" borderId="21" xfId="3" applyNumberFormat="1" applyFont="1" applyFill="1" applyBorder="1" applyAlignment="1" applyProtection="1">
      <alignment vertical="center"/>
      <protection locked="0"/>
    </xf>
    <xf numFmtId="182" fontId="2" fillId="4" borderId="0" xfId="3" applyNumberFormat="1" applyFont="1" applyFill="1" applyBorder="1" applyAlignment="1" applyProtection="1">
      <alignment vertical="center"/>
      <protection locked="0"/>
    </xf>
    <xf numFmtId="182" fontId="2" fillId="4" borderId="23" xfId="3" applyNumberFormat="1" applyFont="1" applyFill="1" applyBorder="1" applyAlignment="1" applyProtection="1">
      <alignment vertical="center"/>
      <protection locked="0"/>
    </xf>
    <xf numFmtId="182" fontId="2" fillId="4" borderId="27" xfId="3" applyNumberFormat="1" applyFont="1" applyFill="1" applyBorder="1" applyAlignment="1" applyProtection="1">
      <alignment vertical="center"/>
      <protection locked="0"/>
    </xf>
    <xf numFmtId="182" fontId="2" fillId="4" borderId="22" xfId="3" applyNumberFormat="1" applyFont="1" applyFill="1" applyBorder="1" applyAlignment="1" applyProtection="1">
      <alignment vertical="center"/>
      <protection locked="0"/>
    </xf>
    <xf numFmtId="182" fontId="2" fillId="4" borderId="24" xfId="3" applyNumberFormat="1" applyFont="1" applyFill="1" applyBorder="1" applyAlignment="1" applyProtection="1">
      <alignment vertical="center"/>
      <protection locked="0"/>
    </xf>
    <xf numFmtId="178" fontId="2" fillId="2" borderId="10" xfId="0" applyNumberFormat="1" applyFont="1" applyFill="1" applyBorder="1">
      <alignment vertical="center"/>
    </xf>
    <xf numFmtId="182" fontId="2" fillId="4" borderId="9" xfId="3" applyNumberFormat="1" applyFont="1" applyFill="1" applyBorder="1" applyAlignment="1" applyProtection="1">
      <alignment vertical="center"/>
      <protection locked="0"/>
    </xf>
    <xf numFmtId="178" fontId="1" fillId="0" borderId="17" xfId="0" applyNumberFormat="1" applyFont="1" applyFill="1" applyBorder="1" applyAlignment="1" applyProtection="1">
      <alignment vertical="center"/>
      <protection locked="0"/>
    </xf>
    <xf numFmtId="43" fontId="2" fillId="0" borderId="19" xfId="1" applyNumberFormat="1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179" fontId="2" fillId="2" borderId="17" xfId="1" applyNumberFormat="1" applyFont="1" applyFill="1" applyBorder="1" applyAlignment="1" applyProtection="1">
      <alignment vertical="center" shrinkToFit="1"/>
      <protection locked="0"/>
    </xf>
    <xf numFmtId="179" fontId="2" fillId="2" borderId="20" xfId="1" applyNumberFormat="1" applyFont="1" applyFill="1" applyBorder="1" applyAlignment="1" applyProtection="1">
      <alignment vertical="center" shrinkToFit="1"/>
      <protection locked="0"/>
    </xf>
    <xf numFmtId="179" fontId="2" fillId="0" borderId="20" xfId="1" applyNumberFormat="1" applyFont="1" applyFill="1" applyBorder="1" applyAlignment="1" applyProtection="1">
      <alignment vertical="center" shrinkToFit="1"/>
      <protection locked="0"/>
    </xf>
    <xf numFmtId="180" fontId="1" fillId="2" borderId="17" xfId="0" applyNumberFormat="1" applyFont="1" applyFill="1" applyBorder="1" applyProtection="1">
      <alignment vertical="center"/>
      <protection locked="0"/>
    </xf>
    <xf numFmtId="179" fontId="2" fillId="2" borderId="18" xfId="1" applyNumberFormat="1" applyFont="1" applyFill="1" applyBorder="1" applyAlignment="1" applyProtection="1">
      <alignment vertical="center" shrinkToFit="1"/>
      <protection locked="0"/>
    </xf>
    <xf numFmtId="178" fontId="2" fillId="4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Fill="1" applyBorder="1" applyAlignment="1">
      <alignment horizontal="right"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>
    <mruColors>
      <color rgb="0092D050"/>
      <color rgb="00FFC000"/>
      <color rgb="0000B0F0"/>
      <color rgb="00000000"/>
      <color rgb="00A367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2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0" sqref="G30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12" si="0">E3+F3+G3</f>
        <v>176</v>
      </c>
      <c r="I3" s="26">
        <v>348</v>
      </c>
      <c r="J3" s="22">
        <v>162</v>
      </c>
      <c r="K3" s="22">
        <f>F3</f>
        <v>0</v>
      </c>
      <c r="L3" s="27">
        <v>14</v>
      </c>
      <c r="M3" s="25">
        <f t="shared" ref="M3:M12" si="1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>
        <v>1769458.54</v>
      </c>
      <c r="F4" s="33"/>
      <c r="G4" s="34">
        <v>2309228.93</v>
      </c>
      <c r="H4" s="35">
        <f t="shared" si="0"/>
        <v>4078687.47</v>
      </c>
      <c r="I4" s="228"/>
      <c r="J4" s="32">
        <v>1769458.54</v>
      </c>
      <c r="K4" s="37">
        <f t="shared" ref="J4:L4" si="2">F4</f>
        <v>0</v>
      </c>
      <c r="L4" s="41">
        <f t="shared" si="2"/>
        <v>2309228.93</v>
      </c>
      <c r="M4" s="35">
        <f t="shared" si="1"/>
        <v>4078687.47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228"/>
      <c r="J5" s="32">
        <v>55000</v>
      </c>
      <c r="K5" s="37">
        <f t="shared" ref="J5:L5" si="3">F5</f>
        <v>0</v>
      </c>
      <c r="L5" s="38">
        <f t="shared" si="3"/>
        <v>0</v>
      </c>
      <c r="M5" s="35">
        <f t="shared" si="1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>E4</f>
        <v>1769458.54</v>
      </c>
      <c r="F6" s="34">
        <f>F4</f>
        <v>0</v>
      </c>
      <c r="G6" s="34">
        <f>G4</f>
        <v>2309228.93</v>
      </c>
      <c r="H6" s="35">
        <f t="shared" si="0"/>
        <v>4078687.47</v>
      </c>
      <c r="I6" s="229"/>
      <c r="J6" s="41">
        <f t="shared" ref="J6:J13" si="4">E6</f>
        <v>1769458.54</v>
      </c>
      <c r="K6" s="41">
        <f t="shared" ref="K6:K12" si="5">F6</f>
        <v>0</v>
      </c>
      <c r="L6" s="41">
        <f t="shared" ref="L6:L13" si="6">G6</f>
        <v>2309228.93</v>
      </c>
      <c r="M6" s="35">
        <f t="shared" si="1"/>
        <v>4078687.47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 t="s">
        <v>17</v>
      </c>
      <c r="E7" s="40">
        <v>0</v>
      </c>
      <c r="F7" s="40">
        <v>0</v>
      </c>
      <c r="G7" s="40">
        <v>0</v>
      </c>
      <c r="H7" s="35">
        <f t="shared" si="0"/>
        <v>0</v>
      </c>
      <c r="I7" s="70"/>
      <c r="J7" s="230">
        <f t="shared" si="4"/>
        <v>0</v>
      </c>
      <c r="K7" s="230">
        <f t="shared" si="5"/>
        <v>0</v>
      </c>
      <c r="L7" s="230">
        <f t="shared" si="6"/>
        <v>0</v>
      </c>
      <c r="M7" s="35">
        <f t="shared" si="1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>
        <v>740710</v>
      </c>
      <c r="E8" s="40">
        <v>156456.25</v>
      </c>
      <c r="F8" s="39"/>
      <c r="G8" s="34">
        <v>255718.258551189</v>
      </c>
      <c r="H8" s="35">
        <f t="shared" si="0"/>
        <v>412174.508551189</v>
      </c>
      <c r="I8" s="231">
        <f t="shared" ref="I8:I11" si="7">D8</f>
        <v>740710</v>
      </c>
      <c r="J8" s="231">
        <f t="shared" si="4"/>
        <v>156456.25</v>
      </c>
      <c r="K8" s="231">
        <f t="shared" si="5"/>
        <v>0</v>
      </c>
      <c r="L8" s="231">
        <f t="shared" si="6"/>
        <v>255718.258551189</v>
      </c>
      <c r="M8" s="35">
        <f t="shared" si="1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227">
        <v>4030</v>
      </c>
      <c r="F9" s="39"/>
      <c r="G9" s="39"/>
      <c r="H9" s="35">
        <f t="shared" si="0"/>
        <v>4030</v>
      </c>
      <c r="I9" s="40"/>
      <c r="J9" s="230">
        <f t="shared" si="4"/>
        <v>4030</v>
      </c>
      <c r="K9" s="230">
        <f t="shared" si="5"/>
        <v>0</v>
      </c>
      <c r="L9" s="230">
        <f t="shared" si="6"/>
        <v>0</v>
      </c>
      <c r="M9" s="35">
        <f t="shared" si="1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>
        <v>42844</v>
      </c>
      <c r="E10" s="33">
        <v>12660</v>
      </c>
      <c r="F10" s="39"/>
      <c r="G10" s="34">
        <v>513</v>
      </c>
      <c r="H10" s="35">
        <f t="shared" si="0"/>
        <v>13173</v>
      </c>
      <c r="I10" s="231">
        <f t="shared" si="7"/>
        <v>42844</v>
      </c>
      <c r="J10" s="231">
        <f t="shared" si="4"/>
        <v>12660</v>
      </c>
      <c r="K10" s="231">
        <f t="shared" si="5"/>
        <v>0</v>
      </c>
      <c r="L10" s="231">
        <f t="shared" si="6"/>
        <v>513</v>
      </c>
      <c r="M10" s="35">
        <f t="shared" si="1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>
        <v>9</v>
      </c>
      <c r="E11" s="40"/>
      <c r="F11" s="40"/>
      <c r="G11" s="40">
        <v>0</v>
      </c>
      <c r="H11" s="35">
        <f t="shared" si="0"/>
        <v>0</v>
      </c>
      <c r="I11" s="231">
        <f t="shared" si="7"/>
        <v>9</v>
      </c>
      <c r="J11" s="231">
        <f t="shared" si="4"/>
        <v>0</v>
      </c>
      <c r="K11" s="231">
        <f t="shared" si="5"/>
        <v>0</v>
      </c>
      <c r="L11" s="231">
        <f t="shared" si="6"/>
        <v>0</v>
      </c>
      <c r="M11" s="35">
        <f t="shared" si="1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27625.9182537601</v>
      </c>
      <c r="E12" s="46">
        <f t="shared" si="8"/>
        <v>7626.19</v>
      </c>
      <c r="F12" s="46">
        <f t="shared" si="8"/>
        <v>0</v>
      </c>
      <c r="G12" s="46">
        <f t="shared" si="8"/>
        <v>341.787142941028</v>
      </c>
      <c r="H12" s="35">
        <f t="shared" si="0"/>
        <v>7967.97714294103</v>
      </c>
      <c r="I12" s="232">
        <f>I13+I14</f>
        <v>27625.9182537601</v>
      </c>
      <c r="J12" s="230">
        <f t="shared" si="4"/>
        <v>7626.19</v>
      </c>
      <c r="K12" s="230">
        <f t="shared" si="5"/>
        <v>0</v>
      </c>
      <c r="L12" s="230">
        <f t="shared" si="6"/>
        <v>341.787142941028</v>
      </c>
      <c r="M12" s="35">
        <f t="shared" si="1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>
        <v>27612.8043537601</v>
      </c>
      <c r="E13" s="40">
        <v>7626.19</v>
      </c>
      <c r="F13" s="40"/>
      <c r="G13" s="46">
        <v>341.787142941028</v>
      </c>
      <c r="H13" s="49"/>
      <c r="I13" s="231">
        <f t="shared" ref="I13:I16" si="9">D13</f>
        <v>27612.8043537601</v>
      </c>
      <c r="J13" s="230">
        <f t="shared" si="4"/>
        <v>7626.19</v>
      </c>
      <c r="K13" s="40"/>
      <c r="L13" s="231">
        <f t="shared" si="6"/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>
        <v>13.1139</v>
      </c>
      <c r="E14" s="40"/>
      <c r="F14" s="40"/>
      <c r="G14" s="40"/>
      <c r="H14" s="49"/>
      <c r="I14" s="231">
        <f t="shared" si="9"/>
        <v>13.1139</v>
      </c>
      <c r="J14" s="40"/>
      <c r="K14" s="40"/>
      <c r="L14" s="40"/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>
        <v>14442</v>
      </c>
      <c r="E15" s="50">
        <v>22828</v>
      </c>
      <c r="F15" s="39"/>
      <c r="G15" s="34">
        <v>48986</v>
      </c>
      <c r="H15" s="35"/>
      <c r="I15" s="231">
        <f t="shared" si="9"/>
        <v>14442</v>
      </c>
      <c r="J15" s="231">
        <f t="shared" ref="J15:L15" si="10">E15</f>
        <v>22828</v>
      </c>
      <c r="K15" s="230">
        <f t="shared" si="10"/>
        <v>0</v>
      </c>
      <c r="L15" s="231">
        <f t="shared" si="10"/>
        <v>48986</v>
      </c>
      <c r="M15" s="35">
        <f t="shared" ref="M15:M17" si="11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>
        <v>300</v>
      </c>
      <c r="E16" s="50"/>
      <c r="F16" s="39"/>
      <c r="G16" s="39"/>
      <c r="H16" s="35"/>
      <c r="I16" s="231">
        <f t="shared" si="9"/>
        <v>300</v>
      </c>
      <c r="J16" s="230">
        <f>E16</f>
        <v>0</v>
      </c>
      <c r="K16" s="230">
        <f>F16</f>
        <v>0</v>
      </c>
      <c r="L16" s="230">
        <f t="shared" ref="L15:L19" si="12">G16</f>
        <v>0</v>
      </c>
      <c r="M16" s="35">
        <f t="shared" si="11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5088913.6</v>
      </c>
      <c r="E17" s="50">
        <v>1787714.1</v>
      </c>
      <c r="F17" s="39"/>
      <c r="G17" s="34">
        <v>1187191.5</v>
      </c>
      <c r="H17" s="35"/>
      <c r="I17" s="231">
        <f t="shared" ref="I17:I21" si="13">D17</f>
        <v>5088913.6</v>
      </c>
      <c r="J17" s="231">
        <f>E17</f>
        <v>1787714.1</v>
      </c>
      <c r="K17" s="230"/>
      <c r="L17" s="231">
        <f t="shared" si="12"/>
        <v>1187191.5</v>
      </c>
      <c r="M17" s="35">
        <f t="shared" si="11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>
        <v>5088913.6</v>
      </c>
      <c r="E18" s="50"/>
      <c r="F18" s="39"/>
      <c r="G18" s="39"/>
      <c r="H18" s="49"/>
      <c r="I18" s="231">
        <f t="shared" si="13"/>
        <v>5088913.6</v>
      </c>
      <c r="J18" s="40"/>
      <c r="K18" s="40"/>
      <c r="L18" s="40"/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>
        <v>0</v>
      </c>
      <c r="E19" s="34">
        <f>E17</f>
        <v>1787714.1</v>
      </c>
      <c r="F19" s="34">
        <f>F17</f>
        <v>0</v>
      </c>
      <c r="G19" s="34">
        <f>G17</f>
        <v>1187191.5</v>
      </c>
      <c r="H19" s="49"/>
      <c r="I19" s="231">
        <f t="shared" si="13"/>
        <v>0</v>
      </c>
      <c r="J19" s="40"/>
      <c r="K19" s="40"/>
      <c r="L19" s="230">
        <f t="shared" si="12"/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>
        <v>13000</v>
      </c>
      <c r="E20" s="50"/>
      <c r="F20" s="39"/>
      <c r="G20" s="39"/>
      <c r="H20" s="49"/>
      <c r="I20" s="231">
        <f t="shared" si="13"/>
        <v>13000</v>
      </c>
      <c r="J20" s="40"/>
      <c r="K20" s="40"/>
      <c r="L20" s="40"/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>
        <v>571020.4</v>
      </c>
      <c r="E21" s="50"/>
      <c r="F21" s="39"/>
      <c r="G21" s="39"/>
      <c r="H21" s="49"/>
      <c r="I21" s="231">
        <f t="shared" si="13"/>
        <v>571020.4</v>
      </c>
      <c r="J21" s="40"/>
      <c r="K21" s="40"/>
      <c r="L21" s="40"/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>
        <v>734.29</v>
      </c>
      <c r="E22" s="57">
        <v>43.975</v>
      </c>
      <c r="F22" s="57"/>
      <c r="G22" s="57">
        <v>7.925</v>
      </c>
      <c r="H22" s="58"/>
      <c r="I22" s="231">
        <f t="shared" ref="I22:L22" si="14">D22</f>
        <v>734.29</v>
      </c>
      <c r="J22" s="233">
        <v>43.975</v>
      </c>
      <c r="K22" s="233">
        <f t="shared" si="14"/>
        <v>0</v>
      </c>
      <c r="L22" s="231">
        <f t="shared" si="14"/>
        <v>7.925</v>
      </c>
      <c r="M22" s="59">
        <f t="shared" ref="M22:M27" si="15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>
        <v>253.8</v>
      </c>
      <c r="E23" s="57">
        <v>28.64</v>
      </c>
      <c r="F23" s="57"/>
      <c r="G23" s="57">
        <v>1.925</v>
      </c>
      <c r="H23" s="58"/>
      <c r="I23" s="231">
        <f t="shared" ref="I23:L23" si="16">D23</f>
        <v>253.8</v>
      </c>
      <c r="J23" s="233">
        <v>28.64</v>
      </c>
      <c r="K23" s="233">
        <f t="shared" si="16"/>
        <v>0</v>
      </c>
      <c r="L23" s="231">
        <f t="shared" si="16"/>
        <v>1.925</v>
      </c>
      <c r="M23" s="59">
        <f t="shared" si="15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>
        <f t="shared" ref="D24:M24" si="17">D17/D8</f>
        <v>6.87031847821685</v>
      </c>
      <c r="E24" s="60">
        <f t="shared" si="17"/>
        <v>11.4262875404466</v>
      </c>
      <c r="F24" s="60" t="e">
        <f t="shared" si="17"/>
        <v>#DIV/0!</v>
      </c>
      <c r="G24" s="60">
        <f t="shared" si="17"/>
        <v>4.64257619587359</v>
      </c>
      <c r="H24" s="61">
        <f t="shared" si="17"/>
        <v>0</v>
      </c>
      <c r="I24" s="62">
        <f t="shared" si="17"/>
        <v>6.87031847821685</v>
      </c>
      <c r="J24" s="60">
        <f t="shared" si="17"/>
        <v>11.4262875404466</v>
      </c>
      <c r="K24" s="60" t="e">
        <f t="shared" si="17"/>
        <v>#DIV/0!</v>
      </c>
      <c r="L24" s="60">
        <f t="shared" si="17"/>
        <v>4.64257619587359</v>
      </c>
      <c r="M24" s="61">
        <f t="shared" si="17"/>
        <v>7.21758754673335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>
        <f t="shared" ref="D25:M25" si="18">D12*1000/D8</f>
        <v>37.2965374488803</v>
      </c>
      <c r="E25" s="60">
        <f t="shared" si="18"/>
        <v>48.7432748771621</v>
      </c>
      <c r="F25" s="60" t="e">
        <f t="shared" si="18"/>
        <v>#DIV/0!</v>
      </c>
      <c r="G25" s="60">
        <f t="shared" si="18"/>
        <v>1.33657700031853</v>
      </c>
      <c r="H25" s="61">
        <f t="shared" si="18"/>
        <v>19.3315621845436</v>
      </c>
      <c r="I25" s="62">
        <f t="shared" si="18"/>
        <v>37.2965374488803</v>
      </c>
      <c r="J25" s="60">
        <f t="shared" si="18"/>
        <v>48.7432748771621</v>
      </c>
      <c r="K25" s="60" t="e">
        <f t="shared" si="18"/>
        <v>#DIV/0!</v>
      </c>
      <c r="L25" s="60">
        <f t="shared" si="18"/>
        <v>1.33657700031853</v>
      </c>
      <c r="M25" s="61">
        <f t="shared" si="18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>
        <v>16216</v>
      </c>
      <c r="E26" s="64">
        <v>9596</v>
      </c>
      <c r="F26" s="65"/>
      <c r="G26" s="34">
        <v>119</v>
      </c>
      <c r="H26" s="66"/>
      <c r="I26" s="231">
        <f t="shared" ref="I26:L26" si="19">D26</f>
        <v>16216</v>
      </c>
      <c r="J26" s="231">
        <f t="shared" si="19"/>
        <v>9596</v>
      </c>
      <c r="K26" s="234">
        <f t="shared" si="19"/>
        <v>0</v>
      </c>
      <c r="L26" s="231">
        <f t="shared" si="19"/>
        <v>119</v>
      </c>
      <c r="M26" s="66">
        <f t="shared" si="15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>
        <v>23827</v>
      </c>
      <c r="E27" s="68">
        <v>9506</v>
      </c>
      <c r="F27" s="68">
        <f>K27</f>
        <v>0</v>
      </c>
      <c r="G27" s="68">
        <v>714.5</v>
      </c>
      <c r="H27" s="69"/>
      <c r="I27" s="70">
        <v>23827</v>
      </c>
      <c r="J27" s="235">
        <f>'[2]25.12'!$J$27+E26-E10</f>
        <v>9505.7</v>
      </c>
      <c r="K27" s="235">
        <f>'[2]25.12'!$K$27+F26-F10</f>
        <v>0</v>
      </c>
      <c r="L27" s="235">
        <f>'[2]25.12'!$L$27+G26-G10</f>
        <v>714.500000000023</v>
      </c>
      <c r="M27" s="72">
        <f t="shared" si="15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>
        <f>D13*29308/D10</f>
        <v>18888.9008962749</v>
      </c>
      <c r="E28" s="73">
        <f>E12*29308/E10</f>
        <v>17654.6900884676</v>
      </c>
      <c r="F28" s="73" t="e">
        <f t="shared" ref="E28:H28" si="20">F12*29308/F10</f>
        <v>#DIV/0!</v>
      </c>
      <c r="G28" s="73">
        <f t="shared" si="20"/>
        <v>19526.5060142605</v>
      </c>
      <c r="H28" s="73">
        <f t="shared" si="20"/>
        <v>17727.5847646941</v>
      </c>
      <c r="I28" s="74">
        <f>I13*29308/I10</f>
        <v>18888.9008962749</v>
      </c>
      <c r="J28" s="46">
        <f t="shared" ref="J28:M28" si="21">J12*29308/J10</f>
        <v>17654.6900884676</v>
      </c>
      <c r="K28" s="46" t="e">
        <f t="shared" si="21"/>
        <v>#DIV/0!</v>
      </c>
      <c r="L28" s="46">
        <f t="shared" si="21"/>
        <v>19526.5060142605</v>
      </c>
      <c r="M28" s="73">
        <f t="shared" si="21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>
        <v>17654.6900884676</v>
      </c>
      <c r="F29" s="40"/>
      <c r="G29" s="76"/>
      <c r="H29" s="77"/>
      <c r="I29" s="78"/>
      <c r="J29" s="40">
        <v>17654.6900884676</v>
      </c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>
        <f t="shared" ref="D30:M30" si="22">D8/(D12*29.308)</f>
        <v>0.914840331645398</v>
      </c>
      <c r="E30" s="81">
        <f t="shared" si="22"/>
        <v>0.700001728955335</v>
      </c>
      <c r="F30" s="80" t="e">
        <f t="shared" si="22"/>
        <v>#DIV/0!</v>
      </c>
      <c r="G30" s="81">
        <f>(G8-G36)/(G12*29.308)</f>
        <v>0.599999999999962</v>
      </c>
      <c r="H30" s="81">
        <f t="shared" si="22"/>
        <v>1.76500876459117</v>
      </c>
      <c r="I30" s="82">
        <f t="shared" si="22"/>
        <v>0.914840331645398</v>
      </c>
      <c r="J30" s="80">
        <f t="shared" si="22"/>
        <v>0.700001728955335</v>
      </c>
      <c r="K30" s="80" t="e">
        <f t="shared" si="22"/>
        <v>#DIV/0!</v>
      </c>
      <c r="L30" s="80">
        <f t="shared" si="22"/>
        <v>25.5281788335629</v>
      </c>
      <c r="M30" s="81">
        <f t="shared" si="22"/>
        <v>1.76500876459116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 t="shared" ref="D31:H31" si="23">D8/3.6/D3/(DAY(DATE(2026,2,0))*24)</f>
        <v>0.794682277290268</v>
      </c>
      <c r="E31" s="217">
        <f t="shared" si="23"/>
        <v>0.360580690332906</v>
      </c>
      <c r="F31" s="207" t="e">
        <f t="shared" si="23"/>
        <v>#DIV/0!</v>
      </c>
      <c r="G31" s="217">
        <f t="shared" si="23"/>
        <v>6.81959001512602</v>
      </c>
      <c r="H31" s="217">
        <f t="shared" si="23"/>
        <v>0.874365522986903</v>
      </c>
      <c r="I31" s="218">
        <f>I8/3.6/I3/(DATEDIF(DATE(2026,1,1),DATE(2026,2,1),"D")*24)</f>
        <v>0.794682277290268</v>
      </c>
      <c r="J31" s="207">
        <f>J8/3.6/J3/(DATEDIF(DATE(2026,1,1),DATE(2026,2,1),"D")*24)</f>
        <v>0.360580690332906</v>
      </c>
      <c r="K31" s="207" t="e">
        <f>K8/3.6/K3/(DATEDIF(DATE(2026,1,1),DATE(2026,2,1),"D")*24)</f>
        <v>#DIV/0!</v>
      </c>
      <c r="L31" s="207">
        <f>(L8-L36)/3.6/L3/(DATEDIF(DATE(2026,1,1),DATE(2026,2,1),"D")*24)</f>
        <v>0.1602838195295</v>
      </c>
      <c r="M31" s="217">
        <f>M8/3.6/M3/(DATEDIF(DATE(2026,1,1),DATE(2026,2,1),"D")*24)</f>
        <v>0.874365522986902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>
        <f>E8/E6</f>
        <v>0.0884204102346473</v>
      </c>
      <c r="F32" s="87" t="e">
        <f t="shared" ref="E32:H32" si="24">F8/F6</f>
        <v>#DIV/0!</v>
      </c>
      <c r="G32" s="87">
        <f t="shared" si="24"/>
        <v>0.110737508624227</v>
      </c>
      <c r="H32" s="87">
        <f t="shared" si="24"/>
        <v>0.101055673322082</v>
      </c>
      <c r="I32" s="88"/>
      <c r="J32" s="87">
        <f t="shared" ref="J32:M32" si="25">J8/J6</f>
        <v>0.0884204102346473</v>
      </c>
      <c r="K32" s="87" t="e">
        <f t="shared" si="25"/>
        <v>#DIV/0!</v>
      </c>
      <c r="L32" s="87">
        <f t="shared" si="25"/>
        <v>0.110737508624227</v>
      </c>
      <c r="M32" s="89">
        <f t="shared" si="25"/>
        <v>0.101055673322082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2">
        <f>E12*1000/E6</f>
        <v>4.30990036081885</v>
      </c>
      <c r="F33" s="91" t="e">
        <f t="shared" ref="E33:H33" si="26">F12*1000/F6</f>
        <v>#DIV/0!</v>
      </c>
      <c r="G33" s="92">
        <f t="shared" si="26"/>
        <v>0.148009207099717</v>
      </c>
      <c r="H33" s="92">
        <f t="shared" si="26"/>
        <v>1.95356403292676</v>
      </c>
      <c r="I33" s="93"/>
      <c r="J33" s="91">
        <f t="shared" ref="J33:M33" si="27">J12*1000/J6</f>
        <v>4.30990036081885</v>
      </c>
      <c r="K33" s="91" t="e">
        <f t="shared" si="27"/>
        <v>#DIV/0!</v>
      </c>
      <c r="L33" s="91">
        <f t="shared" si="27"/>
        <v>0.148009207099717</v>
      </c>
      <c r="M33" s="92">
        <f t="shared" si="27"/>
        <v>1.95356403292676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2">
        <f>E17/E6</f>
        <v>1.01031703178533</v>
      </c>
      <c r="F34" s="91" t="e">
        <f t="shared" ref="E34:H34" si="28">F17/F6</f>
        <v>#DIV/0!</v>
      </c>
      <c r="G34" s="92">
        <f t="shared" si="28"/>
        <v>0.514107321529182</v>
      </c>
      <c r="H34" s="92">
        <f t="shared" si="28"/>
        <v>0</v>
      </c>
      <c r="I34" s="95"/>
      <c r="J34" s="91">
        <f t="shared" ref="J34:M34" si="29">J17/J6</f>
        <v>1.01031703178533</v>
      </c>
      <c r="K34" s="91" t="e">
        <f t="shared" si="29"/>
        <v>#DIV/0!</v>
      </c>
      <c r="L34" s="91">
        <f t="shared" si="29"/>
        <v>0.514107321529182</v>
      </c>
      <c r="M34" s="92">
        <f t="shared" si="29"/>
        <v>0.729378169296212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1">
        <f>E15*1000/E6</f>
        <v>12.9011217182856</v>
      </c>
      <c r="F35" s="100" t="e">
        <f t="shared" ref="E35:H35" si="30">F15*1000/F6</f>
        <v>#DIV/0!</v>
      </c>
      <c r="G35" s="101">
        <f t="shared" si="30"/>
        <v>21.2131414792209</v>
      </c>
      <c r="H35" s="101">
        <f t="shared" si="30"/>
        <v>0</v>
      </c>
      <c r="I35" s="102"/>
      <c r="J35" s="100">
        <f t="shared" ref="J35:M35" si="31">J15*1000/J6</f>
        <v>12.9011217182856</v>
      </c>
      <c r="K35" s="100" t="e">
        <f t="shared" si="31"/>
        <v>#DIV/0!</v>
      </c>
      <c r="L35" s="100">
        <f t="shared" si="31"/>
        <v>21.2131414792209</v>
      </c>
      <c r="M35" s="101">
        <f t="shared" si="31"/>
        <v>17.6071347776004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>
        <v>249708</v>
      </c>
      <c r="H36" s="107"/>
      <c r="I36" s="106"/>
      <c r="J36" s="106"/>
      <c r="K36" s="106"/>
      <c r="L36" s="231">
        <f>G36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>
        <v>7625.06</v>
      </c>
      <c r="E40" s="116">
        <f t="shared" ref="E40:E45" si="32">D40</f>
        <v>7625.06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>
        <v>7625.06</v>
      </c>
      <c r="E41" s="118">
        <f t="shared" si="32"/>
        <v>7625.06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441</v>
      </c>
      <c r="E42" s="161">
        <f t="shared" si="32"/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>
        <v>3</v>
      </c>
      <c r="E43" s="161">
        <f t="shared" si="32"/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>
        <v>132840.000000001</v>
      </c>
      <c r="E44" s="161">
        <f t="shared" si="32"/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132840.000000001</v>
      </c>
      <c r="E45" s="161">
        <f t="shared" si="32"/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>
        <f>D44/D42</f>
        <v>301.224489795921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D42/3.6/D39/(DAY(DATE(2026,2,0))*24)</f>
        <v>0.299364613880743</v>
      </c>
      <c r="E47" s="220">
        <f>E42/3.6/E39/(DATEDIF(DATE(2026,1,1),DATE(2026,2,1),"D")*24)</f>
        <v>0.299364613880743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>
        <f>D42/D41</f>
        <v>0.0578356104738848</v>
      </c>
      <c r="E48" s="126">
        <f>E42/E41</f>
        <v>0.0578356104738848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>
        <f>D44/D41</f>
        <v>17.4215022570315</v>
      </c>
      <c r="E49" s="128">
        <f>E44/E41</f>
        <v>17.4215022570315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>
        <f>D43*1000/D41</f>
        <v>0.39343952703323</v>
      </c>
      <c r="E50" s="130">
        <f>E43*1000/E41</f>
        <v>0.39343952703323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33">SUM(D55:E55)</f>
        <v>12.4</v>
      </c>
      <c r="G55" s="145">
        <v>6</v>
      </c>
      <c r="H55" s="146">
        <v>6.4</v>
      </c>
      <c r="I55" s="146">
        <f t="shared" ref="I55:I61" si="34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>
        <v>28895.6</v>
      </c>
      <c r="E56" s="148">
        <v>26350.3</v>
      </c>
      <c r="F56" s="117">
        <f t="shared" si="33"/>
        <v>55245.9</v>
      </c>
      <c r="G56" s="118">
        <v>28895.6</v>
      </c>
      <c r="H56" s="118">
        <v>26350.3</v>
      </c>
      <c r="I56" s="147">
        <f t="shared" si="34"/>
        <v>55245.9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>
        <v>28895.6</v>
      </c>
      <c r="E57" s="147">
        <v>26350.3</v>
      </c>
      <c r="F57" s="117">
        <f t="shared" si="33"/>
        <v>55245.9</v>
      </c>
      <c r="G57" s="118">
        <v>28895.6</v>
      </c>
      <c r="H57" s="118">
        <v>26350.3</v>
      </c>
      <c r="I57" s="147">
        <f t="shared" si="34"/>
        <v>55245.9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>
        <v>2295.5</v>
      </c>
      <c r="E58" s="149">
        <v>3880.60000000001</v>
      </c>
      <c r="F58" s="117">
        <f t="shared" si="33"/>
        <v>6176.10000000001</v>
      </c>
      <c r="G58" s="118">
        <v>2295.5</v>
      </c>
      <c r="H58" s="118">
        <v>3880.60000000001</v>
      </c>
      <c r="I58" s="147">
        <f t="shared" si="34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>
        <v>235</v>
      </c>
      <c r="E59" s="148">
        <v>158.01</v>
      </c>
      <c r="F59" s="117">
        <f t="shared" si="33"/>
        <v>393.01</v>
      </c>
      <c r="G59" s="118">
        <v>235</v>
      </c>
      <c r="H59" s="118">
        <v>158.01</v>
      </c>
      <c r="I59" s="147">
        <f t="shared" si="34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>
        <v>706680</v>
      </c>
      <c r="E60" s="148">
        <v>1137840</v>
      </c>
      <c r="F60" s="117">
        <f t="shared" si="33"/>
        <v>1844520</v>
      </c>
      <c r="G60" s="118">
        <v>706680</v>
      </c>
      <c r="H60" s="118">
        <v>1137840</v>
      </c>
      <c r="I60" s="147">
        <f t="shared" si="34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>
        <f>D60</f>
        <v>706680</v>
      </c>
      <c r="E61" s="148">
        <f>E60</f>
        <v>1137840</v>
      </c>
      <c r="F61" s="117">
        <f t="shared" si="33"/>
        <v>1844520</v>
      </c>
      <c r="G61" s="118">
        <v>706680</v>
      </c>
      <c r="H61" s="118">
        <v>1137840</v>
      </c>
      <c r="I61" s="147">
        <f t="shared" si="34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21">
        <f>D60/D58</f>
        <v>307.854497930734</v>
      </c>
      <c r="E62" s="121">
        <f>E60/E58</f>
        <v>293.212389836622</v>
      </c>
      <c r="F62" s="121">
        <f t="shared" ref="D62:I62" si="35">F60/F58</f>
        <v>298.654490698013</v>
      </c>
      <c r="G62" s="152">
        <f t="shared" si="35"/>
        <v>307.854497930734</v>
      </c>
      <c r="H62" s="60">
        <f t="shared" si="35"/>
        <v>293.212389836622</v>
      </c>
      <c r="I62" s="61">
        <f t="shared" si="35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19">
        <f>D58/3.6/D55/(DAY(DATE(2026,2,0))*24)</f>
        <v>0.142840252887296</v>
      </c>
      <c r="E63" s="219">
        <f>E58/3.6/E55/(DAY(DATE(2026,2,0))*24)</f>
        <v>0.226382821833931</v>
      </c>
      <c r="F63" s="219">
        <f>F58/3.6/F55/(DAY(DATE(2026,2,0))*24)</f>
        <v>0.185958998150075</v>
      </c>
      <c r="G63" s="218">
        <f>G58/3.6/G55/(DATEDIF(DATE(2026,1,1),DATE(2026,2,1),"D")*24)</f>
        <v>0.142840252887296</v>
      </c>
      <c r="H63" s="207">
        <f>H58/3.6/H55/(DATEDIF(DATE(2026,1,1),DATE(2026,2,1),"D")*24)</f>
        <v>0.226382821833931</v>
      </c>
      <c r="I63" s="217">
        <f>I58/3.6/I55/(DATEDIF(DATE(2026,1,1),DATE(2026,2,1),"D")*24)</f>
        <v>0.185958998150075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9">
        <f>D58/D57</f>
        <v>0.079441160591924</v>
      </c>
      <c r="E64" s="89">
        <f t="shared" ref="D64:I64" si="36">E58/E57</f>
        <v>0.147269670554036</v>
      </c>
      <c r="F64" s="89">
        <f t="shared" si="36"/>
        <v>0.111792911329167</v>
      </c>
      <c r="G64" s="153">
        <f t="shared" si="36"/>
        <v>0.079441160591924</v>
      </c>
      <c r="H64" s="87">
        <f t="shared" si="36"/>
        <v>0.147269670554036</v>
      </c>
      <c r="I64" s="89">
        <f t="shared" si="36"/>
        <v>0.111792911329167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2">
        <f>D60/D57</f>
        <v>24.4563186090616</v>
      </c>
      <c r="E65" s="92">
        <f>E60/E57</f>
        <v>43.1812920536009</v>
      </c>
      <c r="F65" s="92">
        <f t="shared" ref="D65:I65" si="37">F60/F57</f>
        <v>33.3874549966604</v>
      </c>
      <c r="G65" s="154">
        <f t="shared" si="37"/>
        <v>24.4563186090616</v>
      </c>
      <c r="H65" s="91">
        <f t="shared" si="37"/>
        <v>43.1812920536009</v>
      </c>
      <c r="I65" s="92">
        <f t="shared" si="37"/>
        <v>33.3874549966604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1">
        <f>D59*1000/D57</f>
        <v>8.1327260897853</v>
      </c>
      <c r="E66" s="101">
        <f>E59*1000/E57</f>
        <v>5.99651616869637</v>
      </c>
      <c r="F66" s="101">
        <f t="shared" ref="D66:I66" si="38">F59*1000/F57</f>
        <v>7.11383107162704</v>
      </c>
      <c r="G66" s="155">
        <f t="shared" si="38"/>
        <v>8.1327260897853</v>
      </c>
      <c r="H66" s="100">
        <f t="shared" si="38"/>
        <v>5.99651616869637</v>
      </c>
      <c r="I66" s="101">
        <f t="shared" si="38"/>
        <v>7.11383107162704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 t="shared" ref="F71:F77" si="39"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 t="shared" si="39"/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61">
        <f t="shared" si="39"/>
        <v>0</v>
      </c>
      <c r="G73" s="162">
        <f>E73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61">
        <f t="shared" si="39"/>
        <v>0</v>
      </c>
      <c r="G74" s="162">
        <f>E74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61">
        <f t="shared" si="39"/>
        <v>0</v>
      </c>
      <c r="G75" s="162">
        <f>E75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61">
        <f t="shared" si="39"/>
        <v>0</v>
      </c>
      <c r="G76" s="236"/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61">
        <f t="shared" si="39"/>
        <v>0</v>
      </c>
      <c r="G77" s="236"/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40">D75*1000/D73</f>
        <v>#DIV/0!</v>
      </c>
      <c r="E79" s="169" t="e">
        <f t="shared" si="40"/>
        <v>#DIV/0!</v>
      </c>
      <c r="F79" s="170" t="e">
        <f t="shared" si="40"/>
        <v>#DIV/0!</v>
      </c>
      <c r="G79" s="61" t="e">
        <f t="shared" si="40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41">D73/(D75*29.308)</f>
        <v>#DIV/0!</v>
      </c>
      <c r="E81" s="173" t="e">
        <f t="shared" si="41"/>
        <v>#DIV/0!</v>
      </c>
      <c r="F81" s="174" t="e">
        <f t="shared" si="41"/>
        <v>#DIV/0!</v>
      </c>
      <c r="G81" s="81" t="e">
        <f t="shared" si="41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D73/3.6/D71/(DAY(DATE(2026,2,0))*24)</f>
        <v>0</v>
      </c>
      <c r="E82" s="222">
        <f>E73/3.6/E71/(DAY(DATE(2026,2,0))*24)</f>
        <v>0</v>
      </c>
      <c r="F82" s="223">
        <f>F73/3.6/F71/(DATEDIF(DATE(2026,1,1),DATE(2026,2,1),"D")*24)</f>
        <v>0</v>
      </c>
      <c r="G82" s="224">
        <f>G73/3.6/G71/(DATEDIF(DATE(2026,1,1),DATE(2026,2,1),"D")*24)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v>0.7888</v>
      </c>
      <c r="F87" s="187">
        <f t="shared" ref="F87:F93" si="42">F55+D87</f>
        <v>13.1888</v>
      </c>
      <c r="G87" s="187">
        <f t="shared" ref="G87:G93" si="43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>
        <v>20723.53</v>
      </c>
      <c r="E88" s="189">
        <v>20723.53</v>
      </c>
      <c r="F88" s="192">
        <f t="shared" si="42"/>
        <v>75969.43</v>
      </c>
      <c r="G88" s="192">
        <f t="shared" si="43"/>
        <v>75969.43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>
        <v>20723.53</v>
      </c>
      <c r="E89" s="189">
        <v>20723.53</v>
      </c>
      <c r="F89" s="192">
        <f t="shared" si="42"/>
        <v>75969.43</v>
      </c>
      <c r="G89" s="192">
        <f t="shared" si="43"/>
        <v>75969.43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>
        <v>3609.56501600001</v>
      </c>
      <c r="E90" s="189">
        <v>3609.56501600001</v>
      </c>
      <c r="F90" s="192">
        <f t="shared" si="42"/>
        <v>9785.66501600002</v>
      </c>
      <c r="G90" s="192">
        <f t="shared" si="43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>
        <v>49</v>
      </c>
      <c r="E91" s="186">
        <v>49</v>
      </c>
      <c r="F91" s="192">
        <f t="shared" si="42"/>
        <v>442.01</v>
      </c>
      <c r="G91" s="192">
        <f t="shared" si="43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>
        <v>462809.08</v>
      </c>
      <c r="E92" s="189">
        <v>462809.08</v>
      </c>
      <c r="F92" s="192">
        <f t="shared" si="42"/>
        <v>2307329.08</v>
      </c>
      <c r="G92" s="192">
        <f t="shared" si="43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>
        <v>0</v>
      </c>
      <c r="E93" s="186">
        <f>D93</f>
        <v>0</v>
      </c>
      <c r="F93" s="192">
        <f t="shared" si="42"/>
        <v>1844520</v>
      </c>
      <c r="G93" s="192">
        <f t="shared" si="43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>
        <f>D92/D90</f>
        <v>128.217410670959</v>
      </c>
      <c r="E94" s="193">
        <f t="shared" ref="D94:G94" si="44">E92/E90</f>
        <v>128.217410670959</v>
      </c>
      <c r="F94" s="193">
        <f t="shared" si="44"/>
        <v>235.786640583691</v>
      </c>
      <c r="G94" s="193">
        <f t="shared" si="44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17">
        <f>D90/3.6/D87/(DATEDIF(DATE(2026,1,1),DATE(2026,2,1),"D")*24)</f>
        <v>1.70849035163133</v>
      </c>
      <c r="E95" s="217">
        <f>E90/3.6/E87/(DATEDIF(DATE(2026,1,1),DATE(2026,2,1),"D")*24)</f>
        <v>1.70849035163133</v>
      </c>
      <c r="F95" s="226">
        <f>F90/3.6/F87/(DAY(DATE(2026,2,0))*24)</f>
        <v>0.277019043918152</v>
      </c>
      <c r="G95" s="217">
        <f>G90/3.6/G87/(DATEDIF(DATE(2026,1,1),DATE(2026,2,1),"D")*24)</f>
        <v>0.277019043918152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>
        <f>D90/D89</f>
        <v>0.174177131791737</v>
      </c>
      <c r="E96" s="197">
        <f t="shared" ref="D96:G96" si="45">E90/E89</f>
        <v>0.174177131791737</v>
      </c>
      <c r="F96" s="197">
        <f t="shared" si="45"/>
        <v>0.128810562564442</v>
      </c>
      <c r="G96" s="197">
        <f t="shared" si="45"/>
        <v>0.128810562564442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>
        <f>D92/D89</f>
        <v>22.3325408364309</v>
      </c>
      <c r="E97" s="198">
        <f t="shared" ref="D97:G97" si="46">E92/E89</f>
        <v>22.3325408364309</v>
      </c>
      <c r="F97" s="198">
        <f t="shared" si="46"/>
        <v>30.3718098187653</v>
      </c>
      <c r="G97" s="198">
        <f t="shared" si="46"/>
        <v>30.3718098187653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>
        <f>D91*1000/D89</f>
        <v>2.36446203904451</v>
      </c>
      <c r="E98" s="198">
        <f t="shared" ref="D98:G98" si="47">E91*1000/E89</f>
        <v>2.36446203904451</v>
      </c>
      <c r="F98" s="198">
        <f t="shared" si="47"/>
        <v>5.81826137171228</v>
      </c>
      <c r="G98" s="198">
        <f t="shared" si="47"/>
        <v>5.81826137171228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rintOptions horizontalCentered="1"/>
  <pageMargins left="0.748031496062992" right="0.748031496062992" top="1.25984251968504" bottom="0.984251968503937" header="0.78740157480315" footer="0.511811023622047"/>
  <pageSetup paperSize="9" scale="20" orientation="landscape" horizontalDpi="600" verticalDpi="600"/>
  <headerFooter alignWithMargins="0" scaleWithDoc="0">
    <oddHeader>&amp;C&amp;"黑体,常规"&amp;20 2022年1月份集团各锅炉站生产报表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21" activePane="bottomRight" state="frozen"/>
      <selection/>
      <selection pane="topRight"/>
      <selection pane="bottomLeft"/>
      <selection pane="bottomRight" activeCell="G30" sqref="G30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12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>
        <f t="shared" si="0"/>
        <v>0</v>
      </c>
      <c r="I4" s="36" t="str">
        <f t="shared" ref="I4:I6" si="3">D4</f>
        <v> -   </v>
      </c>
      <c r="J4" s="32">
        <f t="shared" ref="J4:L4" si="4">E4</f>
        <v>0</v>
      </c>
      <c r="K4" s="37">
        <f t="shared" si="4"/>
        <v>0</v>
      </c>
      <c r="L4" s="38">
        <f t="shared" si="4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si="3"/>
        <v> -   </v>
      </c>
      <c r="J5" s="32">
        <f t="shared" ref="J5:L5" si="5">E5</f>
        <v>55000</v>
      </c>
      <c r="K5" s="37">
        <f t="shared" si="5"/>
        <v>0</v>
      </c>
      <c r="L5" s="38">
        <f t="shared" si="5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6">E4</f>
        <v>0</v>
      </c>
      <c r="F6" s="34">
        <f t="shared" si="6"/>
        <v>0</v>
      </c>
      <c r="G6" s="34">
        <f t="shared" si="6"/>
        <v>0</v>
      </c>
      <c r="H6" s="35">
        <f t="shared" si="0"/>
        <v>0</v>
      </c>
      <c r="I6" s="36" t="str">
        <f t="shared" si="3"/>
        <v> -   </v>
      </c>
      <c r="J6" s="41">
        <f t="shared" ref="J6:L6" si="7">E6</f>
        <v>0</v>
      </c>
      <c r="K6" s="41">
        <f t="shared" si="7"/>
        <v>0</v>
      </c>
      <c r="L6" s="41">
        <f t="shared" si="7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>
        <v>0</v>
      </c>
      <c r="H7" s="35">
        <f t="shared" si="0"/>
        <v>0</v>
      </c>
      <c r="I7" s="51">
        <f>D7+'26.1'!I7</f>
        <v>0</v>
      </c>
      <c r="J7" s="51">
        <f>E7+'26.1'!J7</f>
        <v>0</v>
      </c>
      <c r="K7" s="51">
        <f>F7+'26.1'!K7</f>
        <v>0</v>
      </c>
      <c r="L7" s="51">
        <f>G7+'26.1'!L7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>
        <f t="shared" si="0"/>
        <v>0</v>
      </c>
      <c r="I8" s="51">
        <f>D8+'26.1'!I8</f>
        <v>740710</v>
      </c>
      <c r="J8" s="51">
        <f>E8+'26.1'!J8</f>
        <v>156456.25</v>
      </c>
      <c r="K8" s="51">
        <f>F8+'26.1'!K8</f>
        <v>0</v>
      </c>
      <c r="L8" s="51">
        <f>G8+'26.1'!L8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227">
        <f>[1]售热量!$E$25</f>
        <v>0</v>
      </c>
      <c r="F9" s="39"/>
      <c r="G9" s="39"/>
      <c r="H9" s="35">
        <f t="shared" si="0"/>
        <v>0</v>
      </c>
      <c r="I9" s="51">
        <f>D9+'26.1'!I9</f>
        <v>0</v>
      </c>
      <c r="J9" s="51">
        <f>E9+'26.1'!J9</f>
        <v>4030</v>
      </c>
      <c r="K9" s="51">
        <f>F9+'26.1'!K9</f>
        <v>0</v>
      </c>
      <c r="L9" s="51">
        <f>G9+'26.1'!L9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0"/>
        <v>0</v>
      </c>
      <c r="I10" s="51">
        <f>D10+'26.1'!I10</f>
        <v>42844</v>
      </c>
      <c r="J10" s="51">
        <f>E10+'26.1'!J10</f>
        <v>12660</v>
      </c>
      <c r="K10" s="51">
        <f>F10+'26.1'!K10</f>
        <v>0</v>
      </c>
      <c r="L10" s="51">
        <f>G10+'26.1'!L10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0"/>
        <v>0</v>
      </c>
      <c r="I11" s="51">
        <f>D11+'26.1'!I11</f>
        <v>9</v>
      </c>
      <c r="J11" s="51">
        <f>E11+'26.1'!J11</f>
        <v>0</v>
      </c>
      <c r="K11" s="51">
        <f>F11+'26.1'!K11</f>
        <v>0</v>
      </c>
      <c r="L11" s="51">
        <f>G11+'26.1'!L11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0"/>
        <v>0</v>
      </c>
      <c r="I12" s="51">
        <f>D12+'26.1'!I12</f>
        <v>27625.9182537601</v>
      </c>
      <c r="J12" s="51">
        <f>E12+'26.1'!J12</f>
        <v>7626.19</v>
      </c>
      <c r="K12" s="51">
        <f>F12+'26.1'!K12</f>
        <v>0</v>
      </c>
      <c r="L12" s="51">
        <f>G12+'26.1'!L12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1">
        <f>D13+'26.1'!I13</f>
        <v>27612.8043537601</v>
      </c>
      <c r="J13" s="51">
        <f>E13+'26.1'!J13</f>
        <v>7626.19</v>
      </c>
      <c r="K13" s="51">
        <f>F13+'26.1'!K13</f>
        <v>0</v>
      </c>
      <c r="L13" s="51">
        <f>G13+'26.1'!L13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1">
        <f>D14+'26.1'!I14</f>
        <v>13.1139</v>
      </c>
      <c r="J14" s="51">
        <f>E14+'26.1'!J14</f>
        <v>0</v>
      </c>
      <c r="K14" s="51">
        <f>F14+'26.1'!K14</f>
        <v>0</v>
      </c>
      <c r="L14" s="51">
        <f>G14+'26.1'!L14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1">
        <f>D15+'26.1'!I15</f>
        <v>14442</v>
      </c>
      <c r="J15" s="51">
        <f>E15+'26.1'!J15</f>
        <v>22828</v>
      </c>
      <c r="K15" s="51">
        <f>F15+'26.1'!K15</f>
        <v>0</v>
      </c>
      <c r="L15" s="51">
        <f>G15+'26.1'!L15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1">
        <f>D16+'26.1'!I16</f>
        <v>300</v>
      </c>
      <c r="J16" s="51">
        <f>E16+'26.1'!J16</f>
        <v>0</v>
      </c>
      <c r="K16" s="51">
        <f>F16+'26.1'!K16</f>
        <v>0</v>
      </c>
      <c r="L16" s="51">
        <f>G16+'26.1'!L16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0</v>
      </c>
      <c r="E17" s="50"/>
      <c r="F17" s="39"/>
      <c r="G17" s="34"/>
      <c r="H17" s="35"/>
      <c r="I17" s="51">
        <f>D17+'26.1'!I17</f>
        <v>5088913.6</v>
      </c>
      <c r="J17" s="51">
        <f>E17+'26.1'!J17</f>
        <v>1787714.1</v>
      </c>
      <c r="K17" s="51"/>
      <c r="L17" s="51">
        <f>G17+'26.1'!L17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1">
        <f>D18+'26.1'!I18</f>
        <v>5088913.6</v>
      </c>
      <c r="J18" s="51">
        <f>E18+'26.1'!J18</f>
        <v>0</v>
      </c>
      <c r="K18" s="51">
        <f>F18+'26.1'!K18</f>
        <v>0</v>
      </c>
      <c r="L18" s="51">
        <f>G18+'26.1'!L18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>
        <f t="shared" ref="E19:G19" si="10">E17</f>
        <v>0</v>
      </c>
      <c r="F19" s="34">
        <f t="shared" si="10"/>
        <v>0</v>
      </c>
      <c r="G19" s="34">
        <f t="shared" si="10"/>
        <v>0</v>
      </c>
      <c r="H19" s="49"/>
      <c r="I19" s="51">
        <f>D19+'26.1'!I19</f>
        <v>0</v>
      </c>
      <c r="J19" s="51">
        <f>E19+'26.1'!J19</f>
        <v>0</v>
      </c>
      <c r="K19" s="51">
        <f>F19+'26.1'!K19</f>
        <v>0</v>
      </c>
      <c r="L19" s="51">
        <f>G19+'26.1'!L19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1">
        <f>D20+'26.1'!I20</f>
        <v>13000</v>
      </c>
      <c r="J20" s="51">
        <f>E20+'26.1'!J20</f>
        <v>0</v>
      </c>
      <c r="K20" s="51">
        <f>F20+'26.1'!K20</f>
        <v>0</v>
      </c>
      <c r="L20" s="51">
        <f>G20+'26.1'!L20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1">
        <f>D21+'26.1'!I21</f>
        <v>571020.4</v>
      </c>
      <c r="J21" s="51">
        <f>E21+'26.1'!J21</f>
        <v>0</v>
      </c>
      <c r="K21" s="51">
        <f>F21+'26.1'!K21</f>
        <v>0</v>
      </c>
      <c r="L21" s="51">
        <f>G21+'26.1'!L21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1">
        <f>D22+'26.1'!I22</f>
        <v>734.29</v>
      </c>
      <c r="J22" s="51">
        <f>E22+'26.1'!J22</f>
        <v>43.975</v>
      </c>
      <c r="K22" s="51">
        <f>F22+'26.1'!K22</f>
        <v>0</v>
      </c>
      <c r="L22" s="51">
        <f>G22+'26.1'!L22</f>
        <v>7.925</v>
      </c>
      <c r="M22" s="59">
        <f t="shared" ref="M22:M27" si="11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1">
        <f>D23+'26.1'!I23</f>
        <v>253.8</v>
      </c>
      <c r="J23" s="51">
        <f>E23+'26.1'!J23</f>
        <v>28.64</v>
      </c>
      <c r="K23" s="51">
        <f>F23+'26.1'!K23</f>
        <v>0</v>
      </c>
      <c r="L23" s="51">
        <f>G23+'26.1'!L23</f>
        <v>1.925</v>
      </c>
      <c r="M23" s="59">
        <f t="shared" si="11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2">D17/D8</f>
        <v>#DIV/0!</v>
      </c>
      <c r="E24" s="60" t="e">
        <f t="shared" si="12"/>
        <v>#DIV/0!</v>
      </c>
      <c r="F24" s="60" t="e">
        <f t="shared" si="12"/>
        <v>#DIV/0!</v>
      </c>
      <c r="G24" s="60" t="e">
        <f t="shared" si="12"/>
        <v>#DIV/0!</v>
      </c>
      <c r="H24" s="61" t="e">
        <f t="shared" si="12"/>
        <v>#DIV/0!</v>
      </c>
      <c r="I24" s="62">
        <f t="shared" si="12"/>
        <v>6.87031847821685</v>
      </c>
      <c r="J24" s="60">
        <f t="shared" si="12"/>
        <v>11.4262875404466</v>
      </c>
      <c r="K24" s="60" t="e">
        <f t="shared" si="12"/>
        <v>#DIV/0!</v>
      </c>
      <c r="L24" s="60">
        <f t="shared" si="12"/>
        <v>4.64257619587359</v>
      </c>
      <c r="M24" s="61">
        <f t="shared" si="12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3">D12*1000/D8</f>
        <v>#DIV/0!</v>
      </c>
      <c r="E25" s="60" t="e">
        <f t="shared" si="13"/>
        <v>#DIV/0!</v>
      </c>
      <c r="F25" s="60" t="e">
        <f t="shared" si="13"/>
        <v>#DIV/0!</v>
      </c>
      <c r="G25" s="60" t="e">
        <f t="shared" si="13"/>
        <v>#DIV/0!</v>
      </c>
      <c r="H25" s="61" t="e">
        <f t="shared" si="13"/>
        <v>#DIV/0!</v>
      </c>
      <c r="I25" s="62">
        <f t="shared" si="13"/>
        <v>37.2965374488803</v>
      </c>
      <c r="J25" s="60">
        <f t="shared" si="13"/>
        <v>48.7432748771621</v>
      </c>
      <c r="K25" s="60" t="e">
        <f t="shared" si="13"/>
        <v>#DIV/0!</v>
      </c>
      <c r="L25" s="60">
        <f t="shared" si="13"/>
        <v>1.33657700031853</v>
      </c>
      <c r="M25" s="61">
        <f t="shared" si="13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1">
        <f>D26+'26.1'!I26</f>
        <v>16216</v>
      </c>
      <c r="J26" s="51">
        <f>E26+'26.1'!J26</f>
        <v>9596</v>
      </c>
      <c r="K26" s="51">
        <f>F26+'26.1'!K26</f>
        <v>0</v>
      </c>
      <c r="L26" s="51">
        <f>G26+'26.1'!L26</f>
        <v>119</v>
      </c>
      <c r="M26" s="66">
        <f t="shared" si="11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 t="shared" ref="E27:G27" si="14">J27</f>
        <v>9505.7</v>
      </c>
      <c r="F27" s="68">
        <f t="shared" si="14"/>
        <v>0</v>
      </c>
      <c r="G27" s="68">
        <f t="shared" si="14"/>
        <v>714.500000000023</v>
      </c>
      <c r="H27" s="69"/>
      <c r="I27" s="70">
        <f>D27</f>
        <v>0</v>
      </c>
      <c r="J27" s="205">
        <f>'26.1'!J27+E26-E10</f>
        <v>9505.7</v>
      </c>
      <c r="K27" s="205">
        <f>'26.1'!K27+F26-F10</f>
        <v>0</v>
      </c>
      <c r="L27" s="205">
        <f>'26.1'!L27+G26-G10</f>
        <v>714.500000000023</v>
      </c>
      <c r="M27" s="72">
        <f t="shared" si="11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5">E12*29308/E10</f>
        <v>#DIV/0!</v>
      </c>
      <c r="F28" s="73" t="e">
        <f t="shared" si="15"/>
        <v>#DIV/0!</v>
      </c>
      <c r="G28" s="73" t="e">
        <f t="shared" si="15"/>
        <v>#DIV/0!</v>
      </c>
      <c r="H28" s="73" t="e">
        <f t="shared" si="15"/>
        <v>#DIV/0!</v>
      </c>
      <c r="I28" s="74">
        <f>I13*29308/I10</f>
        <v>18888.9008962749</v>
      </c>
      <c r="J28" s="46">
        <f t="shared" ref="J28:M28" si="16">J12*29308/J10</f>
        <v>17654.6900884676</v>
      </c>
      <c r="K28" s="46" t="e">
        <f t="shared" si="16"/>
        <v>#DIV/0!</v>
      </c>
      <c r="L28" s="46">
        <f t="shared" si="16"/>
        <v>19526.5060142605</v>
      </c>
      <c r="M28" s="73">
        <f t="shared" si="16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7">D8/(D12*29.308)</f>
        <v>#DIV/0!</v>
      </c>
      <c r="E30" s="80" t="e">
        <f t="shared" si="17"/>
        <v>#DIV/0!</v>
      </c>
      <c r="F30" s="80" t="e">
        <f t="shared" si="17"/>
        <v>#DIV/0!</v>
      </c>
      <c r="G30" s="81" t="e">
        <f>(G8-G36)/(G12*29.308)</f>
        <v>#DIV/0!</v>
      </c>
      <c r="H30" s="81" t="e">
        <f t="shared" si="17"/>
        <v>#DIV/0!</v>
      </c>
      <c r="I30" s="82">
        <f t="shared" si="17"/>
        <v>0.914840331645398</v>
      </c>
      <c r="J30" s="80">
        <f t="shared" si="17"/>
        <v>0.700001728955335</v>
      </c>
      <c r="K30" s="80" t="e">
        <f t="shared" si="17"/>
        <v>#DIV/0!</v>
      </c>
      <c r="L30" s="80">
        <f t="shared" si="17"/>
        <v>25.5281788335629</v>
      </c>
      <c r="M30" s="81">
        <f t="shared" si="17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>D8/3.6/D3/(DAY(DATE(2026,3,0))*24)</f>
        <v>0</v>
      </c>
      <c r="E31" s="207">
        <f>E8/3.6/E3/(DAY(DATE(2026,3,0))*24)</f>
        <v>0</v>
      </c>
      <c r="F31" s="207" t="e">
        <f>F8/3.6/F3/(DAY(DATE(2026,3,0))*24)</f>
        <v>#DIV/0!</v>
      </c>
      <c r="G31" s="207">
        <f>(G8-G36)/3.6/G3/(DAY(DATE(2026,3,0))*24)</f>
        <v>0</v>
      </c>
      <c r="H31" s="217">
        <f>H8/3.6/H3/(DAY(DATE(2026,3,0))*24)</f>
        <v>0</v>
      </c>
      <c r="I31" s="218">
        <f>I8/3.6/I3/(DATEDIF(DATE(2026,1,1),DATE(2026,3,1),"D")*24)</f>
        <v>0.417544925355903</v>
      </c>
      <c r="J31" s="207">
        <f>J8/3.6/J3/(DATEDIF(DATE(2026,1,1),DATE(2026,3,1),"D")*24)</f>
        <v>0.189457650852883</v>
      </c>
      <c r="K31" s="207" t="e">
        <f>K8/3.6/K3/(DATEDIF(DATE(2026,1,1),DATE(2026,3,1),"D")*24)</f>
        <v>#DIV/0!</v>
      </c>
      <c r="L31" s="207">
        <f>(L8-L36)/3.6/L3/(DATEDIF(DATE(2026,1,1),DATE(2026,3,1),"D")*24)</f>
        <v>0.0842169221256643</v>
      </c>
      <c r="M31" s="217">
        <f>M8/3.6/M3/(DATEDIF(DATE(2026,1,1),DATE(2026,3,1),"D")*24)</f>
        <v>0.459412393433796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8">E8/E6</f>
        <v>#DIV/0!</v>
      </c>
      <c r="F32" s="87" t="e">
        <f t="shared" si="18"/>
        <v>#DIV/0!</v>
      </c>
      <c r="G32" s="87" t="e">
        <f t="shared" si="18"/>
        <v>#DIV/0!</v>
      </c>
      <c r="H32" s="87" t="e">
        <f t="shared" si="18"/>
        <v>#DIV/0!</v>
      </c>
      <c r="I32" s="88"/>
      <c r="J32" s="87" t="e">
        <f t="shared" ref="J32:M32" si="19">J8/J6</f>
        <v>#DIV/0!</v>
      </c>
      <c r="K32" s="87" t="e">
        <f t="shared" si="19"/>
        <v>#DIV/0!</v>
      </c>
      <c r="L32" s="87" t="e">
        <f t="shared" si="19"/>
        <v>#DIV/0!</v>
      </c>
      <c r="M32" s="89" t="e">
        <f t="shared" si="19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20">E12*1000/E6</f>
        <v>#DIV/0!</v>
      </c>
      <c r="F33" s="91" t="e">
        <f t="shared" si="20"/>
        <v>#DIV/0!</v>
      </c>
      <c r="G33" s="91" t="e">
        <f t="shared" si="20"/>
        <v>#DIV/0!</v>
      </c>
      <c r="H33" s="92" t="e">
        <f t="shared" si="20"/>
        <v>#DIV/0!</v>
      </c>
      <c r="I33" s="93"/>
      <c r="J33" s="91" t="e">
        <f t="shared" ref="J33:M33" si="21">J12*1000/J6</f>
        <v>#DIV/0!</v>
      </c>
      <c r="K33" s="91" t="e">
        <f t="shared" si="21"/>
        <v>#DIV/0!</v>
      </c>
      <c r="L33" s="91" t="e">
        <f t="shared" si="21"/>
        <v>#DIV/0!</v>
      </c>
      <c r="M33" s="92" t="e">
        <f t="shared" si="21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2">E17/E6</f>
        <v>#DIV/0!</v>
      </c>
      <c r="F34" s="91" t="e">
        <f t="shared" si="22"/>
        <v>#DIV/0!</v>
      </c>
      <c r="G34" s="91" t="e">
        <f t="shared" si="22"/>
        <v>#DIV/0!</v>
      </c>
      <c r="H34" s="92" t="e">
        <f t="shared" si="22"/>
        <v>#DIV/0!</v>
      </c>
      <c r="I34" s="95"/>
      <c r="J34" s="91" t="e">
        <f t="shared" ref="J34:M34" si="23">J17/J6</f>
        <v>#DIV/0!</v>
      </c>
      <c r="K34" s="91" t="e">
        <f t="shared" si="23"/>
        <v>#DIV/0!</v>
      </c>
      <c r="L34" s="91" t="e">
        <f t="shared" si="23"/>
        <v>#DIV/0!</v>
      </c>
      <c r="M34" s="92" t="e">
        <f t="shared" si="23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4">E15*1000/E6</f>
        <v>#DIV/0!</v>
      </c>
      <c r="F35" s="100" t="e">
        <f t="shared" si="24"/>
        <v>#DIV/0!</v>
      </c>
      <c r="G35" s="100" t="e">
        <f t="shared" si="24"/>
        <v>#DIV/0!</v>
      </c>
      <c r="H35" s="101" t="e">
        <f t="shared" si="24"/>
        <v>#DIV/0!</v>
      </c>
      <c r="I35" s="102"/>
      <c r="J35" s="100" t="e">
        <f t="shared" ref="J35:M35" si="25">J15*1000/J6</f>
        <v>#DIV/0!</v>
      </c>
      <c r="K35" s="100" t="e">
        <f t="shared" si="25"/>
        <v>#DIV/0!</v>
      </c>
      <c r="L35" s="100" t="e">
        <f t="shared" si="25"/>
        <v>#DIV/0!</v>
      </c>
      <c r="M35" s="101" t="e">
        <f t="shared" si="25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06">
        <f>G36+'26.1'!G36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9">
        <f>D42+'26.1'!E42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9">
        <f>D43+'26.1'!E43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9">
        <f>D44+'26.1'!E44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9">
        <f>D45+'26.1'!E45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D42/3.6/D39/(DAY(DATE(2026,3,0))*24)</f>
        <v>0</v>
      </c>
      <c r="E47" s="220">
        <f>E42/3.6/E39/(DATEDIF(DATE(2026,1,1),DATE(2026,3,1),"D")*24)</f>
        <v>0.157293271700051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6">SUM(D55:E55)</f>
        <v>12.4</v>
      </c>
      <c r="G55" s="145">
        <f t="shared" ref="G55:G61" si="27">D55</f>
        <v>6</v>
      </c>
      <c r="H55" s="146">
        <f t="shared" ref="H55:H61" si="28">E55</f>
        <v>6.4</v>
      </c>
      <c r="I55" s="146">
        <f t="shared" ref="I55:I61" si="29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6"/>
        <v>0</v>
      </c>
      <c r="G56" s="118">
        <f t="shared" si="27"/>
        <v>0</v>
      </c>
      <c r="H56" s="118">
        <f t="shared" si="28"/>
        <v>0</v>
      </c>
      <c r="I56" s="147">
        <f t="shared" si="29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6"/>
        <v>0</v>
      </c>
      <c r="G57" s="118">
        <f t="shared" si="27"/>
        <v>0</v>
      </c>
      <c r="H57" s="118">
        <f t="shared" si="28"/>
        <v>0</v>
      </c>
      <c r="I57" s="147">
        <f t="shared" si="29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6"/>
        <v>0</v>
      </c>
      <c r="G58" s="211">
        <f>D58+'26.1'!G58</f>
        <v>2295.5</v>
      </c>
      <c r="H58" s="211">
        <f>E58+'26.1'!H58</f>
        <v>3880.60000000001</v>
      </c>
      <c r="I58" s="147">
        <f t="shared" si="29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6"/>
        <v>0</v>
      </c>
      <c r="G59" s="211">
        <f>D59+'26.1'!G59</f>
        <v>235</v>
      </c>
      <c r="H59" s="211">
        <f>E59+'26.1'!H59</f>
        <v>158.01</v>
      </c>
      <c r="I59" s="147">
        <f t="shared" si="29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6"/>
        <v>0</v>
      </c>
      <c r="G60" s="211">
        <f>D60+'26.1'!G60</f>
        <v>706680</v>
      </c>
      <c r="H60" s="211">
        <f>E60+'26.1'!H60</f>
        <v>1137840</v>
      </c>
      <c r="I60" s="147">
        <f t="shared" si="29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6"/>
        <v>0</v>
      </c>
      <c r="G61" s="211">
        <f>D61+'26.1'!G61</f>
        <v>706680</v>
      </c>
      <c r="H61" s="211">
        <f>E61+'26.1'!H61</f>
        <v>1137840</v>
      </c>
      <c r="I61" s="147">
        <f t="shared" si="29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30">D60/D58</f>
        <v>#DIV/0!</v>
      </c>
      <c r="E62" s="151" t="e">
        <f t="shared" si="30"/>
        <v>#DIV/0!</v>
      </c>
      <c r="F62" s="121" t="e">
        <f t="shared" si="30"/>
        <v>#DIV/0!</v>
      </c>
      <c r="G62" s="152">
        <f t="shared" si="30"/>
        <v>307.854497930734</v>
      </c>
      <c r="H62" s="60">
        <f t="shared" si="30"/>
        <v>293.212389836622</v>
      </c>
      <c r="I62" s="61">
        <f t="shared" si="30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7">
        <f>D58/3.6/D55/(DAY(DATE(2026,3,0))*24)</f>
        <v>0</v>
      </c>
      <c r="E63" s="207">
        <f>E58/3.6/E55/(DAY(DATE(2026,3,0))*24)</f>
        <v>0</v>
      </c>
      <c r="F63" s="219">
        <f>F58/3.6/F55/(DAY(DATE(2026,3,0))*24)</f>
        <v>0</v>
      </c>
      <c r="G63" s="218">
        <f>G58/3.6/G55/(DATEDIF(DATE(2026,1,1),DATE(2026,3,1),"D")*24)</f>
        <v>0.0750516582967148</v>
      </c>
      <c r="H63" s="207">
        <f>H58/3.6/H55/(DATEDIF(DATE(2026,1,1),DATE(2026,3,1),"D")*24)</f>
        <v>0.11894690638732</v>
      </c>
      <c r="I63" s="217">
        <f>I58/3.6/I55/(DATEDIF(DATE(2026,1,1),DATE(2026,3,1),"D")*24)</f>
        <v>0.0977072702144464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31">D58/D57</f>
        <v>#DIV/0!</v>
      </c>
      <c r="E64" s="87" t="e">
        <f t="shared" si="31"/>
        <v>#DIV/0!</v>
      </c>
      <c r="F64" s="89" t="e">
        <f t="shared" si="31"/>
        <v>#DIV/0!</v>
      </c>
      <c r="G64" s="153" t="e">
        <f t="shared" si="31"/>
        <v>#DIV/0!</v>
      </c>
      <c r="H64" s="87" t="e">
        <f t="shared" si="31"/>
        <v>#DIV/0!</v>
      </c>
      <c r="I64" s="89" t="e">
        <f t="shared" si="31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2">D60/D57</f>
        <v>#DIV/0!</v>
      </c>
      <c r="E65" s="91" t="e">
        <f t="shared" si="32"/>
        <v>#DIV/0!</v>
      </c>
      <c r="F65" s="92" t="e">
        <f t="shared" si="32"/>
        <v>#DIV/0!</v>
      </c>
      <c r="G65" s="154" t="e">
        <f t="shared" si="32"/>
        <v>#DIV/0!</v>
      </c>
      <c r="H65" s="91" t="e">
        <f t="shared" si="32"/>
        <v>#DIV/0!</v>
      </c>
      <c r="I65" s="92" t="e">
        <f t="shared" si="32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3">D59*1000/D57</f>
        <v>#DIV/0!</v>
      </c>
      <c r="E66" s="100" t="e">
        <f t="shared" si="33"/>
        <v>#DIV/0!</v>
      </c>
      <c r="F66" s="101" t="e">
        <f t="shared" si="33"/>
        <v>#DIV/0!</v>
      </c>
      <c r="G66" s="155" t="e">
        <f t="shared" si="33"/>
        <v>#DIV/0!</v>
      </c>
      <c r="H66" s="100" t="e">
        <f t="shared" si="33"/>
        <v>#DIV/0!</v>
      </c>
      <c r="I66" s="101" t="e">
        <f t="shared" si="33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 t="shared" ref="G71:G75" si="34"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 t="shared" si="34"/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9">
        <f>D73+'26.1'!F73</f>
        <v>0</v>
      </c>
      <c r="G73" s="209">
        <f>E73+'26.1'!G73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9">
        <f>D74+'26.1'!F74</f>
        <v>0</v>
      </c>
      <c r="G74" s="209">
        <f>E74+'26.1'!G74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9">
        <f>D75+'26.1'!F75</f>
        <v>0</v>
      </c>
      <c r="G75" s="209">
        <f>E75+'26.1'!G75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9">
        <f>D76+'26.1'!F76</f>
        <v>0</v>
      </c>
      <c r="G76" s="209">
        <f>E76+'26.1'!G76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9">
        <f>D77+'26.1'!F77</f>
        <v>0</v>
      </c>
      <c r="G77" s="209">
        <f>E77+'26.1'!G77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5">D75*1000/D73</f>
        <v>#DIV/0!</v>
      </c>
      <c r="E79" s="169" t="e">
        <f t="shared" si="35"/>
        <v>#DIV/0!</v>
      </c>
      <c r="F79" s="170" t="e">
        <f t="shared" si="35"/>
        <v>#DIV/0!</v>
      </c>
      <c r="G79" s="61" t="e">
        <f t="shared" si="35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6">D73/(D75*29.308)</f>
        <v>#DIV/0!</v>
      </c>
      <c r="E81" s="173" t="e">
        <f t="shared" si="36"/>
        <v>#DIV/0!</v>
      </c>
      <c r="F81" s="174" t="e">
        <f t="shared" si="36"/>
        <v>#DIV/0!</v>
      </c>
      <c r="G81" s="81" t="e">
        <f t="shared" si="36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D73/3.6/D71/(DAY(DATE(2026,3,0))*24)</f>
        <v>0</v>
      </c>
      <c r="E82" s="222">
        <f>E73/3.6/E71/(DAY(DATE(2026,3,0))*24)</f>
        <v>0</v>
      </c>
      <c r="F82" s="223">
        <f>F73/3.6/F71/(DATEDIF(DATE(2026,1,1),DATE(2026,3,1),"D")*24)</f>
        <v>0</v>
      </c>
      <c r="G82" s="224">
        <f>G73/3.6/G71/(DATEDIF(DATE(2026,1,1),DATE(2026,3,1),"D")*24)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93" si="37">D87</f>
        <v>0.7888</v>
      </c>
      <c r="F87" s="187">
        <f t="shared" ref="F87:F93" si="38">F55+D87</f>
        <v>13.1888</v>
      </c>
      <c r="G87" s="187">
        <f t="shared" ref="G87:G93" si="39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7"/>
        <v>0</v>
      </c>
      <c r="F88" s="192">
        <f t="shared" si="38"/>
        <v>0</v>
      </c>
      <c r="G88" s="192">
        <f t="shared" si="39"/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7"/>
        <v>0</v>
      </c>
      <c r="F89" s="192">
        <f t="shared" si="38"/>
        <v>0</v>
      </c>
      <c r="G89" s="192">
        <f t="shared" si="39"/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14">
        <f>D90+'26.1'!E90</f>
        <v>3609.56501600001</v>
      </c>
      <c r="F90" s="192">
        <f t="shared" si="38"/>
        <v>0</v>
      </c>
      <c r="G90" s="192">
        <f t="shared" si="39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14">
        <f>D91+'26.1'!E91</f>
        <v>49</v>
      </c>
      <c r="F91" s="192">
        <f t="shared" si="38"/>
        <v>0</v>
      </c>
      <c r="G91" s="192">
        <f t="shared" si="39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14">
        <f>D92+'26.1'!E92</f>
        <v>462809.08</v>
      </c>
      <c r="F92" s="192">
        <f t="shared" si="38"/>
        <v>0</v>
      </c>
      <c r="G92" s="192">
        <f t="shared" si="39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>
        <v>0</v>
      </c>
      <c r="E93" s="214">
        <f>D93+'26.1'!E93</f>
        <v>0</v>
      </c>
      <c r="F93" s="192">
        <f t="shared" si="38"/>
        <v>0</v>
      </c>
      <c r="G93" s="192">
        <f t="shared" si="39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40">D92/D90</f>
        <v>#DIV/0!</v>
      </c>
      <c r="E94" s="193">
        <f t="shared" si="40"/>
        <v>128.217410670959</v>
      </c>
      <c r="F94" s="193" t="e">
        <f t="shared" si="40"/>
        <v>#DIV/0!</v>
      </c>
      <c r="G94" s="193">
        <f t="shared" si="40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26">
        <f>D90/3.6/D87/(DAY(DATE(2026,3,0))*24)</f>
        <v>0</v>
      </c>
      <c r="E95" s="217">
        <f>E90/3.6/E87/(DATEDIF(DATE(2026,1,1),DATE(2026,3,1),"D")*24)</f>
        <v>0.89768137119612</v>
      </c>
      <c r="F95" s="226">
        <f>F90/3.6/F87/(DAY(DATE(2026,3,0))*24)</f>
        <v>0</v>
      </c>
      <c r="G95" s="217">
        <f>G90/3.6/G87/(DATEDIF(DATE(2026,1,1),DATE(2026,3,1),"D")*24)</f>
        <v>0.145552379007843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41">D90/D89</f>
        <v>#DIV/0!</v>
      </c>
      <c r="E96" s="197" t="e">
        <f t="shared" si="41"/>
        <v>#DIV/0!</v>
      </c>
      <c r="F96" s="197" t="e">
        <f t="shared" si="41"/>
        <v>#DIV/0!</v>
      </c>
      <c r="G96" s="197" t="e">
        <f t="shared" si="41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42">D92/D89</f>
        <v>#DIV/0!</v>
      </c>
      <c r="E97" s="198" t="e">
        <f t="shared" si="42"/>
        <v>#DIV/0!</v>
      </c>
      <c r="F97" s="198" t="e">
        <f t="shared" si="42"/>
        <v>#DIV/0!</v>
      </c>
      <c r="G97" s="198" t="e">
        <f t="shared" si="42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3">D91*1000/D89</f>
        <v>#DIV/0!</v>
      </c>
      <c r="E98" s="198" t="e">
        <f t="shared" si="43"/>
        <v>#DIV/0!</v>
      </c>
      <c r="F98" s="198" t="e">
        <f t="shared" si="43"/>
        <v>#DIV/0!</v>
      </c>
      <c r="G98" s="198" t="e">
        <f t="shared" si="43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21" activePane="bottomRight" state="frozen"/>
      <selection/>
      <selection pane="topRight"/>
      <selection pane="bottomLeft"/>
      <selection pane="bottomRight" activeCell="G30" sqref="G30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12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>
        <f t="shared" si="0"/>
        <v>0</v>
      </c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52">
        <f>D7+'26.2'!I7</f>
        <v>0</v>
      </c>
      <c r="J7" s="52">
        <f>E7+'26.2'!J7</f>
        <v>0</v>
      </c>
      <c r="K7" s="52">
        <f>F7+'26.2'!K7</f>
        <v>0</v>
      </c>
      <c r="L7" s="52">
        <f>G7+'26.2'!L7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>
        <f t="shared" si="0"/>
        <v>0</v>
      </c>
      <c r="I8" s="52">
        <f>D8+'26.2'!I8</f>
        <v>740710</v>
      </c>
      <c r="J8" s="52">
        <f>E8+'26.2'!J8</f>
        <v>156456.25</v>
      </c>
      <c r="K8" s="52">
        <f>F8+'26.2'!K8</f>
        <v>0</v>
      </c>
      <c r="L8" s="52">
        <f>G8+'26.2'!L8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48">
        <f>[1]售热量!$G$25</f>
        <v>0</v>
      </c>
      <c r="F9" s="39"/>
      <c r="G9" s="39"/>
      <c r="H9" s="35">
        <f t="shared" si="0"/>
        <v>0</v>
      </c>
      <c r="I9" s="52">
        <f>D9+'26.2'!I9</f>
        <v>0</v>
      </c>
      <c r="J9" s="52">
        <f>E9+'26.2'!J9</f>
        <v>4030</v>
      </c>
      <c r="K9" s="52">
        <f>F9+'26.2'!K9</f>
        <v>0</v>
      </c>
      <c r="L9" s="52">
        <f>G9+'26.2'!L9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0"/>
        <v>0</v>
      </c>
      <c r="I10" s="52">
        <f>D10+'26.2'!I10</f>
        <v>42844</v>
      </c>
      <c r="J10" s="52">
        <f>E10+'26.2'!J10</f>
        <v>12660</v>
      </c>
      <c r="K10" s="52">
        <f>F10+'26.2'!K10</f>
        <v>0</v>
      </c>
      <c r="L10" s="52">
        <f>G10+'26.2'!L10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0"/>
        <v>0</v>
      </c>
      <c r="I11" s="52">
        <f>D11+'26.2'!I11</f>
        <v>9</v>
      </c>
      <c r="J11" s="52">
        <f>E11+'26.2'!J11</f>
        <v>0</v>
      </c>
      <c r="K11" s="52">
        <f>F11+'26.2'!K11</f>
        <v>0</v>
      </c>
      <c r="L11" s="52">
        <f>G11+'26.2'!L11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7">D13+D14</f>
        <v>0</v>
      </c>
      <c r="E12" s="46">
        <f t="shared" si="7"/>
        <v>0</v>
      </c>
      <c r="F12" s="46">
        <f t="shared" si="7"/>
        <v>0</v>
      </c>
      <c r="G12" s="46">
        <f t="shared" si="7"/>
        <v>0</v>
      </c>
      <c r="H12" s="35">
        <f t="shared" si="0"/>
        <v>0</v>
      </c>
      <c r="I12" s="52">
        <f>D12+'26.2'!I12</f>
        <v>27625.9182537601</v>
      </c>
      <c r="J12" s="52">
        <f>E12+'26.2'!J12</f>
        <v>7626.19</v>
      </c>
      <c r="K12" s="52">
        <f>F12+'26.2'!K12</f>
        <v>0</v>
      </c>
      <c r="L12" s="52">
        <f>G12+'26.2'!L12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2">
        <f>D13+'26.2'!I13</f>
        <v>27612.8043537601</v>
      </c>
      <c r="J13" s="52">
        <f>E13+'26.2'!J13</f>
        <v>7626.19</v>
      </c>
      <c r="K13" s="52">
        <f>F13+'26.2'!K13</f>
        <v>0</v>
      </c>
      <c r="L13" s="52">
        <f>G13+'26.2'!L13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2">
        <f>D14+'26.2'!I14</f>
        <v>13.1139</v>
      </c>
      <c r="J14" s="52">
        <f>E14+'26.2'!J14</f>
        <v>0</v>
      </c>
      <c r="K14" s="52">
        <f>F14+'26.2'!K14</f>
        <v>0</v>
      </c>
      <c r="L14" s="52">
        <f>G14+'26.2'!L14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2">
        <f>D15+'26.2'!I15</f>
        <v>14442</v>
      </c>
      <c r="J15" s="52">
        <f>E15+'26.2'!J15</f>
        <v>22828</v>
      </c>
      <c r="K15" s="52">
        <f>F15+'26.2'!K15</f>
        <v>0</v>
      </c>
      <c r="L15" s="52">
        <f>G15+'26.2'!L15</f>
        <v>48986</v>
      </c>
      <c r="M15" s="35">
        <f t="shared" ref="M15:M17" si="8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2">
        <f>D16+'26.2'!I16</f>
        <v>300</v>
      </c>
      <c r="J16" s="52">
        <f>E16+'26.2'!J16</f>
        <v>0</v>
      </c>
      <c r="K16" s="52">
        <f>F16+'26.2'!K16</f>
        <v>0</v>
      </c>
      <c r="L16" s="52">
        <f>G16+'26.2'!L16</f>
        <v>0</v>
      </c>
      <c r="M16" s="35">
        <f t="shared" si="8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52">
        <f>D17+'26.2'!I17</f>
        <v>5088913.6</v>
      </c>
      <c r="J17" s="52">
        <f>E17+'26.2'!J17</f>
        <v>1787714.1</v>
      </c>
      <c r="K17" s="51"/>
      <c r="L17" s="52">
        <f>G17+'26.2'!L17</f>
        <v>1187191.5</v>
      </c>
      <c r="M17" s="35">
        <f t="shared" si="8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2">
        <f>D18+'26.2'!I18</f>
        <v>5088913.6</v>
      </c>
      <c r="J18" s="52">
        <f>E18+'26.2'!J18</f>
        <v>0</v>
      </c>
      <c r="K18" s="52">
        <f>F18+'26.2'!K18</f>
        <v>0</v>
      </c>
      <c r="L18" s="52">
        <f>G18+'26.2'!L18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52">
        <f>D19+'26.2'!I19</f>
        <v>0</v>
      </c>
      <c r="J19" s="52"/>
      <c r="K19" s="52">
        <f>F19+'26.2'!K19</f>
        <v>0</v>
      </c>
      <c r="L19" s="52">
        <f>G19+'26.2'!L19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2">
        <f>D20+'26.2'!I20</f>
        <v>13000</v>
      </c>
      <c r="J20" s="52">
        <f>E20+'26.2'!J20</f>
        <v>0</v>
      </c>
      <c r="K20" s="52">
        <f>F20+'26.2'!K20</f>
        <v>0</v>
      </c>
      <c r="L20" s="52">
        <f>G20+'26.2'!L20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2">
        <f>D21+'26.2'!I21</f>
        <v>571020.4</v>
      </c>
      <c r="J21" s="52">
        <f>E21+'26.2'!J21</f>
        <v>0</v>
      </c>
      <c r="K21" s="52">
        <f>F21+'26.2'!K21</f>
        <v>0</v>
      </c>
      <c r="L21" s="52">
        <f>G21+'26.2'!L21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2">
        <f>D22+'26.2'!I22</f>
        <v>734.29</v>
      </c>
      <c r="J22" s="52">
        <f>E22+'26.2'!J22</f>
        <v>43.975</v>
      </c>
      <c r="K22" s="52">
        <f>F22+'26.2'!K22</f>
        <v>0</v>
      </c>
      <c r="L22" s="52">
        <f>G22+'26.2'!L22</f>
        <v>7.925</v>
      </c>
      <c r="M22" s="59">
        <f t="shared" ref="M22:M27" si="9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2">
        <f>D23+'26.2'!I23</f>
        <v>253.8</v>
      </c>
      <c r="J23" s="52">
        <f>E23+'26.2'!J23</f>
        <v>28.64</v>
      </c>
      <c r="K23" s="52">
        <f>F23+'26.2'!K23</f>
        <v>0</v>
      </c>
      <c r="L23" s="52">
        <f>G23+'26.2'!L23</f>
        <v>1.925</v>
      </c>
      <c r="M23" s="59">
        <f t="shared" si="9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0">D17/D8</f>
        <v>#DIV/0!</v>
      </c>
      <c r="E24" s="60" t="e">
        <f t="shared" si="10"/>
        <v>#DIV/0!</v>
      </c>
      <c r="F24" s="60" t="e">
        <f t="shared" si="10"/>
        <v>#DIV/0!</v>
      </c>
      <c r="G24" s="60" t="e">
        <f t="shared" si="10"/>
        <v>#DIV/0!</v>
      </c>
      <c r="H24" s="61" t="e">
        <f t="shared" si="10"/>
        <v>#DIV/0!</v>
      </c>
      <c r="I24" s="62">
        <f t="shared" si="10"/>
        <v>6.87031847821685</v>
      </c>
      <c r="J24" s="60">
        <f t="shared" si="10"/>
        <v>11.4262875404466</v>
      </c>
      <c r="K24" s="60" t="e">
        <f t="shared" si="10"/>
        <v>#DIV/0!</v>
      </c>
      <c r="L24" s="60">
        <f t="shared" si="10"/>
        <v>4.64257619587359</v>
      </c>
      <c r="M24" s="61">
        <f t="shared" si="10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1">D12*1000/D8</f>
        <v>#DIV/0!</v>
      </c>
      <c r="E25" s="60" t="e">
        <f t="shared" si="11"/>
        <v>#DIV/0!</v>
      </c>
      <c r="F25" s="60" t="e">
        <f t="shared" si="11"/>
        <v>#DIV/0!</v>
      </c>
      <c r="G25" s="60" t="e">
        <f t="shared" si="11"/>
        <v>#DIV/0!</v>
      </c>
      <c r="H25" s="61" t="e">
        <f t="shared" si="11"/>
        <v>#DIV/0!</v>
      </c>
      <c r="I25" s="62">
        <f t="shared" si="11"/>
        <v>37.2965374488803</v>
      </c>
      <c r="J25" s="60">
        <f t="shared" si="11"/>
        <v>48.7432748771621</v>
      </c>
      <c r="K25" s="60" t="e">
        <f t="shared" si="11"/>
        <v>#DIV/0!</v>
      </c>
      <c r="L25" s="60">
        <f t="shared" si="11"/>
        <v>1.33657700031853</v>
      </c>
      <c r="M25" s="61">
        <f t="shared" si="11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2">
        <f>D26+'26.2'!I26</f>
        <v>16216</v>
      </c>
      <c r="J26" s="52">
        <f>E26+'26.2'!J26</f>
        <v>9596</v>
      </c>
      <c r="K26" s="52">
        <f>F26+'26.2'!K26</f>
        <v>0</v>
      </c>
      <c r="L26" s="52">
        <f>G26+'26.2'!L26</f>
        <v>119</v>
      </c>
      <c r="M26" s="66">
        <f t="shared" si="9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 t="shared" ref="E27:G27" si="12">J27</f>
        <v>9505.7</v>
      </c>
      <c r="F27" s="68">
        <f t="shared" si="12"/>
        <v>0</v>
      </c>
      <c r="G27" s="68">
        <f t="shared" si="12"/>
        <v>714.500000000023</v>
      </c>
      <c r="H27" s="69"/>
      <c r="I27" s="70">
        <f>D27</f>
        <v>0</v>
      </c>
      <c r="J27" s="216">
        <f>'26.2'!J27+E26-E10</f>
        <v>9505.7</v>
      </c>
      <c r="K27" s="216">
        <f>'26.2'!K27+F26-F10</f>
        <v>0</v>
      </c>
      <c r="L27" s="216">
        <f>'26.2'!L27+G26-G10</f>
        <v>714.500000000023</v>
      </c>
      <c r="M27" s="72">
        <f t="shared" si="9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>D8/3.6/D3/(DAY(DATE(2026,4,0))*24)</f>
        <v>0</v>
      </c>
      <c r="E31" s="207">
        <f>E8/3.6/E3/(DAY(DATE(2026,4,0))*24)</f>
        <v>0</v>
      </c>
      <c r="F31" s="207" t="e">
        <f>F8/3.6/F3/(DAY(DATE(2026,4,0))*24)</f>
        <v>#DIV/0!</v>
      </c>
      <c r="G31" s="207">
        <f>(G8-G36)/3.6/G3/(DAY(DATE(2026,4,0))*24)</f>
        <v>0</v>
      </c>
      <c r="H31" s="217">
        <f>H8/3.6/H3/(DAY(DATE(2026,4,0))*24)</f>
        <v>0</v>
      </c>
      <c r="I31" s="218">
        <f>I8/3.6/I3/(DATEDIF(DATE(2026,1,1),DATE(2026,4,1),"D")*24)</f>
        <v>0.273723895511092</v>
      </c>
      <c r="J31" s="207">
        <f>J8/3.6/J3/(DATEDIF(DATE(2026,1,1),DATE(2026,4,1),"D")*24)</f>
        <v>0.124200015559112</v>
      </c>
      <c r="K31" s="207" t="e">
        <f>K8/3.6/K3/(DATEDIF(DATE(2026,1,1),DATE(2026,4,1),"D")*24)</f>
        <v>#DIV/0!</v>
      </c>
      <c r="L31" s="207">
        <f>(L8-L36)/3.6/L3/(DATEDIF(DATE(2026,1,1),DATE(2026,4,1),"D")*24)</f>
        <v>0.0552088711712688</v>
      </c>
      <c r="M31" s="217">
        <f>M8/3.6/M3/(DATEDIF(DATE(2026,1,1),DATE(2026,4,1),"D")*24)</f>
        <v>0.3011703468066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52">
        <f>G36+'26.2'!L36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61">
        <f>D42+'26.2'!E42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61">
        <f>D43+'26.2'!E43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61">
        <f>D44+'26.2'!E44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/>
      <c r="E45" s="161">
        <f>D45+'26.2'!E45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D42/3.6/D39/(DAY(DATE(2026,4,0))*24)</f>
        <v>0</v>
      </c>
      <c r="E47" s="220">
        <f>E42/3.6/E39/(DATEDIF(DATE(2026,1,1),DATE(2026,4,1),"D")*24)</f>
        <v>0.103114478114478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18">
        <f>D58+'26.2'!G58</f>
        <v>2295.5</v>
      </c>
      <c r="H58" s="118">
        <f>E58+'26.2'!H58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18">
        <f>D59+'26.2'!G59</f>
        <v>235</v>
      </c>
      <c r="H59" s="118">
        <f>E59+'26.2'!H59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18">
        <f>D60+'26.2'!G60</f>
        <v>706680</v>
      </c>
      <c r="H60" s="118">
        <f>E60+'26.2'!H60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18">
        <f>D61+'26.2'!G61</f>
        <v>706680</v>
      </c>
      <c r="H61" s="118">
        <f>E61+'26.2'!H61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7">
        <f>D58/3.6/D55/(DAY(DATE(2026,4,0))*24)</f>
        <v>0</v>
      </c>
      <c r="E63" s="207">
        <f>E58/3.6/E55/(DAY(DATE(2026,4,0))*24)</f>
        <v>0</v>
      </c>
      <c r="F63" s="219">
        <f>F58/3.6/F55/(DAY(DATE(2026,4,0))*24)</f>
        <v>0</v>
      </c>
      <c r="G63" s="218">
        <f>G58/3.6/G55/(DATEDIF(DATE(2026,1,1),DATE(2026,4,1),"D")*24)</f>
        <v>0.0492005315500686</v>
      </c>
      <c r="H63" s="207">
        <f>H58/3.6/H55/(DATEDIF(DATE(2026,1,1),DATE(2026,4,1),"D")*24)</f>
        <v>0.0779763052983541</v>
      </c>
      <c r="I63" s="217">
        <f>I58/3.6/I55/(DATEDIF(DATE(2026,1,1),DATE(2026,4,1),"D")*24)</f>
        <v>0.0640525438072482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61">
        <f>D73+'26.2'!F73</f>
        <v>0</v>
      </c>
      <c r="G73" s="161">
        <f>E73+'26.2'!G73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61">
        <f>D74+'26.2'!F74</f>
        <v>0</v>
      </c>
      <c r="G74" s="161">
        <f>E74+'26.2'!G74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61">
        <f>D75+'26.2'!F75</f>
        <v>0</v>
      </c>
      <c r="G75" s="161">
        <f>E75+'26.2'!G75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61">
        <f>D76+'26.2'!F76</f>
        <v>0</v>
      </c>
      <c r="G76" s="161">
        <f>E76+'26.2'!G76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61">
        <f>D77+'26.2'!F77</f>
        <v>0</v>
      </c>
      <c r="G77" s="161">
        <f>E77+'26.2'!G77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D73/3.6/D71/(DAY(DATE(2026,4,0))*24)</f>
        <v>0</v>
      </c>
      <c r="E82" s="222">
        <f>E73/3.6/E71/(DAY(DATE(2026,4,0))*24)</f>
        <v>0</v>
      </c>
      <c r="F82" s="223">
        <f>F73/3.6/F71/(DATEDIF(DATE(2026,1,1),DATE(2026,4,1),"D")*24)</f>
        <v>0</v>
      </c>
      <c r="G82" s="224">
        <f>G73/3.6/G71/(DATEDIF(DATE(2026,1,1),DATE(2026,4,1),"D")*24)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2">
        <f t="shared" si="35"/>
        <v>0</v>
      </c>
      <c r="G88" s="192">
        <f t="shared" si="36"/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2">
        <f t="shared" si="35"/>
        <v>0</v>
      </c>
      <c r="G89" s="192">
        <f t="shared" si="36"/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25">
        <f>D90+'26.2'!E90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25">
        <f>D91+'26.2'!E91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25">
        <f>D92+'26.2'!E92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25">
        <f>D93+'26.2'!E93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26">
        <f>D90/3.6/D87/(DAY(DATE(2026,4,0))*24)</f>
        <v>0</v>
      </c>
      <c r="E95" s="217">
        <f>E90/3.6/E87/(DATEDIF(DATE(2026,1,1),DATE(2026,4,1),"D")*24)</f>
        <v>0.588480010006346</v>
      </c>
      <c r="F95" s="226">
        <f>F90/3.6/F87/(DAY(DATE(2026,4,0))*24)</f>
        <v>0</v>
      </c>
      <c r="G95" s="217">
        <f>G90/3.6/G87/(DATEDIF(DATE(2026,1,1),DATE(2026,4,1),"D")*24)</f>
        <v>0.0954176706829191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51">
        <f>D7+'26.3'!I7</f>
        <v>0</v>
      </c>
      <c r="J7" s="51">
        <f>E7+'26.3'!J7</f>
        <v>0</v>
      </c>
      <c r="K7" s="51">
        <f>F7+'26.3'!K7</f>
        <v>0</v>
      </c>
      <c r="L7" s="51">
        <f>G7+'26.3'!L7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51">
        <f>D8+'26.3'!I8</f>
        <v>740710</v>
      </c>
      <c r="J8" s="51">
        <f>E8+'26.3'!J8</f>
        <v>156456.25</v>
      </c>
      <c r="K8" s="51">
        <f>F8+'26.3'!K8</f>
        <v>0</v>
      </c>
      <c r="L8" s="51">
        <f>G8+'26.3'!L8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[1]售热量!$I$25</f>
        <v>0</v>
      </c>
      <c r="F9" s="39"/>
      <c r="G9" s="39"/>
      <c r="H9" s="35">
        <f t="shared" ref="H9:H12" si="7">E9+F9+G9</f>
        <v>0</v>
      </c>
      <c r="I9" s="51">
        <f>D9+'26.3'!I9</f>
        <v>0</v>
      </c>
      <c r="J9" s="51">
        <f>E9+'26.3'!J9</f>
        <v>4030</v>
      </c>
      <c r="K9" s="51">
        <f>F9+'26.3'!K9</f>
        <v>0</v>
      </c>
      <c r="L9" s="51">
        <f>G9+'26.3'!L9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51">
        <f>D10+'26.3'!I10</f>
        <v>42844</v>
      </c>
      <c r="J10" s="51">
        <f>E10+'26.3'!J10</f>
        <v>12660</v>
      </c>
      <c r="K10" s="51">
        <f>F10+'26.3'!K10</f>
        <v>0</v>
      </c>
      <c r="L10" s="51">
        <f>G10+'26.3'!L10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51">
        <f>D11+'26.3'!I11</f>
        <v>9</v>
      </c>
      <c r="J11" s="51">
        <f>E11+'26.3'!J11</f>
        <v>0</v>
      </c>
      <c r="K11" s="51">
        <f>F11+'26.3'!K11</f>
        <v>0</v>
      </c>
      <c r="L11" s="51">
        <f>G11+'26.3'!L11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51">
        <f>D12+'26.3'!I12</f>
        <v>27625.9182537601</v>
      </c>
      <c r="J12" s="51">
        <f>E12+'26.3'!J12</f>
        <v>7626.19</v>
      </c>
      <c r="K12" s="51">
        <f>F12+'26.3'!K12</f>
        <v>0</v>
      </c>
      <c r="L12" s="51">
        <f>G12+'26.3'!L12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1">
        <f>D13+'26.3'!I13</f>
        <v>27612.8043537601</v>
      </c>
      <c r="J13" s="51">
        <f>E13+'26.3'!J13</f>
        <v>7626.19</v>
      </c>
      <c r="K13" s="51">
        <f>F13+'26.3'!K13</f>
        <v>0</v>
      </c>
      <c r="L13" s="51">
        <f>G13+'26.3'!L13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1">
        <f>D14+'26.3'!I14</f>
        <v>13.1139</v>
      </c>
      <c r="J14" s="51">
        <f>E14+'26.3'!J14</f>
        <v>0</v>
      </c>
      <c r="K14" s="51">
        <f>F14+'26.3'!K14</f>
        <v>0</v>
      </c>
      <c r="L14" s="51">
        <f>G14+'26.3'!L14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1">
        <f>D15+'26.3'!I15</f>
        <v>14442</v>
      </c>
      <c r="J15" s="51">
        <f>E15+'26.3'!J15</f>
        <v>22828</v>
      </c>
      <c r="K15" s="51">
        <f>F15+'26.3'!K15</f>
        <v>0</v>
      </c>
      <c r="L15" s="51">
        <f>G15+'26.3'!L15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1">
        <f>D16+'26.3'!I16</f>
        <v>300</v>
      </c>
      <c r="J16" s="51">
        <f>E16+'26.3'!J16</f>
        <v>0</v>
      </c>
      <c r="K16" s="51">
        <f>F16+'26.3'!K16</f>
        <v>0</v>
      </c>
      <c r="L16" s="51">
        <f>G16+'26.3'!L16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51">
        <f>D17+'26.3'!I17</f>
        <v>5088913.6</v>
      </c>
      <c r="J17" s="51">
        <f>E17+'26.3'!J17</f>
        <v>1787714.1</v>
      </c>
      <c r="K17" s="51"/>
      <c r="L17" s="51">
        <f>G17+'26.3'!L17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1">
        <f>D18+'26.3'!I18</f>
        <v>5088913.6</v>
      </c>
      <c r="J18" s="51">
        <f>E18+'26.3'!J18</f>
        <v>0</v>
      </c>
      <c r="K18" s="51">
        <f>F18+'26.3'!K18</f>
        <v>0</v>
      </c>
      <c r="L18" s="51">
        <f>G18+'26.3'!L18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51">
        <f>D19+'26.3'!I19</f>
        <v>0</v>
      </c>
      <c r="J19" s="52"/>
      <c r="K19" s="51">
        <f>F19+'26.3'!K19</f>
        <v>0</v>
      </c>
      <c r="L19" s="51">
        <f>G19+'26.3'!L19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1">
        <f>D20+'26.3'!I20</f>
        <v>13000</v>
      </c>
      <c r="J20" s="51">
        <f>E20+'26.3'!J20</f>
        <v>0</v>
      </c>
      <c r="K20" s="51">
        <f>F20+'26.3'!K20</f>
        <v>0</v>
      </c>
      <c r="L20" s="51">
        <f>G20+'26.3'!L20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1">
        <f>D21+'26.3'!I21</f>
        <v>571020.4</v>
      </c>
      <c r="J21" s="51">
        <f>E21+'26.3'!J21</f>
        <v>0</v>
      </c>
      <c r="K21" s="51">
        <f>F21+'26.3'!K21</f>
        <v>0</v>
      </c>
      <c r="L21" s="51">
        <f>G21+'26.3'!L21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1">
        <f>D22+'26.3'!I22</f>
        <v>734.29</v>
      </c>
      <c r="J22" s="51">
        <f>E22+'26.3'!J22</f>
        <v>43.975</v>
      </c>
      <c r="K22" s="51">
        <f>F22+'26.3'!K22</f>
        <v>0</v>
      </c>
      <c r="L22" s="51">
        <f>G22+'26.3'!L22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1">
        <f>D23+'26.3'!I23</f>
        <v>253.8</v>
      </c>
      <c r="J23" s="51">
        <f>E23+'26.3'!J23</f>
        <v>28.64</v>
      </c>
      <c r="K23" s="51">
        <f>F23+'26.3'!K23</f>
        <v>0</v>
      </c>
      <c r="L23" s="51">
        <f>G23+'26.3'!L23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1">
        <f>D26+'26.3'!I26</f>
        <v>16216</v>
      </c>
      <c r="J26" s="51">
        <f>E26+'26.3'!J26</f>
        <v>9596</v>
      </c>
      <c r="K26" s="51">
        <f>F26+'26.3'!K26</f>
        <v>0</v>
      </c>
      <c r="L26" s="51">
        <f>G26+'26.3'!L26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>
        <f>D27</f>
        <v>0</v>
      </c>
      <c r="J27" s="205">
        <f>'26.3'!J27+E26-E10</f>
        <v>9505.7</v>
      </c>
      <c r="K27" s="205">
        <f>'26.3'!K27+F26-F10</f>
        <v>0</v>
      </c>
      <c r="L27" s="205">
        <f>'26.3'!L27+G26-G10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6">
        <f t="shared" ref="D31:H31" si="16">D8/3.6/D3/(5*24)</f>
        <v>0</v>
      </c>
      <c r="E31" s="206">
        <f t="shared" si="16"/>
        <v>0</v>
      </c>
      <c r="F31" s="206" t="e">
        <f t="shared" si="16"/>
        <v>#DIV/0!</v>
      </c>
      <c r="G31" s="207">
        <f>(G8-G36)/3.6/G3/(DAY(DATE(2026,5,0))*24)</f>
        <v>0</v>
      </c>
      <c r="H31" s="208">
        <f t="shared" si="16"/>
        <v>0</v>
      </c>
      <c r="I31" s="85">
        <f>I8/3.6/I3/(DATEDIF(DATE(2026,1,1),DATE(2026,5,1),"D")*24)</f>
        <v>0.205292921633319</v>
      </c>
      <c r="J31" s="83">
        <f>J8/3.6/J3/(DATEDIF(DATE(2026,1,1),DATE(2026,5,1),"D")*24)</f>
        <v>0.0931500116693339</v>
      </c>
      <c r="K31" s="83" t="e">
        <f>K8/3.6/K3/(DATEDIF(DATE(2026,1,1),DATE(2026,5,1),"D")*24)</f>
        <v>#DIV/0!</v>
      </c>
      <c r="L31" s="83">
        <f>(L8-L36)/3.6/L3/(DATEDIF(DATE(2026,1,1),DATE(2026,5,1),"D")*24)</f>
        <v>0.0414066533784516</v>
      </c>
      <c r="M31" s="84">
        <f>M8/3.6/M3/(DATEDIF(DATE(2026,1,1),DATE(2026,5,1),"D")*24)</f>
        <v>0.22587776010495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7">E8/E6</f>
        <v>#DIV/0!</v>
      </c>
      <c r="F32" s="87" t="e">
        <f t="shared" si="17"/>
        <v>#DIV/0!</v>
      </c>
      <c r="G32" s="87" t="e">
        <f t="shared" si="17"/>
        <v>#DIV/0!</v>
      </c>
      <c r="H32" s="87" t="e">
        <f t="shared" si="17"/>
        <v>#DIV/0!</v>
      </c>
      <c r="I32" s="88"/>
      <c r="J32" s="87" t="e">
        <f t="shared" ref="J32:M32" si="18">J8/J6</f>
        <v>#DIV/0!</v>
      </c>
      <c r="K32" s="87" t="e">
        <f t="shared" si="18"/>
        <v>#DIV/0!</v>
      </c>
      <c r="L32" s="87" t="e">
        <f t="shared" si="18"/>
        <v>#DIV/0!</v>
      </c>
      <c r="M32" s="89" t="e">
        <f t="shared" si="18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9">E12*1000/E6</f>
        <v>#DIV/0!</v>
      </c>
      <c r="F33" s="91" t="e">
        <f t="shared" si="19"/>
        <v>#DIV/0!</v>
      </c>
      <c r="G33" s="91" t="e">
        <f t="shared" si="19"/>
        <v>#DIV/0!</v>
      </c>
      <c r="H33" s="92" t="e">
        <f t="shared" si="19"/>
        <v>#DIV/0!</v>
      </c>
      <c r="I33" s="93"/>
      <c r="J33" s="91" t="e">
        <f t="shared" ref="J33:M33" si="20">J12*1000/J6</f>
        <v>#DIV/0!</v>
      </c>
      <c r="K33" s="91" t="e">
        <f t="shared" si="20"/>
        <v>#DIV/0!</v>
      </c>
      <c r="L33" s="91" t="e">
        <f t="shared" si="20"/>
        <v>#DIV/0!</v>
      </c>
      <c r="M33" s="92" t="e">
        <f t="shared" si="20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1">E17/E6</f>
        <v>#DIV/0!</v>
      </c>
      <c r="F34" s="91" t="e">
        <f t="shared" si="21"/>
        <v>#DIV/0!</v>
      </c>
      <c r="G34" s="91" t="e">
        <f t="shared" si="21"/>
        <v>#DIV/0!</v>
      </c>
      <c r="H34" s="92" t="e">
        <f t="shared" si="21"/>
        <v>#DIV/0!</v>
      </c>
      <c r="I34" s="95"/>
      <c r="J34" s="91" t="e">
        <f t="shared" ref="J34:M34" si="22">J17/J6</f>
        <v>#DIV/0!</v>
      </c>
      <c r="K34" s="91" t="e">
        <f t="shared" si="22"/>
        <v>#DIV/0!</v>
      </c>
      <c r="L34" s="91" t="e">
        <f t="shared" si="22"/>
        <v>#DIV/0!</v>
      </c>
      <c r="M34" s="92" t="e">
        <f t="shared" si="22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3">E15*1000/E6</f>
        <v>#DIV/0!</v>
      </c>
      <c r="F35" s="100" t="e">
        <f t="shared" si="23"/>
        <v>#DIV/0!</v>
      </c>
      <c r="G35" s="100" t="e">
        <f t="shared" si="23"/>
        <v>#DIV/0!</v>
      </c>
      <c r="H35" s="101" t="e">
        <f t="shared" si="23"/>
        <v>#DIV/0!</v>
      </c>
      <c r="I35" s="102"/>
      <c r="J35" s="100" t="e">
        <f t="shared" ref="J35:M35" si="24">J15*1000/J6</f>
        <v>#DIV/0!</v>
      </c>
      <c r="K35" s="100" t="e">
        <f t="shared" si="24"/>
        <v>#DIV/0!</v>
      </c>
      <c r="L35" s="100" t="e">
        <f t="shared" si="24"/>
        <v>#DIV/0!</v>
      </c>
      <c r="M35" s="101" t="e">
        <f t="shared" si="24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51">
        <f>G36+'26.3'!L36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9">
        <f>D42+'26.3'!E42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9">
        <f>D43+'26.3'!E43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9">
        <f>D44+'26.3'!E44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9">
        <f>D45+'26.3'!E45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0">
        <f>D42/3.6/D39/(5*24)</f>
        <v>0</v>
      </c>
      <c r="E47" s="124">
        <f>E42/3.6/E39/(DATEDIF(DATE(2026,1,1),DATE(2026,5,1),"D")*24)</f>
        <v>0.0773358585858586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5">SUM(D55:E55)</f>
        <v>12.4</v>
      </c>
      <c r="G55" s="145">
        <f t="shared" ref="G55:G57" si="26">D55</f>
        <v>6</v>
      </c>
      <c r="H55" s="146">
        <f t="shared" ref="H55:H57" si="27">E55</f>
        <v>6.4</v>
      </c>
      <c r="I55" s="146">
        <f t="shared" ref="I55:I61" si="28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5"/>
        <v>0</v>
      </c>
      <c r="G56" s="118">
        <f t="shared" si="26"/>
        <v>0</v>
      </c>
      <c r="H56" s="118">
        <f t="shared" si="27"/>
        <v>0</v>
      </c>
      <c r="I56" s="147">
        <f t="shared" si="28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5"/>
        <v>0</v>
      </c>
      <c r="G57" s="118">
        <f t="shared" si="26"/>
        <v>0</v>
      </c>
      <c r="H57" s="118">
        <f t="shared" si="27"/>
        <v>0</v>
      </c>
      <c r="I57" s="147">
        <f t="shared" si="28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5"/>
        <v>0</v>
      </c>
      <c r="G58" s="211">
        <f>D58+'26.3'!G58</f>
        <v>2295.5</v>
      </c>
      <c r="H58" s="211">
        <f>E58+'26.3'!H58</f>
        <v>3880.60000000001</v>
      </c>
      <c r="I58" s="147">
        <f t="shared" si="28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5"/>
        <v>0</v>
      </c>
      <c r="G59" s="211">
        <f>D59+'26.3'!G59</f>
        <v>235</v>
      </c>
      <c r="H59" s="211">
        <f>E59+'26.3'!H59</f>
        <v>158.01</v>
      </c>
      <c r="I59" s="147">
        <f t="shared" si="28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5"/>
        <v>0</v>
      </c>
      <c r="G60" s="211">
        <f>D60+'26.3'!G60</f>
        <v>706680</v>
      </c>
      <c r="H60" s="211">
        <f>E60+'26.3'!H60</f>
        <v>1137840</v>
      </c>
      <c r="I60" s="147">
        <f t="shared" si="28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5"/>
        <v>0</v>
      </c>
      <c r="G61" s="211">
        <f>D61+'26.3'!G61</f>
        <v>706680</v>
      </c>
      <c r="H61" s="211">
        <f>E61+'26.3'!H61</f>
        <v>1137840</v>
      </c>
      <c r="I61" s="147">
        <f t="shared" si="28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9">D60/D58</f>
        <v>#DIV/0!</v>
      </c>
      <c r="E62" s="151" t="e">
        <f t="shared" si="29"/>
        <v>#DIV/0!</v>
      </c>
      <c r="F62" s="121" t="e">
        <f t="shared" si="29"/>
        <v>#DIV/0!</v>
      </c>
      <c r="G62" s="152">
        <f t="shared" si="29"/>
        <v>307.854497930734</v>
      </c>
      <c r="H62" s="60">
        <f t="shared" si="29"/>
        <v>293.212389836622</v>
      </c>
      <c r="I62" s="61">
        <f t="shared" si="29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6">
        <f t="shared" ref="D63:F63" si="30">D58/3.6/D55/(5*24)</f>
        <v>0</v>
      </c>
      <c r="E63" s="206">
        <f t="shared" si="30"/>
        <v>0</v>
      </c>
      <c r="F63" s="210">
        <f t="shared" si="30"/>
        <v>0</v>
      </c>
      <c r="G63" s="85">
        <f>G58/3.6/G55/(DATEDIF(DATE(2026,1,1),DATE(2026,5,1),"D")*24)</f>
        <v>0.0369003986625514</v>
      </c>
      <c r="H63" s="83">
        <f>H58/3.6/H55/(DATEDIF(DATE(2026,1,1),DATE(2026,5,1),"D")*24)</f>
        <v>0.0584822289737656</v>
      </c>
      <c r="I63" s="84">
        <f>I58/3.6/I55/(DATEDIF(DATE(2026,1,1),DATE(2026,5,1),"D")*24)</f>
        <v>0.0480394078554362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31">D58/D57</f>
        <v>#DIV/0!</v>
      </c>
      <c r="E64" s="87" t="e">
        <f t="shared" si="31"/>
        <v>#DIV/0!</v>
      </c>
      <c r="F64" s="89" t="e">
        <f t="shared" si="31"/>
        <v>#DIV/0!</v>
      </c>
      <c r="G64" s="153" t="e">
        <f t="shared" si="31"/>
        <v>#DIV/0!</v>
      </c>
      <c r="H64" s="87" t="e">
        <f t="shared" si="31"/>
        <v>#DIV/0!</v>
      </c>
      <c r="I64" s="89" t="e">
        <f t="shared" si="31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2">D60/D57</f>
        <v>#DIV/0!</v>
      </c>
      <c r="E65" s="91" t="e">
        <f t="shared" si="32"/>
        <v>#DIV/0!</v>
      </c>
      <c r="F65" s="92" t="e">
        <f t="shared" si="32"/>
        <v>#DIV/0!</v>
      </c>
      <c r="G65" s="154" t="e">
        <f t="shared" si="32"/>
        <v>#DIV/0!</v>
      </c>
      <c r="H65" s="91" t="e">
        <f t="shared" si="32"/>
        <v>#DIV/0!</v>
      </c>
      <c r="I65" s="92" t="e">
        <f t="shared" si="32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3">D59*1000/D57</f>
        <v>#DIV/0!</v>
      </c>
      <c r="E66" s="100" t="e">
        <f t="shared" si="33"/>
        <v>#DIV/0!</v>
      </c>
      <c r="F66" s="101" t="e">
        <f t="shared" si="33"/>
        <v>#DIV/0!</v>
      </c>
      <c r="G66" s="155" t="e">
        <f t="shared" si="33"/>
        <v>#DIV/0!</v>
      </c>
      <c r="H66" s="100" t="e">
        <f t="shared" si="33"/>
        <v>#DIV/0!</v>
      </c>
      <c r="I66" s="101" t="e">
        <f t="shared" si="33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9">
        <f>D73+'26.3'!F73</f>
        <v>0</v>
      </c>
      <c r="G73" s="209">
        <f>E73+'26.3'!G73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9">
        <f>D74+'26.3'!F74</f>
        <v>0</v>
      </c>
      <c r="G74" s="209">
        <f>E74+'26.3'!G74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9">
        <f>D75+'26.3'!F75</f>
        <v>0</v>
      </c>
      <c r="G75" s="209">
        <f>E75+'26.3'!G75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9">
        <f>D76+'26.3'!F76</f>
        <v>0</v>
      </c>
      <c r="G76" s="209">
        <f>E76+'26.3'!G76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9">
        <f>D77+'26.3'!F77</f>
        <v>0</v>
      </c>
      <c r="G77" s="209">
        <f>E77+'26.3'!G77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4">D75*1000/D73</f>
        <v>#DIV/0!</v>
      </c>
      <c r="E79" s="169" t="e">
        <f t="shared" si="34"/>
        <v>#DIV/0!</v>
      </c>
      <c r="F79" s="170" t="e">
        <f t="shared" si="34"/>
        <v>#DIV/0!</v>
      </c>
      <c r="G79" s="61" t="e">
        <f t="shared" si="34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5">D73/(D75*29.308)</f>
        <v>#DIV/0!</v>
      </c>
      <c r="E81" s="173" t="e">
        <f t="shared" si="35"/>
        <v>#DIV/0!</v>
      </c>
      <c r="F81" s="174" t="e">
        <f t="shared" si="35"/>
        <v>#DIV/0!</v>
      </c>
      <c r="G81" s="81" t="e">
        <f t="shared" si="35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12">
        <f>D73/3.6/D71/(5*24)</f>
        <v>0</v>
      </c>
      <c r="E82" s="213">
        <f>E73/3.6/E71/(5*24)</f>
        <v>0</v>
      </c>
      <c r="F82" s="179">
        <f>F73/3.6/F71/(DATEDIF(DATE(2026,1,1),DATE(2026,5,1),"D")*24)</f>
        <v>0</v>
      </c>
      <c r="G82" s="180">
        <f>G73/3.6/G71/(DATEDIF(DATE(2026,1,1),DATE(2026,5,1),"D")*24)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6">D87</f>
        <v>0.7888</v>
      </c>
      <c r="F87" s="187">
        <f t="shared" ref="F87:F93" si="37">F55+D87</f>
        <v>13.1888</v>
      </c>
      <c r="G87" s="187">
        <f t="shared" ref="G87:G93" si="38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6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6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14">
        <f>D90+'26.3'!E90</f>
        <v>3609.56501600001</v>
      </c>
      <c r="F90" s="192">
        <f t="shared" si="37"/>
        <v>0</v>
      </c>
      <c r="G90" s="192">
        <f t="shared" si="38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14">
        <f>D91+'26.3'!E91</f>
        <v>49</v>
      </c>
      <c r="F91" s="192">
        <f t="shared" si="37"/>
        <v>0</v>
      </c>
      <c r="G91" s="192">
        <f t="shared" si="38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14">
        <f>D92+'26.3'!E92</f>
        <v>462809.08</v>
      </c>
      <c r="F92" s="192">
        <f t="shared" si="37"/>
        <v>0</v>
      </c>
      <c r="G92" s="192">
        <f t="shared" si="38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14">
        <f>D93+'26.3'!E93</f>
        <v>0</v>
      </c>
      <c r="F93" s="192">
        <f t="shared" si="37"/>
        <v>0</v>
      </c>
      <c r="G93" s="192">
        <f t="shared" si="38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9">D92/D90</f>
        <v>#DIV/0!</v>
      </c>
      <c r="E94" s="193">
        <f t="shared" si="39"/>
        <v>128.217410670959</v>
      </c>
      <c r="F94" s="193" t="e">
        <f t="shared" si="39"/>
        <v>#DIV/0!</v>
      </c>
      <c r="G94" s="193">
        <f t="shared" si="39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15">
        <f>D90/3.6/D87/(5*24)</f>
        <v>0</v>
      </c>
      <c r="E95" s="84">
        <f>E90/3.6/E87/(DATEDIF(DATE(2026,1,1),DATE(2026,5,1),"D")*24)</f>
        <v>0.441360007504759</v>
      </c>
      <c r="F95" s="215">
        <f>F90/3.6/F87/(5*24)</f>
        <v>0</v>
      </c>
      <c r="G95" s="84">
        <f>G90/3.6/G87/(DATEDIF(DATE(2026,1,1),DATE(2026,5,1),"D")*24)</f>
        <v>0.0715632530121893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40">D90/D89</f>
        <v>#DIV/0!</v>
      </c>
      <c r="E96" s="197" t="e">
        <f t="shared" si="40"/>
        <v>#DIV/0!</v>
      </c>
      <c r="F96" s="197">
        <f t="shared" si="40"/>
        <v>0</v>
      </c>
      <c r="G96" s="197">
        <f t="shared" si="40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41">D92/D89</f>
        <v>#DIV/0!</v>
      </c>
      <c r="E97" s="198" t="e">
        <f t="shared" si="41"/>
        <v>#DIV/0!</v>
      </c>
      <c r="F97" s="198">
        <f t="shared" si="41"/>
        <v>0</v>
      </c>
      <c r="G97" s="198">
        <f t="shared" si="41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2">D91*1000/D89</f>
        <v>#DIV/0!</v>
      </c>
      <c r="E98" s="198" t="e">
        <f t="shared" si="42"/>
        <v>#DIV/0!</v>
      </c>
      <c r="F98" s="198">
        <f t="shared" si="42"/>
        <v>0</v>
      </c>
      <c r="G98" s="198">
        <f t="shared" si="42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7916666666667" right="0.747916666666667" top="0.984027777777778" bottom="0.984027777777778" header="0.511805555555556" footer="0.511805555555556"/>
  <pageSetup paperSize="9" scale="40" orientation="landscape" horizontalDpi="600" verticalDpi="600"/>
  <headerFooter alignWithMargins="0" scaleWithDoc="0">
    <oddHeader>&amp;C&amp;20 2022年4月份集团各锅炉站生产报表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D7+'26.4'!I7</f>
        <v>0</v>
      </c>
      <c r="J7" s="199">
        <f>E7+'26.4'!J7</f>
        <v>0</v>
      </c>
      <c r="K7" s="199">
        <f>F7+'26.4'!K7</f>
        <v>0</v>
      </c>
      <c r="L7" s="199">
        <f>G7+'26.4'!L7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D8+'26.4'!I8</f>
        <v>740710</v>
      </c>
      <c r="J8" s="199">
        <f>E8+'26.4'!J8</f>
        <v>156456.25</v>
      </c>
      <c r="K8" s="199">
        <f>F8+'26.4'!K8</f>
        <v>0</v>
      </c>
      <c r="L8" s="199">
        <f>G8+'26.4'!L8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[1]售热量!$K$25</f>
        <v>0</v>
      </c>
      <c r="F9" s="39"/>
      <c r="G9" s="39"/>
      <c r="H9" s="35">
        <f t="shared" ref="H9:H12" si="7">E9+F9+G9</f>
        <v>0</v>
      </c>
      <c r="I9" s="199">
        <f>D9+'26.4'!I9</f>
        <v>0</v>
      </c>
      <c r="J9" s="199">
        <f>E9+'26.4'!J9</f>
        <v>4030</v>
      </c>
      <c r="K9" s="199">
        <f>F9+'26.4'!K9</f>
        <v>0</v>
      </c>
      <c r="L9" s="199">
        <f>G9+'26.4'!L9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D10+'26.4'!I10</f>
        <v>42844</v>
      </c>
      <c r="J10" s="199">
        <f>E10+'26.4'!J10</f>
        <v>12660</v>
      </c>
      <c r="K10" s="199">
        <f>F10+'26.4'!K10</f>
        <v>0</v>
      </c>
      <c r="L10" s="199">
        <f>G10+'26.4'!L10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D11+'26.4'!I11</f>
        <v>9</v>
      </c>
      <c r="J11" s="199">
        <f>E11+'26.4'!J11</f>
        <v>0</v>
      </c>
      <c r="K11" s="199">
        <f>F11+'26.4'!K11</f>
        <v>0</v>
      </c>
      <c r="L11" s="199">
        <f>G11+'26.4'!L11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D12+'26.4'!I12</f>
        <v>27625.9182537601</v>
      </c>
      <c r="J12" s="199">
        <f>E12+'26.4'!J12</f>
        <v>7626.19</v>
      </c>
      <c r="K12" s="199">
        <f>F12+'26.4'!K12</f>
        <v>0</v>
      </c>
      <c r="L12" s="199">
        <f>G12+'26.4'!L12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D13+'26.4'!I13</f>
        <v>27612.8043537601</v>
      </c>
      <c r="J13" s="199">
        <f>E13+'26.4'!J13</f>
        <v>7626.19</v>
      </c>
      <c r="K13" s="199">
        <f>F13+'26.4'!K13</f>
        <v>0</v>
      </c>
      <c r="L13" s="199">
        <f>G13+'26.4'!L13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D14+'26.4'!I14</f>
        <v>13.1139</v>
      </c>
      <c r="J14" s="199">
        <f>E14+'26.4'!J14</f>
        <v>0</v>
      </c>
      <c r="K14" s="199">
        <f>F14+'26.4'!K14</f>
        <v>0</v>
      </c>
      <c r="L14" s="199">
        <f>G14+'26.4'!L14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D15+'26.4'!I15</f>
        <v>14442</v>
      </c>
      <c r="J15" s="199">
        <f>E15+'26.4'!J15</f>
        <v>22828</v>
      </c>
      <c r="K15" s="199">
        <f>F15+'26.4'!K15</f>
        <v>0</v>
      </c>
      <c r="L15" s="199">
        <f>G15+'26.4'!L15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D16+'26.4'!I16</f>
        <v>300</v>
      </c>
      <c r="J16" s="199">
        <f>E16+'26.4'!J16</f>
        <v>0</v>
      </c>
      <c r="K16" s="199">
        <f>F16+'26.4'!K16</f>
        <v>0</v>
      </c>
      <c r="L16" s="199">
        <f>G16+'26.4'!L16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D17+'26.4'!I17</f>
        <v>5088913.6</v>
      </c>
      <c r="J17" s="199">
        <f>E17+'26.4'!J17</f>
        <v>1787714.1</v>
      </c>
      <c r="K17" s="51"/>
      <c r="L17" s="199">
        <f>G17+'26.4'!L17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D18+'26.4'!I18</f>
        <v>5088913.6</v>
      </c>
      <c r="J18" s="199">
        <f>E18+'26.4'!J18</f>
        <v>0</v>
      </c>
      <c r="K18" s="199">
        <f>F18+'26.4'!K18</f>
        <v>0</v>
      </c>
      <c r="L18" s="199">
        <f>G18+'26.4'!L18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199">
        <f>D19+'26.4'!I19</f>
        <v>0</v>
      </c>
      <c r="J19" s="52"/>
      <c r="K19" s="199">
        <f>F19+'26.4'!K19</f>
        <v>0</v>
      </c>
      <c r="L19" s="199">
        <f>G19+'26.4'!L19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D20+'26.4'!I20</f>
        <v>13000</v>
      </c>
      <c r="J20" s="199">
        <f>E20+'26.4'!J20</f>
        <v>0</v>
      </c>
      <c r="K20" s="199">
        <f>F20+'26.4'!K20</f>
        <v>0</v>
      </c>
      <c r="L20" s="199">
        <f>G20+'26.4'!L20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D21+'26.4'!I21</f>
        <v>571020.4</v>
      </c>
      <c r="J21" s="199">
        <f>E21+'26.4'!J21</f>
        <v>0</v>
      </c>
      <c r="K21" s="199">
        <f>F21+'26.4'!K21</f>
        <v>0</v>
      </c>
      <c r="L21" s="199">
        <f>G21+'26.4'!L21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D22+'26.4'!I22</f>
        <v>734.29</v>
      </c>
      <c r="J22" s="199">
        <f>E22+'26.4'!J22</f>
        <v>43.975</v>
      </c>
      <c r="K22" s="199">
        <f>F22+'26.4'!K22</f>
        <v>0</v>
      </c>
      <c r="L22" s="199">
        <f>G22+'26.4'!L22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D23+'26.4'!I23</f>
        <v>253.8</v>
      </c>
      <c r="J23" s="199">
        <f>E23+'26.4'!J23</f>
        <v>28.64</v>
      </c>
      <c r="K23" s="199">
        <f>F23+'26.4'!K23</f>
        <v>0</v>
      </c>
      <c r="L23" s="199">
        <f>G23+'26.4'!L23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D26+'26.4'!I26</f>
        <v>16216</v>
      </c>
      <c r="J26" s="199">
        <f>E26+'26.4'!J26</f>
        <v>9596</v>
      </c>
      <c r="K26" s="199">
        <f>F26+'26.4'!K26</f>
        <v>0</v>
      </c>
      <c r="L26" s="199">
        <f>G26+'26.4'!L26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>
        <f>D27</f>
        <v>0</v>
      </c>
      <c r="J27" s="201">
        <f>'26.4'!J27+E26-E10</f>
        <v>9505.7</v>
      </c>
      <c r="K27" s="201">
        <f>'26.4'!K27+F26-F10</f>
        <v>0</v>
      </c>
      <c r="L27" s="201">
        <f>'26.4'!L27+G26-G10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D8/3.6/D3/(DAY(DATE(2026,6,0))*24)</f>
        <v>0</v>
      </c>
      <c r="E31" s="83">
        <f>E8/3.6/E3/(DAY(DATE(2026,6,0))*24)</f>
        <v>0</v>
      </c>
      <c r="F31" s="83" t="e">
        <f>F8/3.6/F3/(DAY(DATE(2026,6,0))*24)</f>
        <v>#DIV/0!</v>
      </c>
      <c r="G31" s="83">
        <f>(G8-G36)/3.6/G3/(DAY(DATE(2026,6,0))*24)</f>
        <v>0</v>
      </c>
      <c r="H31" s="84">
        <f>H8/3.6/H3/(DAY(DATE(2026,6,0))*24)</f>
        <v>0</v>
      </c>
      <c r="I31" s="85">
        <f>I8/3.6/I3/(DATEDIF(DATE(2026,1,1),DATE(2026,6,1),"D")*24)</f>
        <v>0.16314669268873</v>
      </c>
      <c r="J31" s="83">
        <f>J8/3.6/J3/(DATEDIF(DATE(2026,1,1),DATE(2026,6,1),"D")*24)</f>
        <v>0.074026499339868</v>
      </c>
      <c r="K31" s="83" t="e">
        <f>K8/3.6/K3/(DATEDIF(DATE(2026,1,1),DATE(2026,6,1),"D")*24)</f>
        <v>#DIV/0!</v>
      </c>
      <c r="L31" s="83">
        <f>(L8-L36)/3.6/L3/(DATEDIF(DATE(2026,1,1),DATE(2026,6,1),"D")*24)</f>
        <v>0.0329059497047298</v>
      </c>
      <c r="M31" s="84">
        <f>M8/3.6/M3/(DATEDIF(DATE(2026,1,1),DATE(2026,6,1),"D")*24)</f>
        <v>0.179505504719165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G36+'26.4'!L36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D42+'26.4'!E42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D43+'26.4'!E43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D44+'26.4'!E44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D45+'26.4'!E45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D42/3.6/D39/(DAY(DATE(2026,6,0))*24)</f>
        <v>0</v>
      </c>
      <c r="E47" s="124">
        <f>E42/3.6/E39/(DATEDIF(DATE(2026,1,1),DATE(2026,6,1),"D")*24)</f>
        <v>0.061458960465583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D58+'26.4'!G58</f>
        <v>2295.5</v>
      </c>
      <c r="H58" s="203">
        <f>E58+'26.4'!H58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D59+'26.4'!G59</f>
        <v>235</v>
      </c>
      <c r="H59" s="203">
        <f>E59+'26.4'!H59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D60+'26.4'!G60</f>
        <v>706680</v>
      </c>
      <c r="H60" s="203">
        <f>E60+'26.4'!H60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D61+'26.4'!G61</f>
        <v>706680</v>
      </c>
      <c r="H61" s="203">
        <f>E61+'26.4'!H61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D58/3.6/D55/(DAY(DATE(2026,6,0))*24)</f>
        <v>0</v>
      </c>
      <c r="E63" s="83">
        <f>E58/3.6/E55/(DAY(DATE(2026,6,0))*24)</f>
        <v>0</v>
      </c>
      <c r="F63" s="123">
        <f>F58/3.6/F55/(DAY(DATE(2026,6,0))*24)</f>
        <v>0</v>
      </c>
      <c r="G63" s="85">
        <f>G58/3.6/G55/(DATEDIF(DATE(2026,1,1),DATE(2026,6,1),"D")*24)</f>
        <v>0.02932482012918</v>
      </c>
      <c r="H63" s="83">
        <f>H58/3.6/H55/(DATEDIF(DATE(2026,1,1),DATE(2026,6,1),"D")*24)</f>
        <v>0.0464759435553104</v>
      </c>
      <c r="I63" s="84">
        <f>I58/3.6/I55/(DATEDIF(DATE(2026,1,1),DATE(2026,6,1),"D")*24)</f>
        <v>0.0381770128652473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D73+'26.4'!F73</f>
        <v>0</v>
      </c>
      <c r="G73" s="202">
        <f>E73+'26.4'!G73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D74+'26.4'!F74</f>
        <v>0</v>
      </c>
      <c r="G74" s="202">
        <f>E74+'26.4'!G74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D75+'26.4'!F75</f>
        <v>0</v>
      </c>
      <c r="G75" s="202">
        <f>E75+'26.4'!G75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D76+'26.4'!F76</f>
        <v>0</v>
      </c>
      <c r="G76" s="202">
        <f>E76+'26.4'!G76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D77+'26.4'!F77</f>
        <v>0</v>
      </c>
      <c r="G77" s="202">
        <f>E77+'26.4'!G77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D73/3.6/D71/(DAY(DATE(2026,6,0))*24)</f>
        <v>0</v>
      </c>
      <c r="E82" s="178">
        <f>E73/3.6/E71/(DAY(DATE(2026,6,0))*24)</f>
        <v>0</v>
      </c>
      <c r="F82" s="179">
        <f>F73/3.6/F71/(DATEDIF(DATE(2026,1,1),DATE(2026,6,1),"D")*24)</f>
        <v>0</v>
      </c>
      <c r="G82" s="180">
        <f>G73/3.6/G71/(DATEDIF(DATE(2026,1,1),DATE(2026,6,1),"D")*24)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D90+'26.4'!E90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D91+'26.4'!E91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D92+'26.4'!E92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D93+'26.4'!E93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D90/3.6/D87/(DAY(DATE(2026,6,0))*24)</f>
        <v>0</v>
      </c>
      <c r="E95" s="84">
        <f>E90/3.6/E87/(DATEDIF(DATE(2026,1,1),DATE(2026,6,1),"D")*24)</f>
        <v>0.350749674838219</v>
      </c>
      <c r="F95" s="194">
        <f>F90/3.6/F87/(DAY(DATE(2026,6,0))*24)</f>
        <v>0</v>
      </c>
      <c r="G95" s="84">
        <f>G90/3.6/G87/(DATEDIF(DATE(2026,1,1),DATE(2026,6,1),"D")*24)</f>
        <v>0.0568714593474352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8" orientation="landscape" horizontalDpi="600" verticalDpi="600"/>
  <headerFooter alignWithMargins="0" scaleWithDoc="0">
    <oddHeader>&amp;C&amp;20 2022年5月份集团各锅炉站生产报表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D7+'26.5'!I7</f>
        <v>0</v>
      </c>
      <c r="J7" s="44">
        <f>E7+'26.5'!J7</f>
        <v>0</v>
      </c>
      <c r="K7" s="44">
        <f>F7+'26.5'!K7</f>
        <v>0</v>
      </c>
      <c r="L7" s="44">
        <f>G7+'26.5'!L7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D8+'26.5'!I8</f>
        <v>740710</v>
      </c>
      <c r="J8" s="44">
        <f>E8+'26.5'!J8</f>
        <v>156456.25</v>
      </c>
      <c r="K8" s="44">
        <f>F8+'26.5'!K8</f>
        <v>0</v>
      </c>
      <c r="L8" s="44">
        <f>G8+'26.5'!L8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[1]售热量!$M$25</f>
        <v>0</v>
      </c>
      <c r="F9" s="39"/>
      <c r="G9" s="39"/>
      <c r="H9" s="35">
        <f t="shared" ref="H9:H12" si="7">E9+F9+G9</f>
        <v>0</v>
      </c>
      <c r="I9" s="44">
        <f>D9+'26.5'!I9</f>
        <v>0</v>
      </c>
      <c r="J9" s="44">
        <f>E9+'26.5'!J9</f>
        <v>4030</v>
      </c>
      <c r="K9" s="44">
        <f>F9+'26.5'!K9</f>
        <v>0</v>
      </c>
      <c r="L9" s="44">
        <f>G9+'26.5'!L9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D10+'26.5'!I10</f>
        <v>42844</v>
      </c>
      <c r="J10" s="44">
        <f>E10+'26.5'!J10</f>
        <v>12660</v>
      </c>
      <c r="K10" s="44">
        <f>F10+'26.5'!K10</f>
        <v>0</v>
      </c>
      <c r="L10" s="44">
        <f>G10+'26.5'!L10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D11+'26.5'!I11</f>
        <v>9</v>
      </c>
      <c r="J11" s="44">
        <f>E11+'26.5'!J11</f>
        <v>0</v>
      </c>
      <c r="K11" s="44">
        <f>F11+'26.5'!K11</f>
        <v>0</v>
      </c>
      <c r="L11" s="44">
        <f>G11+'26.5'!L11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D12+'26.5'!I12</f>
        <v>27625.9182537601</v>
      </c>
      <c r="J12" s="44">
        <f>E12+'26.5'!J12</f>
        <v>7626.19</v>
      </c>
      <c r="K12" s="44">
        <f>F12+'26.5'!K12</f>
        <v>0</v>
      </c>
      <c r="L12" s="44">
        <f>G12+'26.5'!L12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D13+'26.5'!I13</f>
        <v>27612.8043537601</v>
      </c>
      <c r="J13" s="44">
        <f>E13+'26.5'!J13</f>
        <v>7626.19</v>
      </c>
      <c r="K13" s="44">
        <f>F13+'26.5'!K13</f>
        <v>0</v>
      </c>
      <c r="L13" s="44">
        <f>G13+'26.5'!L13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D14+'26.5'!I14</f>
        <v>13.1139</v>
      </c>
      <c r="J14" s="44">
        <f>E14+'26.5'!J14</f>
        <v>0</v>
      </c>
      <c r="K14" s="44">
        <f>F14+'26.5'!K14</f>
        <v>0</v>
      </c>
      <c r="L14" s="44">
        <f>G14+'26.5'!L14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D15+'26.5'!I15</f>
        <v>14442</v>
      </c>
      <c r="J15" s="44">
        <f>E15+'26.5'!J15</f>
        <v>22828</v>
      </c>
      <c r="K15" s="44">
        <f>F15+'26.5'!K15</f>
        <v>0</v>
      </c>
      <c r="L15" s="44">
        <f>G15+'26.5'!L15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D16+'26.5'!I16</f>
        <v>300</v>
      </c>
      <c r="J16" s="44">
        <f>E16+'26.5'!J16</f>
        <v>0</v>
      </c>
      <c r="K16" s="44">
        <f>F16+'26.5'!K16</f>
        <v>0</v>
      </c>
      <c r="L16" s="44">
        <f>G16+'26.5'!L16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D17+'26.5'!I17</f>
        <v>5088913.6</v>
      </c>
      <c r="J17" s="44">
        <f>E17+'26.5'!J17</f>
        <v>1787714.1</v>
      </c>
      <c r="K17" s="51"/>
      <c r="L17" s="44">
        <f>G17+'26.5'!L17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D18+'26.5'!I18</f>
        <v>5088913.6</v>
      </c>
      <c r="J18" s="44">
        <f>E18+'26.5'!J18</f>
        <v>0</v>
      </c>
      <c r="K18" s="44">
        <f>F18+'26.5'!K18</f>
        <v>0</v>
      </c>
      <c r="L18" s="44">
        <f>G18+'26.5'!L18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D19+'26.5'!I19</f>
        <v>0</v>
      </c>
      <c r="J19" s="52"/>
      <c r="K19" s="44">
        <f>F19+'26.5'!K19</f>
        <v>0</v>
      </c>
      <c r="L19" s="44">
        <f>G19+'26.5'!L19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D20+'26.5'!I20</f>
        <v>13000</v>
      </c>
      <c r="J20" s="44">
        <f>E20+'26.5'!J20</f>
        <v>0</v>
      </c>
      <c r="K20" s="44">
        <f>F20+'26.5'!K20</f>
        <v>0</v>
      </c>
      <c r="L20" s="44">
        <f>G20+'26.5'!L20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D21+'26.5'!I21</f>
        <v>571020.4</v>
      </c>
      <c r="J21" s="44">
        <f>E21+'26.5'!J21</f>
        <v>0</v>
      </c>
      <c r="K21" s="44">
        <f>F21+'26.5'!K21</f>
        <v>0</v>
      </c>
      <c r="L21" s="44">
        <f>G21+'26.5'!L21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D22+'26.5'!I22</f>
        <v>734.29</v>
      </c>
      <c r="J22" s="44">
        <f>E22+'26.5'!J22</f>
        <v>43.975</v>
      </c>
      <c r="K22" s="44">
        <f>F22+'26.5'!K22</f>
        <v>0</v>
      </c>
      <c r="L22" s="44">
        <f>G22+'26.5'!L22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D23+'26.5'!I23</f>
        <v>253.8</v>
      </c>
      <c r="J23" s="44">
        <f>E23+'26.5'!J23</f>
        <v>28.64</v>
      </c>
      <c r="K23" s="44">
        <f>F23+'26.5'!K23</f>
        <v>0</v>
      </c>
      <c r="L23" s="44">
        <f>G23+'26.5'!L23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D26+'26.5'!I26</f>
        <v>16216</v>
      </c>
      <c r="J26" s="44">
        <f>E26+'26.5'!J26</f>
        <v>9596</v>
      </c>
      <c r="K26" s="44">
        <f>F26+'26.5'!K26</f>
        <v>0</v>
      </c>
      <c r="L26" s="44">
        <f>G26+'26.5'!L26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/>
      <c r="J27" s="71">
        <f>'26.5'!J27+E26-E10</f>
        <v>9505.7</v>
      </c>
      <c r="K27" s="71">
        <f>'26.5'!K27+F26-F10</f>
        <v>0</v>
      </c>
      <c r="L27" s="71">
        <f>'26.5'!L27+G26-G10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D8/3.6/D3/(DAY(DATE(2026,7,0))*24)</f>
        <v>0</v>
      </c>
      <c r="E31" s="83">
        <f>E8/3.6/E3/(DAY(DATE(2026,7,0))*24)</f>
        <v>0</v>
      </c>
      <c r="F31" s="83" t="e">
        <f>F8/3.6/F3/(DAY(DATE(2026,7,0))*24)</f>
        <v>#DIV/0!</v>
      </c>
      <c r="G31" s="83">
        <f>(G8-G36)/3.6/G3/(DAY(DATE(2026,7,0))*24)</f>
        <v>0</v>
      </c>
      <c r="H31" s="84">
        <f>H8/3.6/H3/(DAY(DATE(2026,7,0))*24)</f>
        <v>0</v>
      </c>
      <c r="I31" s="85">
        <f>I8/3.6/I3/(DATEDIF(DATE(2026,1,1),DATE(2026,7,1),"D")*24)</f>
        <v>0.136105804397781</v>
      </c>
      <c r="J31" s="83">
        <f>J8/3.6/J3/(DATEDIF(DATE(2026,1,1),DATE(2026,7,1),"D")*24)</f>
        <v>0.0617569138139231</v>
      </c>
      <c r="K31" s="83" t="e">
        <f>K8/3.6/K3/(DATEDIF(DATE(2026,1,1),DATE(2026,7,1),"D")*24)</f>
        <v>#DIV/0!</v>
      </c>
      <c r="L31" s="83">
        <f>(L8-L36)/3.6/L3/(DATEDIF(DATE(2026,1,1),DATE(2026,7,1),"D")*24)</f>
        <v>0.0274519248917911</v>
      </c>
      <c r="M31" s="84">
        <f>M8/3.6/M3/(DATEDIF(DATE(2026,1,1),DATE(2026,7,1),"D")*24)</f>
        <v>0.149753211119304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G36+'26.5'!L36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>
        <v>7592.12</v>
      </c>
      <c r="E40" s="116">
        <f>D40</f>
        <v>7592.12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>
        <v>7592.12</v>
      </c>
      <c r="E41" s="118">
        <f>D41</f>
        <v>7592.12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0</v>
      </c>
      <c r="E42" s="120">
        <f>D42+'26.5'!E42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D43+'26.5'!E43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D44+'26.5'!E44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D45+'26.5'!E45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D42/3.6/D39/(DAY(DATE(2026,7,0))*24)</f>
        <v>0</v>
      </c>
      <c r="E47" s="124">
        <f>E42/3.6/E39/(DATEDIF(DATE(2026,1,1),DATE(2026,7,1),"D")*24)</f>
        <v>0.0512723924326134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>
        <f>D42/D41</f>
        <v>0</v>
      </c>
      <c r="E48" s="126">
        <f>E42/E41</f>
        <v>0.0580865423623441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>
        <f>D44/D41</f>
        <v>0</v>
      </c>
      <c r="E49" s="128">
        <f>E44/E41</f>
        <v>17.4970890871062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>
        <f>D43*1000/D41</f>
        <v>0</v>
      </c>
      <c r="E50" s="130">
        <f>E43*1000/E41</f>
        <v>0.395146546682613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D58+'26.5'!G58</f>
        <v>2295.5</v>
      </c>
      <c r="H58" s="150">
        <f>E58+'26.5'!H58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D59+'26.5'!G59</f>
        <v>235</v>
      </c>
      <c r="H59" s="150">
        <f>E59+'26.5'!H59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D60+'26.5'!G60</f>
        <v>706680</v>
      </c>
      <c r="H60" s="150">
        <f>E60+'26.5'!H60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D61+'26.5'!G61</f>
        <v>706680</v>
      </c>
      <c r="H61" s="150">
        <f>E61+'26.5'!H61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D58/3.6/D55/(DAY(DATE(2026,7,0))*24)</f>
        <v>0</v>
      </c>
      <c r="E63" s="83">
        <f>E58/3.6/E55/(DAY(DATE(2026,7,0))*24)</f>
        <v>0</v>
      </c>
      <c r="F63" s="123">
        <f>F58/3.6/F55/(DAY(DATE(2026,7,0))*24)</f>
        <v>0</v>
      </c>
      <c r="G63" s="85">
        <f>G58/3.6/G55/(DATEDIF(DATE(2026,1,1),DATE(2026,7,1),"D")*24)</f>
        <v>0.024464352704454</v>
      </c>
      <c r="H63" s="83">
        <f>H58/3.6/H55/(DATEDIF(DATE(2026,1,1),DATE(2026,7,1),"D")*24)</f>
        <v>0.0387727484908943</v>
      </c>
      <c r="I63" s="84">
        <f>I58/3.6/I55/(DATEDIF(DATE(2026,1,1),DATE(2026,7,1),"D")*24)</f>
        <v>0.0318493311748748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D73+'26.5'!F73</f>
        <v>0</v>
      </c>
      <c r="G73" s="120">
        <f>E73+'26.5'!G73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D74+'26.5'!F74</f>
        <v>0</v>
      </c>
      <c r="G74" s="120">
        <f>E74+'26.5'!G74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D75+'26.5'!F75</f>
        <v>0</v>
      </c>
      <c r="G75" s="120">
        <f>E75+'26.5'!G75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D76+'26.5'!F76</f>
        <v>0</v>
      </c>
      <c r="G76" s="120">
        <f>E76+'26.5'!G76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D77+'26.5'!F77</f>
        <v>0</v>
      </c>
      <c r="G77" s="120">
        <f>E77+'26.5'!G77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D73/3.6/D71/(DAY(DATE(2026,7,0))*24)</f>
        <v>0</v>
      </c>
      <c r="E82" s="178">
        <f>E73/3.6/E71/(DAY(DATE(2026,7,0))*24)</f>
        <v>0</v>
      </c>
      <c r="F82" s="179">
        <f>F73/3.6/F71/(DATEDIF(DATE(2026,1,1),DATE(2026,7,1),"D")*24)</f>
        <v>0</v>
      </c>
      <c r="G82" s="180">
        <f>G73/3.6/G71/(DATEDIF(DATE(2026,1,1),DATE(2026,7,1),"D")*24)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D90+'26.5'!E90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D91+'26.5'!E91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D92+'26.5'!E92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D93+'26.5'!E93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D90/3.6/D87/(DAY(DATE(2026,7,0))*24)</f>
        <v>0</v>
      </c>
      <c r="E95" s="84">
        <f>E90/3.6/E87/(DATEDIF(DATE(2026,1,1),DATE(2026,7,1),"D")*24)</f>
        <v>0.292614369616415</v>
      </c>
      <c r="F95" s="194">
        <f>F90/3.6/F87/(DAY(DATE(2026,7,0))*24)</f>
        <v>0</v>
      </c>
      <c r="G95" s="84">
        <f>G90/3.6/G87/(DATEDIF(DATE(2026,1,1),DATE(2026,7,1),"D")*24)</f>
        <v>0.0474452506158161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&amp;C&amp;"Times New Roman,常规"&amp;20 2022&amp;"宋体,常规"年&amp;"Times New Roman,常规"6&amp;"宋体,常规"月份集团各锅炉站生产报表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D7+'26.6'!I7</f>
        <v>0</v>
      </c>
      <c r="J7" s="199">
        <f>E7+'26.6'!J7</f>
        <v>0</v>
      </c>
      <c r="K7" s="199">
        <f>F7+'26.6'!K7</f>
        <v>0</v>
      </c>
      <c r="L7" s="199">
        <f>G7+'26.6'!L7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D8+'26.6'!I8</f>
        <v>740710</v>
      </c>
      <c r="J8" s="199">
        <f>E8+'26.6'!J8</f>
        <v>156456.25</v>
      </c>
      <c r="K8" s="199">
        <f>F8+'26.6'!K8</f>
        <v>0</v>
      </c>
      <c r="L8" s="199">
        <f>G8+'26.6'!L8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[1]售热量!$O$25</f>
        <v>0</v>
      </c>
      <c r="F9" s="39"/>
      <c r="G9" s="39"/>
      <c r="H9" s="35">
        <f t="shared" ref="H9:H12" si="7">E9+F9+G9</f>
        <v>0</v>
      </c>
      <c r="I9" s="199">
        <f>D9+'26.6'!I9</f>
        <v>0</v>
      </c>
      <c r="J9" s="199">
        <f>E9+'26.6'!J9</f>
        <v>4030</v>
      </c>
      <c r="K9" s="199">
        <f>F9+'26.6'!K9</f>
        <v>0</v>
      </c>
      <c r="L9" s="199">
        <f>G9+'26.6'!L9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D10+'26.6'!I10</f>
        <v>42844</v>
      </c>
      <c r="J10" s="199">
        <f>E10+'26.6'!J10</f>
        <v>12660</v>
      </c>
      <c r="K10" s="199">
        <f>F10+'26.6'!K10</f>
        <v>0</v>
      </c>
      <c r="L10" s="199">
        <f>G10+'26.6'!L10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D11+'26.6'!I11</f>
        <v>9</v>
      </c>
      <c r="J11" s="199">
        <f>E11+'26.6'!J11</f>
        <v>0</v>
      </c>
      <c r="K11" s="199">
        <f>F11+'26.6'!K11</f>
        <v>0</v>
      </c>
      <c r="L11" s="199">
        <f>G11+'26.6'!L11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D12+'26.6'!I12</f>
        <v>27625.9182537601</v>
      </c>
      <c r="J12" s="199">
        <f>E12+'26.6'!J12</f>
        <v>7626.19</v>
      </c>
      <c r="K12" s="199">
        <f>F12+'26.6'!K12</f>
        <v>0</v>
      </c>
      <c r="L12" s="199">
        <f>G12+'26.6'!L12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D13+'26.6'!I13</f>
        <v>27612.8043537601</v>
      </c>
      <c r="J13" s="199">
        <f>E13+'26.6'!J13</f>
        <v>7626.19</v>
      </c>
      <c r="K13" s="199">
        <f>F13+'26.6'!K13</f>
        <v>0</v>
      </c>
      <c r="L13" s="199">
        <f>G13+'26.6'!L13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D14+'26.6'!I14</f>
        <v>13.1139</v>
      </c>
      <c r="J14" s="199">
        <f>E14+'26.6'!J14</f>
        <v>0</v>
      </c>
      <c r="K14" s="199">
        <f>F14+'26.6'!K14</f>
        <v>0</v>
      </c>
      <c r="L14" s="199">
        <f>G14+'26.6'!L14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D15+'26.6'!I15</f>
        <v>14442</v>
      </c>
      <c r="J15" s="199">
        <f>E15+'26.6'!J15</f>
        <v>22828</v>
      </c>
      <c r="K15" s="199">
        <f>F15+'26.6'!K15</f>
        <v>0</v>
      </c>
      <c r="L15" s="199">
        <f>G15+'26.6'!L15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D16+'26.6'!I16</f>
        <v>300</v>
      </c>
      <c r="J16" s="199">
        <f>E16+'26.6'!J16</f>
        <v>0</v>
      </c>
      <c r="K16" s="199">
        <f>F16+'26.6'!K16</f>
        <v>0</v>
      </c>
      <c r="L16" s="199">
        <f>G16+'26.6'!L16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D17+'26.6'!I17</f>
        <v>5088913.6</v>
      </c>
      <c r="J17" s="199">
        <f>E17+'26.6'!J17</f>
        <v>1787714.1</v>
      </c>
      <c r="K17" s="51"/>
      <c r="L17" s="199">
        <f>G17+'26.6'!L17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D18+'26.6'!I18</f>
        <v>5088913.6</v>
      </c>
      <c r="J18" s="199">
        <f>E18+'26.6'!J18</f>
        <v>0</v>
      </c>
      <c r="K18" s="199">
        <f>F18+'26.6'!K18</f>
        <v>0</v>
      </c>
      <c r="L18" s="199">
        <f>G18+'26.6'!L18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D19+'26.6'!I19</f>
        <v>0</v>
      </c>
      <c r="J19" s="52"/>
      <c r="K19" s="199">
        <f>F19+'26.6'!K19</f>
        <v>0</v>
      </c>
      <c r="L19" s="199">
        <f>G19+'26.6'!L19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D20+'26.6'!I20</f>
        <v>13000</v>
      </c>
      <c r="J20" s="199">
        <f>E20+'26.6'!J20</f>
        <v>0</v>
      </c>
      <c r="K20" s="199">
        <f>F20+'26.6'!K20</f>
        <v>0</v>
      </c>
      <c r="L20" s="199">
        <f>G20+'26.6'!L20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D21+'26.6'!I21</f>
        <v>571020.4</v>
      </c>
      <c r="J21" s="199">
        <f>E21+'26.6'!J21</f>
        <v>0</v>
      </c>
      <c r="K21" s="199">
        <f>F21+'26.6'!K21</f>
        <v>0</v>
      </c>
      <c r="L21" s="199">
        <f>G21+'26.6'!L21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D22+'26.6'!I22</f>
        <v>734.29</v>
      </c>
      <c r="J22" s="199">
        <f>E22+'26.6'!J22</f>
        <v>43.975</v>
      </c>
      <c r="K22" s="199">
        <f>F22+'26.6'!K22</f>
        <v>0</v>
      </c>
      <c r="L22" s="199">
        <f>G22+'26.6'!L22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D23+'26.6'!I23</f>
        <v>253.8</v>
      </c>
      <c r="J23" s="199">
        <f>E23+'26.6'!J23</f>
        <v>28.64</v>
      </c>
      <c r="K23" s="199">
        <f>F23+'26.6'!K23</f>
        <v>0</v>
      </c>
      <c r="L23" s="199">
        <f>G23+'26.6'!L23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D26+'26.6'!I26</f>
        <v>16216</v>
      </c>
      <c r="J26" s="199">
        <f>E26+'26.6'!J26</f>
        <v>9596</v>
      </c>
      <c r="K26" s="199">
        <f>F26+'26.6'!K26</f>
        <v>0</v>
      </c>
      <c r="L26" s="199">
        <f>G26+'26.6'!L26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/>
      <c r="J27" s="201">
        <f>'26.6'!J27+E26-E10</f>
        <v>9505.7</v>
      </c>
      <c r="K27" s="201">
        <f>'26.6'!K27+F26-F10</f>
        <v>0</v>
      </c>
      <c r="L27" s="201">
        <f>'26.6'!L27+G26-G10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D8/3.6/D3/(DAY(DATE(2026,8,0))*24)</f>
        <v>0</v>
      </c>
      <c r="E31" s="83">
        <f>E8/3.6/E3/(DAY(DATE(2026,8,0))*24)</f>
        <v>0</v>
      </c>
      <c r="F31" s="83" t="e">
        <f>F8/3.6/F3/(DAY(DATE(2026,8,0))*24)</f>
        <v>#DIV/0!</v>
      </c>
      <c r="G31" s="83">
        <f>(G8-G36)/3.6/G3/(DAY(DATE(2026,8,0))*24)</f>
        <v>0</v>
      </c>
      <c r="H31" s="84">
        <f>H8/3.6/H3/(DAY(DATE(2026,8,0))*24)</f>
        <v>0</v>
      </c>
      <c r="I31" s="85">
        <f>I8/3.6/I3/(DATEDIF(DATE(2026,1,1),DATE(2026,8,1),"D")*24)</f>
        <v>0.116203540547162</v>
      </c>
      <c r="J31" s="83">
        <f>J8/3.6/J3/(DATEDIF(DATE(2026,1,1),DATE(2026,8,1),"D")*24)</f>
        <v>0.052726421699623</v>
      </c>
      <c r="K31" s="83" t="e">
        <f>K8/3.6/K3/(DATEDIF(DATE(2026,1,1),DATE(2026,8,1),"D")*24)</f>
        <v>#DIV/0!</v>
      </c>
      <c r="L31" s="83">
        <f>(L8-L36)/3.6/L3/(DATEDIF(DATE(2026,1,1),DATE(2026,8,1),"D")*24)</f>
        <v>0.0234377283274254</v>
      </c>
      <c r="M31" s="84">
        <f>M8/3.6/M3/(DATEDIF(DATE(2026,1,1),DATE(2026,8,1),"D")*24)</f>
        <v>0.127855335908462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G36+'26.6'!L36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D42+'26.6'!E42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D43+'26.6'!E43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D44+'26.6'!E44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D45+'26.6'!E45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D42/3.6/D39/(DAY(DATE(2026,8,0))*24)</f>
        <v>0</v>
      </c>
      <c r="E47" s="124">
        <f>E42/3.6/E39/(DATEDIF(DATE(2026,1,1),DATE(2026,8,1),"D")*24)</f>
        <v>0.0437750142938822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D58+'26.6'!G58</f>
        <v>2295.5</v>
      </c>
      <c r="H58" s="203">
        <f>E58+'26.6'!H58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D59+'26.6'!G59</f>
        <v>235</v>
      </c>
      <c r="H59" s="203">
        <f>E59+'26.6'!H59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D60+'26.6'!G60</f>
        <v>706680</v>
      </c>
      <c r="H60" s="203">
        <f>E60+'26.6'!H60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D61+'26.6'!G61</f>
        <v>706680</v>
      </c>
      <c r="H61" s="203">
        <f>E61+'26.6'!H61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D58/3.6/D55/(DAY(DATE(2026,8,0))*24)</f>
        <v>0</v>
      </c>
      <c r="E63" s="83">
        <f>E58/3.6/E55/(DAY(DATE(2026,8,0))*24)</f>
        <v>0</v>
      </c>
      <c r="F63" s="123">
        <f>F58/3.6/F55/(DAY(DATE(2026,8,0))*24)</f>
        <v>0</v>
      </c>
      <c r="G63" s="85">
        <f>G58/3.6/G55/(DATEDIF(DATE(2026,1,1),DATE(2026,8,1),"D")*24)</f>
        <v>0.0208870181108782</v>
      </c>
      <c r="H63" s="83">
        <f>H58/3.6/H55/(DATEDIF(DATE(2026,1,1),DATE(2026,8,1),"D")*24)</f>
        <v>0.0331031484757164</v>
      </c>
      <c r="I63" s="84">
        <f>I58/3.6/I55/(DATEDIF(DATE(2026,1,1),DATE(2026,8,1),"D")*24)</f>
        <v>0.0271921176540205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D73+'26.6'!F73</f>
        <v>0</v>
      </c>
      <c r="G73" s="202">
        <f>E73+'26.6'!G73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D74+'26.6'!F74</f>
        <v>0</v>
      </c>
      <c r="G74" s="202">
        <f>E74+'26.6'!G74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D75+'26.6'!F75</f>
        <v>0</v>
      </c>
      <c r="G75" s="202">
        <f>E75+'26.6'!G75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D76+'26.6'!F76</f>
        <v>0</v>
      </c>
      <c r="G76" s="202">
        <f>E76+'26.6'!G76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D77+'26.6'!F77</f>
        <v>0</v>
      </c>
      <c r="G77" s="202">
        <f>E77+'26.6'!G77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D73/3.6/D71/(DAY(DATE(2026,8,0))*24)</f>
        <v>0</v>
      </c>
      <c r="E82" s="178">
        <f>E73/3.6/E71/(DAY(DATE(2026,8,0))*24)</f>
        <v>0</v>
      </c>
      <c r="F82" s="179">
        <f>F73/3.6/F71/(DATEDIF(DATE(2026,1,1),DATE(2026,8,1),"D")*24)</f>
        <v>0</v>
      </c>
      <c r="G82" s="180">
        <f>G73/3.6/G71/(DATEDIF(DATE(2026,1,1),DATE(2026,8,1),"D")*24)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D90+'26.6'!E90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D91+'26.6'!E91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D92+'26.6'!E92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D93+'26.6'!E93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D90/3.6/D87/(DAY(DATE(2026,8,0))*24)</f>
        <v>0</v>
      </c>
      <c r="E95" s="84">
        <f>E90/3.6/E87/(DATEDIF(DATE(2026,1,1),DATE(2026,8,1),"D")*24)</f>
        <v>0.249826419342317</v>
      </c>
      <c r="F95" s="194">
        <f>F90/3.6/F87/(DAY(DATE(2026,8,0))*24)</f>
        <v>0</v>
      </c>
      <c r="G95" s="84">
        <f>G90/3.6/G87/(DATEDIF(DATE(2026,1,1),DATE(2026,8,1),"D")*24)</f>
        <v>0.0405075017050128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2022年7月份集团各锅炉站生产报表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2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D7+'26.7'!I7</f>
        <v>0</v>
      </c>
      <c r="J7" s="44">
        <f>E7+'26.7'!J7</f>
        <v>0</v>
      </c>
      <c r="K7" s="44">
        <f>F7+'26.7'!K7</f>
        <v>0</v>
      </c>
      <c r="L7" s="44">
        <f>G7+'26.7'!L7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D8+'26.7'!I8</f>
        <v>740710</v>
      </c>
      <c r="J8" s="44">
        <f>E8+'26.7'!J8</f>
        <v>156456.25</v>
      </c>
      <c r="K8" s="44">
        <f>F8+'26.7'!K8</f>
        <v>0</v>
      </c>
      <c r="L8" s="44">
        <f>G8+'26.7'!L8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[1]售热量!$Q$25</f>
        <v>0</v>
      </c>
      <c r="F9" s="39"/>
      <c r="G9" s="39"/>
      <c r="H9" s="35">
        <f t="shared" ref="H9:H12" si="7">E9+F9+G9</f>
        <v>0</v>
      </c>
      <c r="I9" s="44">
        <f>D9+'26.7'!I9</f>
        <v>0</v>
      </c>
      <c r="J9" s="44">
        <f>E9+'26.7'!J9</f>
        <v>4030</v>
      </c>
      <c r="K9" s="44">
        <f>F9+'26.7'!K9</f>
        <v>0</v>
      </c>
      <c r="L9" s="44">
        <f>G9+'26.7'!L9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D10+'26.7'!I10</f>
        <v>42844</v>
      </c>
      <c r="J10" s="44">
        <f>E10+'26.7'!J10</f>
        <v>12660</v>
      </c>
      <c r="K10" s="44">
        <f>F10+'26.7'!K10</f>
        <v>0</v>
      </c>
      <c r="L10" s="44">
        <f>G10+'26.7'!L10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D11+'26.7'!I11</f>
        <v>9</v>
      </c>
      <c r="J11" s="44">
        <f>E11+'26.7'!J11</f>
        <v>0</v>
      </c>
      <c r="K11" s="44">
        <f>F11+'26.7'!K11</f>
        <v>0</v>
      </c>
      <c r="L11" s="44">
        <f>G11+'26.7'!L11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D12+'26.7'!I12</f>
        <v>27625.9182537601</v>
      </c>
      <c r="J12" s="44">
        <f>E12+'26.7'!J12</f>
        <v>7626.19</v>
      </c>
      <c r="K12" s="44">
        <f>F12+'26.7'!K12</f>
        <v>0</v>
      </c>
      <c r="L12" s="44">
        <f>G12+'26.7'!L12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D13+'26.7'!I13</f>
        <v>27612.8043537601</v>
      </c>
      <c r="J13" s="44">
        <f>E13+'26.7'!J13</f>
        <v>7626.19</v>
      </c>
      <c r="K13" s="44">
        <f>F13+'26.7'!K13</f>
        <v>0</v>
      </c>
      <c r="L13" s="44">
        <f>G13+'26.7'!L13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D14+'26.7'!I14</f>
        <v>13.1139</v>
      </c>
      <c r="J14" s="44">
        <f>E14+'26.7'!J14</f>
        <v>0</v>
      </c>
      <c r="K14" s="44">
        <f>F14+'26.7'!K14</f>
        <v>0</v>
      </c>
      <c r="L14" s="44">
        <f>G14+'26.7'!L14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D15+'26.7'!I15</f>
        <v>14442</v>
      </c>
      <c r="J15" s="44">
        <f>E15+'26.7'!J15</f>
        <v>22828</v>
      </c>
      <c r="K15" s="44">
        <f>F15+'26.7'!K15</f>
        <v>0</v>
      </c>
      <c r="L15" s="44">
        <f>G15+'26.7'!L15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D16+'26.7'!I16</f>
        <v>300</v>
      </c>
      <c r="J16" s="44">
        <f>E16+'26.7'!J16</f>
        <v>0</v>
      </c>
      <c r="K16" s="44">
        <f>F16+'26.7'!K16</f>
        <v>0</v>
      </c>
      <c r="L16" s="44">
        <f>G16+'26.7'!L16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D17+'26.7'!I17</f>
        <v>5088913.6</v>
      </c>
      <c r="J17" s="44">
        <f>E17+'26.7'!J17</f>
        <v>1787714.1</v>
      </c>
      <c r="K17" s="51"/>
      <c r="L17" s="44">
        <f>G17+'26.7'!L17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D18+'26.7'!I18</f>
        <v>5088913.6</v>
      </c>
      <c r="J18" s="44">
        <f>E18+'26.7'!J18</f>
        <v>0</v>
      </c>
      <c r="K18" s="44">
        <f>F18+'26.7'!K18</f>
        <v>0</v>
      </c>
      <c r="L18" s="44">
        <f>G18+'26.7'!L18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D19+'26.7'!I19</f>
        <v>0</v>
      </c>
      <c r="J19" s="52"/>
      <c r="K19" s="44">
        <f>F19+'26.7'!K19</f>
        <v>0</v>
      </c>
      <c r="L19" s="44">
        <f>G19+'26.7'!L19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D20+'26.7'!I20</f>
        <v>13000</v>
      </c>
      <c r="J20" s="44">
        <f>E20+'26.7'!J20</f>
        <v>0</v>
      </c>
      <c r="K20" s="44">
        <f>F20+'26.7'!K20</f>
        <v>0</v>
      </c>
      <c r="L20" s="44">
        <f>G20+'26.7'!L20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D21+'26.7'!I21</f>
        <v>571020.4</v>
      </c>
      <c r="J21" s="44">
        <f>E21+'26.7'!J21</f>
        <v>0</v>
      </c>
      <c r="K21" s="44">
        <f>F21+'26.7'!K21</f>
        <v>0</v>
      </c>
      <c r="L21" s="44">
        <f>G21+'26.7'!L21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D22+'26.7'!I22</f>
        <v>734.29</v>
      </c>
      <c r="J22" s="44">
        <f>E22+'26.7'!J22</f>
        <v>43.975</v>
      </c>
      <c r="K22" s="44">
        <f>F22+'26.7'!K22</f>
        <v>0</v>
      </c>
      <c r="L22" s="44">
        <f>G22+'26.7'!L22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D23+'26.7'!I23</f>
        <v>253.8</v>
      </c>
      <c r="J23" s="44">
        <f>E23+'26.7'!J23</f>
        <v>28.64</v>
      </c>
      <c r="K23" s="44">
        <f>F23+'26.7'!K23</f>
        <v>0</v>
      </c>
      <c r="L23" s="44">
        <f>G23+'26.7'!L23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D26+'26.7'!I26</f>
        <v>16216</v>
      </c>
      <c r="J26" s="44">
        <f>E26+'26.7'!J26</f>
        <v>9596</v>
      </c>
      <c r="K26" s="44">
        <f>F26+'26.7'!K26</f>
        <v>0</v>
      </c>
      <c r="L26" s="44">
        <f>G26+'26.7'!L26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/>
      <c r="J27" s="71">
        <f>'26.7'!J27+E26-E10</f>
        <v>9505.7</v>
      </c>
      <c r="K27" s="71">
        <f>'26.7'!K27+F26-F10</f>
        <v>0</v>
      </c>
      <c r="L27" s="71">
        <f>'26.7'!L27+G26-G10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D8/3.6/D3/(DAY(DATE(2026,9,0))*24)</f>
        <v>0</v>
      </c>
      <c r="E31" s="83">
        <f>E8/3.6/E3/(DAY(DATE(2026,9,0))*24)</f>
        <v>0</v>
      </c>
      <c r="F31" s="83" t="e">
        <f>F8/3.6/F3/(DAY(DATE(2026,9,0))*24)</f>
        <v>#DIV/0!</v>
      </c>
      <c r="G31" s="83">
        <f>(G8-G36)/3.6/G3/(DAY(DATE(2026,9,0))*24)</f>
        <v>0</v>
      </c>
      <c r="H31" s="84">
        <f>H8/3.6/H3/(DAY(DATE(2026,9,0))*24)</f>
        <v>0</v>
      </c>
      <c r="I31" s="85">
        <f>I8/3.6/I3/(DATEDIF(DATE(2026,1,1),DATE(2026,9,1),"D")*24)</f>
        <v>0.101379220559664</v>
      </c>
      <c r="J31" s="83">
        <f>J8/3.6/J3/(DATEDIF(DATE(2026,1,1),DATE(2026,9,1),"D")*24)</f>
        <v>0.046000005762634</v>
      </c>
      <c r="K31" s="83" t="e">
        <f>K8/3.6/K3/(DATEDIF(DATE(2026,1,1),DATE(2026,9,1),"D")*24)</f>
        <v>#DIV/0!</v>
      </c>
      <c r="L31" s="83">
        <f>(L8-L36)/3.6/L3/(DATEDIF(DATE(2026,1,1),DATE(2026,9,1),"D")*24)</f>
        <v>0.0204477300634329</v>
      </c>
      <c r="M31" s="84">
        <f>M8/3.6/M3/(DATEDIF(DATE(2026,1,1),DATE(2026,9,1),"D")*24)</f>
        <v>0.111544572891333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G36+'26.7'!L36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D42+'26.7'!E42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D43+'26.7'!E43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D44+'26.7'!E44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D45+'26.7'!E45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D42/3.6/D39/(DAY(DATE(2026,9,0))*24)</f>
        <v>0</v>
      </c>
      <c r="E47" s="124">
        <f>E42/3.6/E39/(DATEDIF(DATE(2026,1,1),DATE(2026,9,1),"D")*24)</f>
        <v>0.0381905474498067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D58+'26.7'!G58</f>
        <v>2295.5</v>
      </c>
      <c r="H58" s="150">
        <f>E58+'26.7'!H58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D59+'26.7'!G59</f>
        <v>235</v>
      </c>
      <c r="H59" s="150">
        <f>E59+'26.7'!H59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D60+'26.7'!G60</f>
        <v>706680</v>
      </c>
      <c r="H60" s="150">
        <f>E60+'26.7'!H60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D61+'26.7'!G61</f>
        <v>706680</v>
      </c>
      <c r="H61" s="150">
        <f>E61+'26.7'!H61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D58/3.6/D55/(DAY(DATE(2026,9,0))*24)</f>
        <v>0</v>
      </c>
      <c r="E63" s="83">
        <f>E58/3.6/E55/(DAY(DATE(2026,9,0))*24)</f>
        <v>0</v>
      </c>
      <c r="F63" s="123">
        <f>F58/3.6/F55/(DAY(DATE(2026,9,0))*24)</f>
        <v>0</v>
      </c>
      <c r="G63" s="85">
        <f>G58/3.6/G55/(DATEDIF(DATE(2026,1,1),DATE(2026,9,1),"D")*24)</f>
        <v>0.018222419092618</v>
      </c>
      <c r="H63" s="83">
        <f>H58/3.6/H55/(DATEDIF(DATE(2026,1,1),DATE(2026,9,1),"D")*24)</f>
        <v>0.0288801130734645</v>
      </c>
      <c r="I63" s="84">
        <f>I58/3.6/I55/(DATEDIF(DATE(2026,1,1),DATE(2026,9,1),"D")*24)</f>
        <v>0.0237231643730549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D73+'26.7'!F73</f>
        <v>0</v>
      </c>
      <c r="G73" s="120">
        <f>E73+'26.7'!G73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D74+'26.7'!F74</f>
        <v>0</v>
      </c>
      <c r="G74" s="120">
        <f>E74+'26.7'!G74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D75+'26.7'!F75</f>
        <v>0</v>
      </c>
      <c r="G75" s="120">
        <f>E75+'26.7'!G75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D76+'26.7'!F76</f>
        <v>0</v>
      </c>
      <c r="G76" s="120">
        <f>E76+'26.7'!G76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D77+'26.7'!F77</f>
        <v>0</v>
      </c>
      <c r="G77" s="120">
        <f>E77+'26.7'!G77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D73/3.6/D71/(DAY(DATE(2026,9,0))*24)</f>
        <v>0</v>
      </c>
      <c r="E82" s="178">
        <f>E73/3.6/E71/(DAY(DATE(2026,9,0))*24)</f>
        <v>0</v>
      </c>
      <c r="F82" s="179">
        <f>F73/3.6/F71/(DATEDIF(DATE(2026,1,1),DATE(2026,9,1),"D")*24)</f>
        <v>0</v>
      </c>
      <c r="G82" s="180">
        <f>G73/3.6/G71/(DATEDIF(DATE(2026,1,1),DATE(2026,9,1),"D")*24)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D90+'26.7'!E90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D91+'26.7'!E91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D92+'26.7'!E92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D93+'26.7'!E93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D90/3.6/D87/(DAY(DATE(2026,9,0))*24)</f>
        <v>0</v>
      </c>
      <c r="E95" s="84">
        <f>E90/3.6/E87/(DATEDIF(DATE(2026,1,1),DATE(2026,9,1),"D")*24)</f>
        <v>0.21795555926161</v>
      </c>
      <c r="F95" s="194">
        <f>F90/3.6/F87/(DAY(DATE(2026,9,0))*24)</f>
        <v>0</v>
      </c>
      <c r="G95" s="84">
        <f>G90/3.6/G87/(DATEDIF(DATE(2026,1,1),DATE(2026,9,1),"D")*24)</f>
        <v>0.0353398780307108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2022年8月份集团各锅炉站生产报表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D7+'26.8'!I7</f>
        <v>0</v>
      </c>
      <c r="J7" s="199">
        <f>E7+'26.8'!J7</f>
        <v>0</v>
      </c>
      <c r="K7" s="199">
        <f>F7+'26.8'!K7</f>
        <v>0</v>
      </c>
      <c r="L7" s="199">
        <f>G7+'26.8'!L7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D8+'26.8'!I8</f>
        <v>740710</v>
      </c>
      <c r="J8" s="199">
        <f>E8+'26.8'!J8</f>
        <v>156456.25</v>
      </c>
      <c r="K8" s="199">
        <f>F8+'26.8'!K8</f>
        <v>0</v>
      </c>
      <c r="L8" s="199">
        <f>G8+'26.8'!L8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[1]售热量!$S$25</f>
        <v>0</v>
      </c>
      <c r="F9" s="39"/>
      <c r="G9" s="39"/>
      <c r="H9" s="35">
        <f t="shared" ref="H9:H12" si="7">E9+F9+G9</f>
        <v>0</v>
      </c>
      <c r="I9" s="199">
        <f>D9+'26.8'!I9</f>
        <v>0</v>
      </c>
      <c r="J9" s="199">
        <f>E9+'26.8'!J9</f>
        <v>4030</v>
      </c>
      <c r="K9" s="199">
        <f>F9+'26.8'!K9</f>
        <v>0</v>
      </c>
      <c r="L9" s="199">
        <f>G9+'26.8'!L9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D10+'26.8'!I10</f>
        <v>42844</v>
      </c>
      <c r="J10" s="199">
        <f>E10+'26.8'!J10</f>
        <v>12660</v>
      </c>
      <c r="K10" s="199">
        <f>F10+'26.8'!K10</f>
        <v>0</v>
      </c>
      <c r="L10" s="199">
        <f>G10+'26.8'!L10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D11+'26.8'!I11</f>
        <v>9</v>
      </c>
      <c r="J11" s="199">
        <f>E11+'26.8'!J11</f>
        <v>0</v>
      </c>
      <c r="K11" s="199">
        <f>F11+'26.8'!K11</f>
        <v>0</v>
      </c>
      <c r="L11" s="199">
        <f>G11+'26.8'!L11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D12+'26.8'!I12</f>
        <v>27625.9182537601</v>
      </c>
      <c r="J12" s="199">
        <f>E12+'26.8'!J12</f>
        <v>7626.19</v>
      </c>
      <c r="K12" s="199">
        <f>F12+'26.8'!K12</f>
        <v>0</v>
      </c>
      <c r="L12" s="199">
        <f>G12+'26.8'!L12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D13+'26.8'!I13</f>
        <v>27612.8043537601</v>
      </c>
      <c r="J13" s="199">
        <f>E13+'26.8'!J13</f>
        <v>7626.19</v>
      </c>
      <c r="K13" s="199">
        <f>F13+'26.8'!K13</f>
        <v>0</v>
      </c>
      <c r="L13" s="199">
        <f>G13+'26.8'!L13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D14+'26.8'!I14</f>
        <v>13.1139</v>
      </c>
      <c r="J14" s="199">
        <f>E14+'26.8'!J14</f>
        <v>0</v>
      </c>
      <c r="K14" s="199">
        <f>F14+'26.8'!K14</f>
        <v>0</v>
      </c>
      <c r="L14" s="199">
        <f>G14+'26.8'!L14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D15+'26.8'!I15</f>
        <v>14442</v>
      </c>
      <c r="J15" s="199">
        <f>E15+'26.8'!J15</f>
        <v>22828</v>
      </c>
      <c r="K15" s="199">
        <f>F15+'26.8'!K15</f>
        <v>0</v>
      </c>
      <c r="L15" s="199">
        <f>G15+'26.8'!L15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D16+'26.8'!I16</f>
        <v>300</v>
      </c>
      <c r="J16" s="199">
        <f>E16+'26.8'!J16</f>
        <v>0</v>
      </c>
      <c r="K16" s="199">
        <f>F16+'26.8'!K16</f>
        <v>0</v>
      </c>
      <c r="L16" s="199">
        <f>G16+'26.8'!L16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D17+'26.8'!I17</f>
        <v>5088913.6</v>
      </c>
      <c r="J17" s="199">
        <f>E17+'26.8'!J17</f>
        <v>1787714.1</v>
      </c>
      <c r="K17" s="51"/>
      <c r="L17" s="199">
        <f>G17+'26.8'!L17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D18+'26.8'!I18</f>
        <v>5088913.6</v>
      </c>
      <c r="J18" s="199">
        <f>E18+'26.8'!J18</f>
        <v>0</v>
      </c>
      <c r="K18" s="199">
        <f>F18+'26.8'!K18</f>
        <v>0</v>
      </c>
      <c r="L18" s="199">
        <f>G18+'26.8'!L18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D19+'26.8'!I19</f>
        <v>0</v>
      </c>
      <c r="J19" s="52"/>
      <c r="K19" s="199">
        <f>F19+'26.8'!K19</f>
        <v>0</v>
      </c>
      <c r="L19" s="199">
        <f>G19+'26.8'!L19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D20+'26.8'!I20</f>
        <v>13000</v>
      </c>
      <c r="J20" s="199">
        <f>E20+'26.8'!J20</f>
        <v>0</v>
      </c>
      <c r="K20" s="199">
        <f>F20+'26.8'!K20</f>
        <v>0</v>
      </c>
      <c r="L20" s="199">
        <f>G20+'26.8'!L20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D21+'26.8'!I21</f>
        <v>571020.4</v>
      </c>
      <c r="J21" s="199">
        <f>E21+'26.8'!J21</f>
        <v>0</v>
      </c>
      <c r="K21" s="199">
        <f>F21+'26.8'!K21</f>
        <v>0</v>
      </c>
      <c r="L21" s="199">
        <f>G21+'26.8'!L21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D22+'26.8'!I22</f>
        <v>734.29</v>
      </c>
      <c r="J22" s="199">
        <f>E22+'26.8'!J22</f>
        <v>43.975</v>
      </c>
      <c r="K22" s="199">
        <f>F22+'26.8'!K22</f>
        <v>0</v>
      </c>
      <c r="L22" s="199">
        <f>G22+'26.8'!L22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D23+'26.8'!I23</f>
        <v>253.8</v>
      </c>
      <c r="J23" s="199">
        <f>E23+'26.8'!J23</f>
        <v>28.64</v>
      </c>
      <c r="K23" s="199">
        <f>F23+'26.8'!K23</f>
        <v>0</v>
      </c>
      <c r="L23" s="199">
        <f>G23+'26.8'!L23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D26+'26.8'!I26</f>
        <v>16216</v>
      </c>
      <c r="J26" s="199">
        <f>E26+'26.8'!J26</f>
        <v>9596</v>
      </c>
      <c r="K26" s="199">
        <f>F26+'26.8'!K26</f>
        <v>0</v>
      </c>
      <c r="L26" s="199">
        <f>G26+'26.8'!L26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/>
      <c r="J27" s="201">
        <f>'26.8'!J27+E26-E10</f>
        <v>9505.7</v>
      </c>
      <c r="K27" s="201">
        <f>'26.8'!K27+F26-F10</f>
        <v>0</v>
      </c>
      <c r="L27" s="201">
        <f>'26.8'!L27+G26-G10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D8/3.6/D3/(DAY(DATE(2026,10,0))*24)</f>
        <v>0</v>
      </c>
      <c r="E31" s="83">
        <f>E8/3.6/E3/(DAY(DATE(2026,10,0))*24)</f>
        <v>0</v>
      </c>
      <c r="F31" s="83" t="e">
        <f>F8/3.6/F3/(DAY(DATE(2026,10,0))*24)</f>
        <v>#DIV/0!</v>
      </c>
      <c r="G31" s="83">
        <f>(G8-G36)/3.6/G3/(DAY(DATE(2026,10,0))*24)</f>
        <v>0</v>
      </c>
      <c r="H31" s="84">
        <f>H8/3.6/H3/(DAY(DATE(2026,10,0))*24)</f>
        <v>0</v>
      </c>
      <c r="I31" s="85">
        <f>I8/3.6/I3/(DATEDIF(DATE(2026,1,1),DATE(2026,10,1),"D")*24)</f>
        <v>0.0902386468717886</v>
      </c>
      <c r="J31" s="83">
        <f>J8/3.6/J3/(DATEDIF(DATE(2026,1,1),DATE(2026,10,1),"D")*24)</f>
        <v>0.0409450600744325</v>
      </c>
      <c r="K31" s="83" t="e">
        <f>K8/3.6/K3/(DATEDIF(DATE(2026,1,1),DATE(2026,10,1),"D")*24)</f>
        <v>#DIV/0!</v>
      </c>
      <c r="L31" s="83">
        <f>(L8-L36)/3.6/L3/(DATEDIF(DATE(2026,1,1),DATE(2026,10,1),"D")*24)</f>
        <v>0.0182007267597589</v>
      </c>
      <c r="M31" s="84">
        <f>M8/3.6/M3/(DATEDIF(DATE(2026,1,1),DATE(2026,10,1),"D")*24)</f>
        <v>0.0992869275186592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G36+'26.8'!L36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0</v>
      </c>
      <c r="E42" s="202">
        <f>D42+'26.8'!E42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D43+'26.8'!E43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D44+'26.8'!E44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/>
      <c r="E45" s="202">
        <f>D45+'26.8'!E45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D42/3.6/D39/(DAY(DATE(2026,10,0))*24)</f>
        <v>0</v>
      </c>
      <c r="E47" s="124">
        <f>E42/3.6/E39/(DATEDIF(DATE(2026,1,1),DATE(2026,10,1),"D")*24)</f>
        <v>0.033993783993784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D58+'26.8'!G58</f>
        <v>2295.5</v>
      </c>
      <c r="H58" s="203">
        <f>E58+'26.8'!H58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D59+'26.8'!G59</f>
        <v>235</v>
      </c>
      <c r="H59" s="203">
        <f>E59+'26.8'!H59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D60+'26.8'!G60</f>
        <v>706680</v>
      </c>
      <c r="H60" s="203">
        <f>E60+'26.8'!H60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D61+'26.8'!G61</f>
        <v>706680</v>
      </c>
      <c r="H61" s="203">
        <f>E61+'26.8'!H61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D58/3.6/D55/(DAY(DATE(2026,10,0))*24)</f>
        <v>0</v>
      </c>
      <c r="E63" s="83">
        <f>E58/3.6/E55/(DAY(DATE(2026,10,0))*24)</f>
        <v>0</v>
      </c>
      <c r="F63" s="123">
        <f>F58/3.6/F55/(DAY(DATE(2026,10,0))*24)</f>
        <v>0</v>
      </c>
      <c r="G63" s="85">
        <f>G58/3.6/G55/(DATEDIF(DATE(2026,1,1),DATE(2026,10,1),"D")*24)</f>
        <v>0.0162199554560666</v>
      </c>
      <c r="H63" s="83">
        <f>H58/3.6/H55/(DATEDIF(DATE(2026,1,1),DATE(2026,10,1),"D")*24)</f>
        <v>0.0257064742741827</v>
      </c>
      <c r="I63" s="84">
        <f>I58/3.6/I55/(DATEDIF(DATE(2026,1,1),DATE(2026,10,1),"D")*24)</f>
        <v>0.0211162232331587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D73+'26.8'!F73</f>
        <v>0</v>
      </c>
      <c r="G73" s="202">
        <f>E73+'26.8'!G73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D74+'26.8'!F74</f>
        <v>0</v>
      </c>
      <c r="G74" s="202">
        <f>E74+'26.8'!G74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D75+'26.8'!F75</f>
        <v>0</v>
      </c>
      <c r="G75" s="202">
        <f>E75+'26.8'!G75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D76+'26.8'!F76</f>
        <v>0</v>
      </c>
      <c r="G76" s="202">
        <f>E76+'26.8'!G76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D77+'26.8'!F77</f>
        <v>0</v>
      </c>
      <c r="G77" s="202">
        <f>E77+'26.8'!G77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D73/3.6/D71/(DAY(DATE(2026,10,0))*24)</f>
        <v>0</v>
      </c>
      <c r="E82" s="178">
        <f>E73/3.6/E71/(DAY(DATE(2026,10,0))*24)</f>
        <v>0</v>
      </c>
      <c r="F82" s="179">
        <f>F73/3.6/F71/(DATEDIF(DATE(2026,1,1),DATE(2026,10,1),"D")*24)</f>
        <v>0</v>
      </c>
      <c r="G82" s="180">
        <f>G73/3.6/G71/(DATEDIF(DATE(2026,1,1),DATE(2026,10,1),"D")*24)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D90+'26.8'!E90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D91+'26.8'!E91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D92+'26.8'!E92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D93+'26.8'!E93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D90/3.6/D87/(DAY(DATE(2026,10,0))*24)</f>
        <v>0</v>
      </c>
      <c r="E95" s="84">
        <f>E90/3.6/E87/(DATEDIF(DATE(2026,1,1),DATE(2026,10,1),"D")*24)</f>
        <v>0.194004398903191</v>
      </c>
      <c r="F95" s="194">
        <f>F90/3.6/F87/(DAY(DATE(2026,10,0))*24)</f>
        <v>0</v>
      </c>
      <c r="G95" s="84">
        <f>G90/3.6/G87/(DATEDIF(DATE(2026,1,1),DATE(2026,10,1),"D")*24)</f>
        <v>0.0314563749504129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&amp;C&amp;18 &amp;20 2022年9月份集团各锅炉站生产报表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D7+'26.9'!I7</f>
        <v>0</v>
      </c>
      <c r="J7" s="44">
        <f>E7+'26.9'!J7</f>
        <v>0</v>
      </c>
      <c r="K7" s="44">
        <f>F7+'26.9'!K7</f>
        <v>0</v>
      </c>
      <c r="L7" s="44">
        <f>G7+'26.9'!L7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D8+'26.9'!I8</f>
        <v>740710</v>
      </c>
      <c r="J8" s="44">
        <f>E8+'26.9'!J8</f>
        <v>156456.25</v>
      </c>
      <c r="K8" s="44">
        <f>F8+'26.9'!K8</f>
        <v>0</v>
      </c>
      <c r="L8" s="44">
        <f>G8+'26.9'!L8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[1]售热量!$U$25</f>
        <v>0</v>
      </c>
      <c r="F9" s="39"/>
      <c r="G9" s="39"/>
      <c r="H9" s="35">
        <f t="shared" ref="H9:H12" si="7">E9+F9+G9</f>
        <v>0</v>
      </c>
      <c r="I9" s="44">
        <f>D9+'26.9'!I9</f>
        <v>0</v>
      </c>
      <c r="J9" s="44">
        <f>E9+'26.9'!J9</f>
        <v>4030</v>
      </c>
      <c r="K9" s="44">
        <f>F9+'26.9'!K9</f>
        <v>0</v>
      </c>
      <c r="L9" s="44">
        <f>G9+'26.9'!L9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D10+'26.9'!I10</f>
        <v>42844</v>
      </c>
      <c r="J10" s="44">
        <f>E10+'26.9'!J10</f>
        <v>12660</v>
      </c>
      <c r="K10" s="44">
        <f>F10+'26.9'!K10</f>
        <v>0</v>
      </c>
      <c r="L10" s="44">
        <f>G10+'26.9'!L10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D11+'26.9'!I11</f>
        <v>9</v>
      </c>
      <c r="J11" s="44">
        <f>E11+'26.9'!J11</f>
        <v>0</v>
      </c>
      <c r="K11" s="44">
        <f>F11+'26.9'!K11</f>
        <v>0</v>
      </c>
      <c r="L11" s="44">
        <f>G11+'26.9'!L11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D12+'26.9'!I12</f>
        <v>27625.9182537601</v>
      </c>
      <c r="J12" s="44">
        <f>E12+'26.9'!J12</f>
        <v>7626.19</v>
      </c>
      <c r="K12" s="44">
        <f>F12+'26.9'!K12</f>
        <v>0</v>
      </c>
      <c r="L12" s="44">
        <f>G12+'26.9'!L12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D13+'26.9'!I13</f>
        <v>27612.8043537601</v>
      </c>
      <c r="J13" s="44">
        <f>E13+'26.9'!J13</f>
        <v>7626.19</v>
      </c>
      <c r="K13" s="44">
        <f>F13+'26.9'!K13</f>
        <v>0</v>
      </c>
      <c r="L13" s="44">
        <f>G13+'26.9'!L13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D14+'26.9'!I14</f>
        <v>13.1139</v>
      </c>
      <c r="J14" s="44">
        <f>E14+'26.9'!J14</f>
        <v>0</v>
      </c>
      <c r="K14" s="44">
        <f>F14+'26.9'!K14</f>
        <v>0</v>
      </c>
      <c r="L14" s="44">
        <f>G14+'26.9'!L14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D15+'26.9'!I15</f>
        <v>14442</v>
      </c>
      <c r="J15" s="44">
        <f>E15+'26.9'!J15</f>
        <v>22828</v>
      </c>
      <c r="K15" s="44">
        <f>F15+'26.9'!K15</f>
        <v>0</v>
      </c>
      <c r="L15" s="44">
        <f>G15+'26.9'!L15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D16+'26.9'!I16</f>
        <v>300</v>
      </c>
      <c r="J16" s="44">
        <f>E16+'26.9'!J16</f>
        <v>0</v>
      </c>
      <c r="K16" s="44">
        <f>F16+'26.9'!K16</f>
        <v>0</v>
      </c>
      <c r="L16" s="44">
        <f>G16+'26.9'!L16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D17+'26.9'!I17</f>
        <v>5088913.6</v>
      </c>
      <c r="J17" s="44">
        <f>E17+'26.9'!J17</f>
        <v>1787714.1</v>
      </c>
      <c r="K17" s="51"/>
      <c r="L17" s="44">
        <f>G17+'26.9'!L17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D18+'26.9'!I18</f>
        <v>5088913.6</v>
      </c>
      <c r="J18" s="44">
        <f>E18+'26.9'!J18</f>
        <v>0</v>
      </c>
      <c r="K18" s="44">
        <f>F18+'26.9'!K18</f>
        <v>0</v>
      </c>
      <c r="L18" s="44">
        <f>G18+'26.9'!L18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D19+'26.9'!I19</f>
        <v>0</v>
      </c>
      <c r="J19" s="52"/>
      <c r="K19" s="44">
        <f>F19+'26.9'!K19</f>
        <v>0</v>
      </c>
      <c r="L19" s="44">
        <f>G19+'26.9'!L19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D20+'26.9'!I20</f>
        <v>13000</v>
      </c>
      <c r="J20" s="44">
        <f>E20+'26.9'!J20</f>
        <v>0</v>
      </c>
      <c r="K20" s="44">
        <f>F20+'26.9'!K20</f>
        <v>0</v>
      </c>
      <c r="L20" s="44">
        <f>G20+'26.9'!L20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D21+'26.9'!I21</f>
        <v>571020.4</v>
      </c>
      <c r="J21" s="44">
        <f>E21+'26.9'!J21</f>
        <v>0</v>
      </c>
      <c r="K21" s="44">
        <f>F21+'26.9'!K21</f>
        <v>0</v>
      </c>
      <c r="L21" s="44">
        <f>G21+'26.9'!L21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D22+'26.9'!I22</f>
        <v>734.29</v>
      </c>
      <c r="J22" s="44">
        <f>E22+'26.9'!J22</f>
        <v>43.975</v>
      </c>
      <c r="K22" s="44">
        <f>F22+'26.9'!K22</f>
        <v>0</v>
      </c>
      <c r="L22" s="44">
        <f>G22+'26.9'!L22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D23+'26.9'!I23</f>
        <v>253.8</v>
      </c>
      <c r="J23" s="44">
        <f>E23+'26.9'!J23</f>
        <v>28.64</v>
      </c>
      <c r="K23" s="44">
        <f>F23+'26.9'!K23</f>
        <v>0</v>
      </c>
      <c r="L23" s="44">
        <f>G23+'26.9'!L23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D26+'26.9'!I26</f>
        <v>16216</v>
      </c>
      <c r="J26" s="44">
        <f>E26+'26.9'!J26</f>
        <v>9596</v>
      </c>
      <c r="K26" s="44">
        <f>F26+'26.9'!K26</f>
        <v>0</v>
      </c>
      <c r="L26" s="44">
        <f>G26+'26.9'!L26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>
        <v>76403</v>
      </c>
      <c r="J27" s="71">
        <f>'26.9'!J27+E26-E10</f>
        <v>9505.7</v>
      </c>
      <c r="K27" s="71">
        <f>'26.9'!K27+F26-F10</f>
        <v>0</v>
      </c>
      <c r="L27" s="71">
        <f>'26.9'!L27+G26-G10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D8/3.6/D3/(DAY(DATE(2026,11,0))*24)</f>
        <v>0</v>
      </c>
      <c r="E31" s="83">
        <f>E8/3.6/E3/(DAY(DATE(2026,11,0))*24)</f>
        <v>0</v>
      </c>
      <c r="F31" s="83" t="e">
        <f>F8/3.6/F3/(DAY(DATE(2026,11,0))*24)</f>
        <v>#DIV/0!</v>
      </c>
      <c r="G31" s="83">
        <f>(G8-G36)/3.6/G3/(DAY(DATE(2026,11,0))*24)</f>
        <v>0</v>
      </c>
      <c r="H31" s="84">
        <f>H8/3.6/H3/(DAY(DATE(2026,11,0))*24)</f>
        <v>0</v>
      </c>
      <c r="I31" s="85">
        <f>I8/3.6/I3/(DATEDIF(DATE(2026,1,1),DATE(2026,11,1),"D")*24)</f>
        <v>0.0810366795920997</v>
      </c>
      <c r="J31" s="83">
        <f>J8/3.6/J3/(DATEDIF(DATE(2026,1,1),DATE(2026,11,1),"D")*24)</f>
        <v>0.0367697414484213</v>
      </c>
      <c r="K31" s="83" t="e">
        <f>K8/3.6/K3/(DATEDIF(DATE(2026,1,1),DATE(2026,11,1),"D")*24)</f>
        <v>#DIV/0!</v>
      </c>
      <c r="L31" s="83">
        <f>(L8-L36)/3.6/L3/(DATEDIF(DATE(2026,1,1),DATE(2026,11,1),"D")*24)</f>
        <v>0.0163447315967572</v>
      </c>
      <c r="M31" s="84">
        <f>M8/3.6/M3/(DATEDIF(DATE(2026,1,1),DATE(2026,11,1),"D")*24)</f>
        <v>0.0891622737256381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G36+'26.9'!L36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D42+'26.9'!E42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D43+'26.9'!E43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D44+'26.9'!E44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D45+'26.9'!E45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D42/3.6/D39/(DAY(DATE(2026,11,0))*24)</f>
        <v>0</v>
      </c>
      <c r="E47" s="124">
        <f>E42/3.6/E39/(DATEDIF(DATE(2026,1,1),DATE(2026,11,1),"D")*24)</f>
        <v>0.030527312599681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D58+'26.9'!G58</f>
        <v>2295.5</v>
      </c>
      <c r="H58" s="150">
        <f>E58+'26.9'!H58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D59+'26.9'!G59</f>
        <v>235</v>
      </c>
      <c r="H59" s="150">
        <f>E59+'26.9'!H59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D60+'26.9'!G60</f>
        <v>706680</v>
      </c>
      <c r="H60" s="150">
        <f>E60+'26.9'!H60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D61+'26.9'!G61</f>
        <v>706680</v>
      </c>
      <c r="H61" s="150">
        <f>E61+'26.9'!H61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D58/3.6/D55/(DAY(DATE(2026,11,0))*24)</f>
        <v>0</v>
      </c>
      <c r="E63" s="83">
        <f>E58/3.6/E55/(DAY(DATE(2026,11,0))*24)</f>
        <v>0</v>
      </c>
      <c r="F63" s="123">
        <f>F58/3.6/F55/(DAY(DATE(2026,11,0))*24)</f>
        <v>0</v>
      </c>
      <c r="G63" s="85">
        <f>G58/3.6/G55/(DATEDIF(DATE(2026,1,1),DATE(2026,11,1),"D")*24)</f>
        <v>0.0145659468404808</v>
      </c>
      <c r="H63" s="83">
        <f>H58/3.6/H55/(DATEDIF(DATE(2026,1,1),DATE(2026,11,1),"D")*24)</f>
        <v>0.0230850903843811</v>
      </c>
      <c r="I63" s="84">
        <f>I58/3.6/I55/(DATEDIF(DATE(2026,1,1),DATE(2026,11,1),"D")*24)</f>
        <v>0.0189629241534616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D73+'26.9'!F73</f>
        <v>0</v>
      </c>
      <c r="G73" s="120">
        <f>E73+'26.9'!G73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D74+'26.9'!F74</f>
        <v>0</v>
      </c>
      <c r="G74" s="120">
        <f>E74+'26.9'!G74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D75+'26.9'!F75</f>
        <v>0</v>
      </c>
      <c r="G75" s="120">
        <f>E75+'26.9'!G75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D76+'26.9'!F76</f>
        <v>0</v>
      </c>
      <c r="G76" s="120">
        <f>E76+'26.9'!G76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D77+'26.9'!F77</f>
        <v>0</v>
      </c>
      <c r="G77" s="120">
        <f>E77+'26.9'!G77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D73/3.6/D71/(DAY(DATE(2026,11,0))*24)</f>
        <v>0</v>
      </c>
      <c r="E82" s="178">
        <f>E73/3.6/E71/(DAY(DATE(2026,11,0))*24)</f>
        <v>0</v>
      </c>
      <c r="F82" s="179">
        <f>F73/3.6/F71/(DATEDIF(DATE(2026,1,1),DATE(2026,11,1),"D")*24)</f>
        <v>0</v>
      </c>
      <c r="G82" s="180">
        <f>G73/3.6/G71/(DATEDIF(DATE(2026,1,1),DATE(2026,11,1),"D")*24)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D90+'26.9'!E90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D91+'26.9'!E91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D92+'26.9'!E92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D93+'26.9'!E93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D90/3.6/D87/(DAY(DATE(2026,11,0))*24)</f>
        <v>0</v>
      </c>
      <c r="E95" s="84">
        <f>E90/3.6/E87/(DATEDIF(DATE(2026,1,1),DATE(2026,11,1),"D")*24)</f>
        <v>0.174221055593984</v>
      </c>
      <c r="F95" s="194">
        <f>F90/3.6/F87/(DAY(DATE(2026,11,0))*24)</f>
        <v>0</v>
      </c>
      <c r="G95" s="84">
        <f>G90/3.6/G87/(DATEDIF(DATE(2026,1,1),DATE(2026,11,1),"D")*24)</f>
        <v>0.0282486525048116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0.11761926204548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27.7330506656365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5.31276003539035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51388888888889" right="0.751388888888889" top="1" bottom="1" header="0.5" footer="0.5"/>
  <pageSetup paperSize="9" orientation="landscape" horizontalDpi="600" verticalDpi="600"/>
  <headerFooter alignWithMargins="0" scaleWithDoc="0">
    <oddHeader>&amp;C&amp;18 &amp;20 2022年10月份集团各锅炉站生产报表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D7+'26.10'!I7</f>
        <v>0</v>
      </c>
      <c r="J7" s="199">
        <f>E7+'26.10'!J7</f>
        <v>0</v>
      </c>
      <c r="K7" s="199">
        <f>F7+'26.10'!K7</f>
        <v>0</v>
      </c>
      <c r="L7" s="199">
        <f>G7+'26.10'!L7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D8+'26.10'!I8</f>
        <v>740710</v>
      </c>
      <c r="J8" s="199">
        <f>E8+'26.10'!J8</f>
        <v>156456.25</v>
      </c>
      <c r="K8" s="199">
        <f>F8+'26.10'!K8</f>
        <v>0</v>
      </c>
      <c r="L8" s="199">
        <f>G8+'26.10'!L8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[1]售热量!$W$25</f>
        <v>0</v>
      </c>
      <c r="F9" s="39"/>
      <c r="G9" s="39"/>
      <c r="H9" s="35">
        <f t="shared" ref="H9:H12" si="7">E9+F9+G9</f>
        <v>0</v>
      </c>
      <c r="I9" s="199">
        <f>D9+'26.10'!I9</f>
        <v>0</v>
      </c>
      <c r="J9" s="199">
        <f>E9+'26.10'!J9</f>
        <v>4030</v>
      </c>
      <c r="K9" s="199">
        <f>F9+'26.10'!K9</f>
        <v>0</v>
      </c>
      <c r="L9" s="199">
        <f>G9+'26.10'!L9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D10+'26.10'!I10</f>
        <v>42844</v>
      </c>
      <c r="J10" s="199">
        <f>E10+'26.10'!J10</f>
        <v>12660</v>
      </c>
      <c r="K10" s="199">
        <f>F10+'26.10'!K10</f>
        <v>0</v>
      </c>
      <c r="L10" s="199">
        <f>G10+'26.10'!L10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199">
        <f>D11+'26.10'!I11</f>
        <v>9</v>
      </c>
      <c r="J11" s="199">
        <f>E11+'26.10'!J11</f>
        <v>0</v>
      </c>
      <c r="K11" s="199">
        <f>F11+'26.10'!K11</f>
        <v>0</v>
      </c>
      <c r="L11" s="199">
        <f>G11+'26.10'!L11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D12+'26.10'!I12</f>
        <v>27625.9182537601</v>
      </c>
      <c r="J12" s="199">
        <f>E12+'26.10'!J12</f>
        <v>7626.19</v>
      </c>
      <c r="K12" s="199">
        <f>F12+'26.10'!K12</f>
        <v>0</v>
      </c>
      <c r="L12" s="199">
        <f>G12+'26.10'!L12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D13+'26.10'!I13</f>
        <v>27612.8043537601</v>
      </c>
      <c r="J13" s="199">
        <f>E13+'26.10'!J13</f>
        <v>7626.19</v>
      </c>
      <c r="K13" s="199">
        <f>F13+'26.10'!K13</f>
        <v>0</v>
      </c>
      <c r="L13" s="199">
        <f>G13+'26.10'!L13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D14+'26.10'!I14</f>
        <v>13.1139</v>
      </c>
      <c r="J14" s="199">
        <f>E14+'26.10'!J14</f>
        <v>0</v>
      </c>
      <c r="K14" s="199">
        <f>F14+'26.10'!K14</f>
        <v>0</v>
      </c>
      <c r="L14" s="199">
        <f>G14+'26.10'!L14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D15+'26.10'!I15</f>
        <v>14442</v>
      </c>
      <c r="J15" s="199">
        <f>E15+'26.10'!J15</f>
        <v>22828</v>
      </c>
      <c r="K15" s="199">
        <f>F15+'26.10'!K15</f>
        <v>0</v>
      </c>
      <c r="L15" s="199">
        <f>G15+'26.10'!L15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D16+'26.10'!I16</f>
        <v>300</v>
      </c>
      <c r="J16" s="199">
        <f>E16+'26.10'!J16</f>
        <v>0</v>
      </c>
      <c r="K16" s="199">
        <f>F16+'26.10'!K16</f>
        <v>0</v>
      </c>
      <c r="L16" s="199">
        <f>G16+'26.10'!L16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D17+'26.10'!I17</f>
        <v>5088913.6</v>
      </c>
      <c r="J17" s="199">
        <f>E17+'26.10'!J17</f>
        <v>1787714.1</v>
      </c>
      <c r="K17" s="51"/>
      <c r="L17" s="199">
        <f>G17+'26.10'!L17</f>
        <v>1187191.5</v>
      </c>
      <c r="M17" s="35">
        <f t="shared" si="9"/>
        <v>2974905.6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D18+'26.10'!I18</f>
        <v>5088913.6</v>
      </c>
      <c r="J18" s="199">
        <f>E18+'26.10'!J18</f>
        <v>0</v>
      </c>
      <c r="K18" s="199">
        <f>F18+'26.10'!K18</f>
        <v>0</v>
      </c>
      <c r="L18" s="199">
        <f>G18+'26.10'!L18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D19+'26.10'!I19</f>
        <v>0</v>
      </c>
      <c r="J19" s="52"/>
      <c r="K19" s="199">
        <f>F19+'26.10'!K19</f>
        <v>0</v>
      </c>
      <c r="L19" s="199">
        <f>G19+'26.10'!L19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D20+'26.10'!I20</f>
        <v>13000</v>
      </c>
      <c r="J20" s="199">
        <f>E20+'26.10'!J20</f>
        <v>0</v>
      </c>
      <c r="K20" s="199">
        <f>F20+'26.10'!K20</f>
        <v>0</v>
      </c>
      <c r="L20" s="199">
        <f>G20+'26.10'!L20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D21+'26.10'!I21</f>
        <v>571020.4</v>
      </c>
      <c r="J21" s="199">
        <f>E21+'26.10'!J21</f>
        <v>0</v>
      </c>
      <c r="K21" s="199">
        <f>F21+'26.10'!K21</f>
        <v>0</v>
      </c>
      <c r="L21" s="199">
        <f>G21+'26.10'!L21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D22+'26.10'!I22</f>
        <v>734.29</v>
      </c>
      <c r="J22" s="199">
        <f>E22+'26.10'!J22</f>
        <v>43.975</v>
      </c>
      <c r="K22" s="199">
        <f>F22+'26.10'!K22</f>
        <v>0</v>
      </c>
      <c r="L22" s="199">
        <f>G22+'26.10'!L22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D23+'26.10'!I23</f>
        <v>253.8</v>
      </c>
      <c r="J23" s="199">
        <f>E23+'26.10'!J23</f>
        <v>28.64</v>
      </c>
      <c r="K23" s="199">
        <f>F23+'26.10'!K23</f>
        <v>0</v>
      </c>
      <c r="L23" s="199">
        <f>G23+'26.10'!L23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11.4262875404466</v>
      </c>
      <c r="K24" s="60" t="e">
        <f t="shared" si="11"/>
        <v>#DIV/0!</v>
      </c>
      <c r="L24" s="60">
        <f t="shared" si="11"/>
        <v>4.64257619587359</v>
      </c>
      <c r="M24" s="61">
        <f t="shared" si="11"/>
        <v>7.21758754673334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D26+'26.10'!I26</f>
        <v>16216</v>
      </c>
      <c r="J26" s="199">
        <f>E26+'26.10'!J26</f>
        <v>9596</v>
      </c>
      <c r="K26" s="199">
        <f>F26+'26.10'!K26</f>
        <v>0</v>
      </c>
      <c r="L26" s="199">
        <f>G26+'26.10'!L26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>
        <v>68931.3</v>
      </c>
      <c r="J27" s="201">
        <f>'26.10'!J27+E26-E10</f>
        <v>9505.7</v>
      </c>
      <c r="K27" s="201">
        <f>'26.10'!K27+F26-F10</f>
        <v>0</v>
      </c>
      <c r="L27" s="201">
        <f>'26.10'!L27+G26-G10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D8/3.6/D3/(DAY(DATE(2026,12,0))*24)</f>
        <v>0</v>
      </c>
      <c r="E31" s="83">
        <f>E8/3.6/E3/(DAY(DATE(2026,12,0))*24)</f>
        <v>0</v>
      </c>
      <c r="F31" s="83" t="e">
        <f>F8/3.6/F3/(DAY(DATE(2026,12,0))*24)</f>
        <v>#DIV/0!</v>
      </c>
      <c r="G31" s="83">
        <f>(G8-G36)/3.6/G3/(DAY(DATE(2026,12,0))*24)</f>
        <v>0</v>
      </c>
      <c r="H31" s="84">
        <f>H8/3.6/H3/(DAY(DATE(2026,12,0))*24)</f>
        <v>0</v>
      </c>
      <c r="I31" s="85">
        <f>I8/3.6/I3/(DATEDIF(DATE(2026,1,1),DATE(2026,12,1),"D")*24)</f>
        <v>0.0737579359161626</v>
      </c>
      <c r="J31" s="83">
        <f>J8/3.6/J3/(DATEDIF(DATE(2026,1,1),DATE(2026,12,1),"D")*24)</f>
        <v>0.0334670700608385</v>
      </c>
      <c r="K31" s="83" t="e">
        <f>K8/3.6/K3/(DATEDIF(DATE(2026,1,1),DATE(2026,12,1),"D")*24)</f>
        <v>#DIV/0!</v>
      </c>
      <c r="L31" s="83">
        <f>(L8-L36)/3.6/L3/(DATEDIF(DATE(2026,1,1),DATE(2026,12,1),"D")*24)</f>
        <v>0.0148766419323778</v>
      </c>
      <c r="M31" s="84">
        <f>M8/3.6/M3/(DATEDIF(DATE(2026,1,1),DATE(2026,12,1),"D")*24)</f>
        <v>0.0811536862652514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G36+'26.10'!L36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D42+'26.10'!E42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D43+'26.10'!E43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D44+'26.10'!E44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D45+'26.10'!E45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D42/3.6/D39/(DAY(DATE(2026,12,0))*24)</f>
        <v>0</v>
      </c>
      <c r="E47" s="124">
        <f>E42/3.6/E39/(DATEDIF(DATE(2026,1,1),DATE(2026,12,1),"D")*24)</f>
        <v>0.0277853384140809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7"/>
      <c r="E56" s="147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D58+'26.10'!G58</f>
        <v>2295.5</v>
      </c>
      <c r="H58" s="203">
        <f>E58+'26.10'!H58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D59+'26.10'!G59</f>
        <v>235</v>
      </c>
      <c r="H59" s="203">
        <f>E59+'26.10'!H59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D60+'26.10'!G60</f>
        <v>706680</v>
      </c>
      <c r="H60" s="203">
        <f>E60+'26.10'!H60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D61+'26.10'!G61</f>
        <v>706680</v>
      </c>
      <c r="H61" s="203">
        <f>E61+'26.10'!H61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D58/3.6/D55/(DAY(DATE(2026,12,0))*24)</f>
        <v>0</v>
      </c>
      <c r="E63" s="83">
        <f>E58/3.6/E55/(DAY(DATE(2026,12,0))*24)</f>
        <v>0</v>
      </c>
      <c r="F63" s="123">
        <f>F58/3.6/F55/(DAY(DATE(2026,12,0))*24)</f>
        <v>0</v>
      </c>
      <c r="G63" s="85">
        <f>G58/3.6/G55/(DATEDIF(DATE(2026,1,1),DATE(2026,12,1),"D")*24)</f>
        <v>0.0132576282619945</v>
      </c>
      <c r="H63" s="83">
        <f>H58/3.6/H55/(DATEDIF(DATE(2026,1,1),DATE(2026,12,1),"D")*24)</f>
        <v>0.0210115792720116</v>
      </c>
      <c r="I63" s="84">
        <f>I58/3.6/I55/(DATEDIF(DATE(2026,1,1),DATE(2026,12,1),"D")*24)</f>
        <v>0.0172596674929711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D73+'26.10'!F73</f>
        <v>0</v>
      </c>
      <c r="G73" s="202">
        <f>E73+'26.10'!G73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D74+'26.10'!F74</f>
        <v>0</v>
      </c>
      <c r="G74" s="202">
        <f>E74+'26.10'!G74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D75+'26.10'!F75</f>
        <v>0</v>
      </c>
      <c r="G75" s="202">
        <f>E75+'26.10'!G75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D76+'26.10'!F76</f>
        <v>0</v>
      </c>
      <c r="G76" s="202">
        <f>E76+'26.10'!G76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D77+'26.10'!F77</f>
        <v>0</v>
      </c>
      <c r="G77" s="202">
        <f>E77+'26.10'!G77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D73/3.6/D71/(DAY(DATE(2026,12,0))*24)</f>
        <v>0</v>
      </c>
      <c r="E82" s="178">
        <f>E73/3.6/E71/(DAY(DATE(2026,12,0))*24)</f>
        <v>0</v>
      </c>
      <c r="F82" s="179">
        <f>F73/3.6/F71/(DATEDIF(DATE(2026,1,1),DATE(2026,12,1),"D")*24)</f>
        <v>0</v>
      </c>
      <c r="G82" s="180">
        <f>G73/3.6/G71/(DATEDIF(DATE(2026,1,1),DATE(2026,12,1),"D")*24)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f>D88+D56+E56</f>
        <v>0</v>
      </c>
      <c r="G88" s="190">
        <f>E88+G56+H56</f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f>D89+D57+E57</f>
        <v>0</v>
      </c>
      <c r="G89" s="190">
        <f>E89+G57+H57</f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D90+'26.10'!E90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D91+'26.10'!E91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D92+'26.10'!E92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D93+'26.10'!E93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D90/3.6/D87/(DAY(DATE(2026,12,0))*24)</f>
        <v>0</v>
      </c>
      <c r="E95" s="84">
        <f>E90/3.6/E87/(DATEDIF(DATE(2026,1,1),DATE(2026,12,1),"D")*24)</f>
        <v>0.158572457786141</v>
      </c>
      <c r="F95" s="194">
        <f>F90/3.6/F87/(DAY(DATE(2026,12,0))*24)</f>
        <v>0</v>
      </c>
      <c r="G95" s="84">
        <f>G90/3.6/G87/(DATEDIF(DATE(2026,1,1),DATE(2026,12,1),"D")*24)</f>
        <v>0.0257113483876129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2022年11月份集团各锅炉站生产报表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G3" sqref="G3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7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D7+'26.11'!I7</f>
        <v>0</v>
      </c>
      <c r="J7" s="44">
        <f>E7+'26.11'!J7</f>
        <v>0</v>
      </c>
      <c r="K7" s="44">
        <f>F7+'26.11'!K7</f>
        <v>0</v>
      </c>
      <c r="L7" s="44">
        <f>G7+'26.11'!L7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D8+'26.11'!I8</f>
        <v>740710</v>
      </c>
      <c r="J8" s="44">
        <f>E8+'26.11'!J8</f>
        <v>156456.25</v>
      </c>
      <c r="K8" s="44">
        <f>F8+'26.11'!K8</f>
        <v>0</v>
      </c>
      <c r="L8" s="44">
        <f>G8+'26.11'!L8</f>
        <v>255718.258551189</v>
      </c>
      <c r="M8" s="35">
        <f t="shared" si="2"/>
        <v>412174.508551189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48">
        <f>[1]售热量!$Y$25</f>
        <v>0</v>
      </c>
      <c r="F9" s="39"/>
      <c r="G9" s="39"/>
      <c r="H9" s="35">
        <f t="shared" ref="H9:H12" si="7">E9+F9+G9</f>
        <v>0</v>
      </c>
      <c r="I9" s="44">
        <f>D9+'26.11'!I9</f>
        <v>0</v>
      </c>
      <c r="J9" s="44">
        <f>E9+'26.11'!J9</f>
        <v>4030</v>
      </c>
      <c r="K9" s="44">
        <f>F9+'26.11'!K9</f>
        <v>0</v>
      </c>
      <c r="L9" s="44">
        <f>G9+'26.11'!L9</f>
        <v>0</v>
      </c>
      <c r="M9" s="35">
        <f t="shared" si="2"/>
        <v>4030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D10+'26.11'!I10</f>
        <v>42844</v>
      </c>
      <c r="J10" s="44">
        <f>E10+'26.11'!J10</f>
        <v>12660</v>
      </c>
      <c r="K10" s="44">
        <f>F10+'26.11'!K10</f>
        <v>0</v>
      </c>
      <c r="L10" s="44">
        <f>G10+'26.11'!L10</f>
        <v>513</v>
      </c>
      <c r="M10" s="35">
        <f t="shared" si="2"/>
        <v>13173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44">
        <f>D11+'26.11'!I11</f>
        <v>9</v>
      </c>
      <c r="J11" s="44">
        <f>E11+'26.11'!J11</f>
        <v>0</v>
      </c>
      <c r="K11" s="44">
        <f>F11+'26.11'!K11</f>
        <v>0</v>
      </c>
      <c r="L11" s="44">
        <f>G11+'26.11'!L11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D12+'26.11'!I12</f>
        <v>27625.9182537601</v>
      </c>
      <c r="J12" s="44">
        <f>E12+'26.11'!J12</f>
        <v>7626.19</v>
      </c>
      <c r="K12" s="44">
        <f>F12+'26.11'!K12</f>
        <v>0</v>
      </c>
      <c r="L12" s="44">
        <f>G12+'26.11'!L12</f>
        <v>341.787142941028</v>
      </c>
      <c r="M12" s="35">
        <f t="shared" si="2"/>
        <v>7967.97714294103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D13+'26.11'!I13</f>
        <v>27612.8043537601</v>
      </c>
      <c r="J13" s="44">
        <f>E13+'26.11'!J13</f>
        <v>7626.19</v>
      </c>
      <c r="K13" s="44">
        <f>F13+'26.11'!K13</f>
        <v>0</v>
      </c>
      <c r="L13" s="44">
        <f>G13+'26.11'!L13</f>
        <v>341.787142941028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D14+'26.11'!I14</f>
        <v>13.1139</v>
      </c>
      <c r="J14" s="44">
        <f>E14+'26.11'!J14</f>
        <v>0</v>
      </c>
      <c r="K14" s="44">
        <f>F14+'26.11'!K14</f>
        <v>0</v>
      </c>
      <c r="L14" s="44">
        <f>G14+'26.11'!L14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D15+'26.11'!I15</f>
        <v>14442</v>
      </c>
      <c r="J15" s="44">
        <f>E15+'26.11'!J15</f>
        <v>22828</v>
      </c>
      <c r="K15" s="44">
        <f>F15+'26.11'!K15</f>
        <v>0</v>
      </c>
      <c r="L15" s="44">
        <f>G15+'26.11'!L15</f>
        <v>48986</v>
      </c>
      <c r="M15" s="35">
        <f t="shared" ref="M15:M17" si="9">J15+K15+L15</f>
        <v>71814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D16+'26.11'!I16</f>
        <v>300</v>
      </c>
      <c r="J16" s="44">
        <f>E16+'26.11'!J16</f>
        <v>0</v>
      </c>
      <c r="K16" s="44">
        <f>F16+'26.11'!K16</f>
        <v>0</v>
      </c>
      <c r="L16" s="44">
        <f>G16+'26.11'!L16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0</v>
      </c>
      <c r="E17" s="50">
        <v>1665006.8</v>
      </c>
      <c r="F17" s="39"/>
      <c r="G17" s="34">
        <v>1105022.09999999</v>
      </c>
      <c r="H17" s="35"/>
      <c r="I17" s="44">
        <f>D17+'26.11'!I17</f>
        <v>5088913.6</v>
      </c>
      <c r="J17" s="44">
        <f>E17+'26.11'!J17</f>
        <v>3452720.9</v>
      </c>
      <c r="K17" s="51"/>
      <c r="L17" s="44">
        <f>G17+'26.11'!L17</f>
        <v>2292213.59999999</v>
      </c>
      <c r="M17" s="35">
        <f t="shared" si="9"/>
        <v>5744934.49999999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D18+'26.11'!I18</f>
        <v>5088913.6</v>
      </c>
      <c r="J18" s="44">
        <f>E18+'26.11'!J18</f>
        <v>0</v>
      </c>
      <c r="K18" s="44">
        <f>F18+'26.11'!K18</f>
        <v>0</v>
      </c>
      <c r="L18" s="44">
        <f>G18+'26.11'!L18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D19+'26.11'!I19</f>
        <v>0</v>
      </c>
      <c r="J19" s="52"/>
      <c r="K19" s="44">
        <f>F19+'26.11'!K19</f>
        <v>0</v>
      </c>
      <c r="L19" s="44">
        <f>G19+'26.11'!L19</f>
        <v>1187191.5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D20+'26.11'!I20</f>
        <v>13000</v>
      </c>
      <c r="J20" s="44">
        <f>E20+'26.11'!J20</f>
        <v>0</v>
      </c>
      <c r="K20" s="44">
        <f>F20+'26.11'!K20</f>
        <v>0</v>
      </c>
      <c r="L20" s="44">
        <f>G20+'26.11'!L20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D21+'26.11'!I21</f>
        <v>571020.4</v>
      </c>
      <c r="J21" s="44">
        <f>E21+'26.11'!J21</f>
        <v>0</v>
      </c>
      <c r="K21" s="44">
        <f>F21+'26.11'!K21</f>
        <v>0</v>
      </c>
      <c r="L21" s="44">
        <f>G21+'26.11'!L21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D22+'26.11'!I22</f>
        <v>734.29</v>
      </c>
      <c r="J22" s="44">
        <f>E22+'26.11'!J22</f>
        <v>43.975</v>
      </c>
      <c r="K22" s="44">
        <f>F22+'26.11'!K22</f>
        <v>0</v>
      </c>
      <c r="L22" s="44">
        <f>G22+'26.11'!L22</f>
        <v>7.925</v>
      </c>
      <c r="M22" s="59">
        <f t="shared" ref="M22:M27" si="10">J22+K22+L22</f>
        <v>51.9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D23+'26.11'!I23</f>
        <v>253.8</v>
      </c>
      <c r="J23" s="44">
        <f>E23+'26.11'!J23</f>
        <v>28.64</v>
      </c>
      <c r="K23" s="44">
        <f>F23+'26.11'!K23</f>
        <v>0</v>
      </c>
      <c r="L23" s="44">
        <f>G23+'26.11'!L23</f>
        <v>1.925</v>
      </c>
      <c r="M23" s="59">
        <f t="shared" si="10"/>
        <v>30.565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>
        <f t="shared" si="11"/>
        <v>6.87031847821685</v>
      </c>
      <c r="J24" s="60">
        <f t="shared" si="11"/>
        <v>22.0682836256142</v>
      </c>
      <c r="K24" s="60" t="e">
        <f t="shared" si="11"/>
        <v>#DIV/0!</v>
      </c>
      <c r="L24" s="60">
        <f t="shared" si="11"/>
        <v>8.96382453480981</v>
      </c>
      <c r="M24" s="61">
        <f t="shared" si="11"/>
        <v>13.9381120879932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>
        <f t="shared" si="12"/>
        <v>37.2965374488803</v>
      </c>
      <c r="J25" s="60">
        <f t="shared" si="12"/>
        <v>48.7432748771621</v>
      </c>
      <c r="K25" s="60" t="e">
        <f t="shared" si="12"/>
        <v>#DIV/0!</v>
      </c>
      <c r="L25" s="60">
        <f t="shared" si="12"/>
        <v>1.33657700031853</v>
      </c>
      <c r="M25" s="61">
        <f t="shared" si="12"/>
        <v>19.3315621845436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D26+'26.11'!I26</f>
        <v>16216</v>
      </c>
      <c r="J26" s="44">
        <f>E26+'26.11'!J26</f>
        <v>9596</v>
      </c>
      <c r="K26" s="44">
        <f>F26+'26.11'!K26</f>
        <v>0</v>
      </c>
      <c r="L26" s="44">
        <f>G26+'26.11'!L26</f>
        <v>119</v>
      </c>
      <c r="M26" s="66">
        <f t="shared" si="10"/>
        <v>9715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9505.7</v>
      </c>
      <c r="F27" s="68"/>
      <c r="G27" s="68">
        <f>L27</f>
        <v>714.500000000023</v>
      </c>
      <c r="H27" s="69"/>
      <c r="I27" s="70">
        <v>50324</v>
      </c>
      <c r="J27" s="71">
        <f>'26.11'!J27+E26-E10</f>
        <v>9505.7</v>
      </c>
      <c r="K27" s="71">
        <f>'26.11'!K27+F26-F10</f>
        <v>0</v>
      </c>
      <c r="L27" s="71">
        <f>'26.11'!L27+G26-G10</f>
        <v>714.500000000023</v>
      </c>
      <c r="M27" s="72">
        <f t="shared" si="10"/>
        <v>10220.2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>
        <f>I13*29308/I10</f>
        <v>18888.9008962749</v>
      </c>
      <c r="J28" s="46">
        <f t="shared" ref="J28:M28" si="14">J12*29308/J10</f>
        <v>17654.6900884676</v>
      </c>
      <c r="K28" s="46" t="e">
        <f t="shared" si="14"/>
        <v>#DIV/0!</v>
      </c>
      <c r="L28" s="46">
        <f t="shared" si="14"/>
        <v>19526.5060142605</v>
      </c>
      <c r="M28" s="73">
        <f t="shared" si="14"/>
        <v>17727.5847646941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>
        <v>17636</v>
      </c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>
        <f t="shared" si="15"/>
        <v>0.914840331645398</v>
      </c>
      <c r="J30" s="80">
        <f t="shared" si="15"/>
        <v>0.700001728955335</v>
      </c>
      <c r="K30" s="80" t="e">
        <f t="shared" si="15"/>
        <v>#DIV/0!</v>
      </c>
      <c r="L30" s="80">
        <f t="shared" si="15"/>
        <v>25.5281788335629</v>
      </c>
      <c r="M30" s="81">
        <f t="shared" si="15"/>
        <v>1.76500876459117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D8/3.6/D3/(DAY(DATE(2027,1,0))*24)</f>
        <v>0</v>
      </c>
      <c r="E31" s="83">
        <f>E8/3.6/E3/(DAY(DATE(2027,1,0))*24)</f>
        <v>0</v>
      </c>
      <c r="F31" s="83" t="e">
        <f>F8/3.6/F3/(DAY(DATE(2027,1,0))*24)</f>
        <v>#DIV/0!</v>
      </c>
      <c r="G31" s="83">
        <f>(G8-G36)/3.6/G3/(DAY(DATE(2027,1,0))*24)</f>
        <v>0</v>
      </c>
      <c r="H31" s="84">
        <f>H8/3.6/H3/(DAY(DATE(2027,1,0))*24)</f>
        <v>0</v>
      </c>
      <c r="I31" s="85">
        <f>I8/3.6/I3/(DATEDIF(DATE(2026,1,1),DATE(2027,1,1),"D")*24)</f>
        <v>0.0674935632767077</v>
      </c>
      <c r="J31" s="83">
        <f>J8/3.6/J3/(DATEDIF(DATE(2026,1,1),DATE(2027,1,1),"D")*24)</f>
        <v>0.0306246613707399</v>
      </c>
      <c r="K31" s="83" t="e">
        <f>K8/3.6/K3/(DATEDIF(DATE(2026,1,1),DATE(2027,1,1),"D")*24)</f>
        <v>#DIV/0!</v>
      </c>
      <c r="L31" s="83">
        <f>(L8-L36)/3.6/L3/(DATEDIF(DATE(2026,1,1),DATE(2027,1,1),"D")*24)</f>
        <v>0.0136131463162033</v>
      </c>
      <c r="M31" s="84">
        <f>M8/3.6/M3/(DATEDIF(DATE(2026,1,1),DATE(2027,1,1),"D")*24)</f>
        <v>0.074261181404367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G36+'26.11'!L36</f>
        <v>249708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v>7603.52230769231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D42+'26.11'!E42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D43+'26.11'!E43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D44+'26.11'!E44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D45+'26.11'!E45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D42/3.6/D39/(DAY(DATE(2027,1,0))*24)</f>
        <v>0</v>
      </c>
      <c r="E47" s="124">
        <f>E42/3.6/E39/(DATEDIF(DATE(2026,1,1),DATE(2027,1,1),"D")*24)</f>
        <v>0.0254254877542549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>
        <f>E42/E41</f>
        <v>0.057999435281968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>
        <f>E44/E41</f>
        <v>17.4708503012623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>
        <f>E43*1000/E41</f>
        <v>0.394553981509986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7"/>
      <c r="E56" s="147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D58+'26.11'!G58</f>
        <v>2295.5</v>
      </c>
      <c r="H58" s="150">
        <f>E58+'26.11'!H58</f>
        <v>3880.60000000001</v>
      </c>
      <c r="I58" s="147">
        <f t="shared" si="27"/>
        <v>6176.10000000001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D59+'26.11'!G59</f>
        <v>235</v>
      </c>
      <c r="H59" s="150">
        <f>E59+'26.11'!H59</f>
        <v>158.01</v>
      </c>
      <c r="I59" s="147">
        <f t="shared" si="27"/>
        <v>393.01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D60+'26.11'!G60</f>
        <v>706680</v>
      </c>
      <c r="H60" s="150">
        <f>E60+'26.11'!H60</f>
        <v>1137840</v>
      </c>
      <c r="I60" s="147">
        <f t="shared" si="27"/>
        <v>1844520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D61+'26.11'!G61</f>
        <v>706680</v>
      </c>
      <c r="H61" s="150">
        <f>E61+'26.11'!H61</f>
        <v>1137840</v>
      </c>
      <c r="I61" s="147">
        <f t="shared" si="27"/>
        <v>1844520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>
        <f t="shared" si="28"/>
        <v>307.854497930734</v>
      </c>
      <c r="H62" s="60">
        <f t="shared" si="28"/>
        <v>293.212389836622</v>
      </c>
      <c r="I62" s="61">
        <f t="shared" si="28"/>
        <v>298.654490698013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D58/3.6/D55/(DAY(DATE(2027,1,0))*24)</f>
        <v>0</v>
      </c>
      <c r="E63" s="83">
        <f>E58/3.6/E55/(DAY(DATE(2027,1,0))*24)</f>
        <v>0</v>
      </c>
      <c r="F63" s="123">
        <f>F58/3.6/F55/(DAY(DATE(2027,1,0))*24)</f>
        <v>0</v>
      </c>
      <c r="G63" s="85">
        <f>G58/3.6/G55/(DATEDIF(DATE(2026,1,1),DATE(2027,1,1),"D")*24)</f>
        <v>0.0121316379164553</v>
      </c>
      <c r="H63" s="83">
        <f>H58/3.6/H55/(DATEDIF(DATE(2026,1,1),DATE(2027,1,1),"D")*24)</f>
        <v>0.0192270341831558</v>
      </c>
      <c r="I63" s="84">
        <f>I58/3.6/I55/(DATEDIF(DATE(2026,1,1),DATE(2027,1,1),"D")*24)</f>
        <v>0.0157937779250749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D73+'26.11'!F73</f>
        <v>0</v>
      </c>
      <c r="G73" s="120">
        <f>E73+'26.11'!G73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D74+'26.11'!F74</f>
        <v>0</v>
      </c>
      <c r="G74" s="120">
        <f>E74+'26.11'!G74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D75+'26.11'!F75</f>
        <v>0</v>
      </c>
      <c r="G75" s="120">
        <f>E75+'26.11'!G75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D76+'26.11'!F76</f>
        <v>0</v>
      </c>
      <c r="G76" s="120">
        <f>E76+'26.11'!G76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D77+'26.11'!F77</f>
        <v>0</v>
      </c>
      <c r="G77" s="120">
        <f>E77+'26.11'!G77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D73/3.6/D71/(DAY(DATE(2027,1,0))*24)</f>
        <v>0</v>
      </c>
      <c r="E82" s="178">
        <f>E73/3.6/E71/(DAY(DATE(2027,1,0))*24)</f>
        <v>0</v>
      </c>
      <c r="F82" s="179">
        <f>F73/3.6/F71/(DATEDIF(DATE(2026,1,1),DATE(2027,1,1),"D")*24)</f>
        <v>0</v>
      </c>
      <c r="G82" s="180">
        <f>G73/3.6/G71/(DATEDIF(DATE(2026,1,1),DATE(2027,1,1),"D")*24)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f>D88+D56+E56</f>
        <v>0</v>
      </c>
      <c r="G88" s="190">
        <f>E88+G56+H56</f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f>D89+D57+E57</f>
        <v>0</v>
      </c>
      <c r="G89" s="190">
        <f>E89+G57+H57</f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D90+'26.11'!E90</f>
        <v>3609.56501600001</v>
      </c>
      <c r="F90" s="192">
        <f t="shared" si="35"/>
        <v>0</v>
      </c>
      <c r="G90" s="192">
        <f t="shared" si="36"/>
        <v>9785.66501600002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D91+'26.11'!E91</f>
        <v>49</v>
      </c>
      <c r="F91" s="192">
        <f t="shared" si="35"/>
        <v>0</v>
      </c>
      <c r="G91" s="192">
        <f t="shared" si="36"/>
        <v>442.01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D92+'26.11'!E92</f>
        <v>462809.08</v>
      </c>
      <c r="F92" s="192">
        <f t="shared" si="35"/>
        <v>0</v>
      </c>
      <c r="G92" s="192">
        <f t="shared" si="36"/>
        <v>2307329.08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D93+'26.11'!E93</f>
        <v>0</v>
      </c>
      <c r="F93" s="192">
        <f t="shared" si="35"/>
        <v>0</v>
      </c>
      <c r="G93" s="192">
        <f t="shared" si="36"/>
        <v>1844520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>
        <f t="shared" si="37"/>
        <v>128.217410670959</v>
      </c>
      <c r="F94" s="193" t="e">
        <f t="shared" si="37"/>
        <v>#DIV/0!</v>
      </c>
      <c r="G94" s="193">
        <f t="shared" si="37"/>
        <v>235.786640583691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D90/3.6/D87/(DAY(DATE(2027,1,0))*24)</f>
        <v>0</v>
      </c>
      <c r="E95" s="84">
        <f>E90/3.6/E87/(DATEDIF(DATE(2026,1,1),DATE(2027,1,1),"D")*24)</f>
        <v>0.145104660001565</v>
      </c>
      <c r="F95" s="194">
        <f>F90/3.6/F87/(DAY(DATE(2027,1,0))*24)</f>
        <v>0</v>
      </c>
      <c r="G95" s="84">
        <f>G90/3.6/G87/(DATEDIF(DATE(2026,1,1),DATE(2027,1,1),"D")*24)</f>
        <v>0.0235276448259252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2022年12月份集团各锅炉站生产报表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26.1</vt:lpstr>
      <vt:lpstr>26.2</vt:lpstr>
      <vt:lpstr>26.3</vt:lpstr>
      <vt:lpstr>26.4</vt:lpstr>
      <vt:lpstr>26.5</vt:lpstr>
      <vt:lpstr>26.6</vt:lpstr>
      <vt:lpstr>26.7</vt:lpstr>
      <vt:lpstr>26.8</vt:lpstr>
      <vt:lpstr>26.9</vt:lpstr>
      <vt:lpstr>26.10</vt:lpstr>
      <vt:lpstr>26.11</vt:lpstr>
      <vt:lpstr>26.12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jhb8955</dc:creator>
  <cp:lastModifiedBy>王巍</cp:lastModifiedBy>
  <dcterms:created xsi:type="dcterms:W3CDTF">2012-11-29T00:35:00Z</dcterms:created>
  <cp:lastPrinted>2023-02-21T02:27:00Z</cp:lastPrinted>
  <dcterms:modified xsi:type="dcterms:W3CDTF">2026-02-28T07:48:32Z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7B79BB2DECEF4193B5C60B2AFE8B6A02_13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