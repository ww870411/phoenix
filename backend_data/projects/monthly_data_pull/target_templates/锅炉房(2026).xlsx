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40" tabRatio="645" activeTab="2"/>
  </bookViews>
  <sheets>
    <sheet name="26.1" sheetId="1" r:id="rId1"/>
    <sheet name="26.2" sheetId="2" r:id="rId2"/>
    <sheet name="26.3" sheetId="3" r:id="rId3"/>
    <sheet name="26.4" sheetId="4" r:id="rId4"/>
    <sheet name="26.5" sheetId="5" r:id="rId5"/>
    <sheet name="26.6" sheetId="6" r:id="rId6"/>
    <sheet name="26.7" sheetId="7" r:id="rId7"/>
    <sheet name="26.8" sheetId="8" r:id="rId8"/>
    <sheet name="26.9" sheetId="9" r:id="rId9"/>
    <sheet name="26.10" sheetId="10" r:id="rId10"/>
    <sheet name="26.11" sheetId="11" r:id="rId11"/>
    <sheet name="26.12" sheetId="12" r:id="rId12"/>
  </sheets>
  <externalReferences>
    <externalReference r:id="rId13"/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zqb8182</author>
  </authors>
  <commentList>
    <comment ref="K12" authorId="0">
      <text>
        <r>
          <rPr>
            <sz val="10"/>
            <rFont val="宋体"/>
            <charset val="134"/>
          </rPr>
          <t>zqb8182:
小改累计值</t>
        </r>
      </text>
    </comment>
  </commentList>
</comments>
</file>

<file path=xl/sharedStrings.xml><?xml version="1.0" encoding="utf-8"?>
<sst xmlns="http://schemas.openxmlformats.org/spreadsheetml/2006/main" count="3517" uniqueCount="106">
  <si>
    <t>代码</t>
  </si>
  <si>
    <t>项目</t>
  </si>
  <si>
    <t>计量单位</t>
  </si>
  <si>
    <t>本  月  实  际</t>
  </si>
  <si>
    <t>本  年  累  计</t>
  </si>
  <si>
    <t>北海水炉</t>
  </si>
  <si>
    <t xml:space="preserve">金普   </t>
  </si>
  <si>
    <t xml:space="preserve">临海   </t>
  </si>
  <si>
    <t xml:space="preserve">庄河    </t>
  </si>
  <si>
    <t>合计</t>
  </si>
  <si>
    <t xml:space="preserve">庄河  </t>
  </si>
  <si>
    <t>001</t>
  </si>
  <si>
    <t>装机总容量</t>
  </si>
  <si>
    <t>兆瓦</t>
  </si>
  <si>
    <t>002</t>
  </si>
  <si>
    <t>期末供热面积</t>
  </si>
  <si>
    <t>平方米</t>
  </si>
  <si>
    <t xml:space="preserve"> -   </t>
  </si>
  <si>
    <t>其中：高温水面积</t>
  </si>
  <si>
    <t>003</t>
  </si>
  <si>
    <t>实际平均供热面积</t>
  </si>
  <si>
    <t>004</t>
  </si>
  <si>
    <t>供汽量</t>
  </si>
  <si>
    <t>吨</t>
  </si>
  <si>
    <t>005</t>
  </si>
  <si>
    <t>供热量</t>
  </si>
  <si>
    <t>吉焦</t>
  </si>
  <si>
    <t>006</t>
  </si>
  <si>
    <t>高温水销售量</t>
  </si>
  <si>
    <t>007</t>
  </si>
  <si>
    <t>生产耗原煤量</t>
  </si>
  <si>
    <t>008</t>
  </si>
  <si>
    <t>耗油量</t>
  </si>
  <si>
    <t>009</t>
  </si>
  <si>
    <t>耗标煤总量</t>
  </si>
  <si>
    <t>其中：煤折标准煤量</t>
  </si>
  <si>
    <t xml:space="preserve">      油折标准煤量</t>
  </si>
  <si>
    <t>010</t>
  </si>
  <si>
    <t>耗水量</t>
  </si>
  <si>
    <t>其中：耗井水(再生水)量</t>
  </si>
  <si>
    <t>011</t>
  </si>
  <si>
    <t>耗电量</t>
  </si>
  <si>
    <t>千瓦时</t>
  </si>
  <si>
    <t>其中：耗厂用电量</t>
  </si>
  <si>
    <t xml:space="preserve">      耗外购电量</t>
  </si>
  <si>
    <t>脱硫脱硝耗水量</t>
  </si>
  <si>
    <t>脱硫脱硝耗电量</t>
  </si>
  <si>
    <t>012</t>
  </si>
  <si>
    <t>耗氧化镁(石灰石粉)量</t>
  </si>
  <si>
    <t>013</t>
  </si>
  <si>
    <t>耗脱硝剂(氨水)量</t>
  </si>
  <si>
    <t>014</t>
  </si>
  <si>
    <t>供热用电率</t>
  </si>
  <si>
    <t>千瓦时/吉焦</t>
  </si>
  <si>
    <t>015</t>
  </si>
  <si>
    <t>供热煤耗率</t>
  </si>
  <si>
    <t>千克/吉焦</t>
  </si>
  <si>
    <t>016</t>
  </si>
  <si>
    <t>入厂煤量</t>
  </si>
  <si>
    <t>017</t>
  </si>
  <si>
    <t>期末库存煤量</t>
  </si>
  <si>
    <t>018</t>
  </si>
  <si>
    <t>入炉煤低位发热量</t>
  </si>
  <si>
    <t>千焦/千克</t>
  </si>
  <si>
    <t>019</t>
  </si>
  <si>
    <t>入厂煤低位发热量</t>
  </si>
  <si>
    <t>020</t>
  </si>
  <si>
    <t>锅炉热效率</t>
  </si>
  <si>
    <t>%</t>
  </si>
  <si>
    <t>021</t>
  </si>
  <si>
    <t>锅炉设备利用率</t>
  </si>
  <si>
    <t>022</t>
  </si>
  <si>
    <t>供暖热耗率</t>
  </si>
  <si>
    <t>吉焦/平方米</t>
  </si>
  <si>
    <t>023</t>
  </si>
  <si>
    <t>单位面积耗标准煤量</t>
  </si>
  <si>
    <t>千克/平方米</t>
  </si>
  <si>
    <t>024</t>
  </si>
  <si>
    <t>单位面积耗电量</t>
  </si>
  <si>
    <t>千瓦时/平方米</t>
  </si>
  <si>
    <t>025</t>
  </si>
  <si>
    <t>单位面积耗水量</t>
  </si>
  <si>
    <t>外购热量</t>
  </si>
  <si>
    <t>电锅炉房(机车)</t>
  </si>
  <si>
    <t/>
  </si>
  <si>
    <t>项  目</t>
  </si>
  <si>
    <t>本月实际</t>
  </si>
  <si>
    <t>本年累计</t>
  </si>
  <si>
    <t>期末供暖面积</t>
  </si>
  <si>
    <t>实际平均供暖面积</t>
  </si>
  <si>
    <t>其中：高压电量</t>
  </si>
  <si>
    <t>电锅炉房(研究院)</t>
  </si>
  <si>
    <t>旅顺   锅炉房</t>
  </si>
  <si>
    <t>复州湾  锅炉房</t>
  </si>
  <si>
    <t>天然气锅炉</t>
  </si>
  <si>
    <t>北海</t>
  </si>
  <si>
    <t>裕景</t>
  </si>
  <si>
    <t>耗天然气(人工煤气)量</t>
  </si>
  <si>
    <t>立方米</t>
  </si>
  <si>
    <t>天然气(煤气)发热量</t>
  </si>
  <si>
    <t>千焦/立方米</t>
  </si>
  <si>
    <t>空气源热泵(研究院)</t>
  </si>
  <si>
    <t>研究院本月实际</t>
  </si>
  <si>
    <t>研究院本年累计</t>
  </si>
  <si>
    <t>碧流河</t>
  </si>
  <si>
    <t>设备利用率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</si>
</sst>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  <numFmt numFmtId="177" formatCode="#,##0.00_ "/>
    <numFmt numFmtId="178" formatCode="#,##0_ "/>
    <numFmt numFmtId="179" formatCode="_ * #,##0_ ;_ * \-#,##0_ ;_ * &quot;-&quot;??_ ;_ @_ "/>
    <numFmt numFmtId="180" formatCode="0.00_ "/>
    <numFmt numFmtId="181" formatCode="0.0"/>
    <numFmt numFmtId="182" formatCode="0.0%"/>
    <numFmt numFmtId="183" formatCode="#,##0.0_ "/>
  </numFmts>
  <fonts count="27">
    <font>
      <sz val="12"/>
      <name val="宋体"/>
      <charset val="134"/>
    </font>
    <font>
      <sz val="10"/>
      <name val="Times New Roman"/>
      <charset val="0"/>
    </font>
    <font>
      <sz val="11"/>
      <name val="Times New Roman"/>
      <charset val="0"/>
    </font>
    <font>
      <sz val="12"/>
      <name val="Times New Roman"/>
      <charset val="0"/>
    </font>
    <font>
      <sz val="11"/>
      <name val="华文细黑"/>
      <charset val="134"/>
    </font>
    <font>
      <sz val="10"/>
      <name val="宋体"/>
      <charset val="134"/>
    </font>
    <font>
      <sz val="11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0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3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top"/>
      <protection locked="0"/>
    </xf>
    <xf numFmtId="0" fontId="8" fillId="0" borderId="0">
      <alignment vertical="top"/>
      <protection locked="0"/>
    </xf>
    <xf numFmtId="0" fontId="9" fillId="6" borderId="3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5">
      <alignment vertical="center"/>
    </xf>
    <xf numFmtId="0" fontId="14" fillId="0" borderId="36">
      <alignment vertical="center"/>
    </xf>
    <xf numFmtId="0" fontId="15" fillId="0" borderId="37">
      <alignment vertical="center"/>
    </xf>
    <xf numFmtId="0" fontId="15" fillId="0" borderId="0">
      <alignment vertical="center"/>
    </xf>
    <xf numFmtId="0" fontId="16" fillId="7" borderId="38">
      <alignment vertical="center"/>
    </xf>
    <xf numFmtId="0" fontId="17" fillId="8" borderId="39">
      <alignment vertical="center"/>
    </xf>
    <xf numFmtId="0" fontId="18" fillId="8" borderId="38">
      <alignment vertical="center"/>
    </xf>
    <xf numFmtId="0" fontId="19" fillId="9" borderId="40">
      <alignment vertical="center"/>
    </xf>
    <xf numFmtId="0" fontId="20" fillId="0" borderId="41">
      <alignment vertical="center"/>
    </xf>
    <xf numFmtId="0" fontId="21" fillId="0" borderId="42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9" fillId="14" borderId="0">
      <alignment vertical="center"/>
    </xf>
    <xf numFmtId="0" fontId="9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9" fillId="11" borderId="0">
      <alignment vertical="center"/>
    </xf>
    <xf numFmtId="0" fontId="9" fillId="18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9" fillId="10" borderId="0">
      <alignment vertical="center"/>
    </xf>
    <xf numFmtId="0" fontId="9" fillId="20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9" fillId="22" borderId="0">
      <alignment vertical="center"/>
    </xf>
    <xf numFmtId="0" fontId="9" fillId="22" borderId="0">
      <alignment vertical="center"/>
    </xf>
    <xf numFmtId="0" fontId="25" fillId="21" borderId="0">
      <alignment vertical="center"/>
    </xf>
    <xf numFmtId="0" fontId="25" fillId="23" borderId="0">
      <alignment vertical="center"/>
    </xf>
    <xf numFmtId="0" fontId="9" fillId="24" borderId="0">
      <alignment vertical="center"/>
    </xf>
    <xf numFmtId="0" fontId="9" fillId="15" borderId="0">
      <alignment vertical="center"/>
    </xf>
    <xf numFmtId="0" fontId="25" fillId="23" borderId="0">
      <alignment vertical="center"/>
    </xf>
    <xf numFmtId="0" fontId="25" fillId="25" borderId="0">
      <alignment vertical="center"/>
    </xf>
    <xf numFmtId="0" fontId="9" fillId="7" borderId="0">
      <alignment vertical="center"/>
    </xf>
    <xf numFmtId="0" fontId="9" fillId="26" borderId="0">
      <alignment vertical="center"/>
    </xf>
    <xf numFmtId="0" fontId="25" fillId="27" borderId="0">
      <alignment vertical="center"/>
    </xf>
    <xf numFmtId="9" fontId="0" fillId="0" borderId="0">
      <alignment vertical="center"/>
    </xf>
    <xf numFmtId="9" fontId="0" fillId="0" borderId="0">
      <alignment vertical="center"/>
    </xf>
    <xf numFmtId="0" fontId="0" fillId="0" borderId="0"/>
    <xf numFmtId="9" fontId="0" fillId="0" borderId="0">
      <alignment vertical="center"/>
    </xf>
    <xf numFmtId="9" fontId="0" fillId="0" borderId="0">
      <alignment vertical="center"/>
    </xf>
    <xf numFmtId="9" fontId="0" fillId="0" borderId="0">
      <alignment vertical="center"/>
    </xf>
    <xf numFmtId="9" fontId="0" fillId="0" borderId="0">
      <alignment vertical="center"/>
    </xf>
    <xf numFmtId="9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>
      <alignment vertical="center"/>
    </xf>
    <xf numFmtId="41" fontId="0" fillId="0" borderId="0">
      <alignment vertical="center"/>
    </xf>
    <xf numFmtId="0" fontId="0" fillId="0" borderId="0">
      <alignment vertical="center"/>
    </xf>
    <xf numFmtId="9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>
      <alignment vertical="center"/>
    </xf>
    <xf numFmtId="43" fontId="0" fillId="0" borderId="0">
      <alignment vertical="center"/>
    </xf>
    <xf numFmtId="43" fontId="0" fillId="0" borderId="0">
      <alignment vertical="center"/>
    </xf>
    <xf numFmtId="43" fontId="0" fillId="0" borderId="0">
      <alignment vertical="center"/>
    </xf>
    <xf numFmtId="43" fontId="0" fillId="0" borderId="0">
      <alignment vertical="center"/>
    </xf>
  </cellStyleXfs>
  <cellXfs count="22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4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shrinkToFit="1"/>
    </xf>
    <xf numFmtId="43" fontId="6" fillId="0" borderId="13" xfId="1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43" fontId="2" fillId="0" borderId="13" xfId="1" applyFont="1" applyBorder="1" applyAlignment="1" applyProtection="1">
      <alignment vertical="center" wrapText="1"/>
      <protection locked="0"/>
    </xf>
    <xf numFmtId="43" fontId="2" fillId="0" borderId="13" xfId="1" applyFont="1" applyBorder="1" applyAlignment="1">
      <alignment vertical="center" wrapText="1"/>
    </xf>
    <xf numFmtId="177" fontId="2" fillId="0" borderId="14" xfId="0" applyNumberFormat="1" applyFont="1" applyBorder="1" applyAlignment="1">
      <alignment vertical="center"/>
    </xf>
    <xf numFmtId="43" fontId="2" fillId="0" borderId="14" xfId="0" applyNumberFormat="1" applyFont="1" applyBorder="1" applyAlignment="1" applyProtection="1">
      <alignment vertical="center"/>
      <protection locked="0"/>
    </xf>
    <xf numFmtId="43" fontId="2" fillId="0" borderId="15" xfId="1" applyFont="1" applyBorder="1" applyAlignment="1" applyProtection="1">
      <alignment vertical="center" wrapText="1"/>
      <protection locked="0"/>
    </xf>
    <xf numFmtId="177" fontId="2" fillId="0" borderId="14" xfId="0" applyNumberFormat="1" applyFont="1" applyBorder="1" applyAlignment="1" applyProtection="1">
      <alignment vertical="center"/>
      <protection locked="0"/>
    </xf>
    <xf numFmtId="49" fontId="2" fillId="0" borderId="16" xfId="0" applyNumberFormat="1" applyFont="1" applyBorder="1" applyAlignment="1">
      <alignment horizontal="center" vertical="center" shrinkToFit="1"/>
    </xf>
    <xf numFmtId="43" fontId="6" fillId="0" borderId="17" xfId="1" applyFont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43" fontId="2" fillId="0" borderId="17" xfId="1" applyFont="1" applyBorder="1" applyAlignment="1">
      <alignment vertical="center" wrapText="1"/>
    </xf>
    <xf numFmtId="41" fontId="2" fillId="0" borderId="17" xfId="0" applyNumberFormat="1" applyFont="1" applyBorder="1" applyAlignment="1" applyProtection="1">
      <alignment vertical="center" wrapText="1"/>
      <protection locked="0"/>
    </xf>
    <xf numFmtId="41" fontId="2" fillId="0" borderId="17" xfId="0" applyNumberFormat="1" applyFont="1" applyBorder="1" applyAlignment="1">
      <alignment vertical="center" wrapText="1"/>
    </xf>
    <xf numFmtId="178" fontId="2" fillId="0" borderId="17" xfId="0" applyNumberFormat="1" applyFont="1" applyBorder="1" applyAlignment="1">
      <alignment vertical="center"/>
    </xf>
    <xf numFmtId="179" fontId="2" fillId="0" borderId="18" xfId="0" applyNumberFormat="1" applyFont="1" applyBorder="1" applyAlignment="1" applyProtection="1">
      <alignment vertical="center"/>
      <protection locked="0"/>
    </xf>
    <xf numFmtId="43" fontId="2" fillId="0" borderId="19" xfId="1" applyFont="1" applyBorder="1" applyAlignment="1" applyProtection="1">
      <alignment vertical="center" wrapText="1"/>
      <protection locked="0"/>
    </xf>
    <xf numFmtId="41" fontId="2" fillId="0" borderId="17" xfId="4" applyFont="1" applyBorder="1" applyAlignment="1" applyProtection="1">
      <alignment vertical="center"/>
      <protection locked="0"/>
    </xf>
    <xf numFmtId="178" fontId="2" fillId="0" borderId="17" xfId="0" applyNumberFormat="1" applyFont="1" applyBorder="1" applyAlignment="1" applyProtection="1">
      <alignment vertical="center"/>
      <protection locked="0"/>
    </xf>
    <xf numFmtId="41" fontId="2" fillId="0" borderId="17" xfId="4" applyFont="1" applyBorder="1" applyAlignment="1">
      <alignment vertical="center"/>
    </xf>
    <xf numFmtId="179" fontId="2" fillId="0" borderId="17" xfId="1" applyNumberFormat="1" applyFont="1" applyBorder="1" applyAlignment="1">
      <alignment vertical="center" shrinkToFit="1"/>
    </xf>
    <xf numFmtId="41" fontId="2" fillId="2" borderId="17" xfId="0" applyNumberFormat="1" applyFont="1" applyFill="1" applyBorder="1" applyAlignment="1">
      <alignment vertical="center" wrapText="1"/>
    </xf>
    <xf numFmtId="43" fontId="6" fillId="0" borderId="17" xfId="1" applyFont="1" applyBorder="1" applyAlignment="1">
      <alignment vertical="center" shrinkToFit="1"/>
    </xf>
    <xf numFmtId="0" fontId="6" fillId="0" borderId="17" xfId="0" applyFont="1" applyBorder="1" applyAlignment="1">
      <alignment horizontal="center" vertical="center" shrinkToFit="1"/>
    </xf>
    <xf numFmtId="180" fontId="2" fillId="2" borderId="20" xfId="1" applyNumberFormat="1" applyFont="1" applyFill="1" applyBorder="1" applyAlignment="1">
      <alignment vertical="center" shrinkToFit="1"/>
    </xf>
    <xf numFmtId="179" fontId="2" fillId="0" borderId="17" xfId="1" applyNumberFormat="1" applyFont="1" applyBorder="1" applyAlignment="1" applyProtection="1">
      <alignment vertical="center" shrinkToFit="1"/>
      <protection locked="0"/>
    </xf>
    <xf numFmtId="0" fontId="2" fillId="3" borderId="0" xfId="0" applyFont="1" applyFill="1" applyAlignment="1">
      <alignment vertical="center"/>
    </xf>
    <xf numFmtId="178" fontId="1" fillId="2" borderId="17" xfId="0" applyNumberFormat="1" applyFont="1" applyFill="1" applyBorder="1" applyAlignment="1" applyProtection="1">
      <alignment vertical="center"/>
      <protection locked="0"/>
    </xf>
    <xf numFmtId="179" fontId="2" fillId="0" borderId="18" xfId="0" applyNumberFormat="1" applyFont="1" applyBorder="1" applyAlignment="1">
      <alignment vertical="center"/>
    </xf>
    <xf numFmtId="179" fontId="2" fillId="0" borderId="17" xfId="1" applyNumberFormat="1" applyFont="1" applyBorder="1" applyAlignment="1">
      <alignment vertical="center"/>
    </xf>
    <xf numFmtId="179" fontId="2" fillId="3" borderId="20" xfId="1" applyNumberFormat="1" applyFont="1" applyFill="1" applyBorder="1" applyAlignment="1">
      <alignment vertical="center" shrinkToFit="1"/>
    </xf>
    <xf numFmtId="179" fontId="2" fillId="2" borderId="20" xfId="1" applyNumberFormat="1" applyFont="1" applyFill="1" applyBorder="1" applyAlignment="1">
      <alignment vertical="center" shrinkToFit="1"/>
    </xf>
    <xf numFmtId="49" fontId="2" fillId="0" borderId="16" xfId="0" applyNumberFormat="1" applyFont="1" applyBorder="1" applyAlignment="1">
      <alignment horizontal="center" vertical="center"/>
    </xf>
    <xf numFmtId="43" fontId="6" fillId="0" borderId="17" xfId="1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180" fontId="2" fillId="0" borderId="17" xfId="0" applyNumberFormat="1" applyFont="1" applyBorder="1" applyAlignment="1">
      <alignment vertical="center"/>
    </xf>
    <xf numFmtId="180" fontId="2" fillId="0" borderId="21" xfId="0" applyNumberFormat="1" applyFont="1" applyBorder="1" applyAlignment="1" applyProtection="1">
      <alignment vertical="center"/>
      <protection locked="0"/>
    </xf>
    <xf numFmtId="180" fontId="2" fillId="0" borderId="18" xfId="0" applyNumberFormat="1" applyFont="1" applyBorder="1" applyAlignment="1" applyProtection="1">
      <alignment vertical="center"/>
      <protection locked="0"/>
    </xf>
    <xf numFmtId="181" fontId="2" fillId="0" borderId="17" xfId="3" applyNumberFormat="1" applyFont="1" applyBorder="1" applyAlignment="1" applyProtection="1">
      <alignment vertical="center" shrinkToFit="1"/>
      <protection locked="0"/>
    </xf>
    <xf numFmtId="181" fontId="2" fillId="0" borderId="18" xfId="3" applyNumberFormat="1" applyFont="1" applyBorder="1" applyAlignment="1" applyProtection="1">
      <alignment vertical="center" shrinkToFit="1"/>
      <protection locked="0"/>
    </xf>
    <xf numFmtId="181" fontId="2" fillId="0" borderId="20" xfId="3" applyNumberFormat="1" applyFont="1" applyBorder="1" applyAlignment="1" applyProtection="1">
      <alignment vertical="center" shrinkToFit="1"/>
      <protection locked="0"/>
    </xf>
    <xf numFmtId="176" fontId="6" fillId="0" borderId="17" xfId="0" applyNumberFormat="1" applyFont="1" applyBorder="1" applyAlignment="1">
      <alignment horizontal="center" vertical="center" shrinkToFit="1"/>
    </xf>
    <xf numFmtId="176" fontId="2" fillId="0" borderId="17" xfId="0" applyNumberFormat="1" applyFont="1" applyBorder="1" applyAlignment="1">
      <alignment vertical="center" wrapText="1"/>
    </xf>
    <xf numFmtId="178" fontId="2" fillId="0" borderId="17" xfId="4" applyNumberFormat="1" applyFont="1" applyBorder="1" applyAlignment="1">
      <alignment vertical="center"/>
    </xf>
    <xf numFmtId="176" fontId="2" fillId="0" borderId="18" xfId="0" applyNumberFormat="1" applyFont="1" applyBorder="1" applyAlignment="1" applyProtection="1">
      <alignment vertical="center"/>
      <protection locked="0"/>
    </xf>
    <xf numFmtId="176" fontId="2" fillId="2" borderId="17" xfId="0" applyNumberFormat="1" applyFont="1" applyFill="1" applyBorder="1" applyAlignment="1">
      <alignment vertical="center" wrapText="1"/>
    </xf>
    <xf numFmtId="176" fontId="2" fillId="0" borderId="18" xfId="0" applyNumberFormat="1" applyFont="1" applyBorder="1" applyAlignment="1">
      <alignment horizontal="right" vertical="center"/>
    </xf>
    <xf numFmtId="179" fontId="2" fillId="0" borderId="20" xfId="1" applyNumberFormat="1" applyFont="1" applyBorder="1" applyAlignment="1">
      <alignment vertical="center" shrinkToFit="1"/>
    </xf>
    <xf numFmtId="180" fontId="2" fillId="2" borderId="17" xfId="0" applyNumberFormat="1" applyFont="1" applyFill="1" applyBorder="1" applyAlignment="1" applyProtection="1">
      <alignment vertical="center" wrapText="1"/>
      <protection locked="0"/>
    </xf>
    <xf numFmtId="178" fontId="2" fillId="0" borderId="18" xfId="0" applyNumberFormat="1" applyFont="1" applyBorder="1" applyAlignment="1" applyProtection="1">
      <alignment vertical="center"/>
      <protection locked="0"/>
    </xf>
    <xf numFmtId="179" fontId="2" fillId="0" borderId="18" xfId="1" applyNumberFormat="1" applyFont="1" applyBorder="1" applyAlignment="1" applyProtection="1">
      <alignment vertical="center" shrinkToFit="1"/>
      <protection locked="0"/>
    </xf>
    <xf numFmtId="179" fontId="2" fillId="0" borderId="19" xfId="0" applyNumberFormat="1" applyFont="1" applyBorder="1" applyAlignment="1" applyProtection="1">
      <alignment vertical="center" shrinkToFit="1"/>
      <protection locked="0"/>
    </xf>
    <xf numFmtId="179" fontId="2" fillId="0" borderId="17" xfId="0" applyNumberFormat="1" applyFont="1" applyBorder="1" applyAlignment="1">
      <alignment vertical="center" shrinkToFit="1"/>
    </xf>
    <xf numFmtId="178" fontId="2" fillId="0" borderId="18" xfId="0" applyNumberFormat="1" applyFont="1" applyBorder="1" applyAlignment="1">
      <alignment vertical="center"/>
    </xf>
    <xf numFmtId="179" fontId="2" fillId="0" borderId="18" xfId="1" applyNumberFormat="1" applyFont="1" applyBorder="1" applyAlignment="1">
      <alignment vertical="center" shrinkToFit="1"/>
    </xf>
    <xf numFmtId="179" fontId="2" fillId="0" borderId="19" xfId="0" applyNumberFormat="1" applyFont="1" applyBorder="1" applyAlignment="1">
      <alignment vertical="center" shrinkToFit="1"/>
    </xf>
    <xf numFmtId="0" fontId="2" fillId="0" borderId="17" xfId="0" applyFont="1" applyBorder="1" applyAlignment="1">
      <alignment horizontal="center" vertical="center" shrinkToFit="1"/>
    </xf>
    <xf numFmtId="182" fontId="2" fillId="0" borderId="17" xfId="3" applyNumberFormat="1" applyFont="1" applyBorder="1" applyAlignment="1" applyProtection="1">
      <alignment vertical="center" shrinkToFit="1"/>
      <protection locked="0"/>
    </xf>
    <xf numFmtId="182" fontId="2" fillId="0" borderId="18" xfId="3" applyNumberFormat="1" applyFont="1" applyBorder="1" applyAlignment="1" applyProtection="1">
      <alignment vertical="center" shrinkToFit="1"/>
      <protection locked="0"/>
    </xf>
    <xf numFmtId="182" fontId="2" fillId="0" borderId="19" xfId="3" applyNumberFormat="1" applyFont="1" applyBorder="1" applyAlignment="1" applyProtection="1">
      <alignment vertical="center" shrinkToFit="1"/>
      <protection locked="0"/>
    </xf>
    <xf numFmtId="180" fontId="2" fillId="4" borderId="17" xfId="3" applyNumberFormat="1" applyFont="1" applyFill="1" applyBorder="1" applyAlignment="1" applyProtection="1">
      <alignment vertical="center"/>
      <protection locked="0"/>
    </xf>
    <xf numFmtId="180" fontId="2" fillId="4" borderId="18" xfId="3" applyNumberFormat="1" applyFont="1" applyFill="1" applyBorder="1" applyAlignment="1" applyProtection="1">
      <alignment vertical="center"/>
      <protection locked="0"/>
    </xf>
    <xf numFmtId="180" fontId="2" fillId="4" borderId="19" xfId="3" applyNumberFormat="1" applyFont="1" applyFill="1" applyBorder="1" applyAlignment="1" applyProtection="1">
      <alignment vertical="center"/>
      <protection locked="0"/>
    </xf>
    <xf numFmtId="183" fontId="2" fillId="0" borderId="17" xfId="3" applyNumberFormat="1" applyFont="1" applyBorder="1" applyAlignment="1">
      <alignment vertical="center"/>
    </xf>
    <xf numFmtId="183" fontId="2" fillId="0" borderId="17" xfId="3" applyNumberFormat="1" applyFont="1" applyBorder="1" applyAlignment="1" applyProtection="1">
      <alignment vertical="center"/>
      <protection locked="0"/>
    </xf>
    <xf numFmtId="183" fontId="2" fillId="0" borderId="19" xfId="3" applyNumberFormat="1" applyFont="1" applyBorder="1" applyAlignment="1">
      <alignment vertical="center"/>
    </xf>
    <xf numFmtId="183" fontId="2" fillId="0" borderId="18" xfId="3" applyNumberFormat="1" applyFont="1" applyBorder="1" applyAlignment="1" applyProtection="1">
      <alignment vertical="center"/>
      <protection locked="0"/>
    </xf>
    <xf numFmtId="183" fontId="2" fillId="0" borderId="17" xfId="1" applyNumberFormat="1" applyFont="1" applyBorder="1" applyAlignment="1">
      <alignment vertical="center"/>
    </xf>
    <xf numFmtId="183" fontId="2" fillId="0" borderId="17" xfId="1" applyNumberFormat="1" applyFont="1" applyBorder="1" applyAlignment="1" applyProtection="1">
      <alignment vertical="center"/>
      <protection locked="0"/>
    </xf>
    <xf numFmtId="183" fontId="2" fillId="0" borderId="18" xfId="1" applyNumberFormat="1" applyFont="1" applyBorder="1" applyAlignment="1" applyProtection="1">
      <alignment vertical="center"/>
      <protection locked="0"/>
    </xf>
    <xf numFmtId="183" fontId="2" fillId="0" borderId="19" xfId="1" applyNumberFormat="1" applyFont="1" applyBorder="1" applyAlignment="1">
      <alignment vertical="center"/>
    </xf>
    <xf numFmtId="183" fontId="2" fillId="0" borderId="17" xfId="0" applyNumberFormat="1" applyFont="1" applyBorder="1" applyAlignment="1">
      <alignment vertical="center"/>
    </xf>
    <xf numFmtId="183" fontId="2" fillId="0" borderId="19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horizontal="center" vertical="center"/>
    </xf>
    <xf numFmtId="43" fontId="6" fillId="0" borderId="23" xfId="1" applyFont="1" applyBorder="1" applyAlignment="1">
      <alignment vertical="center"/>
    </xf>
    <xf numFmtId="0" fontId="6" fillId="0" borderId="23" xfId="0" applyFont="1" applyBorder="1" applyAlignment="1">
      <alignment horizontal="center" vertical="center" shrinkToFit="1"/>
    </xf>
    <xf numFmtId="183" fontId="2" fillId="0" borderId="23" xfId="0" applyNumberFormat="1" applyFont="1" applyBorder="1" applyAlignment="1">
      <alignment vertical="center"/>
    </xf>
    <xf numFmtId="183" fontId="2" fillId="0" borderId="23" xfId="1" applyNumberFormat="1" applyFont="1" applyBorder="1" applyAlignment="1" applyProtection="1">
      <alignment vertical="center"/>
      <protection locked="0"/>
    </xf>
    <xf numFmtId="183" fontId="2" fillId="0" borderId="24" xfId="1" applyNumberFormat="1" applyFont="1" applyBorder="1" applyAlignment="1" applyProtection="1">
      <alignment vertical="center"/>
      <protection locked="0"/>
    </xf>
    <xf numFmtId="183" fontId="2" fillId="0" borderId="25" xfId="1" applyNumberFormat="1" applyFont="1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3" fontId="6" fillId="0" borderId="0" xfId="1" applyFont="1" applyAlignment="1">
      <alignment vertical="center"/>
    </xf>
    <xf numFmtId="0" fontId="6" fillId="0" borderId="0" xfId="0" applyFont="1" applyAlignment="1">
      <alignment horizontal="center" vertical="center"/>
    </xf>
    <xf numFmtId="178" fontId="2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177" fontId="2" fillId="0" borderId="21" xfId="0" applyNumberFormat="1" applyFont="1" applyBorder="1" applyAlignment="1">
      <alignment vertical="center"/>
    </xf>
    <xf numFmtId="177" fontId="2" fillId="0" borderId="0" xfId="0" applyNumberFormat="1" applyFont="1" applyAlignment="1">
      <alignment vertical="center"/>
    </xf>
    <xf numFmtId="178" fontId="2" fillId="0" borderId="21" xfId="0" applyNumberFormat="1" applyFont="1" applyBorder="1" applyAlignment="1">
      <alignment vertical="center"/>
    </xf>
    <xf numFmtId="178" fontId="2" fillId="0" borderId="0" xfId="0" applyNumberFormat="1" applyFont="1" applyAlignment="1" applyProtection="1">
      <alignment vertical="center"/>
      <protection locked="0"/>
    </xf>
    <xf numFmtId="178" fontId="2" fillId="0" borderId="21" xfId="0" applyNumberFormat="1" applyFont="1" applyBorder="1" applyAlignment="1" applyProtection="1">
      <alignment vertical="center"/>
      <protection locked="0"/>
    </xf>
    <xf numFmtId="178" fontId="2" fillId="2" borderId="20" xfId="0" applyNumberFormat="1" applyFont="1" applyFill="1" applyBorder="1" applyAlignment="1" applyProtection="1">
      <alignment vertical="center"/>
      <protection locked="0"/>
    </xf>
    <xf numFmtId="178" fontId="2" fillId="0" borderId="21" xfId="1" applyNumberFormat="1" applyFont="1" applyBorder="1" applyAlignment="1">
      <alignment vertical="center" shrinkToFit="1"/>
    </xf>
    <xf numFmtId="180" fontId="2" fillId="2" borderId="0" xfId="0" applyNumberFormat="1" applyFont="1" applyFill="1" applyAlignment="1" applyProtection="1">
      <alignment vertical="center"/>
      <protection locked="0"/>
    </xf>
    <xf numFmtId="183" fontId="2" fillId="0" borderId="21" xfId="3" applyNumberFormat="1" applyFont="1" applyBorder="1" applyAlignment="1" applyProtection="1">
      <alignment vertical="center" shrinkToFit="1"/>
      <protection locked="0"/>
    </xf>
    <xf numFmtId="181" fontId="2" fillId="0" borderId="0" xfId="3" applyNumberFormat="1" applyFont="1" applyAlignment="1" applyProtection="1">
      <alignment vertical="center" shrinkToFit="1"/>
      <protection locked="0"/>
    </xf>
    <xf numFmtId="180" fontId="2" fillId="4" borderId="21" xfId="3" applyNumberFormat="1" applyFont="1" applyFill="1" applyBorder="1" applyAlignment="1" applyProtection="1">
      <alignment vertical="center"/>
      <protection locked="0"/>
    </xf>
    <xf numFmtId="180" fontId="2" fillId="4" borderId="0" xfId="3" applyNumberFormat="1" applyFont="1" applyFill="1" applyAlignment="1" applyProtection="1">
      <alignment vertical="center"/>
      <protection locked="0"/>
    </xf>
    <xf numFmtId="183" fontId="2" fillId="0" borderId="21" xfId="3" applyNumberFormat="1" applyFont="1" applyBorder="1" applyAlignment="1" applyProtection="1">
      <alignment vertical="center"/>
      <protection locked="0"/>
    </xf>
    <xf numFmtId="183" fontId="2" fillId="0" borderId="0" xfId="3" applyNumberFormat="1" applyFont="1" applyAlignment="1" applyProtection="1">
      <alignment vertical="center"/>
      <protection locked="0"/>
    </xf>
    <xf numFmtId="183" fontId="2" fillId="0" borderId="21" xfId="1" applyNumberFormat="1" applyFont="1" applyBorder="1" applyAlignment="1" applyProtection="1">
      <alignment vertical="center"/>
      <protection locked="0"/>
    </xf>
    <xf numFmtId="183" fontId="2" fillId="0" borderId="0" xfId="1" applyNumberFormat="1" applyFont="1" applyAlignment="1" applyProtection="1">
      <alignment vertical="center"/>
      <protection locked="0"/>
    </xf>
    <xf numFmtId="49" fontId="2" fillId="0" borderId="22" xfId="0" applyNumberFormat="1" applyFont="1" applyBorder="1" applyAlignment="1">
      <alignment horizontal="center" vertical="center" shrinkToFit="1"/>
    </xf>
    <xf numFmtId="183" fontId="2" fillId="0" borderId="28" xfId="1" applyNumberFormat="1" applyFont="1" applyBorder="1" applyAlignment="1" applyProtection="1">
      <alignment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177" fontId="2" fillId="0" borderId="18" xfId="0" applyNumberFormat="1" applyFont="1" applyBorder="1" applyAlignment="1">
      <alignment vertical="center"/>
    </xf>
    <xf numFmtId="177" fontId="2" fillId="0" borderId="31" xfId="0" applyNumberFormat="1" applyFont="1" applyBorder="1" applyAlignment="1" applyProtection="1">
      <alignment vertical="center"/>
      <protection locked="0"/>
    </xf>
    <xf numFmtId="177" fontId="2" fillId="0" borderId="0" xfId="0" applyNumberFormat="1" applyFont="1" applyAlignment="1" applyProtection="1">
      <alignment vertical="center"/>
      <protection locked="0"/>
    </xf>
    <xf numFmtId="177" fontId="2" fillId="0" borderId="18" xfId="0" applyNumberFormat="1" applyFont="1" applyBorder="1" applyAlignment="1" applyProtection="1">
      <alignment vertical="center"/>
      <protection locked="0"/>
    </xf>
    <xf numFmtId="178" fontId="2" fillId="0" borderId="18" xfId="1" applyNumberFormat="1" applyFont="1" applyBorder="1" applyAlignment="1">
      <alignment vertical="center" shrinkToFit="1"/>
    </xf>
    <xf numFmtId="180" fontId="2" fillId="2" borderId="20" xfId="0" applyNumberFormat="1" applyFont="1" applyFill="1" applyBorder="1" applyAlignment="1" applyProtection="1">
      <alignment vertical="center"/>
      <protection locked="0"/>
    </xf>
    <xf numFmtId="183" fontId="2" fillId="0" borderId="17" xfId="3" applyNumberFormat="1" applyFont="1" applyBorder="1" applyAlignment="1" applyProtection="1">
      <alignment vertical="center" shrinkToFit="1"/>
      <protection locked="0"/>
    </xf>
    <xf numFmtId="181" fontId="2" fillId="0" borderId="19" xfId="3" applyNumberFormat="1" applyFont="1" applyBorder="1" applyAlignment="1" applyProtection="1">
      <alignment vertical="center" shrinkToFit="1"/>
      <protection locked="0"/>
    </xf>
    <xf numFmtId="183" fontId="2" fillId="0" borderId="19" xfId="3" applyNumberFormat="1" applyFont="1" applyBorder="1" applyAlignment="1" applyProtection="1">
      <alignment vertical="center"/>
      <protection locked="0"/>
    </xf>
    <xf numFmtId="183" fontId="2" fillId="0" borderId="19" xfId="1" applyNumberFormat="1" applyFont="1" applyBorder="1" applyAlignment="1" applyProtection="1">
      <alignment vertical="center"/>
      <protection locked="0"/>
    </xf>
    <xf numFmtId="183" fontId="2" fillId="0" borderId="25" xfId="1" applyNumberFormat="1" applyFont="1" applyBorder="1" applyAlignment="1" applyProtection="1">
      <alignment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177" fontId="2" fillId="0" borderId="31" xfId="0" applyNumberFormat="1" applyFont="1" applyBorder="1" applyAlignment="1">
      <alignment vertical="center"/>
    </xf>
    <xf numFmtId="177" fontId="2" fillId="0" borderId="32" xfId="0" applyNumberFormat="1" applyFont="1" applyBorder="1" applyAlignment="1" applyProtection="1">
      <alignment vertical="center"/>
      <protection locked="0"/>
    </xf>
    <xf numFmtId="178" fontId="2" fillId="2" borderId="0" xfId="0" applyNumberFormat="1" applyFont="1" applyFill="1" applyAlignment="1" applyProtection="1">
      <alignment vertical="center"/>
      <protection locked="0"/>
    </xf>
    <xf numFmtId="178" fontId="2" fillId="2" borderId="18" xfId="0" applyNumberFormat="1" applyFont="1" applyFill="1" applyBorder="1" applyAlignment="1" applyProtection="1">
      <alignment vertical="center"/>
      <protection locked="0"/>
    </xf>
    <xf numFmtId="178" fontId="2" fillId="0" borderId="21" xfId="63" applyNumberFormat="1" applyFont="1" applyBorder="1" applyAlignment="1" applyProtection="1">
      <alignment vertical="center"/>
      <protection locked="0"/>
    </xf>
    <xf numFmtId="178" fontId="2" fillId="0" borderId="21" xfId="0" applyNumberFormat="1" applyFont="1" applyBorder="1" applyAlignment="1">
      <alignment horizontal="right" vertical="center"/>
    </xf>
    <xf numFmtId="183" fontId="2" fillId="0" borderId="17" xfId="0" applyNumberFormat="1" applyFont="1" applyBorder="1" applyAlignment="1" applyProtection="1">
      <alignment vertical="center"/>
      <protection locked="0"/>
    </xf>
    <xf numFmtId="183" fontId="2" fillId="0" borderId="33" xfId="0" applyNumberFormat="1" applyFont="1" applyBorder="1" applyAlignment="1">
      <alignment horizontal="right" vertical="center"/>
    </xf>
    <xf numFmtId="183" fontId="2" fillId="0" borderId="16" xfId="0" applyNumberFormat="1" applyFont="1" applyBorder="1" applyAlignment="1" applyProtection="1">
      <alignment vertical="center"/>
      <protection locked="0"/>
    </xf>
    <xf numFmtId="183" fontId="2" fillId="0" borderId="0" xfId="0" applyNumberFormat="1" applyFont="1" applyAlignment="1">
      <alignment horizontal="right" vertical="center"/>
    </xf>
    <xf numFmtId="181" fontId="2" fillId="0" borderId="21" xfId="3" applyNumberFormat="1" applyFont="1" applyBorder="1" applyAlignment="1" applyProtection="1">
      <alignment vertical="center" shrinkToFit="1"/>
      <protection locked="0"/>
    </xf>
    <xf numFmtId="181" fontId="2" fillId="0" borderId="16" xfId="3" applyNumberFormat="1" applyFont="1" applyBorder="1" applyAlignment="1" applyProtection="1">
      <alignment vertical="center" shrinkToFit="1"/>
      <protection locked="0"/>
    </xf>
    <xf numFmtId="178" fontId="2" fillId="0" borderId="33" xfId="0" applyNumberFormat="1" applyFont="1" applyBorder="1" applyAlignment="1">
      <alignment vertical="center"/>
    </xf>
    <xf numFmtId="178" fontId="2" fillId="0" borderId="16" xfId="0" applyNumberFormat="1" applyFont="1" applyBorder="1" applyAlignment="1" applyProtection="1">
      <alignment vertical="center"/>
      <protection locked="0"/>
    </xf>
    <xf numFmtId="182" fontId="2" fillId="0" borderId="21" xfId="3" applyNumberFormat="1" applyFont="1" applyBorder="1" applyAlignment="1" applyProtection="1">
      <alignment vertical="center" shrinkToFit="1"/>
      <protection locked="0"/>
    </xf>
    <xf numFmtId="182" fontId="2" fillId="0" borderId="16" xfId="3" applyNumberFormat="1" applyFont="1" applyBorder="1" applyAlignment="1" applyProtection="1">
      <alignment vertical="center" shrinkToFit="1"/>
      <protection locked="0"/>
    </xf>
    <xf numFmtId="43" fontId="6" fillId="0" borderId="23" xfId="1" applyFont="1" applyBorder="1" applyAlignment="1">
      <alignment vertical="center" shrinkToFit="1"/>
    </xf>
    <xf numFmtId="0" fontId="2" fillId="0" borderId="23" xfId="0" applyFont="1" applyBorder="1" applyAlignment="1">
      <alignment horizontal="center" vertical="center" shrinkToFit="1"/>
    </xf>
    <xf numFmtId="180" fontId="2" fillId="4" borderId="23" xfId="3" applyNumberFormat="1" applyFont="1" applyFill="1" applyBorder="1" applyAlignment="1" applyProtection="1">
      <alignment vertical="center"/>
      <protection locked="0"/>
    </xf>
    <xf numFmtId="180" fontId="2" fillId="4" borderId="28" xfId="3" applyNumberFormat="1" applyFont="1" applyFill="1" applyBorder="1" applyAlignment="1" applyProtection="1">
      <alignment vertical="center"/>
      <protection locked="0"/>
    </xf>
    <xf numFmtId="180" fontId="2" fillId="4" borderId="22" xfId="3" applyNumberFormat="1" applyFont="1" applyFill="1" applyBorder="1" applyAlignment="1" applyProtection="1">
      <alignment vertical="center"/>
      <protection locked="0"/>
    </xf>
    <xf numFmtId="180" fontId="2" fillId="4" borderId="24" xfId="3" applyNumberFormat="1" applyFont="1" applyFill="1" applyBorder="1" applyAlignment="1" applyProtection="1">
      <alignment vertical="center"/>
      <protection locked="0"/>
    </xf>
    <xf numFmtId="0" fontId="5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77" fontId="2" fillId="0" borderId="9" xfId="0" applyNumberFormat="1" applyFont="1" applyBorder="1" applyAlignment="1">
      <alignment vertical="center"/>
    </xf>
    <xf numFmtId="177" fontId="2" fillId="0" borderId="10" xfId="0" applyNumberFormat="1" applyFont="1" applyBorder="1" applyAlignment="1">
      <alignment vertical="center"/>
    </xf>
    <xf numFmtId="177" fontId="2" fillId="0" borderId="9" xfId="0" applyNumberFormat="1" applyFont="1" applyBorder="1" applyAlignment="1" applyProtection="1">
      <alignment vertical="center"/>
      <protection locked="0"/>
    </xf>
    <xf numFmtId="178" fontId="2" fillId="0" borderId="9" xfId="0" applyNumberFormat="1" applyFont="1" applyBorder="1" applyAlignment="1">
      <alignment vertical="center"/>
    </xf>
    <xf numFmtId="178" fontId="2" fillId="0" borderId="10" xfId="0" applyNumberFormat="1" applyFont="1" applyBorder="1" applyAlignment="1">
      <alignment vertical="center"/>
    </xf>
    <xf numFmtId="178" fontId="2" fillId="5" borderId="9" xfId="0" applyNumberFormat="1" applyFont="1" applyFill="1" applyBorder="1" applyAlignment="1" applyProtection="1">
      <alignment vertical="center"/>
      <protection locked="0"/>
    </xf>
    <xf numFmtId="180" fontId="2" fillId="2" borderId="10" xfId="0" applyNumberFormat="1" applyFont="1" applyFill="1" applyBorder="1" applyAlignment="1">
      <alignment vertical="center"/>
    </xf>
    <xf numFmtId="178" fontId="2" fillId="0" borderId="9" xfId="0" applyNumberFormat="1" applyFont="1" applyBorder="1" applyAlignment="1" applyProtection="1">
      <alignment vertical="center"/>
      <protection locked="0"/>
    </xf>
    <xf numFmtId="183" fontId="2" fillId="0" borderId="9" xfId="3" applyNumberFormat="1" applyFont="1" applyBorder="1" applyAlignment="1" applyProtection="1">
      <alignment vertical="center" shrinkToFit="1"/>
      <protection locked="0"/>
    </xf>
    <xf numFmtId="180" fontId="2" fillId="4" borderId="9" xfId="3" applyNumberFormat="1" applyFont="1" applyFill="1" applyBorder="1" applyAlignment="1" applyProtection="1">
      <alignment vertical="center"/>
      <protection locked="0"/>
    </xf>
    <xf numFmtId="182" fontId="2" fillId="0" borderId="0" xfId="3" applyNumberFormat="1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183" fontId="2" fillId="0" borderId="9" xfId="3" applyNumberFormat="1" applyFont="1" applyBorder="1" applyAlignment="1" applyProtection="1">
      <alignment vertical="center"/>
      <protection locked="0"/>
    </xf>
    <xf numFmtId="183" fontId="2" fillId="0" borderId="9" xfId="1" applyNumberFormat="1" applyFont="1" applyBorder="1" applyAlignment="1" applyProtection="1">
      <alignment vertical="center"/>
      <protection locked="0"/>
    </xf>
    <xf numFmtId="180" fontId="2" fillId="3" borderId="20" xfId="1" applyNumberFormat="1" applyFont="1" applyFill="1" applyBorder="1" applyAlignment="1">
      <alignment vertical="center" shrinkToFit="1"/>
    </xf>
    <xf numFmtId="178" fontId="1" fillId="3" borderId="17" xfId="0" applyNumberFormat="1" applyFont="1" applyFill="1" applyBorder="1" applyAlignment="1" applyProtection="1">
      <alignment vertical="center"/>
      <protection locked="0"/>
    </xf>
    <xf numFmtId="180" fontId="2" fillId="3" borderId="17" xfId="0" applyNumberFormat="1" applyFont="1" applyFill="1" applyBorder="1" applyAlignment="1" applyProtection="1">
      <alignment vertical="center" wrapText="1"/>
      <protection locked="0"/>
    </xf>
    <xf numFmtId="180" fontId="2" fillId="3" borderId="0" xfId="0" applyNumberFormat="1" applyFont="1" applyFill="1" applyAlignment="1" applyProtection="1">
      <alignment vertical="center"/>
      <protection locked="0"/>
    </xf>
    <xf numFmtId="180" fontId="2" fillId="3" borderId="20" xfId="0" applyNumberFormat="1" applyFont="1" applyFill="1" applyBorder="1" applyAlignment="1" applyProtection="1">
      <alignment vertical="center"/>
      <protection locked="0"/>
    </xf>
    <xf numFmtId="180" fontId="2" fillId="3" borderId="10" xfId="0" applyNumberFormat="1" applyFont="1" applyFill="1" applyBorder="1" applyAlignment="1">
      <alignment vertical="center"/>
    </xf>
    <xf numFmtId="178" fontId="2" fillId="3" borderId="17" xfId="0" applyNumberFormat="1" applyFont="1" applyFill="1" applyBorder="1" applyAlignment="1" applyProtection="1">
      <alignment vertical="center" wrapText="1"/>
      <protection locked="0"/>
    </xf>
    <xf numFmtId="182" fontId="2" fillId="3" borderId="17" xfId="3" applyNumberFormat="1" applyFont="1" applyFill="1" applyBorder="1" applyAlignment="1" applyProtection="1">
      <alignment vertical="center"/>
      <protection locked="0"/>
    </xf>
    <xf numFmtId="182" fontId="2" fillId="4" borderId="17" xfId="3" applyNumberFormat="1" applyFont="1" applyFill="1" applyBorder="1" applyAlignment="1" applyProtection="1">
      <alignment vertical="center"/>
      <protection locked="0"/>
    </xf>
    <xf numFmtId="182" fontId="2" fillId="3" borderId="18" xfId="3" applyNumberFormat="1" applyFont="1" applyFill="1" applyBorder="1" applyAlignment="1" applyProtection="1">
      <alignment vertical="center"/>
      <protection locked="0"/>
    </xf>
    <xf numFmtId="178" fontId="2" fillId="3" borderId="0" xfId="0" applyNumberFormat="1" applyFont="1" applyFill="1" applyAlignment="1" applyProtection="1">
      <alignment vertical="center"/>
      <protection locked="0"/>
    </xf>
    <xf numFmtId="182" fontId="2" fillId="3" borderId="21" xfId="3" applyNumberFormat="1" applyFont="1" applyFill="1" applyBorder="1" applyAlignment="1" applyProtection="1">
      <alignment vertical="center"/>
      <protection locked="0"/>
    </xf>
    <xf numFmtId="178" fontId="2" fillId="3" borderId="20" xfId="0" applyNumberFormat="1" applyFont="1" applyFill="1" applyBorder="1" applyAlignment="1" applyProtection="1">
      <alignment vertical="center"/>
      <protection locked="0"/>
    </xf>
    <xf numFmtId="182" fontId="2" fillId="3" borderId="23" xfId="3" applyNumberFormat="1" applyFont="1" applyFill="1" applyBorder="1" applyAlignment="1" applyProtection="1">
      <alignment vertical="center"/>
      <protection locked="0"/>
    </xf>
    <xf numFmtId="182" fontId="2" fillId="3" borderId="28" xfId="3" applyNumberFormat="1" applyFont="1" applyFill="1" applyBorder="1" applyAlignment="1" applyProtection="1">
      <alignment vertical="center"/>
      <protection locked="0"/>
    </xf>
    <xf numFmtId="178" fontId="2" fillId="3" borderId="10" xfId="0" applyNumberFormat="1" applyFont="1" applyFill="1" applyBorder="1" applyAlignment="1">
      <alignment vertical="center"/>
    </xf>
    <xf numFmtId="182" fontId="2" fillId="3" borderId="9" xfId="3" applyNumberFormat="1" applyFont="1" applyFill="1" applyBorder="1" applyAlignment="1" applyProtection="1">
      <alignment vertical="center"/>
      <protection locked="0"/>
    </xf>
    <xf numFmtId="178" fontId="2" fillId="2" borderId="17" xfId="0" applyNumberFormat="1" applyFont="1" applyFill="1" applyBorder="1" applyAlignment="1" applyProtection="1">
      <alignment vertical="center" wrapText="1"/>
      <protection locked="0"/>
    </xf>
    <xf numFmtId="182" fontId="2" fillId="4" borderId="18" xfId="3" applyNumberFormat="1" applyFont="1" applyFill="1" applyBorder="1" applyAlignment="1" applyProtection="1">
      <alignment vertical="center"/>
      <protection locked="0"/>
    </xf>
    <xf numFmtId="182" fontId="2" fillId="4" borderId="19" xfId="3" applyNumberFormat="1" applyFont="1" applyFill="1" applyBorder="1" applyAlignment="1" applyProtection="1">
      <alignment vertical="center"/>
      <protection locked="0"/>
    </xf>
    <xf numFmtId="182" fontId="2" fillId="4" borderId="21" xfId="3" applyNumberFormat="1" applyFont="1" applyFill="1" applyBorder="1" applyAlignment="1" applyProtection="1">
      <alignment vertical="center"/>
      <protection locked="0"/>
    </xf>
    <xf numFmtId="182" fontId="2" fillId="4" borderId="0" xfId="3" applyNumberFormat="1" applyFont="1" applyFill="1" applyAlignment="1" applyProtection="1">
      <alignment vertical="center"/>
      <protection locked="0"/>
    </xf>
    <xf numFmtId="182" fontId="2" fillId="4" borderId="23" xfId="3" applyNumberFormat="1" applyFont="1" applyFill="1" applyBorder="1" applyAlignment="1" applyProtection="1">
      <alignment vertical="center"/>
      <protection locked="0"/>
    </xf>
    <xf numFmtId="182" fontId="2" fillId="4" borderId="28" xfId="3" applyNumberFormat="1" applyFont="1" applyFill="1" applyBorder="1" applyAlignment="1" applyProtection="1">
      <alignment vertical="center"/>
      <protection locked="0"/>
    </xf>
    <xf numFmtId="182" fontId="2" fillId="4" borderId="22" xfId="3" applyNumberFormat="1" applyFont="1" applyFill="1" applyBorder="1" applyAlignment="1" applyProtection="1">
      <alignment vertical="center"/>
      <protection locked="0"/>
    </xf>
    <xf numFmtId="182" fontId="2" fillId="4" borderId="24" xfId="3" applyNumberFormat="1" applyFont="1" applyFill="1" applyBorder="1" applyAlignment="1" applyProtection="1">
      <alignment vertical="center"/>
      <protection locked="0"/>
    </xf>
    <xf numFmtId="178" fontId="2" fillId="2" borderId="10" xfId="0" applyNumberFormat="1" applyFont="1" applyFill="1" applyBorder="1" applyAlignment="1">
      <alignment vertical="center"/>
    </xf>
    <xf numFmtId="182" fontId="2" fillId="4" borderId="9" xfId="3" applyNumberFormat="1" applyFont="1" applyFill="1" applyBorder="1" applyAlignment="1" applyProtection="1">
      <alignment vertical="center"/>
      <protection locked="0"/>
    </xf>
    <xf numFmtId="178" fontId="1" fillId="0" borderId="17" xfId="0" applyNumberFormat="1" applyFont="1" applyBorder="1" applyAlignment="1" applyProtection="1">
      <alignment vertical="center"/>
      <protection locked="0"/>
    </xf>
    <xf numFmtId="178" fontId="2" fillId="2" borderId="9" xfId="0" applyNumberFormat="1" applyFont="1" applyFill="1" applyBorder="1" applyAlignment="1" applyProtection="1">
      <alignment vertical="center"/>
      <protection locked="0"/>
    </xf>
    <xf numFmtId="43" fontId="2" fillId="0" borderId="19" xfId="1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179" fontId="2" fillId="2" borderId="17" xfId="1" applyNumberFormat="1" applyFont="1" applyFill="1" applyBorder="1" applyAlignment="1" applyProtection="1">
      <alignment vertical="center" shrinkToFit="1"/>
      <protection locked="0"/>
    </xf>
    <xf numFmtId="179" fontId="2" fillId="2" borderId="20" xfId="1" applyNumberFormat="1" applyFont="1" applyFill="1" applyBorder="1" applyAlignment="1" applyProtection="1">
      <alignment vertical="center" shrinkToFit="1"/>
      <protection locked="0"/>
    </xf>
    <xf numFmtId="179" fontId="2" fillId="0" borderId="20" xfId="1" applyNumberFormat="1" applyFont="1" applyBorder="1" applyAlignment="1" applyProtection="1">
      <alignment vertical="center" shrinkToFit="1"/>
      <protection locked="0"/>
    </xf>
    <xf numFmtId="180" fontId="1" fillId="2" borderId="17" xfId="0" applyNumberFormat="1" applyFont="1" applyFill="1" applyBorder="1" applyAlignment="1" applyProtection="1">
      <alignment vertical="center"/>
      <protection locked="0"/>
    </xf>
    <xf numFmtId="179" fontId="2" fillId="2" borderId="18" xfId="1" applyNumberFormat="1" applyFont="1" applyFill="1" applyBorder="1" applyAlignment="1" applyProtection="1">
      <alignment vertical="center" shrinkToFit="1"/>
      <protection locked="0"/>
    </xf>
    <xf numFmtId="178" fontId="2" fillId="4" borderId="17" xfId="0" applyNumberFormat="1" applyFont="1" applyFill="1" applyBorder="1" applyAlignment="1" applyProtection="1">
      <alignment vertical="center" wrapText="1"/>
      <protection locked="0"/>
    </xf>
    <xf numFmtId="178" fontId="2" fillId="0" borderId="18" xfId="0" applyNumberFormat="1" applyFont="1" applyBorder="1" applyAlignment="1">
      <alignment horizontal="right" vertical="center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售热量"/>
      <sheetName val="财务（折汽）"/>
    </sheetNames>
    <sheetDataSet>
      <sheetData sheetId="0">
        <row r="25">
          <cell r="E25">
            <v>3490</v>
          </cell>
        </row>
        <row r="25">
          <cell r="G25">
            <v>1308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2"/>
    <pageSetUpPr fitToPage="1"/>
  </sheetPr>
  <dimension ref="A1:N98"/>
  <sheetViews>
    <sheetView showGridLines="0" zoomScale="55" zoomScaleNormal="55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0" sqref="G30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 customWidth="1"/>
    <col min="15" max="16384" width="8.625" style="1" customWidth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</row>
    <row r="2" s="1" customFormat="1" ht="39.95" customHeight="1" spans="1:14">
      <c r="A2" s="12"/>
      <c r="B2" s="13"/>
      <c r="C2" s="13"/>
      <c r="D2" s="14" t="s">
        <v>5</v>
      </c>
      <c r="E2" s="14" t="s">
        <v>6</v>
      </c>
      <c r="F2" s="14" t="s">
        <v>7</v>
      </c>
      <c r="G2" s="15" t="s">
        <v>8</v>
      </c>
      <c r="H2" s="16" t="s">
        <v>9</v>
      </c>
      <c r="I2" s="17" t="s">
        <v>5</v>
      </c>
      <c r="J2" s="14" t="s">
        <v>6</v>
      </c>
      <c r="K2" s="14" t="s">
        <v>7</v>
      </c>
      <c r="L2" s="15" t="s">
        <v>10</v>
      </c>
      <c r="M2" s="16" t="s">
        <v>9</v>
      </c>
    </row>
    <row r="3" s="1" customFormat="1" ht="18" customHeight="1" spans="1:14">
      <c r="A3" s="18" t="s">
        <v>11</v>
      </c>
      <c r="B3" s="19" t="s">
        <v>12</v>
      </c>
      <c r="C3" s="20" t="s">
        <v>13</v>
      </c>
      <c r="D3" s="21">
        <v>348</v>
      </c>
      <c r="E3" s="22">
        <v>162</v>
      </c>
      <c r="F3" s="22"/>
      <c r="G3" s="23">
        <v>14</v>
      </c>
      <c r="H3" s="24">
        <f t="shared" ref="H3:H12" si="0">E3+F3+G3</f>
        <v>176</v>
      </c>
      <c r="I3" s="25">
        <v>348</v>
      </c>
      <c r="J3" s="21">
        <v>162</v>
      </c>
      <c r="K3" s="21">
        <f t="shared" ref="K3:K12" si="1">F3</f>
        <v>0</v>
      </c>
      <c r="L3" s="26">
        <v>14</v>
      </c>
      <c r="M3" s="24">
        <f t="shared" ref="M3:M12" si="2">J3+K3+L3</f>
        <v>176</v>
      </c>
    </row>
    <row r="4" s="1" customFormat="1" ht="18" customHeight="1" spans="1:14">
      <c r="A4" s="27" t="s">
        <v>14</v>
      </c>
      <c r="B4" s="28" t="s">
        <v>15</v>
      </c>
      <c r="C4" s="29" t="s">
        <v>16</v>
      </c>
      <c r="D4" s="30" t="s">
        <v>17</v>
      </c>
      <c r="E4" s="31">
        <v>1769458.54</v>
      </c>
      <c r="F4" s="32"/>
      <c r="G4" s="33">
        <v>2309228.93</v>
      </c>
      <c r="H4" s="34">
        <f t="shared" si="0"/>
        <v>4078687.47</v>
      </c>
      <c r="I4" s="215"/>
      <c r="J4" s="31">
        <v>1769458.54</v>
      </c>
      <c r="K4" s="36">
        <f t="shared" si="1"/>
        <v>0</v>
      </c>
      <c r="L4" s="40">
        <f t="shared" ref="L4:L13" si="3">G4</f>
        <v>2309228.93</v>
      </c>
      <c r="M4" s="34">
        <f t="shared" si="2"/>
        <v>4078687.47</v>
      </c>
    </row>
    <row r="5" s="1" customFormat="1" ht="18" customHeight="1" spans="1:14">
      <c r="A5" s="27"/>
      <c r="B5" s="28" t="s">
        <v>18</v>
      </c>
      <c r="C5" s="29" t="s">
        <v>16</v>
      </c>
      <c r="D5" s="30" t="s">
        <v>17</v>
      </c>
      <c r="E5" s="32">
        <v>55000</v>
      </c>
      <c r="F5" s="38">
        <v>0</v>
      </c>
      <c r="G5" s="39">
        <v>0</v>
      </c>
      <c r="H5" s="34">
        <f t="shared" si="0"/>
        <v>55000</v>
      </c>
      <c r="I5" s="215"/>
      <c r="J5" s="31">
        <v>55000</v>
      </c>
      <c r="K5" s="36">
        <f t="shared" si="1"/>
        <v>0</v>
      </c>
      <c r="L5" s="37">
        <f t="shared" si="3"/>
        <v>0</v>
      </c>
      <c r="M5" s="34">
        <f t="shared" si="2"/>
        <v>55000</v>
      </c>
    </row>
    <row r="6" s="1" customFormat="1" ht="18" customHeight="1" spans="1:14">
      <c r="A6" s="27" t="s">
        <v>19</v>
      </c>
      <c r="B6" s="28" t="s">
        <v>20</v>
      </c>
      <c r="C6" s="29" t="s">
        <v>16</v>
      </c>
      <c r="D6" s="30" t="s">
        <v>17</v>
      </c>
      <c r="E6" s="33">
        <f>E4</f>
        <v>1769458.54</v>
      </c>
      <c r="F6" s="33">
        <f>F4</f>
        <v>0</v>
      </c>
      <c r="G6" s="33">
        <f>G4</f>
        <v>2309228.93</v>
      </c>
      <c r="H6" s="34">
        <f t="shared" si="0"/>
        <v>4078687.47</v>
      </c>
      <c r="I6" s="216"/>
      <c r="J6" s="40">
        <f t="shared" ref="J6:J13" si="4">E6</f>
        <v>1769458.54</v>
      </c>
      <c r="K6" s="40">
        <f t="shared" si="1"/>
        <v>0</v>
      </c>
      <c r="L6" s="40">
        <f t="shared" si="3"/>
        <v>2309228.93</v>
      </c>
      <c r="M6" s="34">
        <f t="shared" si="2"/>
        <v>4078687.47</v>
      </c>
    </row>
    <row r="7" s="2" customFormat="1" ht="18" customHeight="1" spans="1:14">
      <c r="A7" s="27" t="s">
        <v>21</v>
      </c>
      <c r="B7" s="41" t="s">
        <v>22</v>
      </c>
      <c r="C7" s="42" t="s">
        <v>23</v>
      </c>
      <c r="D7" s="39" t="s">
        <v>17</v>
      </c>
      <c r="E7" s="39">
        <v>0</v>
      </c>
      <c r="F7" s="39">
        <v>0</v>
      </c>
      <c r="G7" s="39">
        <v>0</v>
      </c>
      <c r="H7" s="34">
        <f t="shared" si="0"/>
        <v>0</v>
      </c>
      <c r="I7" s="66"/>
      <c r="J7" s="217">
        <f t="shared" si="4"/>
        <v>0</v>
      </c>
      <c r="K7" s="217">
        <f t="shared" si="1"/>
        <v>0</v>
      </c>
      <c r="L7" s="217">
        <f t="shared" si="3"/>
        <v>0</v>
      </c>
      <c r="M7" s="34">
        <f t="shared" si="2"/>
        <v>0</v>
      </c>
    </row>
    <row r="8" s="2" customFormat="1" ht="18" customHeight="1" spans="1:14">
      <c r="A8" s="27" t="s">
        <v>24</v>
      </c>
      <c r="B8" s="41" t="s">
        <v>25</v>
      </c>
      <c r="C8" s="42" t="s">
        <v>26</v>
      </c>
      <c r="D8" s="44">
        <v>740710</v>
      </c>
      <c r="E8" s="39">
        <v>156456.25</v>
      </c>
      <c r="F8" s="38"/>
      <c r="G8" s="33">
        <v>255718.258551189</v>
      </c>
      <c r="H8" s="34">
        <f t="shared" si="0"/>
        <v>412174.508551189</v>
      </c>
      <c r="I8" s="218">
        <f>D8</f>
        <v>740710</v>
      </c>
      <c r="J8" s="218">
        <f t="shared" si="4"/>
        <v>156456.25</v>
      </c>
      <c r="K8" s="218">
        <f t="shared" si="1"/>
        <v>0</v>
      </c>
      <c r="L8" s="218">
        <f t="shared" si="3"/>
        <v>255718.258551189</v>
      </c>
      <c r="M8" s="34">
        <f t="shared" si="2"/>
        <v>412174.508551189</v>
      </c>
      <c r="N8" s="45"/>
    </row>
    <row r="9" s="2" customFormat="1" ht="18" customHeight="1" spans="1:14">
      <c r="A9" s="27" t="s">
        <v>27</v>
      </c>
      <c r="B9" s="41" t="s">
        <v>28</v>
      </c>
      <c r="C9" s="42" t="s">
        <v>26</v>
      </c>
      <c r="D9" s="39"/>
      <c r="E9" s="213">
        <v>4030</v>
      </c>
      <c r="F9" s="38"/>
      <c r="G9" s="38"/>
      <c r="H9" s="34">
        <f t="shared" si="0"/>
        <v>4030</v>
      </c>
      <c r="I9" s="39"/>
      <c r="J9" s="217">
        <f t="shared" si="4"/>
        <v>4030</v>
      </c>
      <c r="K9" s="217">
        <f t="shared" si="1"/>
        <v>0</v>
      </c>
      <c r="L9" s="217">
        <f t="shared" si="3"/>
        <v>0</v>
      </c>
      <c r="M9" s="34">
        <f t="shared" si="2"/>
        <v>4030</v>
      </c>
    </row>
    <row r="10" s="2" customFormat="1" ht="18" customHeight="1" spans="1:14">
      <c r="A10" s="27" t="s">
        <v>29</v>
      </c>
      <c r="B10" s="41" t="s">
        <v>30</v>
      </c>
      <c r="C10" s="42" t="s">
        <v>23</v>
      </c>
      <c r="D10" s="39">
        <v>42844</v>
      </c>
      <c r="E10" s="32">
        <v>12660</v>
      </c>
      <c r="F10" s="38"/>
      <c r="G10" s="33">
        <v>513</v>
      </c>
      <c r="H10" s="34">
        <f t="shared" si="0"/>
        <v>13173</v>
      </c>
      <c r="I10" s="218">
        <f>D10</f>
        <v>42844</v>
      </c>
      <c r="J10" s="218">
        <f t="shared" si="4"/>
        <v>12660</v>
      </c>
      <c r="K10" s="218">
        <f t="shared" si="1"/>
        <v>0</v>
      </c>
      <c r="L10" s="218">
        <f t="shared" si="3"/>
        <v>513</v>
      </c>
      <c r="M10" s="34">
        <f t="shared" si="2"/>
        <v>13173</v>
      </c>
    </row>
    <row r="11" s="2" customFormat="1" ht="18" customHeight="1" spans="1:14">
      <c r="A11" s="27" t="s">
        <v>31</v>
      </c>
      <c r="B11" s="41" t="s">
        <v>32</v>
      </c>
      <c r="C11" s="42" t="s">
        <v>23</v>
      </c>
      <c r="D11" s="39">
        <v>9</v>
      </c>
      <c r="E11" s="39"/>
      <c r="F11" s="39"/>
      <c r="G11" s="39">
        <v>0</v>
      </c>
      <c r="H11" s="34">
        <f t="shared" si="0"/>
        <v>0</v>
      </c>
      <c r="I11" s="218">
        <f>D11</f>
        <v>9</v>
      </c>
      <c r="J11" s="218">
        <f t="shared" si="4"/>
        <v>0</v>
      </c>
      <c r="K11" s="218">
        <f t="shared" si="1"/>
        <v>0</v>
      </c>
      <c r="L11" s="218">
        <f t="shared" si="3"/>
        <v>0</v>
      </c>
      <c r="M11" s="34">
        <f t="shared" si="2"/>
        <v>0</v>
      </c>
    </row>
    <row r="12" s="2" customFormat="1" ht="18" customHeight="1" spans="1:14">
      <c r="A12" s="27" t="s">
        <v>33</v>
      </c>
      <c r="B12" s="41" t="s">
        <v>34</v>
      </c>
      <c r="C12" s="42" t="s">
        <v>23</v>
      </c>
      <c r="D12" s="44">
        <f>D13+D14</f>
        <v>27625.9182537601</v>
      </c>
      <c r="E12" s="44">
        <f>E13+E14</f>
        <v>7626.19</v>
      </c>
      <c r="F12" s="44">
        <f>F13+F14</f>
        <v>0</v>
      </c>
      <c r="G12" s="44">
        <f>G13+G14</f>
        <v>341.787142941028</v>
      </c>
      <c r="H12" s="34">
        <f t="shared" si="0"/>
        <v>7967.97714294103</v>
      </c>
      <c r="I12" s="219">
        <f>I13+I14</f>
        <v>27625.9182537601</v>
      </c>
      <c r="J12" s="217">
        <f t="shared" si="4"/>
        <v>7626.19</v>
      </c>
      <c r="K12" s="217">
        <f t="shared" si="1"/>
        <v>0</v>
      </c>
      <c r="L12" s="217">
        <f t="shared" si="3"/>
        <v>341.787142941028</v>
      </c>
      <c r="M12" s="34">
        <f t="shared" si="2"/>
        <v>7967.97714294103</v>
      </c>
    </row>
    <row r="13" s="2" customFormat="1" ht="18" customHeight="1" spans="1:14">
      <c r="A13" s="27"/>
      <c r="B13" s="41" t="s">
        <v>35</v>
      </c>
      <c r="C13" s="42" t="s">
        <v>23</v>
      </c>
      <c r="D13" s="39">
        <v>27612.8043537601</v>
      </c>
      <c r="E13" s="39">
        <v>7626.19</v>
      </c>
      <c r="F13" s="39"/>
      <c r="G13" s="44">
        <v>341.787142941028</v>
      </c>
      <c r="H13" s="47"/>
      <c r="I13" s="218">
        <f t="shared" ref="I13:I23" si="5">D13</f>
        <v>27612.8043537601</v>
      </c>
      <c r="J13" s="217">
        <f t="shared" si="4"/>
        <v>7626.19</v>
      </c>
      <c r="K13" s="39"/>
      <c r="L13" s="218">
        <f t="shared" si="3"/>
        <v>341.787142941028</v>
      </c>
      <c r="M13" s="47"/>
    </row>
    <row r="14" s="2" customFormat="1" ht="18" customHeight="1" spans="1:14">
      <c r="A14" s="27"/>
      <c r="B14" s="41" t="s">
        <v>36</v>
      </c>
      <c r="C14" s="42" t="s">
        <v>23</v>
      </c>
      <c r="D14" s="44">
        <v>13.1139</v>
      </c>
      <c r="E14" s="39"/>
      <c r="F14" s="39"/>
      <c r="G14" s="39"/>
      <c r="H14" s="47"/>
      <c r="I14" s="218">
        <f t="shared" si="5"/>
        <v>13.1139</v>
      </c>
      <c r="J14" s="39"/>
      <c r="K14" s="39"/>
      <c r="L14" s="39"/>
      <c r="M14" s="47"/>
    </row>
    <row r="15" s="2" customFormat="1" ht="18" customHeight="1" spans="1:14">
      <c r="A15" s="27" t="s">
        <v>37</v>
      </c>
      <c r="B15" s="41" t="s">
        <v>38</v>
      </c>
      <c r="C15" s="42" t="s">
        <v>23</v>
      </c>
      <c r="D15" s="39">
        <v>14442</v>
      </c>
      <c r="E15" s="48">
        <v>22828</v>
      </c>
      <c r="F15" s="38"/>
      <c r="G15" s="33">
        <v>48986</v>
      </c>
      <c r="H15" s="34"/>
      <c r="I15" s="218">
        <f t="shared" si="5"/>
        <v>14442</v>
      </c>
      <c r="J15" s="218">
        <f>E15</f>
        <v>22828</v>
      </c>
      <c r="K15" s="217">
        <f>F15</f>
        <v>0</v>
      </c>
      <c r="L15" s="218">
        <f>G15</f>
        <v>48986</v>
      </c>
      <c r="M15" s="34">
        <f>J15+K15+L15</f>
        <v>71814</v>
      </c>
    </row>
    <row r="16" s="2" customFormat="1" ht="18" customHeight="1" spans="1:14">
      <c r="A16" s="27"/>
      <c r="B16" s="41" t="s">
        <v>39</v>
      </c>
      <c r="C16" s="42" t="s">
        <v>23</v>
      </c>
      <c r="D16" s="39">
        <v>300</v>
      </c>
      <c r="E16" s="48"/>
      <c r="F16" s="38"/>
      <c r="G16" s="38"/>
      <c r="H16" s="34"/>
      <c r="I16" s="218">
        <f t="shared" si="5"/>
        <v>300</v>
      </c>
      <c r="J16" s="217">
        <f>E16</f>
        <v>0</v>
      </c>
      <c r="K16" s="217">
        <f>F16</f>
        <v>0</v>
      </c>
      <c r="L16" s="217">
        <f>G16</f>
        <v>0</v>
      </c>
      <c r="M16" s="34">
        <f>J16+K16+L16</f>
        <v>0</v>
      </c>
    </row>
    <row r="17" s="2" customFormat="1" ht="18" customHeight="1" spans="1:14">
      <c r="A17" s="27" t="s">
        <v>40</v>
      </c>
      <c r="B17" s="41" t="s">
        <v>41</v>
      </c>
      <c r="C17" s="42" t="s">
        <v>42</v>
      </c>
      <c r="D17" s="44">
        <f>D18+D19</f>
        <v>5088913.6</v>
      </c>
      <c r="E17" s="48">
        <v>1787714.1</v>
      </c>
      <c r="F17" s="38"/>
      <c r="G17" s="33">
        <v>1187191.5</v>
      </c>
      <c r="H17" s="34"/>
      <c r="I17" s="218">
        <f t="shared" si="5"/>
        <v>5088913.6</v>
      </c>
      <c r="J17" s="218">
        <f>E17</f>
        <v>1787714.1</v>
      </c>
      <c r="K17" s="217"/>
      <c r="L17" s="218">
        <f>G17</f>
        <v>1187191.5</v>
      </c>
      <c r="M17" s="34">
        <f>J17+K17+L17</f>
        <v>2974905.6</v>
      </c>
    </row>
    <row r="18" s="2" customFormat="1" ht="18" customHeight="1" spans="1:14">
      <c r="A18" s="27"/>
      <c r="B18" s="41" t="s">
        <v>43</v>
      </c>
      <c r="C18" s="42" t="s">
        <v>42</v>
      </c>
      <c r="D18" s="39">
        <v>5088913.6</v>
      </c>
      <c r="E18" s="48"/>
      <c r="F18" s="38"/>
      <c r="G18" s="38"/>
      <c r="H18" s="47"/>
      <c r="I18" s="218">
        <f t="shared" si="5"/>
        <v>5088913.6</v>
      </c>
      <c r="J18" s="39"/>
      <c r="K18" s="39"/>
      <c r="L18" s="39"/>
      <c r="M18" s="47"/>
    </row>
    <row r="19" s="2" customFormat="1" ht="18" customHeight="1" spans="1:14">
      <c r="A19" s="27"/>
      <c r="B19" s="41" t="s">
        <v>44</v>
      </c>
      <c r="C19" s="42" t="s">
        <v>42</v>
      </c>
      <c r="D19" s="39">
        <v>0</v>
      </c>
      <c r="E19" s="33">
        <f>E17</f>
        <v>1787714.1</v>
      </c>
      <c r="F19" s="33">
        <f>F17</f>
        <v>0</v>
      </c>
      <c r="G19" s="33">
        <f>G17</f>
        <v>1187191.5</v>
      </c>
      <c r="H19" s="47"/>
      <c r="I19" s="218">
        <f t="shared" si="5"/>
        <v>0</v>
      </c>
      <c r="J19" s="39"/>
      <c r="K19" s="39"/>
      <c r="L19" s="217">
        <f>G19</f>
        <v>1187191.5</v>
      </c>
      <c r="M19" s="47"/>
    </row>
    <row r="20" s="2" customFormat="1" ht="18" customHeight="1" spans="1:14">
      <c r="A20" s="27"/>
      <c r="B20" s="41" t="s">
        <v>45</v>
      </c>
      <c r="C20" s="42" t="s">
        <v>23</v>
      </c>
      <c r="D20" s="39">
        <v>13000</v>
      </c>
      <c r="E20" s="48"/>
      <c r="F20" s="38"/>
      <c r="G20" s="38"/>
      <c r="H20" s="47"/>
      <c r="I20" s="218">
        <f t="shared" si="5"/>
        <v>13000</v>
      </c>
      <c r="J20" s="39"/>
      <c r="K20" s="39"/>
      <c r="L20" s="39"/>
      <c r="M20" s="47"/>
    </row>
    <row r="21" s="2" customFormat="1" ht="18" customHeight="1" spans="1:14">
      <c r="A21" s="27"/>
      <c r="B21" s="41" t="s">
        <v>46</v>
      </c>
      <c r="C21" s="42" t="s">
        <v>42</v>
      </c>
      <c r="D21" s="39">
        <v>571020.4</v>
      </c>
      <c r="E21" s="48"/>
      <c r="F21" s="38"/>
      <c r="G21" s="38"/>
      <c r="H21" s="47"/>
      <c r="I21" s="218">
        <f t="shared" si="5"/>
        <v>571020.4</v>
      </c>
      <c r="J21" s="39"/>
      <c r="K21" s="39"/>
      <c r="L21" s="39"/>
      <c r="M21" s="47"/>
    </row>
    <row r="22" s="2" customFormat="1" ht="14" spans="1:14">
      <c r="A22" s="51" t="s">
        <v>47</v>
      </c>
      <c r="B22" s="52" t="s">
        <v>48</v>
      </c>
      <c r="C22" s="53" t="s">
        <v>23</v>
      </c>
      <c r="D22" s="33">
        <v>734.29</v>
      </c>
      <c r="E22" s="54">
        <v>43.975</v>
      </c>
      <c r="F22" s="54"/>
      <c r="G22" s="54">
        <v>7.925</v>
      </c>
      <c r="H22" s="55"/>
      <c r="I22" s="218">
        <f t="shared" si="5"/>
        <v>734.29</v>
      </c>
      <c r="J22" s="220">
        <v>43.975</v>
      </c>
      <c r="K22" s="220">
        <f>F22</f>
        <v>0</v>
      </c>
      <c r="L22" s="218">
        <f>G22</f>
        <v>7.925</v>
      </c>
      <c r="M22" s="56">
        <f>J22+K22+L22</f>
        <v>51.9</v>
      </c>
      <c r="N22" s="1"/>
    </row>
    <row r="23" s="2" customFormat="1" ht="21" customHeight="1" spans="1:14">
      <c r="A23" s="51" t="s">
        <v>49</v>
      </c>
      <c r="B23" s="52" t="s">
        <v>50</v>
      </c>
      <c r="C23" s="53" t="s">
        <v>23</v>
      </c>
      <c r="D23" s="33">
        <v>253.8</v>
      </c>
      <c r="E23" s="54">
        <v>28.64</v>
      </c>
      <c r="F23" s="54"/>
      <c r="G23" s="54">
        <v>1.925</v>
      </c>
      <c r="H23" s="55"/>
      <c r="I23" s="218">
        <f t="shared" si="5"/>
        <v>253.8</v>
      </c>
      <c r="J23" s="220">
        <v>28.64</v>
      </c>
      <c r="K23" s="220">
        <f>F23</f>
        <v>0</v>
      </c>
      <c r="L23" s="218">
        <f>G23</f>
        <v>1.925</v>
      </c>
      <c r="M23" s="56">
        <f>J23+K23+L23</f>
        <v>30.565</v>
      </c>
      <c r="N23" s="1"/>
    </row>
    <row r="24" s="2" customFormat="1" ht="18" customHeight="1" spans="1:14">
      <c r="A24" s="51" t="s">
        <v>51</v>
      </c>
      <c r="B24" s="41" t="s">
        <v>52</v>
      </c>
      <c r="C24" s="42" t="s">
        <v>53</v>
      </c>
      <c r="D24" s="57">
        <f t="shared" ref="D24:M24" si="6">D17/D8</f>
        <v>6.87031847821685</v>
      </c>
      <c r="E24" s="57">
        <f t="shared" si="6"/>
        <v>11.4262875404466</v>
      </c>
      <c r="F24" s="57" t="e">
        <f t="shared" si="6"/>
        <v>#DIV/0!</v>
      </c>
      <c r="G24" s="57">
        <f t="shared" si="6"/>
        <v>4.6425761958736</v>
      </c>
      <c r="H24" s="58">
        <f t="shared" si="6"/>
        <v>0</v>
      </c>
      <c r="I24" s="59">
        <f t="shared" si="6"/>
        <v>6.87031847821685</v>
      </c>
      <c r="J24" s="57">
        <f t="shared" si="6"/>
        <v>11.4262875404466</v>
      </c>
      <c r="K24" s="57" t="e">
        <f t="shared" si="6"/>
        <v>#DIV/0!</v>
      </c>
      <c r="L24" s="57">
        <f t="shared" si="6"/>
        <v>4.6425761958736</v>
      </c>
      <c r="M24" s="58">
        <f t="shared" si="6"/>
        <v>7.21758754673335</v>
      </c>
    </row>
    <row r="25" s="2" customFormat="1" ht="18" customHeight="1" spans="1:14">
      <c r="A25" s="51" t="s">
        <v>54</v>
      </c>
      <c r="B25" s="41" t="s">
        <v>55</v>
      </c>
      <c r="C25" s="42" t="s">
        <v>56</v>
      </c>
      <c r="D25" s="57">
        <f t="shared" ref="D25:M25" si="7">D12*1000/D8</f>
        <v>37.2965374488803</v>
      </c>
      <c r="E25" s="57">
        <f t="shared" si="7"/>
        <v>48.7432748771621</v>
      </c>
      <c r="F25" s="57" t="e">
        <f t="shared" si="7"/>
        <v>#DIV/0!</v>
      </c>
      <c r="G25" s="57">
        <f t="shared" si="7"/>
        <v>1.33657700031854</v>
      </c>
      <c r="H25" s="58">
        <f t="shared" si="7"/>
        <v>19.3315621845436</v>
      </c>
      <c r="I25" s="59">
        <f t="shared" si="7"/>
        <v>37.2965374488803</v>
      </c>
      <c r="J25" s="57">
        <f t="shared" si="7"/>
        <v>48.7432748771621</v>
      </c>
      <c r="K25" s="57" t="e">
        <f t="shared" si="7"/>
        <v>#DIV/0!</v>
      </c>
      <c r="L25" s="57">
        <f t="shared" si="7"/>
        <v>1.33657700031854</v>
      </c>
      <c r="M25" s="58">
        <f t="shared" si="7"/>
        <v>19.3315621845436</v>
      </c>
    </row>
    <row r="26" s="3" customFormat="1" ht="18" customHeight="1" spans="1:14">
      <c r="A26" s="51" t="s">
        <v>57</v>
      </c>
      <c r="B26" s="41" t="s">
        <v>58</v>
      </c>
      <c r="C26" s="60" t="s">
        <v>23</v>
      </c>
      <c r="D26" s="33">
        <v>16216</v>
      </c>
      <c r="E26" s="61">
        <v>9596</v>
      </c>
      <c r="F26" s="62"/>
      <c r="G26" s="33">
        <v>119</v>
      </c>
      <c r="H26" s="63"/>
      <c r="I26" s="218">
        <f>D26</f>
        <v>16216</v>
      </c>
      <c r="J26" s="218">
        <f>E26</f>
        <v>9596</v>
      </c>
      <c r="K26" s="221">
        <f>F26</f>
        <v>0</v>
      </c>
      <c r="L26" s="218">
        <f>G26</f>
        <v>119</v>
      </c>
      <c r="M26" s="63">
        <f>J26+K26+L26</f>
        <v>9715</v>
      </c>
    </row>
    <row r="27" s="3" customFormat="1" ht="18" customHeight="1" spans="1:14">
      <c r="A27" s="51" t="s">
        <v>59</v>
      </c>
      <c r="B27" s="41" t="s">
        <v>60</v>
      </c>
      <c r="C27" s="60" t="s">
        <v>23</v>
      </c>
      <c r="D27" s="48">
        <v>23827</v>
      </c>
      <c r="E27" s="64">
        <v>9506</v>
      </c>
      <c r="F27" s="64">
        <f>K27</f>
        <v>0</v>
      </c>
      <c r="G27" s="64">
        <v>714.5</v>
      </c>
      <c r="H27" s="65"/>
      <c r="I27" s="66">
        <v>23827</v>
      </c>
      <c r="J27" s="222">
        <f>'[2]25.12'!$J$27+E26-E10</f>
        <v>9505.7</v>
      </c>
      <c r="K27" s="222">
        <f>'[2]25.12'!$K$27+F26-F10</f>
        <v>0</v>
      </c>
      <c r="L27" s="222">
        <f>'[2]25.12'!$L$27+G26-G10</f>
        <v>714.500000000023</v>
      </c>
      <c r="M27" s="68">
        <f>J27+K27+L27</f>
        <v>10220.2</v>
      </c>
    </row>
    <row r="28" s="2" customFormat="1" ht="18" customHeight="1" spans="1:14">
      <c r="A28" s="51" t="s">
        <v>61</v>
      </c>
      <c r="B28" s="41" t="s">
        <v>62</v>
      </c>
      <c r="C28" s="42" t="s">
        <v>63</v>
      </c>
      <c r="D28" s="69">
        <f>D13*29308/D10</f>
        <v>18888.9008962749</v>
      </c>
      <c r="E28" s="69">
        <f>E12*29308/E10</f>
        <v>17654.6900884676</v>
      </c>
      <c r="F28" s="69" t="e">
        <f>F12*29308/F10</f>
        <v>#DIV/0!</v>
      </c>
      <c r="G28" s="69">
        <f>G12*29308/G10</f>
        <v>19526.5060142605</v>
      </c>
      <c r="H28" s="69">
        <f>H12*29308/H10</f>
        <v>17727.5847646941</v>
      </c>
      <c r="I28" s="70">
        <f>I13*29308/I10</f>
        <v>18888.9008962749</v>
      </c>
      <c r="J28" s="44">
        <f>J12*29308/J10</f>
        <v>17654.6900884676</v>
      </c>
      <c r="K28" s="44" t="e">
        <f>K12*29308/K10</f>
        <v>#DIV/0!</v>
      </c>
      <c r="L28" s="44">
        <f>L12*29308/L10</f>
        <v>19526.5060142605</v>
      </c>
      <c r="M28" s="69">
        <f>M12*29308/M10</f>
        <v>17727.5847646941</v>
      </c>
    </row>
    <row r="29" s="2" customFormat="1" ht="18" customHeight="1" spans="1:14">
      <c r="A29" s="51" t="s">
        <v>64</v>
      </c>
      <c r="B29" s="41" t="s">
        <v>65</v>
      </c>
      <c r="C29" s="42" t="s">
        <v>63</v>
      </c>
      <c r="D29" s="71"/>
      <c r="E29" s="39">
        <v>17654.6900884676</v>
      </c>
      <c r="F29" s="39"/>
      <c r="G29" s="72"/>
      <c r="H29" s="73"/>
      <c r="I29" s="74"/>
      <c r="J29" s="39">
        <v>17654.6900884676</v>
      </c>
      <c r="K29" s="39"/>
      <c r="L29" s="72"/>
      <c r="M29" s="73"/>
    </row>
    <row r="30" s="2" customFormat="1" ht="18" customHeight="1" spans="1:14">
      <c r="A30" s="51" t="s">
        <v>66</v>
      </c>
      <c r="B30" s="41" t="s">
        <v>67</v>
      </c>
      <c r="C30" s="75" t="s">
        <v>68</v>
      </c>
      <c r="D30" s="76">
        <f>D8/(D12*29.308)</f>
        <v>0.914840331645398</v>
      </c>
      <c r="E30" s="77">
        <f>E8/(E12*29.308)</f>
        <v>0.700001728955335</v>
      </c>
      <c r="F30" s="76" t="e">
        <f>F8/(F12*29.308)</f>
        <v>#DIV/0!</v>
      </c>
      <c r="G30" s="77">
        <f>(G8-G36)/(G12*29.308)</f>
        <v>0.599999999999962</v>
      </c>
      <c r="H30" s="77">
        <f t="shared" ref="H30:M30" si="8">H8/(H12*29.308)</f>
        <v>1.76500876459116</v>
      </c>
      <c r="I30" s="78">
        <f t="shared" si="8"/>
        <v>0.914840331645398</v>
      </c>
      <c r="J30" s="76">
        <f t="shared" si="8"/>
        <v>0.700001728955335</v>
      </c>
      <c r="K30" s="76" t="e">
        <f t="shared" si="8"/>
        <v>#DIV/0!</v>
      </c>
      <c r="L30" s="76">
        <f t="shared" si="8"/>
        <v>25.5281788335629</v>
      </c>
      <c r="M30" s="77">
        <f t="shared" si="8"/>
        <v>1.76500876459116</v>
      </c>
    </row>
    <row r="31" s="2" customFormat="1" ht="18" customHeight="1" spans="1:14">
      <c r="A31" s="51" t="s">
        <v>69</v>
      </c>
      <c r="B31" s="41" t="s">
        <v>70</v>
      </c>
      <c r="C31" s="75" t="s">
        <v>68</v>
      </c>
      <c r="D31" s="193">
        <f>D8/3.6/D3/(DAY(DATE(2026,2,0))*24)</f>
        <v>0.794682277290268</v>
      </c>
      <c r="E31" s="203">
        <f>E8/3.6/E3/(DAY(DATE(2026,2,0))*24)</f>
        <v>0.360580690332906</v>
      </c>
      <c r="F31" s="193" t="e">
        <f>F8/3.6/F3/(DAY(DATE(2026,2,0))*24)</f>
        <v>#DIV/0!</v>
      </c>
      <c r="G31" s="203">
        <f>G8/3.6/G3/(DAY(DATE(2026,2,0))*24)</f>
        <v>6.81959001512601</v>
      </c>
      <c r="H31" s="203">
        <f>H8/3.6/H3/(DAY(DATE(2026,2,0))*24)</f>
        <v>0.874365522986902</v>
      </c>
      <c r="I31" s="204">
        <f>I8/3.6/I3/(DATEDIF(DATE(2026,1,1),DATE(2026,2,1),"D")*24)</f>
        <v>0.794682277290268</v>
      </c>
      <c r="J31" s="193">
        <f>J8/3.6/J3/(DATEDIF(DATE(2026,1,1),DATE(2026,2,1),"D")*24)</f>
        <v>0.360580690332906</v>
      </c>
      <c r="K31" s="193" t="e">
        <f>K8/3.6/K3/(DATEDIF(DATE(2026,1,1),DATE(2026,2,1),"D")*24)</f>
        <v>#DIV/0!</v>
      </c>
      <c r="L31" s="193">
        <f>(L8-L36)/3.6/L3/(DATEDIF(DATE(2026,1,1),DATE(2026,2,1),"D")*24)</f>
        <v>0.16028381952949</v>
      </c>
      <c r="M31" s="203">
        <f>M8/3.6/M3/(DATEDIF(DATE(2026,1,1),DATE(2026,2,1),"D")*24)</f>
        <v>0.874365522986902</v>
      </c>
    </row>
    <row r="32" s="2" customFormat="1" ht="18" customHeight="1" spans="1:14">
      <c r="A32" s="51" t="s">
        <v>71</v>
      </c>
      <c r="B32" s="41" t="s">
        <v>72</v>
      </c>
      <c r="C32" s="42" t="s">
        <v>73</v>
      </c>
      <c r="D32" s="82"/>
      <c r="E32" s="83">
        <f>E8/E6</f>
        <v>0.0884204102346473</v>
      </c>
      <c r="F32" s="83" t="e">
        <f>F8/F6</f>
        <v>#DIV/0!</v>
      </c>
      <c r="G32" s="83">
        <f>G8/G6</f>
        <v>0.110737508624227</v>
      </c>
      <c r="H32" s="83">
        <f>H8/H6</f>
        <v>0.101055673322082</v>
      </c>
      <c r="I32" s="84"/>
      <c r="J32" s="83">
        <f>J8/J6</f>
        <v>0.0884204102346473</v>
      </c>
      <c r="K32" s="83" t="e">
        <f>K8/K6</f>
        <v>#DIV/0!</v>
      </c>
      <c r="L32" s="83">
        <f>L8/L6</f>
        <v>0.110737508624227</v>
      </c>
      <c r="M32" s="85">
        <f>M8/M6</f>
        <v>0.101055673322082</v>
      </c>
    </row>
    <row r="33" s="2" customFormat="1" ht="18" customHeight="1" spans="1:13">
      <c r="A33" s="51" t="s">
        <v>74</v>
      </c>
      <c r="B33" s="41" t="s">
        <v>75</v>
      </c>
      <c r="C33" s="42" t="s">
        <v>76</v>
      </c>
      <c r="D33" s="86"/>
      <c r="E33" s="88">
        <f>E12*1000/E6</f>
        <v>4.30990036081885</v>
      </c>
      <c r="F33" s="87" t="e">
        <f>F12*1000/F6</f>
        <v>#DIV/0!</v>
      </c>
      <c r="G33" s="88">
        <f>G12*1000/G6</f>
        <v>0.148009207099717</v>
      </c>
      <c r="H33" s="88">
        <f>H12*1000/H6</f>
        <v>1.95356403292676</v>
      </c>
      <c r="I33" s="89"/>
      <c r="J33" s="87">
        <f>J12*1000/J6</f>
        <v>4.30990036081885</v>
      </c>
      <c r="K33" s="87" t="e">
        <f>K12*1000/K6</f>
        <v>#DIV/0!</v>
      </c>
      <c r="L33" s="87">
        <f>L12*1000/L6</f>
        <v>0.148009207099717</v>
      </c>
      <c r="M33" s="88">
        <f>M12*1000/M6</f>
        <v>1.95356403292676</v>
      </c>
    </row>
    <row r="34" s="2" customFormat="1" ht="18" customHeight="1" spans="1:13">
      <c r="A34" s="51" t="s">
        <v>77</v>
      </c>
      <c r="B34" s="41" t="s">
        <v>78</v>
      </c>
      <c r="C34" s="42" t="s">
        <v>79</v>
      </c>
      <c r="D34" s="90"/>
      <c r="E34" s="88">
        <f>E17/E6</f>
        <v>1.01031703178533</v>
      </c>
      <c r="F34" s="87" t="e">
        <f>F17/F6</f>
        <v>#DIV/0!</v>
      </c>
      <c r="G34" s="88">
        <f>G17/G6</f>
        <v>0.514107321529182</v>
      </c>
      <c r="H34" s="88">
        <f>H17/H6</f>
        <v>0</v>
      </c>
      <c r="I34" s="91"/>
      <c r="J34" s="87">
        <f>J17/J6</f>
        <v>1.01031703178533</v>
      </c>
      <c r="K34" s="87" t="e">
        <f>K17/K6</f>
        <v>#DIV/0!</v>
      </c>
      <c r="L34" s="87">
        <f>L17/L6</f>
        <v>0.514107321529182</v>
      </c>
      <c r="M34" s="88">
        <f>M17/M6</f>
        <v>0.729378169296212</v>
      </c>
    </row>
    <row r="35" s="2" customFormat="1" ht="18" customHeight="1" spans="1:13">
      <c r="A35" s="92" t="s">
        <v>80</v>
      </c>
      <c r="B35" s="93" t="s">
        <v>81</v>
      </c>
      <c r="C35" s="94" t="s">
        <v>76</v>
      </c>
      <c r="D35" s="95"/>
      <c r="E35" s="97">
        <f>E15*1000/E6</f>
        <v>12.9011217182856</v>
      </c>
      <c r="F35" s="96" t="e">
        <f>F15*1000/F6</f>
        <v>#DIV/0!</v>
      </c>
      <c r="G35" s="97">
        <f>G15*1000/G6</f>
        <v>21.2131414792209</v>
      </c>
      <c r="H35" s="97">
        <f>H15*1000/H6</f>
        <v>0</v>
      </c>
      <c r="I35" s="98"/>
      <c r="J35" s="96">
        <f>J15*1000/J6</f>
        <v>12.9011217182856</v>
      </c>
      <c r="K35" s="96" t="e">
        <f>K15*1000/K6</f>
        <v>#DIV/0!</v>
      </c>
      <c r="L35" s="96">
        <f>L15*1000/L6</f>
        <v>21.2131414792209</v>
      </c>
      <c r="M35" s="97">
        <f>M15*1000/M6</f>
        <v>17.6071347776004</v>
      </c>
    </row>
    <row r="36" s="2" customFormat="1" ht="21" customHeight="1" spans="1:13">
      <c r="A36" s="99"/>
      <c r="B36" s="100" t="s">
        <v>82</v>
      </c>
      <c r="C36" s="101" t="s">
        <v>26</v>
      </c>
      <c r="D36" s="102"/>
      <c r="E36" s="102"/>
      <c r="F36" s="102"/>
      <c r="G36" s="102">
        <v>249708</v>
      </c>
      <c r="H36" s="102"/>
      <c r="I36" s="102"/>
      <c r="J36" s="102"/>
      <c r="K36" s="102"/>
      <c r="L36" s="218">
        <f>G36</f>
        <v>249708</v>
      </c>
      <c r="M36" s="102"/>
    </row>
    <row r="37" s="1" customFormat="1" ht="29.25" customHeight="1" spans="1:13">
      <c r="A37" s="103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3">
      <c r="A38" s="104" t="s">
        <v>0</v>
      </c>
      <c r="B38" s="105" t="s">
        <v>85</v>
      </c>
      <c r="C38" s="105" t="s">
        <v>2</v>
      </c>
      <c r="D38" s="106" t="s">
        <v>86</v>
      </c>
      <c r="E38" s="107" t="s">
        <v>87</v>
      </c>
      <c r="F38" s="2"/>
      <c r="G38" s="2"/>
      <c r="H38" s="2"/>
    </row>
    <row r="39" s="1" customFormat="1" ht="27.95" customHeight="1" spans="1:13">
      <c r="A39" s="27" t="s">
        <v>11</v>
      </c>
      <c r="B39" s="28" t="s">
        <v>12</v>
      </c>
      <c r="C39" s="29" t="s">
        <v>13</v>
      </c>
      <c r="D39" s="108">
        <v>0.55</v>
      </c>
      <c r="E39" s="109">
        <v>0.55</v>
      </c>
      <c r="F39" s="2"/>
      <c r="G39" s="2"/>
      <c r="H39" s="2"/>
    </row>
    <row r="40" s="1" customFormat="1" ht="27.95" customHeight="1" spans="1:13">
      <c r="A40" s="27" t="s">
        <v>14</v>
      </c>
      <c r="B40" s="28" t="s">
        <v>88</v>
      </c>
      <c r="C40" s="29" t="s">
        <v>16</v>
      </c>
      <c r="D40" s="110">
        <v>7625.06</v>
      </c>
      <c r="E40" s="111">
        <f t="shared" ref="E40:E45" si="9">D40</f>
        <v>7625.06</v>
      </c>
      <c r="F40" s="2"/>
      <c r="G40" s="2"/>
      <c r="H40" s="2"/>
    </row>
    <row r="41" s="1" customFormat="1" ht="27.95" customHeight="1" spans="1:13">
      <c r="A41" s="27" t="s">
        <v>19</v>
      </c>
      <c r="B41" s="28" t="s">
        <v>89</v>
      </c>
      <c r="C41" s="29" t="s">
        <v>16</v>
      </c>
      <c r="D41" s="112">
        <v>7625.06</v>
      </c>
      <c r="E41" s="113">
        <f t="shared" si="9"/>
        <v>7625.06</v>
      </c>
      <c r="F41" s="2"/>
      <c r="G41" s="2"/>
      <c r="H41" s="2"/>
    </row>
    <row r="42" s="1" customFormat="1" ht="27.95" customHeight="1" spans="1:13">
      <c r="A42" s="27" t="s">
        <v>21</v>
      </c>
      <c r="B42" s="41" t="s">
        <v>25</v>
      </c>
      <c r="C42" s="42" t="s">
        <v>26</v>
      </c>
      <c r="D42" s="114">
        <v>441</v>
      </c>
      <c r="E42" s="148">
        <f t="shared" si="9"/>
        <v>441</v>
      </c>
      <c r="F42" s="2"/>
      <c r="G42" s="2"/>
      <c r="H42" s="2"/>
    </row>
    <row r="43" s="1" customFormat="1" ht="27.95" customHeight="1" spans="1:13">
      <c r="A43" s="27" t="s">
        <v>24</v>
      </c>
      <c r="B43" s="41" t="s">
        <v>38</v>
      </c>
      <c r="C43" s="42" t="s">
        <v>23</v>
      </c>
      <c r="D43" s="110">
        <v>3</v>
      </c>
      <c r="E43" s="148">
        <f t="shared" si="9"/>
        <v>3</v>
      </c>
      <c r="F43" s="2"/>
      <c r="G43" s="2"/>
      <c r="H43" s="2"/>
    </row>
    <row r="44" s="1" customFormat="1" ht="27.95" customHeight="1" spans="1:13">
      <c r="A44" s="27" t="s">
        <v>27</v>
      </c>
      <c r="B44" s="41" t="s">
        <v>41</v>
      </c>
      <c r="C44" s="42" t="s">
        <v>42</v>
      </c>
      <c r="D44" s="110">
        <v>132840.000000001</v>
      </c>
      <c r="E44" s="148">
        <f t="shared" si="9"/>
        <v>132840.000000001</v>
      </c>
      <c r="F44" s="2"/>
      <c r="G44" s="2"/>
      <c r="H44" s="2"/>
    </row>
    <row r="45" s="1" customFormat="1" ht="27.95" customHeight="1" spans="1:13">
      <c r="A45" s="27"/>
      <c r="B45" s="41" t="s">
        <v>90</v>
      </c>
      <c r="C45" s="42" t="s">
        <v>42</v>
      </c>
      <c r="D45" s="110">
        <f>D44</f>
        <v>132840.000000001</v>
      </c>
      <c r="E45" s="148">
        <f t="shared" si="9"/>
        <v>132840.000000001</v>
      </c>
      <c r="F45" s="2"/>
      <c r="G45" s="2"/>
      <c r="H45" s="2"/>
    </row>
    <row r="46" s="1" customFormat="1" ht="27.95" customHeight="1" spans="1:13">
      <c r="A46" s="27" t="s">
        <v>29</v>
      </c>
      <c r="B46" s="41" t="s">
        <v>52</v>
      </c>
      <c r="C46" s="42" t="s">
        <v>53</v>
      </c>
      <c r="D46" s="116">
        <f>D44/D42</f>
        <v>301.224489795921</v>
      </c>
      <c r="E46" s="117">
        <f>E44/E42</f>
        <v>301.224489795921</v>
      </c>
      <c r="F46" s="2"/>
      <c r="G46" s="2"/>
      <c r="H46" s="2"/>
    </row>
    <row r="47" s="1" customFormat="1" ht="27.95" customHeight="1" spans="1:13">
      <c r="A47" s="27" t="s">
        <v>31</v>
      </c>
      <c r="B47" s="41" t="s">
        <v>70</v>
      </c>
      <c r="C47" s="75" t="s">
        <v>68</v>
      </c>
      <c r="D47" s="205">
        <f>D42/3.6/D39/(DAY(DATE(2026,2,0))*24)</f>
        <v>0.299364613880743</v>
      </c>
      <c r="E47" s="206">
        <f>E42/3.6/E39/(DATEDIF(DATE(2026,1,1),DATE(2026,2,1),"D")*24)</f>
        <v>0.299364613880743</v>
      </c>
      <c r="F47" s="2"/>
      <c r="G47" s="2"/>
      <c r="H47" s="2"/>
    </row>
    <row r="48" s="1" customFormat="1" ht="27.95" customHeight="1" spans="1:13">
      <c r="A48" s="27" t="s">
        <v>33</v>
      </c>
      <c r="B48" s="41" t="s">
        <v>72</v>
      </c>
      <c r="C48" s="42" t="s">
        <v>73</v>
      </c>
      <c r="D48" s="120">
        <f>D42/D41</f>
        <v>0.0578356104738848</v>
      </c>
      <c r="E48" s="121">
        <f>E42/E41</f>
        <v>0.0578356104738848</v>
      </c>
      <c r="F48" s="2"/>
      <c r="G48" s="2"/>
      <c r="H48" s="2"/>
    </row>
    <row r="49" s="1" customFormat="1" ht="27.95" customHeight="1" spans="1:10">
      <c r="A49" s="27" t="s">
        <v>37</v>
      </c>
      <c r="B49" s="41" t="s">
        <v>78</v>
      </c>
      <c r="C49" s="42" t="s">
        <v>79</v>
      </c>
      <c r="D49" s="122">
        <f>D44/D41</f>
        <v>17.4215022570315</v>
      </c>
      <c r="E49" s="123">
        <f>E44/E41</f>
        <v>17.4215022570315</v>
      </c>
      <c r="F49" s="2"/>
      <c r="G49" s="2"/>
      <c r="H49" s="2"/>
    </row>
    <row r="50" s="1" customFormat="1" ht="27.95" customHeight="1" spans="1:10">
      <c r="A50" s="124" t="s">
        <v>40</v>
      </c>
      <c r="B50" s="93" t="s">
        <v>81</v>
      </c>
      <c r="C50" s="94" t="s">
        <v>76</v>
      </c>
      <c r="D50" s="125">
        <f>D43*1000/D41</f>
        <v>0.39343952703323</v>
      </c>
      <c r="E50" s="125">
        <f>E43*1000/E41</f>
        <v>0.39343952703323</v>
      </c>
      <c r="F50" s="2"/>
      <c r="G50" s="2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3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26" t="s">
        <v>0</v>
      </c>
      <c r="B53" s="127" t="s">
        <v>85</v>
      </c>
      <c r="C53" s="127" t="s">
        <v>2</v>
      </c>
      <c r="D53" s="106" t="s">
        <v>86</v>
      </c>
      <c r="E53" s="9"/>
      <c r="F53" s="10"/>
      <c r="G53" s="128" t="s">
        <v>87</v>
      </c>
      <c r="H53" s="9"/>
      <c r="I53" s="9"/>
    </row>
    <row r="54" s="1" customFormat="1" ht="31.5" customHeight="1" spans="1:10">
      <c r="A54" s="12"/>
      <c r="B54" s="13"/>
      <c r="C54" s="13"/>
      <c r="D54" s="129" t="s">
        <v>92</v>
      </c>
      <c r="E54" s="129" t="s">
        <v>93</v>
      </c>
      <c r="F54" s="130" t="s">
        <v>9</v>
      </c>
      <c r="G54" s="131" t="s">
        <v>92</v>
      </c>
      <c r="H54" s="129" t="s">
        <v>93</v>
      </c>
      <c r="I54" s="132" t="s">
        <v>9</v>
      </c>
    </row>
    <row r="55" s="1" customFormat="1" ht="27.95" customHeight="1" spans="1:10">
      <c r="A55" s="27" t="s">
        <v>11</v>
      </c>
      <c r="B55" s="28" t="s">
        <v>12</v>
      </c>
      <c r="C55" s="29" t="s">
        <v>13</v>
      </c>
      <c r="D55" s="133">
        <v>6</v>
      </c>
      <c r="E55" s="133">
        <v>6.4</v>
      </c>
      <c r="F55" s="134">
        <f t="shared" ref="F55:F61" si="10">SUM(D55:E55)</f>
        <v>12.4</v>
      </c>
      <c r="G55" s="135">
        <v>6</v>
      </c>
      <c r="H55" s="136">
        <v>6.4</v>
      </c>
      <c r="I55" s="136">
        <f t="shared" ref="I55:I61" si="11">SUM(G55:H55)</f>
        <v>12.4</v>
      </c>
    </row>
    <row r="56" s="1" customFormat="1" ht="27.95" customHeight="1" spans="1:10">
      <c r="A56" s="27" t="s">
        <v>14</v>
      </c>
      <c r="B56" s="28" t="s">
        <v>88</v>
      </c>
      <c r="C56" s="29" t="s">
        <v>16</v>
      </c>
      <c r="D56" s="72">
        <v>28895.6</v>
      </c>
      <c r="E56" s="72">
        <v>26350.3</v>
      </c>
      <c r="F56" s="112">
        <f t="shared" si="10"/>
        <v>55245.9</v>
      </c>
      <c r="G56" s="113">
        <v>28895.6</v>
      </c>
      <c r="H56" s="113">
        <v>26350.3</v>
      </c>
      <c r="I56" s="68">
        <f t="shared" si="11"/>
        <v>55245.9</v>
      </c>
    </row>
    <row r="57" s="1" customFormat="1" ht="27.95" customHeight="1" spans="1:10">
      <c r="A57" s="27" t="s">
        <v>19</v>
      </c>
      <c r="B57" s="28" t="s">
        <v>89</v>
      </c>
      <c r="C57" s="29" t="s">
        <v>16</v>
      </c>
      <c r="D57" s="68">
        <v>28895.6</v>
      </c>
      <c r="E57" s="68">
        <v>26350.3</v>
      </c>
      <c r="F57" s="112">
        <f t="shared" si="10"/>
        <v>55245.9</v>
      </c>
      <c r="G57" s="113">
        <v>28895.6</v>
      </c>
      <c r="H57" s="113">
        <v>26350.3</v>
      </c>
      <c r="I57" s="68">
        <f t="shared" si="11"/>
        <v>55245.9</v>
      </c>
    </row>
    <row r="58" s="1" customFormat="1" ht="27.95" customHeight="1" spans="1:10">
      <c r="A58" s="27" t="s">
        <v>21</v>
      </c>
      <c r="B58" s="41" t="s">
        <v>25</v>
      </c>
      <c r="C58" s="42" t="s">
        <v>26</v>
      </c>
      <c r="D58" s="72">
        <v>2295.5</v>
      </c>
      <c r="E58" s="137">
        <v>3880.60000000001</v>
      </c>
      <c r="F58" s="112">
        <f t="shared" si="10"/>
        <v>6176.10000000001</v>
      </c>
      <c r="G58" s="113">
        <v>2295.5</v>
      </c>
      <c r="H58" s="113">
        <v>3880.60000000001</v>
      </c>
      <c r="I58" s="68">
        <f t="shared" si="11"/>
        <v>6176.10000000001</v>
      </c>
    </row>
    <row r="59" s="1" customFormat="1" ht="27.95" customHeight="1" spans="1:10">
      <c r="A59" s="27" t="s">
        <v>24</v>
      </c>
      <c r="B59" s="41" t="s">
        <v>38</v>
      </c>
      <c r="C59" s="42" t="s">
        <v>23</v>
      </c>
      <c r="D59" s="72">
        <v>235</v>
      </c>
      <c r="E59" s="72">
        <v>158.01</v>
      </c>
      <c r="F59" s="112">
        <f t="shared" si="10"/>
        <v>393.01</v>
      </c>
      <c r="G59" s="113">
        <v>235</v>
      </c>
      <c r="H59" s="113">
        <v>158.01</v>
      </c>
      <c r="I59" s="68">
        <f t="shared" si="11"/>
        <v>393.01</v>
      </c>
    </row>
    <row r="60" s="1" customFormat="1" ht="27.95" customHeight="1" spans="1:10">
      <c r="A60" s="27" t="s">
        <v>27</v>
      </c>
      <c r="B60" s="41" t="s">
        <v>41</v>
      </c>
      <c r="C60" s="42" t="s">
        <v>42</v>
      </c>
      <c r="D60" s="72">
        <v>706680</v>
      </c>
      <c r="E60" s="72">
        <v>1137840</v>
      </c>
      <c r="F60" s="112">
        <f t="shared" si="10"/>
        <v>1844520</v>
      </c>
      <c r="G60" s="113">
        <v>706680</v>
      </c>
      <c r="H60" s="113">
        <v>1137840</v>
      </c>
      <c r="I60" s="68">
        <f t="shared" si="11"/>
        <v>1844520</v>
      </c>
    </row>
    <row r="61" s="1" customFormat="1" ht="27.95" customHeight="1" spans="1:10">
      <c r="A61" s="27"/>
      <c r="B61" s="41" t="s">
        <v>90</v>
      </c>
      <c r="C61" s="42" t="s">
        <v>42</v>
      </c>
      <c r="D61" s="72">
        <f>D60</f>
        <v>706680</v>
      </c>
      <c r="E61" s="72">
        <f>E60</f>
        <v>1137840</v>
      </c>
      <c r="F61" s="112">
        <f t="shared" si="10"/>
        <v>1844520</v>
      </c>
      <c r="G61" s="113">
        <v>706680</v>
      </c>
      <c r="H61" s="113">
        <v>1137840</v>
      </c>
      <c r="I61" s="68">
        <f t="shared" si="11"/>
        <v>1844520</v>
      </c>
    </row>
    <row r="62" s="1" customFormat="1" ht="27.95" customHeight="1" spans="1:10">
      <c r="A62" s="27" t="s">
        <v>29</v>
      </c>
      <c r="B62" s="41" t="s">
        <v>52</v>
      </c>
      <c r="C62" s="42" t="s">
        <v>53</v>
      </c>
      <c r="D62" s="116">
        <f t="shared" ref="D62:I62" si="12">D60/D58</f>
        <v>307.854497930734</v>
      </c>
      <c r="E62" s="116">
        <f t="shared" si="12"/>
        <v>293.212389836622</v>
      </c>
      <c r="F62" s="116">
        <f t="shared" si="12"/>
        <v>298.654490698013</v>
      </c>
      <c r="G62" s="140">
        <f t="shared" si="12"/>
        <v>307.854497930734</v>
      </c>
      <c r="H62" s="57">
        <f t="shared" si="12"/>
        <v>293.212389836622</v>
      </c>
      <c r="I62" s="58">
        <f t="shared" si="12"/>
        <v>298.654490698013</v>
      </c>
    </row>
    <row r="63" s="1" customFormat="1" ht="27.95" customHeight="1" spans="1:10">
      <c r="A63" s="27" t="s">
        <v>31</v>
      </c>
      <c r="B63" s="41" t="s">
        <v>70</v>
      </c>
      <c r="C63" s="75" t="s">
        <v>68</v>
      </c>
      <c r="D63" s="205">
        <f>D58/3.6/D55/(DAY(DATE(2026,2,0))*24)</f>
        <v>0.142840252887296</v>
      </c>
      <c r="E63" s="205">
        <f>E58/3.6/E55/(DAY(DATE(2026,2,0))*24)</f>
        <v>0.226382821833931</v>
      </c>
      <c r="F63" s="205">
        <f>F58/3.6/F55/(DAY(DATE(2026,2,0))*24)</f>
        <v>0.185958998150075</v>
      </c>
      <c r="G63" s="204">
        <f>G58/3.6/G55/(DATEDIF(DATE(2026,1,1),DATE(2026,2,1),"D")*24)</f>
        <v>0.142840252887296</v>
      </c>
      <c r="H63" s="193">
        <f>H58/3.6/H55/(DATEDIF(DATE(2026,1,1),DATE(2026,2,1),"D")*24)</f>
        <v>0.226382821833931</v>
      </c>
      <c r="I63" s="203">
        <f>I58/3.6/I55/(DATEDIF(DATE(2026,1,1),DATE(2026,2,1),"D")*24)</f>
        <v>0.185958998150075</v>
      </c>
    </row>
    <row r="64" s="1" customFormat="1" ht="27.95" customHeight="1" spans="1:10">
      <c r="A64" s="27" t="s">
        <v>33</v>
      </c>
      <c r="B64" s="41" t="s">
        <v>72</v>
      </c>
      <c r="C64" s="42" t="s">
        <v>73</v>
      </c>
      <c r="D64" s="85">
        <f t="shared" ref="D64:I64" si="13">D58/D57</f>
        <v>0.079441160591924</v>
      </c>
      <c r="E64" s="85">
        <f t="shared" si="13"/>
        <v>0.147269670554036</v>
      </c>
      <c r="F64" s="85">
        <f t="shared" si="13"/>
        <v>0.111792911329167</v>
      </c>
      <c r="G64" s="141">
        <f t="shared" si="13"/>
        <v>0.079441160591924</v>
      </c>
      <c r="H64" s="83">
        <f t="shared" si="13"/>
        <v>0.147269670554036</v>
      </c>
      <c r="I64" s="85">
        <f t="shared" si="13"/>
        <v>0.111792911329167</v>
      </c>
    </row>
    <row r="65" s="1" customFormat="1" ht="27.95" customHeight="1" spans="1:9">
      <c r="A65" s="27" t="s">
        <v>37</v>
      </c>
      <c r="B65" s="41" t="s">
        <v>78</v>
      </c>
      <c r="C65" s="42" t="s">
        <v>79</v>
      </c>
      <c r="D65" s="88">
        <f t="shared" ref="D65:I65" si="14">D60/D57</f>
        <v>24.4563186090616</v>
      </c>
      <c r="E65" s="88">
        <f t="shared" si="14"/>
        <v>43.1812920536009</v>
      </c>
      <c r="F65" s="88">
        <f t="shared" si="14"/>
        <v>33.3874549966604</v>
      </c>
      <c r="G65" s="142">
        <f t="shared" si="14"/>
        <v>24.4563186090616</v>
      </c>
      <c r="H65" s="87">
        <f t="shared" si="14"/>
        <v>43.1812920536009</v>
      </c>
      <c r="I65" s="88">
        <f t="shared" si="14"/>
        <v>33.3874549966604</v>
      </c>
    </row>
    <row r="66" s="1" customFormat="1" ht="27.95" customHeight="1" spans="1:9">
      <c r="A66" s="124" t="s">
        <v>40</v>
      </c>
      <c r="B66" s="93" t="s">
        <v>81</v>
      </c>
      <c r="C66" s="94" t="s">
        <v>76</v>
      </c>
      <c r="D66" s="97">
        <f t="shared" ref="D66:I66" si="15">D59*1000/D57</f>
        <v>8.1327260897853</v>
      </c>
      <c r="E66" s="97">
        <f t="shared" si="15"/>
        <v>5.99651616869637</v>
      </c>
      <c r="F66" s="97">
        <f t="shared" si="15"/>
        <v>7.11383107162704</v>
      </c>
      <c r="G66" s="143">
        <f t="shared" si="15"/>
        <v>8.1327260897853</v>
      </c>
      <c r="H66" s="96">
        <f t="shared" si="15"/>
        <v>5.99651616869637</v>
      </c>
      <c r="I66" s="97">
        <f t="shared" si="15"/>
        <v>7.11383107162704</v>
      </c>
    </row>
    <row r="67" s="1" customFormat="1" ht="18" customHeight="1" spans="1:9">
      <c r="C67" s="4"/>
      <c r="D67" s="5"/>
    </row>
    <row r="68" s="1" customFormat="1" ht="29.25" customHeight="1" spans="1:9">
      <c r="A68" s="103" t="s">
        <v>94</v>
      </c>
      <c r="C68" s="4"/>
      <c r="D68" s="5"/>
    </row>
    <row r="69" s="1" customFormat="1" ht="30" customHeight="1" spans="1:9">
      <c r="A69" s="126" t="s">
        <v>0</v>
      </c>
      <c r="B69" s="7" t="s">
        <v>1</v>
      </c>
      <c r="C69" s="7" t="s">
        <v>2</v>
      </c>
      <c r="D69" s="106" t="s">
        <v>86</v>
      </c>
      <c r="E69" s="10"/>
      <c r="F69" s="144" t="s">
        <v>87</v>
      </c>
      <c r="G69" s="9"/>
    </row>
    <row r="70" s="1" customFormat="1" ht="30" customHeight="1" spans="1:9">
      <c r="A70" s="12"/>
      <c r="B70" s="13"/>
      <c r="C70" s="13"/>
      <c r="D70" s="129" t="s">
        <v>95</v>
      </c>
      <c r="E70" s="145" t="s">
        <v>96</v>
      </c>
      <c r="F70" s="131" t="s">
        <v>95</v>
      </c>
      <c r="G70" s="132" t="s">
        <v>96</v>
      </c>
    </row>
    <row r="71" s="1" customFormat="1" ht="27.95" customHeight="1" spans="1:9">
      <c r="A71" s="18" t="s">
        <v>11</v>
      </c>
      <c r="B71" s="19" t="s">
        <v>12</v>
      </c>
      <c r="C71" s="20" t="s">
        <v>13</v>
      </c>
      <c r="D71" s="23">
        <v>217</v>
      </c>
      <c r="E71" s="146">
        <v>1.4</v>
      </c>
      <c r="F71" s="147">
        <f t="shared" ref="F71:F77" si="16">D71</f>
        <v>217</v>
      </c>
      <c r="G71" s="26">
        <f>E71</f>
        <v>1.4</v>
      </c>
    </row>
    <row r="72" s="1" customFormat="1" ht="27.95" customHeight="1" spans="1:9">
      <c r="A72" s="27" t="s">
        <v>14</v>
      </c>
      <c r="B72" s="41" t="s">
        <v>22</v>
      </c>
      <c r="C72" s="42" t="s">
        <v>23</v>
      </c>
      <c r="D72" s="72"/>
      <c r="E72" s="110"/>
      <c r="F72" s="148">
        <f t="shared" si="16"/>
        <v>0</v>
      </c>
      <c r="G72" s="149">
        <f>E72</f>
        <v>0</v>
      </c>
    </row>
    <row r="73" s="1" customFormat="1" ht="27.95" customHeight="1" spans="1:9">
      <c r="A73" s="27" t="s">
        <v>19</v>
      </c>
      <c r="B73" s="41" t="s">
        <v>25</v>
      </c>
      <c r="C73" s="42" t="s">
        <v>26</v>
      </c>
      <c r="D73" s="68">
        <f>D72*2.951694</f>
        <v>0</v>
      </c>
      <c r="E73" s="150">
        <f>E72*2.732</f>
        <v>0</v>
      </c>
      <c r="F73" s="148">
        <f t="shared" si="16"/>
        <v>0</v>
      </c>
      <c r="G73" s="149">
        <f>E73</f>
        <v>0</v>
      </c>
    </row>
    <row r="74" s="1" customFormat="1" ht="27.95" customHeight="1" spans="1:9">
      <c r="A74" s="27" t="s">
        <v>21</v>
      </c>
      <c r="B74" s="41" t="s">
        <v>97</v>
      </c>
      <c r="C74" s="42" t="s">
        <v>98</v>
      </c>
      <c r="D74" s="72"/>
      <c r="E74" s="110"/>
      <c r="F74" s="148">
        <f t="shared" si="16"/>
        <v>0</v>
      </c>
      <c r="G74" s="149">
        <f>E74</f>
        <v>0</v>
      </c>
    </row>
    <row r="75" s="1" customFormat="1" ht="27.95" customHeight="1" spans="1:9">
      <c r="A75" s="27" t="s">
        <v>24</v>
      </c>
      <c r="B75" s="41" t="s">
        <v>34</v>
      </c>
      <c r="C75" s="42" t="s">
        <v>23</v>
      </c>
      <c r="D75" s="68">
        <f>D74*D80/29308/1000</f>
        <v>0</v>
      </c>
      <c r="E75" s="112">
        <f>E74*E80/29308/1000</f>
        <v>0</v>
      </c>
      <c r="F75" s="148">
        <f t="shared" si="16"/>
        <v>0</v>
      </c>
      <c r="G75" s="149">
        <f>E75</f>
        <v>0</v>
      </c>
    </row>
    <row r="76" s="1" customFormat="1" ht="27.95" customHeight="1" spans="1:9">
      <c r="A76" s="27" t="s">
        <v>27</v>
      </c>
      <c r="B76" s="41" t="s">
        <v>38</v>
      </c>
      <c r="C76" s="42" t="s">
        <v>23</v>
      </c>
      <c r="D76" s="72"/>
      <c r="E76" s="151"/>
      <c r="F76" s="148">
        <f t="shared" si="16"/>
        <v>0</v>
      </c>
      <c r="G76" s="223"/>
    </row>
    <row r="77" s="1" customFormat="1" ht="27.95" customHeight="1" spans="1:9">
      <c r="A77" s="27" t="s">
        <v>29</v>
      </c>
      <c r="B77" s="41" t="s">
        <v>41</v>
      </c>
      <c r="C77" s="42" t="s">
        <v>42</v>
      </c>
      <c r="D77" s="72"/>
      <c r="E77" s="151"/>
      <c r="F77" s="148">
        <f t="shared" si="16"/>
        <v>0</v>
      </c>
      <c r="G77" s="223"/>
    </row>
    <row r="78" s="1" customFormat="1" ht="27.95" customHeight="1" spans="1:9">
      <c r="A78" s="27" t="s">
        <v>31</v>
      </c>
      <c r="B78" s="41" t="s">
        <v>52</v>
      </c>
      <c r="C78" s="42" t="s">
        <v>53</v>
      </c>
      <c r="D78" s="152" t="e">
        <f>D77/D73</f>
        <v>#DIV/0!</v>
      </c>
      <c r="E78" s="153"/>
      <c r="F78" s="154" t="e">
        <f>F77/F73</f>
        <v>#DIV/0!</v>
      </c>
      <c r="G78" s="155"/>
    </row>
    <row r="79" s="1" customFormat="1" ht="27.95" customHeight="1" spans="1:9">
      <c r="A79" s="27" t="s">
        <v>33</v>
      </c>
      <c r="B79" s="41" t="s">
        <v>55</v>
      </c>
      <c r="C79" s="42" t="s">
        <v>56</v>
      </c>
      <c r="D79" s="57" t="e">
        <f>D75*1000/D73</f>
        <v>#DIV/0!</v>
      </c>
      <c r="E79" s="156" t="e">
        <f>E75*1000/E73</f>
        <v>#DIV/0!</v>
      </c>
      <c r="F79" s="157" t="e">
        <f>F75*1000/F73</f>
        <v>#DIV/0!</v>
      </c>
      <c r="G79" s="58" t="e">
        <f>G75*1000/G73</f>
        <v>#DIV/0!</v>
      </c>
    </row>
    <row r="80" s="1" customFormat="1" ht="27.95" customHeight="1" spans="1:9">
      <c r="A80" s="27" t="s">
        <v>37</v>
      </c>
      <c r="B80" s="41" t="s">
        <v>99</v>
      </c>
      <c r="C80" s="42" t="s">
        <v>100</v>
      </c>
      <c r="D80" s="33"/>
      <c r="E80" s="158"/>
      <c r="F80" s="159" t="e">
        <f>F75*29308*1000/F74</f>
        <v>#DIV/0!</v>
      </c>
      <c r="G80" s="68" t="e">
        <f>G75*29308*1000/G74</f>
        <v>#DIV/0!</v>
      </c>
    </row>
    <row r="81" s="1" customFormat="1" ht="27.95" customHeight="1" spans="1:11">
      <c r="A81" s="27" t="s">
        <v>40</v>
      </c>
      <c r="B81" s="41" t="s">
        <v>67</v>
      </c>
      <c r="C81" s="75" t="s">
        <v>68</v>
      </c>
      <c r="D81" s="76" t="e">
        <f>D73/(D75*29.308)</f>
        <v>#DIV/0!</v>
      </c>
      <c r="E81" s="160" t="e">
        <f>E73/(E75*29.308)</f>
        <v>#DIV/0!</v>
      </c>
      <c r="F81" s="161" t="e">
        <f>F73/(F75*29.308)</f>
        <v>#DIV/0!</v>
      </c>
      <c r="G81" s="77" t="e">
        <f>G73/(G75*29.308)</f>
        <v>#DIV/0!</v>
      </c>
    </row>
    <row r="82" s="1" customFormat="1" ht="27.95" customHeight="1" spans="1:11">
      <c r="A82" s="124" t="s">
        <v>47</v>
      </c>
      <c r="B82" s="162" t="s">
        <v>70</v>
      </c>
      <c r="C82" s="163" t="s">
        <v>68</v>
      </c>
      <c r="D82" s="207">
        <f>D73/3.6/D71/(DAY(DATE(2026,2,0))*24)</f>
        <v>0</v>
      </c>
      <c r="E82" s="208">
        <f>E73/3.6/E71/(DAY(DATE(2026,2,0))*24)</f>
        <v>0</v>
      </c>
      <c r="F82" s="209">
        <f>F73/3.6/F71/(DATEDIF(DATE(2026,1,1),DATE(2026,2,1),"D")*24)</f>
        <v>0</v>
      </c>
      <c r="G82" s="210">
        <f>G73/3.6/G71/(DATEDIF(DATE(2026,1,1),DATE(2026,2,1),"D")*24)</f>
        <v>0</v>
      </c>
    </row>
    <row r="83" s="1" customFormat="1" ht="18" customHeight="1" spans="1:11">
      <c r="B83" s="168"/>
      <c r="C83" s="168"/>
      <c r="D83" s="5"/>
    </row>
    <row r="84" s="1" customFormat="1" ht="16.25" spans="1:11">
      <c r="A84" s="103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ht="14" spans="1:11">
      <c r="A85" s="126" t="s">
        <v>0</v>
      </c>
      <c r="B85" s="127" t="s">
        <v>85</v>
      </c>
      <c r="C85" s="127" t="s">
        <v>2</v>
      </c>
      <c r="D85" s="169" t="s">
        <v>86</v>
      </c>
      <c r="E85" s="129" t="s">
        <v>87</v>
      </c>
      <c r="F85" s="169" t="s">
        <v>102</v>
      </c>
      <c r="G85" s="169" t="s">
        <v>103</v>
      </c>
      <c r="H85" s="170"/>
      <c r="I85" s="170"/>
    </row>
    <row r="86" s="1" customFormat="1" ht="14" spans="1:11">
      <c r="A86" s="12"/>
      <c r="B86" s="13"/>
      <c r="C86" s="13"/>
      <c r="D86" s="169" t="s">
        <v>104</v>
      </c>
      <c r="E86" s="169" t="s">
        <v>104</v>
      </c>
      <c r="F86" s="13"/>
      <c r="G86" s="13"/>
      <c r="H86" s="170"/>
      <c r="I86" s="103"/>
    </row>
    <row r="87" s="1" customFormat="1" ht="14" spans="1:11">
      <c r="A87" s="27" t="s">
        <v>11</v>
      </c>
      <c r="B87" s="28" t="s">
        <v>12</v>
      </c>
      <c r="C87" s="29" t="s">
        <v>13</v>
      </c>
      <c r="D87" s="171">
        <v>0.7888</v>
      </c>
      <c r="E87" s="172">
        <v>0.7888</v>
      </c>
      <c r="F87" s="173">
        <f t="shared" ref="F87:F93" si="17">F55+D87</f>
        <v>13.1888</v>
      </c>
      <c r="G87" s="173">
        <f t="shared" ref="G87:G93" si="18">E87+I55</f>
        <v>13.1888</v>
      </c>
      <c r="H87" s="135"/>
      <c r="I87" s="135"/>
    </row>
    <row r="88" s="1" customFormat="1" ht="14" spans="1:11">
      <c r="A88" s="27" t="s">
        <v>14</v>
      </c>
      <c r="B88" s="28" t="s">
        <v>88</v>
      </c>
      <c r="C88" s="29" t="s">
        <v>16</v>
      </c>
      <c r="D88" s="174">
        <v>20723.53</v>
      </c>
      <c r="E88" s="175">
        <v>20723.53</v>
      </c>
      <c r="F88" s="178">
        <f t="shared" si="17"/>
        <v>75969.43</v>
      </c>
      <c r="G88" s="178">
        <f t="shared" si="18"/>
        <v>75969.43</v>
      </c>
      <c r="H88" s="111"/>
      <c r="I88" s="111"/>
    </row>
    <row r="89" s="1" customFormat="1" ht="14" spans="1:11">
      <c r="A89" s="27" t="s">
        <v>19</v>
      </c>
      <c r="B89" s="28" t="s">
        <v>89</v>
      </c>
      <c r="C89" s="29" t="s">
        <v>16</v>
      </c>
      <c r="D89" s="174">
        <v>20723.53</v>
      </c>
      <c r="E89" s="175">
        <v>20723.53</v>
      </c>
      <c r="F89" s="178">
        <f t="shared" si="17"/>
        <v>75969.43</v>
      </c>
      <c r="G89" s="178">
        <f t="shared" si="18"/>
        <v>75969.43</v>
      </c>
      <c r="H89" s="111"/>
      <c r="I89" s="111"/>
    </row>
    <row r="90" s="1" customFormat="1" ht="14" spans="1:11">
      <c r="A90" s="27" t="s">
        <v>21</v>
      </c>
      <c r="B90" s="41" t="s">
        <v>25</v>
      </c>
      <c r="C90" s="42" t="s">
        <v>26</v>
      </c>
      <c r="D90" s="174">
        <v>3609.56501600001</v>
      </c>
      <c r="E90" s="175">
        <v>3609.56501600001</v>
      </c>
      <c r="F90" s="178">
        <f t="shared" si="17"/>
        <v>9785.66501600002</v>
      </c>
      <c r="G90" s="178">
        <f t="shared" si="18"/>
        <v>9785.66501600002</v>
      </c>
      <c r="H90" s="111"/>
      <c r="I90" s="111"/>
    </row>
    <row r="91" s="1" customFormat="1" ht="14" spans="1:11">
      <c r="A91" s="27" t="s">
        <v>24</v>
      </c>
      <c r="B91" s="41" t="s">
        <v>38</v>
      </c>
      <c r="C91" s="42" t="s">
        <v>23</v>
      </c>
      <c r="D91" s="174">
        <v>49</v>
      </c>
      <c r="E91" s="172">
        <v>49</v>
      </c>
      <c r="F91" s="178">
        <f t="shared" si="17"/>
        <v>442.01</v>
      </c>
      <c r="G91" s="178">
        <f t="shared" si="18"/>
        <v>442.01</v>
      </c>
      <c r="H91" s="111"/>
      <c r="I91" s="111"/>
    </row>
    <row r="92" s="1" customFormat="1" ht="14" spans="1:11">
      <c r="A92" s="27" t="s">
        <v>27</v>
      </c>
      <c r="B92" s="41" t="s">
        <v>41</v>
      </c>
      <c r="C92" s="42" t="s">
        <v>42</v>
      </c>
      <c r="D92" s="174">
        <v>462809.08</v>
      </c>
      <c r="E92" s="175">
        <v>462809.08</v>
      </c>
      <c r="F92" s="178">
        <f t="shared" si="17"/>
        <v>2307329.08</v>
      </c>
      <c r="G92" s="178">
        <f t="shared" si="18"/>
        <v>2307329.08</v>
      </c>
      <c r="H92" s="111"/>
      <c r="I92" s="111"/>
    </row>
    <row r="93" s="1" customFormat="1" ht="14" spans="1:11">
      <c r="A93" s="27"/>
      <c r="B93" s="41" t="s">
        <v>90</v>
      </c>
      <c r="C93" s="42" t="s">
        <v>42</v>
      </c>
      <c r="D93" s="174">
        <v>0</v>
      </c>
      <c r="E93" s="172">
        <f>D93</f>
        <v>0</v>
      </c>
      <c r="F93" s="178">
        <f t="shared" si="17"/>
        <v>1844520</v>
      </c>
      <c r="G93" s="178">
        <f t="shared" si="18"/>
        <v>1844520</v>
      </c>
      <c r="H93" s="111"/>
      <c r="I93" s="111"/>
    </row>
    <row r="94" s="1" customFormat="1" ht="14" spans="1:11">
      <c r="A94" s="27" t="s">
        <v>29</v>
      </c>
      <c r="B94" s="41" t="s">
        <v>52</v>
      </c>
      <c r="C94" s="42" t="s">
        <v>53</v>
      </c>
      <c r="D94" s="179">
        <f>D92/D90</f>
        <v>128.217410670959</v>
      </c>
      <c r="E94" s="179">
        <f>E92/E90</f>
        <v>128.217410670959</v>
      </c>
      <c r="F94" s="179">
        <f>F92/F90</f>
        <v>235.786640583691</v>
      </c>
      <c r="G94" s="179">
        <f>G92/G90</f>
        <v>235.786640583691</v>
      </c>
      <c r="H94" s="117"/>
      <c r="I94" s="117"/>
    </row>
    <row r="95" s="1" customFormat="1" ht="14" spans="1:11">
      <c r="A95" s="27" t="s">
        <v>31</v>
      </c>
      <c r="B95" s="41" t="s">
        <v>105</v>
      </c>
      <c r="C95" s="75" t="s">
        <v>68</v>
      </c>
      <c r="D95" s="203">
        <f>D90/3.6/D87/(DATEDIF(DATE(2026,1,1),DATE(2026,2,1),"D")*24)</f>
        <v>1.70849035163133</v>
      </c>
      <c r="E95" s="203">
        <f>E90/3.6/E87/(DATEDIF(DATE(2026,1,1),DATE(2026,2,1),"D")*24)</f>
        <v>1.70849035163133</v>
      </c>
      <c r="F95" s="212">
        <f>F90/3.6/F87/(DAY(DATE(2026,2,0))*24)</f>
        <v>0.277019043918152</v>
      </c>
      <c r="G95" s="203">
        <f>G90/3.6/G87/(DATEDIF(DATE(2026,1,1),DATE(2026,2,1),"D")*24)</f>
        <v>0.277019043918152</v>
      </c>
      <c r="H95" s="181"/>
      <c r="I95" s="181"/>
      <c r="K95" s="182"/>
    </row>
    <row r="96" s="1" customFormat="1" ht="14" spans="1:11">
      <c r="A96" s="27" t="s">
        <v>33</v>
      </c>
      <c r="B96" s="41" t="s">
        <v>72</v>
      </c>
      <c r="C96" s="42" t="s">
        <v>73</v>
      </c>
      <c r="D96" s="183">
        <f>D90/D89</f>
        <v>0.174177131791737</v>
      </c>
      <c r="E96" s="183">
        <f>E90/E89</f>
        <v>0.174177131791737</v>
      </c>
      <c r="F96" s="183">
        <f>F90/F89</f>
        <v>0.128810562564442</v>
      </c>
      <c r="G96" s="183">
        <f>G90/G89</f>
        <v>0.128810562564442</v>
      </c>
      <c r="H96" s="121"/>
      <c r="I96" s="121"/>
    </row>
    <row r="97" s="1" customFormat="1" ht="14" spans="1:9">
      <c r="A97" s="27" t="s">
        <v>37</v>
      </c>
      <c r="B97" s="41" t="s">
        <v>78</v>
      </c>
      <c r="C97" s="42" t="s">
        <v>79</v>
      </c>
      <c r="D97" s="184">
        <f>D92/D89</f>
        <v>22.3325408364309</v>
      </c>
      <c r="E97" s="184">
        <f>E92/E89</f>
        <v>22.3325408364309</v>
      </c>
      <c r="F97" s="184">
        <f>F92/F89</f>
        <v>30.3718098187653</v>
      </c>
      <c r="G97" s="184">
        <f>G92/G89</f>
        <v>30.3718098187653</v>
      </c>
      <c r="H97" s="123"/>
      <c r="I97" s="123"/>
    </row>
    <row r="98" s="1" customFormat="1" ht="14.75" spans="1:9">
      <c r="A98" s="124" t="s">
        <v>40</v>
      </c>
      <c r="B98" s="93" t="s">
        <v>81</v>
      </c>
      <c r="C98" s="94" t="s">
        <v>76</v>
      </c>
      <c r="D98" s="184">
        <f>D91*1000/D89</f>
        <v>2.36446203904451</v>
      </c>
      <c r="E98" s="184">
        <f>E91*1000/E89</f>
        <v>2.36446203904451</v>
      </c>
      <c r="F98" s="184">
        <f>F91*1000/F89</f>
        <v>5.81826137171228</v>
      </c>
      <c r="G98" s="184">
        <f>G91*1000/G89</f>
        <v>5.81826137171228</v>
      </c>
      <c r="H98" s="123"/>
      <c r="I98" s="123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rintOptions horizontalCentered="1"/>
  <pageMargins left="0.748031496062992" right="0.748031496062992" top="1.25984251968504" bottom="0.984251968503937" header="0.78740157480315" footer="0.511811023622047"/>
  <pageSetup paperSize="9" scale="20" orientation="landscape" horizontalDpi="600" verticalDpi="600"/>
  <headerFooter alignWithMargins="0" scaleWithDoc="0">
    <oddHeader>&amp;C&amp;"黑体,常规"&amp;20 2022年1月份集团各锅炉站生产报表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E9" sqref="E9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 customWidth="1"/>
    <col min="15" max="16384" width="8.625" style="1" customWidth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</row>
    <row r="2" s="1" customFormat="1" ht="39.95" customHeight="1" spans="1:14">
      <c r="A2" s="12"/>
      <c r="B2" s="13"/>
      <c r="C2" s="13"/>
      <c r="D2" s="14" t="s">
        <v>5</v>
      </c>
      <c r="E2" s="14" t="s">
        <v>6</v>
      </c>
      <c r="F2" s="14" t="s">
        <v>7</v>
      </c>
      <c r="G2" s="15" t="s">
        <v>8</v>
      </c>
      <c r="H2" s="16" t="s">
        <v>9</v>
      </c>
      <c r="I2" s="17" t="s">
        <v>5</v>
      </c>
      <c r="J2" s="14" t="s">
        <v>6</v>
      </c>
      <c r="K2" s="14" t="s">
        <v>7</v>
      </c>
      <c r="L2" s="15" t="s">
        <v>10</v>
      </c>
      <c r="M2" s="16" t="s">
        <v>9</v>
      </c>
    </row>
    <row r="3" s="1" customFormat="1" ht="18" customHeight="1" spans="1:14">
      <c r="A3" s="18" t="s">
        <v>11</v>
      </c>
      <c r="B3" s="19" t="s">
        <v>12</v>
      </c>
      <c r="C3" s="20" t="s">
        <v>13</v>
      </c>
      <c r="D3" s="21">
        <v>348</v>
      </c>
      <c r="E3" s="22">
        <v>162</v>
      </c>
      <c r="F3" s="22"/>
      <c r="G3" s="23">
        <v>14</v>
      </c>
      <c r="H3" s="24">
        <f t="shared" ref="H3:H12" si="0">E3+F3+G3</f>
        <v>176</v>
      </c>
      <c r="I3" s="25">
        <f>D3</f>
        <v>348</v>
      </c>
      <c r="J3" s="21">
        <f>E3</f>
        <v>162</v>
      </c>
      <c r="K3" s="21">
        <f>F3</f>
        <v>0</v>
      </c>
      <c r="L3" s="26">
        <f>G3</f>
        <v>14</v>
      </c>
      <c r="M3" s="24">
        <f t="shared" ref="M3:M12" si="1">J3+K3+L3</f>
        <v>176</v>
      </c>
    </row>
    <row r="4" s="1" customFormat="1" ht="18" customHeight="1" spans="1:14">
      <c r="A4" s="27" t="s">
        <v>14</v>
      </c>
      <c r="B4" s="28" t="s">
        <v>15</v>
      </c>
      <c r="C4" s="29" t="s">
        <v>16</v>
      </c>
      <c r="D4" s="30" t="s">
        <v>17</v>
      </c>
      <c r="E4" s="31">
        <f>1714928+55000</f>
        <v>1769928</v>
      </c>
      <c r="F4" s="32"/>
      <c r="G4" s="33">
        <v>2312810.64</v>
      </c>
      <c r="H4" s="34">
        <f t="shared" si="0"/>
        <v>4082738.64</v>
      </c>
      <c r="I4" s="35" t="str">
        <f>D4</f>
        <v> -   </v>
      </c>
      <c r="J4" s="31">
        <f>E4</f>
        <v>1769928</v>
      </c>
      <c r="K4" s="36">
        <f>F4</f>
        <v>0</v>
      </c>
      <c r="L4" s="37">
        <f>G4</f>
        <v>2312810.64</v>
      </c>
      <c r="M4" s="34">
        <f t="shared" si="1"/>
        <v>4082738.64</v>
      </c>
    </row>
    <row r="5" s="1" customFormat="1" ht="18" customHeight="1" spans="1:14">
      <c r="A5" s="27"/>
      <c r="B5" s="28" t="s">
        <v>18</v>
      </c>
      <c r="C5" s="29" t="s">
        <v>16</v>
      </c>
      <c r="D5" s="30" t="s">
        <v>17</v>
      </c>
      <c r="E5" s="32">
        <v>55000</v>
      </c>
      <c r="F5" s="38">
        <v>0</v>
      </c>
      <c r="G5" s="39">
        <v>0</v>
      </c>
      <c r="H5" s="34">
        <f t="shared" si="0"/>
        <v>55000</v>
      </c>
      <c r="I5" s="35" t="str">
        <f>D5</f>
        <v> -   </v>
      </c>
      <c r="J5" s="31">
        <f>E5</f>
        <v>55000</v>
      </c>
      <c r="K5" s="36">
        <f>F5</f>
        <v>0</v>
      </c>
      <c r="L5" s="37">
        <f>G5</f>
        <v>0</v>
      </c>
      <c r="M5" s="34">
        <f t="shared" si="1"/>
        <v>55000</v>
      </c>
    </row>
    <row r="6" s="1" customFormat="1" ht="18" customHeight="1" spans="1:14">
      <c r="A6" s="27" t="s">
        <v>19</v>
      </c>
      <c r="B6" s="28" t="s">
        <v>20</v>
      </c>
      <c r="C6" s="29" t="s">
        <v>16</v>
      </c>
      <c r="D6" s="30" t="s">
        <v>17</v>
      </c>
      <c r="E6" s="33">
        <f>E4</f>
        <v>1769928</v>
      </c>
      <c r="F6" s="33">
        <f>F4</f>
        <v>0</v>
      </c>
      <c r="G6" s="33">
        <f>G4</f>
        <v>2312810.64</v>
      </c>
      <c r="H6" s="34">
        <f t="shared" si="0"/>
        <v>4082738.64</v>
      </c>
      <c r="I6" s="35" t="str">
        <f>D6</f>
        <v> -   </v>
      </c>
      <c r="J6" s="40">
        <f>E6</f>
        <v>1769928</v>
      </c>
      <c r="K6" s="40">
        <f>F6</f>
        <v>0</v>
      </c>
      <c r="L6" s="40">
        <f>G6</f>
        <v>2312810.64</v>
      </c>
      <c r="M6" s="34">
        <f t="shared" si="1"/>
        <v>4082738.64</v>
      </c>
    </row>
    <row r="7" s="2" customFormat="1" ht="18" customHeight="1" spans="1:14">
      <c r="A7" s="27" t="s">
        <v>21</v>
      </c>
      <c r="B7" s="41" t="s">
        <v>22</v>
      </c>
      <c r="C7" s="42" t="s">
        <v>23</v>
      </c>
      <c r="D7" s="39">
        <v>0</v>
      </c>
      <c r="E7" s="39">
        <v>0</v>
      </c>
      <c r="F7" s="39">
        <v>0</v>
      </c>
      <c r="G7" s="39">
        <v>0</v>
      </c>
      <c r="H7" s="34">
        <f t="shared" si="0"/>
        <v>0</v>
      </c>
      <c r="I7" s="49">
        <f>D7+'26.1'!I7</f>
        <v>0</v>
      </c>
      <c r="J7" s="49">
        <f>E7+'26.1'!J7</f>
        <v>0</v>
      </c>
      <c r="K7" s="49">
        <f>F7+'26.1'!K7</f>
        <v>0</v>
      </c>
      <c r="L7" s="49">
        <f>G7+'26.1'!L7</f>
        <v>0</v>
      </c>
      <c r="M7" s="34">
        <f t="shared" si="1"/>
        <v>0</v>
      </c>
    </row>
    <row r="8" s="2" customFormat="1" ht="18" customHeight="1" spans="1:14">
      <c r="A8" s="27" t="s">
        <v>24</v>
      </c>
      <c r="B8" s="41" t="s">
        <v>25</v>
      </c>
      <c r="C8" s="42" t="s">
        <v>26</v>
      </c>
      <c r="D8" s="44">
        <v>427548</v>
      </c>
      <c r="E8" s="39">
        <v>111004.1467164</v>
      </c>
      <c r="F8" s="38"/>
      <c r="G8" s="33">
        <v>185169.25</v>
      </c>
      <c r="H8" s="34">
        <f t="shared" si="0"/>
        <v>296173.3967164</v>
      </c>
      <c r="I8" s="49">
        <f>D8+'26.1'!I8</f>
        <v>1168258</v>
      </c>
      <c r="J8" s="49">
        <f>E8+'26.1'!J8</f>
        <v>267460.3967164</v>
      </c>
      <c r="K8" s="49">
        <f>F8+'26.1'!K8</f>
        <v>0</v>
      </c>
      <c r="L8" s="49">
        <f>G8+'26.1'!L8</f>
        <v>440887.508551189</v>
      </c>
      <c r="M8" s="34">
        <f t="shared" si="1"/>
        <v>708347.905267589</v>
      </c>
      <c r="N8" s="45"/>
    </row>
    <row r="9" s="2" customFormat="1" ht="18" customHeight="1" spans="1:14">
      <c r="A9" s="27" t="s">
        <v>27</v>
      </c>
      <c r="B9" s="41" t="s">
        <v>28</v>
      </c>
      <c r="C9" s="42" t="s">
        <v>26</v>
      </c>
      <c r="D9" s="39"/>
      <c r="E9" s="213">
        <f>[1]售热量!$E$25</f>
        <v>3490</v>
      </c>
      <c r="F9" s="38"/>
      <c r="G9" s="38"/>
      <c r="H9" s="34">
        <f t="shared" si="0"/>
        <v>3490</v>
      </c>
      <c r="I9" s="49">
        <f>D9+'26.1'!I9</f>
        <v>0</v>
      </c>
      <c r="J9" s="49">
        <f>E9+'26.1'!J9</f>
        <v>7520</v>
      </c>
      <c r="K9" s="49">
        <f>F9+'26.1'!K9</f>
        <v>0</v>
      </c>
      <c r="L9" s="49">
        <f>G9+'26.1'!L9</f>
        <v>0</v>
      </c>
      <c r="M9" s="34">
        <f t="shared" si="1"/>
        <v>7520</v>
      </c>
    </row>
    <row r="10" s="2" customFormat="1" ht="18" customHeight="1" spans="1:14">
      <c r="A10" s="27" t="s">
        <v>29</v>
      </c>
      <c r="B10" s="41" t="s">
        <v>30</v>
      </c>
      <c r="C10" s="42" t="s">
        <v>23</v>
      </c>
      <c r="D10" s="39">
        <v>23382</v>
      </c>
      <c r="E10" s="32">
        <v>8996</v>
      </c>
      <c r="F10" s="38"/>
      <c r="G10" s="33">
        <v>418</v>
      </c>
      <c r="H10" s="34">
        <f t="shared" si="0"/>
        <v>9414</v>
      </c>
      <c r="I10" s="49">
        <f>D10+'26.1'!I10</f>
        <v>66226</v>
      </c>
      <c r="J10" s="49">
        <f>E10+'26.1'!J10</f>
        <v>21656</v>
      </c>
      <c r="K10" s="49">
        <f>F10+'26.1'!K10</f>
        <v>0</v>
      </c>
      <c r="L10" s="49">
        <f>G10+'26.1'!L10</f>
        <v>931</v>
      </c>
      <c r="M10" s="34">
        <f t="shared" si="1"/>
        <v>22587</v>
      </c>
    </row>
    <row r="11" s="2" customFormat="1" ht="18" customHeight="1" spans="1:14">
      <c r="A11" s="27" t="s">
        <v>31</v>
      </c>
      <c r="B11" s="41" t="s">
        <v>32</v>
      </c>
      <c r="C11" s="42" t="s">
        <v>23</v>
      </c>
      <c r="D11" s="39">
        <v>7.2</v>
      </c>
      <c r="E11" s="39"/>
      <c r="F11" s="39"/>
      <c r="G11" s="39">
        <v>0</v>
      </c>
      <c r="H11" s="34">
        <f t="shared" si="0"/>
        <v>0</v>
      </c>
      <c r="I11" s="49">
        <f>D11+'26.1'!I11</f>
        <v>16.2</v>
      </c>
      <c r="J11" s="49">
        <f>E11+'26.1'!J11</f>
        <v>0</v>
      </c>
      <c r="K11" s="49">
        <f>F11+'26.1'!K11</f>
        <v>0</v>
      </c>
      <c r="L11" s="49">
        <f>G11+'26.1'!L11</f>
        <v>0</v>
      </c>
      <c r="M11" s="34">
        <f t="shared" si="1"/>
        <v>0</v>
      </c>
    </row>
    <row r="12" s="2" customFormat="1" ht="18" customHeight="1" spans="1:14">
      <c r="A12" s="27" t="s">
        <v>33</v>
      </c>
      <c r="B12" s="41" t="s">
        <v>34</v>
      </c>
      <c r="C12" s="42" t="s">
        <v>23</v>
      </c>
      <c r="D12" s="44">
        <f>D13+D14</f>
        <v>15846.3396937683</v>
      </c>
      <c r="E12" s="44">
        <f>E13+E14</f>
        <v>5410.719</v>
      </c>
      <c r="F12" s="44">
        <f>F13+F14</f>
        <v>0</v>
      </c>
      <c r="G12" s="44">
        <f>G13+G14</f>
        <v>278.493227581579</v>
      </c>
      <c r="H12" s="34">
        <f t="shared" si="0"/>
        <v>5689.21222758158</v>
      </c>
      <c r="I12" s="49">
        <f>D12+'26.1'!I12</f>
        <v>43472.2579475284</v>
      </c>
      <c r="J12" s="49">
        <f>E12+'26.1'!J12</f>
        <v>13036.909</v>
      </c>
      <c r="K12" s="49">
        <f>F12+'26.1'!K12</f>
        <v>0</v>
      </c>
      <c r="L12" s="49">
        <f>G12+'26.1'!L12</f>
        <v>620.280370522607</v>
      </c>
      <c r="M12" s="34">
        <f t="shared" si="1"/>
        <v>13657.1893705226</v>
      </c>
    </row>
    <row r="13" s="2" customFormat="1" ht="18" customHeight="1" spans="1:14">
      <c r="A13" s="27"/>
      <c r="B13" s="41" t="s">
        <v>35</v>
      </c>
      <c r="C13" s="42" t="s">
        <v>23</v>
      </c>
      <c r="D13" s="39">
        <v>15835.8485737683</v>
      </c>
      <c r="E13" s="39">
        <v>5410.719</v>
      </c>
      <c r="F13" s="39"/>
      <c r="G13" s="44">
        <v>278.493227581579</v>
      </c>
      <c r="H13" s="47"/>
      <c r="I13" s="49">
        <f>D13+'26.1'!I13</f>
        <v>43448.6529275284</v>
      </c>
      <c r="J13" s="49">
        <f>E13+'26.1'!J13</f>
        <v>13036.909</v>
      </c>
      <c r="K13" s="49">
        <f>F13+'26.1'!K13</f>
        <v>0</v>
      </c>
      <c r="L13" s="49">
        <f>G13+'26.1'!L13</f>
        <v>620.280370522607</v>
      </c>
      <c r="M13" s="47"/>
    </row>
    <row r="14" s="2" customFormat="1" ht="18" customHeight="1" spans="1:14">
      <c r="A14" s="27"/>
      <c r="B14" s="41" t="s">
        <v>36</v>
      </c>
      <c r="C14" s="42" t="s">
        <v>23</v>
      </c>
      <c r="D14" s="44">
        <v>10.49112</v>
      </c>
      <c r="E14" s="39"/>
      <c r="F14" s="39"/>
      <c r="G14" s="39"/>
      <c r="H14" s="47"/>
      <c r="I14" s="49">
        <f>D14+'26.1'!I14</f>
        <v>23.60502</v>
      </c>
      <c r="J14" s="49">
        <f>E14+'26.1'!J14</f>
        <v>0</v>
      </c>
      <c r="K14" s="49">
        <f>F14+'26.1'!K14</f>
        <v>0</v>
      </c>
      <c r="L14" s="49">
        <f>G14+'26.1'!L14</f>
        <v>0</v>
      </c>
      <c r="M14" s="47"/>
    </row>
    <row r="15" s="2" customFormat="1" ht="18" customHeight="1" spans="1:14">
      <c r="A15" s="27" t="s">
        <v>37</v>
      </c>
      <c r="B15" s="41" t="s">
        <v>38</v>
      </c>
      <c r="C15" s="42" t="s">
        <v>23</v>
      </c>
      <c r="D15" s="39">
        <v>9098</v>
      </c>
      <c r="E15" s="48">
        <v>20635</v>
      </c>
      <c r="F15" s="38"/>
      <c r="G15" s="33">
        <v>48396</v>
      </c>
      <c r="H15" s="34"/>
      <c r="I15" s="49">
        <f>D15+'26.1'!I15</f>
        <v>23540</v>
      </c>
      <c r="J15" s="49">
        <f>E15+'26.1'!J15</f>
        <v>43463</v>
      </c>
      <c r="K15" s="49">
        <f>F15+'26.1'!K15</f>
        <v>0</v>
      </c>
      <c r="L15" s="49">
        <f>G15+'26.1'!L15</f>
        <v>97382</v>
      </c>
      <c r="M15" s="34">
        <f>J15+K15+L15</f>
        <v>140845</v>
      </c>
    </row>
    <row r="16" s="2" customFormat="1" ht="18" customHeight="1" spans="1:14">
      <c r="A16" s="27"/>
      <c r="B16" s="41" t="s">
        <v>39</v>
      </c>
      <c r="C16" s="42" t="s">
        <v>23</v>
      </c>
      <c r="D16" s="39">
        <v>2675</v>
      </c>
      <c r="E16" s="48"/>
      <c r="F16" s="38"/>
      <c r="G16" s="38"/>
      <c r="H16" s="34"/>
      <c r="I16" s="49">
        <f>D16+'26.1'!I16</f>
        <v>2975</v>
      </c>
      <c r="J16" s="49">
        <f>E16+'26.1'!J16</f>
        <v>0</v>
      </c>
      <c r="K16" s="49">
        <f>F16+'26.1'!K16</f>
        <v>0</v>
      </c>
      <c r="L16" s="49">
        <f>G16+'26.1'!L16</f>
        <v>0</v>
      </c>
      <c r="M16" s="34">
        <f>J16+K16+L16</f>
        <v>0</v>
      </c>
    </row>
    <row r="17" s="2" customFormat="1" ht="18" customHeight="1" spans="1:14">
      <c r="A17" s="27" t="s">
        <v>40</v>
      </c>
      <c r="B17" s="41" t="s">
        <v>41</v>
      </c>
      <c r="C17" s="42" t="s">
        <v>42</v>
      </c>
      <c r="D17" s="44">
        <f>D18+D19</f>
        <v>3033878.4</v>
      </c>
      <c r="E17" s="48">
        <v>1499873.9</v>
      </c>
      <c r="F17" s="38"/>
      <c r="G17" s="33">
        <v>1076566</v>
      </c>
      <c r="H17" s="34"/>
      <c r="I17" s="49">
        <f>D17+'26.1'!I17</f>
        <v>8122792</v>
      </c>
      <c r="J17" s="49">
        <f>E17+'26.1'!J17</f>
        <v>3287588</v>
      </c>
      <c r="K17" s="49"/>
      <c r="L17" s="49">
        <f>G17+'26.1'!L17</f>
        <v>2263757.5</v>
      </c>
      <c r="M17" s="34">
        <f>J17+K17+L17</f>
        <v>5551345.5</v>
      </c>
    </row>
    <row r="18" s="2" customFormat="1" ht="18" customHeight="1" spans="1:14">
      <c r="A18" s="27"/>
      <c r="B18" s="41" t="s">
        <v>43</v>
      </c>
      <c r="C18" s="42" t="s">
        <v>42</v>
      </c>
      <c r="D18" s="39">
        <v>3033878.4</v>
      </c>
      <c r="E18" s="48"/>
      <c r="F18" s="38"/>
      <c r="G18" s="38"/>
      <c r="H18" s="47"/>
      <c r="I18" s="49">
        <f>D18+'26.1'!I18</f>
        <v>8122792</v>
      </c>
      <c r="J18" s="49">
        <f>E18+'26.1'!J18</f>
        <v>0</v>
      </c>
      <c r="K18" s="49">
        <f>F18+'26.1'!K18</f>
        <v>0</v>
      </c>
      <c r="L18" s="49">
        <f>G18+'26.1'!L18</f>
        <v>0</v>
      </c>
      <c r="M18" s="47"/>
    </row>
    <row r="19" s="2" customFormat="1" ht="18" customHeight="1" spans="1:14">
      <c r="A19" s="27"/>
      <c r="B19" s="41" t="s">
        <v>44</v>
      </c>
      <c r="C19" s="42" t="s">
        <v>42</v>
      </c>
      <c r="D19" s="39">
        <v>0</v>
      </c>
      <c r="E19" s="33">
        <f>E17</f>
        <v>1499873.9</v>
      </c>
      <c r="F19" s="33">
        <f>F17</f>
        <v>0</v>
      </c>
      <c r="G19" s="33">
        <f>G17</f>
        <v>1076566</v>
      </c>
      <c r="H19" s="47"/>
      <c r="I19" s="49">
        <f>D19+'26.1'!I19</f>
        <v>0</v>
      </c>
      <c r="J19" s="49">
        <f>E19+'26.1'!J19</f>
        <v>1499873.9</v>
      </c>
      <c r="K19" s="49">
        <f>F19+'26.1'!K19</f>
        <v>0</v>
      </c>
      <c r="L19" s="49">
        <f>G19+'26.1'!L19</f>
        <v>2263757.5</v>
      </c>
      <c r="M19" s="47"/>
    </row>
    <row r="20" s="2" customFormat="1" ht="18" customHeight="1" spans="1:14">
      <c r="A20" s="27"/>
      <c r="B20" s="41" t="s">
        <v>45</v>
      </c>
      <c r="C20" s="42" t="s">
        <v>23</v>
      </c>
      <c r="D20" s="39">
        <v>8425</v>
      </c>
      <c r="E20" s="48"/>
      <c r="F20" s="38"/>
      <c r="G20" s="38"/>
      <c r="H20" s="47"/>
      <c r="I20" s="49">
        <f>D20+'26.1'!I20</f>
        <v>21425</v>
      </c>
      <c r="J20" s="49">
        <f>E20+'26.1'!J20</f>
        <v>0</v>
      </c>
      <c r="K20" s="49">
        <f>F20+'26.1'!K20</f>
        <v>0</v>
      </c>
      <c r="L20" s="49">
        <f>G20+'26.1'!L20</f>
        <v>0</v>
      </c>
      <c r="M20" s="47"/>
    </row>
    <row r="21" s="2" customFormat="1" ht="18" customHeight="1" spans="1:14">
      <c r="A21" s="27"/>
      <c r="B21" s="41" t="s">
        <v>46</v>
      </c>
      <c r="C21" s="42" t="s">
        <v>42</v>
      </c>
      <c r="D21" s="39">
        <v>358589.699999999</v>
      </c>
      <c r="E21" s="48"/>
      <c r="F21" s="38"/>
      <c r="G21" s="38"/>
      <c r="H21" s="47"/>
      <c r="I21" s="49">
        <f>D21+'26.1'!I21</f>
        <v>929610.099999999</v>
      </c>
      <c r="J21" s="49">
        <f>E21+'26.1'!J21</f>
        <v>0</v>
      </c>
      <c r="K21" s="49">
        <f>F21+'26.1'!K21</f>
        <v>0</v>
      </c>
      <c r="L21" s="49">
        <f>G21+'26.1'!L21</f>
        <v>0</v>
      </c>
      <c r="M21" s="47"/>
    </row>
    <row r="22" s="2" customFormat="1" ht="14" spans="1:14">
      <c r="A22" s="51" t="s">
        <v>47</v>
      </c>
      <c r="B22" s="52" t="s">
        <v>48</v>
      </c>
      <c r="C22" s="53" t="s">
        <v>23</v>
      </c>
      <c r="D22" s="33">
        <v>337.22</v>
      </c>
      <c r="E22" s="54">
        <v>25.18</v>
      </c>
      <c r="F22" s="54"/>
      <c r="G22" s="54">
        <v>5.45</v>
      </c>
      <c r="H22" s="55"/>
      <c r="I22" s="49">
        <f>D22+'26.1'!I22</f>
        <v>1071.51</v>
      </c>
      <c r="J22" s="49">
        <f>E22+'26.1'!J22</f>
        <v>69.155</v>
      </c>
      <c r="K22" s="49">
        <f>F22+'26.1'!K22</f>
        <v>0</v>
      </c>
      <c r="L22" s="49">
        <f>G22+'26.1'!L22</f>
        <v>13.375</v>
      </c>
      <c r="M22" s="56">
        <f>J22+K22+L22</f>
        <v>82.53</v>
      </c>
      <c r="N22" s="1"/>
    </row>
    <row r="23" s="2" customFormat="1" ht="21" customHeight="1" spans="1:14">
      <c r="A23" s="51" t="s">
        <v>49</v>
      </c>
      <c r="B23" s="52" t="s">
        <v>50</v>
      </c>
      <c r="C23" s="53" t="s">
        <v>23</v>
      </c>
      <c r="D23" s="33">
        <v>117.97</v>
      </c>
      <c r="E23" s="54">
        <v>20.65</v>
      </c>
      <c r="F23" s="54"/>
      <c r="G23" s="54">
        <v>2.1</v>
      </c>
      <c r="H23" s="55"/>
      <c r="I23" s="49">
        <f>D23+'26.1'!I23</f>
        <v>371.77</v>
      </c>
      <c r="J23" s="49">
        <f>E23+'26.1'!J23</f>
        <v>49.29</v>
      </c>
      <c r="K23" s="49">
        <f>F23+'26.1'!K23</f>
        <v>0</v>
      </c>
      <c r="L23" s="49">
        <f>G23+'26.1'!L23</f>
        <v>4.025</v>
      </c>
      <c r="M23" s="56">
        <f>J23+K23+L23</f>
        <v>53.315</v>
      </c>
      <c r="N23" s="1"/>
    </row>
    <row r="24" s="2" customFormat="1" ht="18" customHeight="1" spans="1:14">
      <c r="A24" s="51" t="s">
        <v>51</v>
      </c>
      <c r="B24" s="41" t="s">
        <v>52</v>
      </c>
      <c r="C24" s="42" t="s">
        <v>53</v>
      </c>
      <c r="D24" s="57">
        <f t="shared" ref="D24:M24" si="2">D17/D8</f>
        <v>7.09599483566757</v>
      </c>
      <c r="E24" s="57">
        <f t="shared" si="2"/>
        <v>13.5118727035664</v>
      </c>
      <c r="F24" s="57" t="e">
        <f t="shared" si="2"/>
        <v>#DIV/0!</v>
      </c>
      <c r="G24" s="57">
        <f t="shared" si="2"/>
        <v>5.81395669097326</v>
      </c>
      <c r="H24" s="58">
        <f t="shared" si="2"/>
        <v>0</v>
      </c>
      <c r="I24" s="59">
        <f t="shared" si="2"/>
        <v>6.95290937447036</v>
      </c>
      <c r="J24" s="57">
        <f t="shared" si="2"/>
        <v>12.2918684050483</v>
      </c>
      <c r="K24" s="57" t="e">
        <f t="shared" si="2"/>
        <v>#DIV/0!</v>
      </c>
      <c r="L24" s="57">
        <f t="shared" si="2"/>
        <v>5.13454669523069</v>
      </c>
      <c r="M24" s="58">
        <f t="shared" si="2"/>
        <v>7.83703242251122</v>
      </c>
    </row>
    <row r="25" s="2" customFormat="1" ht="18" customHeight="1" spans="1:14">
      <c r="A25" s="51" t="s">
        <v>54</v>
      </c>
      <c r="B25" s="41" t="s">
        <v>55</v>
      </c>
      <c r="C25" s="42" t="s">
        <v>56</v>
      </c>
      <c r="D25" s="57">
        <f t="shared" ref="D25:M25" si="3">D12*1000/D8</f>
        <v>37.0632997786642</v>
      </c>
      <c r="E25" s="57">
        <f t="shared" si="3"/>
        <v>48.7433952699409</v>
      </c>
      <c r="F25" s="57" t="e">
        <f t="shared" si="3"/>
        <v>#DIV/0!</v>
      </c>
      <c r="G25" s="57">
        <f t="shared" si="3"/>
        <v>1.50399284752506</v>
      </c>
      <c r="H25" s="58">
        <f t="shared" si="3"/>
        <v>19.2090589183784</v>
      </c>
      <c r="I25" s="59">
        <f t="shared" si="3"/>
        <v>37.2111793349829</v>
      </c>
      <c r="J25" s="57">
        <f t="shared" si="3"/>
        <v>48.7433248438034</v>
      </c>
      <c r="K25" s="57" t="e">
        <f t="shared" si="3"/>
        <v>#DIV/0!</v>
      </c>
      <c r="L25" s="57">
        <f t="shared" si="3"/>
        <v>1.40689032574528</v>
      </c>
      <c r="M25" s="58">
        <f t="shared" si="3"/>
        <v>19.2803412969272</v>
      </c>
    </row>
    <row r="26" s="3" customFormat="1" ht="18" customHeight="1" spans="1:14">
      <c r="A26" s="51" t="s">
        <v>57</v>
      </c>
      <c r="B26" s="41" t="s">
        <v>58</v>
      </c>
      <c r="C26" s="60" t="s">
        <v>23</v>
      </c>
      <c r="D26" s="33">
        <v>7772</v>
      </c>
      <c r="E26" s="61">
        <v>3783</v>
      </c>
      <c r="F26" s="62"/>
      <c r="G26" s="33">
        <v>0</v>
      </c>
      <c r="H26" s="63"/>
      <c r="I26" s="49">
        <f>D26+'26.1'!I26</f>
        <v>23988</v>
      </c>
      <c r="J26" s="49">
        <f>E26+'26.1'!J26</f>
        <v>13379</v>
      </c>
      <c r="K26" s="49">
        <f>F26+'26.1'!K26</f>
        <v>0</v>
      </c>
      <c r="L26" s="49">
        <f>G26+'26.1'!L26</f>
        <v>119</v>
      </c>
      <c r="M26" s="63">
        <f>J26+K26+L26</f>
        <v>13498</v>
      </c>
    </row>
    <row r="27" s="3" customFormat="1" ht="18" customHeight="1" spans="1:14">
      <c r="A27" s="51" t="s">
        <v>59</v>
      </c>
      <c r="B27" s="41" t="s">
        <v>60</v>
      </c>
      <c r="C27" s="60" t="s">
        <v>23</v>
      </c>
      <c r="D27" s="48">
        <v>8211</v>
      </c>
      <c r="E27" s="64">
        <f>J27</f>
        <v>4292.7</v>
      </c>
      <c r="F27" s="64">
        <f>K27</f>
        <v>0</v>
      </c>
      <c r="G27" s="64">
        <f>L27</f>
        <v>296.500000000023</v>
      </c>
      <c r="H27" s="65"/>
      <c r="I27" s="66">
        <f>D27</f>
        <v>8211</v>
      </c>
      <c r="J27" s="191">
        <f>'26.1'!J27+E26-E10</f>
        <v>4292.7</v>
      </c>
      <c r="K27" s="191">
        <f>'26.1'!K27+F26-F10</f>
        <v>0</v>
      </c>
      <c r="L27" s="191">
        <f>'26.1'!L27+G26-G10</f>
        <v>296.500000000023</v>
      </c>
      <c r="M27" s="68">
        <f>J27+K27+L27</f>
        <v>4589.20000000002</v>
      </c>
    </row>
    <row r="28" s="2" customFormat="1" ht="18" customHeight="1" spans="1:14">
      <c r="A28" s="51" t="s">
        <v>61</v>
      </c>
      <c r="B28" s="41" t="s">
        <v>62</v>
      </c>
      <c r="C28" s="42" t="s">
        <v>63</v>
      </c>
      <c r="D28" s="69">
        <f>D13*29308/D10</f>
        <v>19849.330681721</v>
      </c>
      <c r="E28" s="69">
        <f>E12*29308/E10</f>
        <v>17627.5402903513</v>
      </c>
      <c r="F28" s="69" t="e">
        <f>F12*29308/F10</f>
        <v>#DIV/0!</v>
      </c>
      <c r="G28" s="69">
        <f>G12*29308/G10</f>
        <v>19526.5060142606</v>
      </c>
      <c r="H28" s="69">
        <f>H12*29308/H10</f>
        <v>17711.8580800893</v>
      </c>
      <c r="I28" s="70">
        <f>I13*29308/I10</f>
        <v>19227.9938392777</v>
      </c>
      <c r="J28" s="44">
        <f>J12*29308/J10</f>
        <v>17643.4119399704</v>
      </c>
      <c r="K28" s="44" t="e">
        <f>K12*29308/K10</f>
        <v>#DIV/0!</v>
      </c>
      <c r="L28" s="44">
        <f>L12*29308/L10</f>
        <v>19526.5060142605</v>
      </c>
      <c r="M28" s="69">
        <f>M12*29308/M10</f>
        <v>17721.0300646955</v>
      </c>
    </row>
    <row r="29" s="2" customFormat="1" ht="18" customHeight="1" spans="1:14">
      <c r="A29" s="51" t="s">
        <v>64</v>
      </c>
      <c r="B29" s="41" t="s">
        <v>65</v>
      </c>
      <c r="C29" s="42" t="s">
        <v>63</v>
      </c>
      <c r="D29" s="71"/>
      <c r="E29" s="39">
        <v>17627.5402903513</v>
      </c>
      <c r="F29" s="39"/>
      <c r="G29" s="72"/>
      <c r="H29" s="73"/>
      <c r="I29" s="74"/>
      <c r="J29" s="39">
        <v>17643.4119399704</v>
      </c>
      <c r="K29" s="39"/>
      <c r="L29" s="72"/>
      <c r="M29" s="73"/>
    </row>
    <row r="30" s="2" customFormat="1" ht="18" customHeight="1" spans="1:14">
      <c r="A30" s="51" t="s">
        <v>66</v>
      </c>
      <c r="B30" s="41" t="s">
        <v>67</v>
      </c>
      <c r="C30" s="75" t="s">
        <v>68</v>
      </c>
      <c r="D30" s="76">
        <f>D8/(D12*29.308)</f>
        <v>0.920597380500923</v>
      </c>
      <c r="E30" s="76">
        <f>E8/(E12*29.308)</f>
        <v>0.7</v>
      </c>
      <c r="F30" s="76" t="e">
        <f>F8/(F12*29.308)</f>
        <v>#DIV/0!</v>
      </c>
      <c r="G30" s="77">
        <f>(G8-G36)/(G12*29.308)</f>
        <v>0.600000280764656</v>
      </c>
      <c r="H30" s="77">
        <f t="shared" ref="H30:M30" si="4">H8/(H12*29.308)</f>
        <v>1.77626487762572</v>
      </c>
      <c r="I30" s="78">
        <f t="shared" si="4"/>
        <v>0.916938868875932</v>
      </c>
      <c r="J30" s="76">
        <f t="shared" si="4"/>
        <v>0.700001011385589</v>
      </c>
      <c r="K30" s="76" t="e">
        <f t="shared" si="4"/>
        <v>#DIV/0!</v>
      </c>
      <c r="L30" s="76">
        <f t="shared" si="4"/>
        <v>24.2523358534603</v>
      </c>
      <c r="M30" s="77">
        <f t="shared" si="4"/>
        <v>1.76969775397059</v>
      </c>
    </row>
    <row r="31" s="2" customFormat="1" ht="18" customHeight="1" spans="1:14">
      <c r="A31" s="51" t="s">
        <v>69</v>
      </c>
      <c r="B31" s="41" t="s">
        <v>70</v>
      </c>
      <c r="C31" s="75" t="s">
        <v>68</v>
      </c>
      <c r="D31" s="193">
        <f>D8/3.6/D3/(DAY(DATE(2026,3,0))*24)</f>
        <v>0.507848134464514</v>
      </c>
      <c r="E31" s="193">
        <f>E8/3.6/E3/(DAY(DATE(2026,3,0))*24)</f>
        <v>0.283238583912037</v>
      </c>
      <c r="F31" s="193" t="e">
        <f>F8/3.6/F3/(DAY(DATE(2026,3,0))*24)</f>
        <v>#DIV/0!</v>
      </c>
      <c r="G31" s="193">
        <f>(G8-G36)/3.6/G3/(DAY(DATE(2026,3,0))*24)</f>
        <v>0.144594730253212</v>
      </c>
      <c r="H31" s="203">
        <f>H8/3.6/H3/(DAY(DATE(2026,3,0))*24)</f>
        <v>0.69560325332097</v>
      </c>
      <c r="I31" s="204">
        <f>I8/3.6/I3/(DATEDIF(DATE(2026,1,1),DATE(2026,3,1),"D")*24)</f>
        <v>0.658557599339062</v>
      </c>
      <c r="J31" s="193">
        <f>J8/3.6/J3/(DATEDIF(DATE(2026,1,1),DATE(2026,3,1),"D")*24)</f>
        <v>0.323875961861985</v>
      </c>
      <c r="K31" s="193" t="e">
        <f>K8/3.6/K3/(DATEDIF(DATE(2026,1,1),DATE(2026,3,1),"D")*24)</f>
        <v>#DIV/0!</v>
      </c>
      <c r="L31" s="193">
        <f>(L8-L36)/3.6/L3/(DATEDIF(DATE(2026,1,1),DATE(2026,3,1),"D")*24)</f>
        <v>0.152838150042443</v>
      </c>
      <c r="M31" s="203">
        <f>M8/3.6/M3/(DATEDIF(DATE(2026,1,1),DATE(2026,3,1),"D")*24)</f>
        <v>0.789529191620019</v>
      </c>
    </row>
    <row r="32" s="2" customFormat="1" ht="18" customHeight="1" spans="1:14">
      <c r="A32" s="51" t="s">
        <v>71</v>
      </c>
      <c r="B32" s="41" t="s">
        <v>72</v>
      </c>
      <c r="C32" s="42" t="s">
        <v>73</v>
      </c>
      <c r="D32" s="82"/>
      <c r="E32" s="83">
        <f>E8/E6</f>
        <v>0.0627167583745779</v>
      </c>
      <c r="F32" s="83" t="e">
        <f>F8/F6</f>
        <v>#DIV/0!</v>
      </c>
      <c r="G32" s="83">
        <f>G8/G6</f>
        <v>0.0800624343374692</v>
      </c>
      <c r="H32" s="83">
        <f>H8/H6</f>
        <v>0.0725428254982298</v>
      </c>
      <c r="I32" s="84"/>
      <c r="J32" s="83">
        <f>J8/J6</f>
        <v>0.151113715764935</v>
      </c>
      <c r="K32" s="83" t="e">
        <f>K8/K6</f>
        <v>#DIV/0!</v>
      </c>
      <c r="L32" s="83">
        <f>L8/L6</f>
        <v>0.190628450477549</v>
      </c>
      <c r="M32" s="85">
        <f>M8/M6</f>
        <v>0.173498224531852</v>
      </c>
    </row>
    <row r="33" s="2" customFormat="1" ht="18" customHeight="1" spans="1:13">
      <c r="A33" s="51" t="s">
        <v>74</v>
      </c>
      <c r="B33" s="41" t="s">
        <v>75</v>
      </c>
      <c r="C33" s="42" t="s">
        <v>76</v>
      </c>
      <c r="D33" s="86"/>
      <c r="E33" s="87">
        <f>E12*1000/E6</f>
        <v>3.05702774350143</v>
      </c>
      <c r="F33" s="87" t="e">
        <f>F12*1000/F6</f>
        <v>#DIV/0!</v>
      </c>
      <c r="G33" s="87">
        <f>G12*1000/G6</f>
        <v>0.120413328598998</v>
      </c>
      <c r="H33" s="88">
        <f>H12*1000/H6</f>
        <v>1.39347940910114</v>
      </c>
      <c r="I33" s="89"/>
      <c r="J33" s="87">
        <f>J12*1000/J6</f>
        <v>7.3657849358844</v>
      </c>
      <c r="K33" s="87" t="e">
        <f>K12*1000/K6</f>
        <v>#DIV/0!</v>
      </c>
      <c r="L33" s="87">
        <f>L12*1000/L6</f>
        <v>0.268193322788677</v>
      </c>
      <c r="M33" s="88">
        <f>M12*1000/M6</f>
        <v>3.34510498338503</v>
      </c>
    </row>
    <row r="34" s="2" customFormat="1" ht="18" customHeight="1" spans="1:13">
      <c r="A34" s="51" t="s">
        <v>77</v>
      </c>
      <c r="B34" s="41" t="s">
        <v>78</v>
      </c>
      <c r="C34" s="42" t="s">
        <v>79</v>
      </c>
      <c r="D34" s="90"/>
      <c r="E34" s="87">
        <f>E17/E6</f>
        <v>0.847420855537626</v>
      </c>
      <c r="F34" s="87" t="e">
        <f>F17/F6</f>
        <v>#DIV/0!</v>
      </c>
      <c r="G34" s="87">
        <f>G17/G6</f>
        <v>0.465479525811936</v>
      </c>
      <c r="H34" s="88">
        <f>H17/H6</f>
        <v>0</v>
      </c>
      <c r="I34" s="91"/>
      <c r="J34" s="87">
        <f>J17/J6</f>
        <v>1.85746990838045</v>
      </c>
      <c r="K34" s="87" t="e">
        <f>K17/K6</f>
        <v>#DIV/0!</v>
      </c>
      <c r="L34" s="87">
        <f>L17/L6</f>
        <v>0.978790680416448</v>
      </c>
      <c r="M34" s="88">
        <f>M17/M6</f>
        <v>1.35971121090426</v>
      </c>
    </row>
    <row r="35" s="2" customFormat="1" ht="18" customHeight="1" spans="1:13">
      <c r="A35" s="92" t="s">
        <v>80</v>
      </c>
      <c r="B35" s="93" t="s">
        <v>81</v>
      </c>
      <c r="C35" s="94" t="s">
        <v>76</v>
      </c>
      <c r="D35" s="95"/>
      <c r="E35" s="96">
        <f>E15*1000/E6</f>
        <v>11.6586663412297</v>
      </c>
      <c r="F35" s="96" t="e">
        <f>F15*1000/F6</f>
        <v>#DIV/0!</v>
      </c>
      <c r="G35" s="96">
        <f>G15*1000/G6</f>
        <v>20.9251891023815</v>
      </c>
      <c r="H35" s="97">
        <f>H15*1000/H6</f>
        <v>0</v>
      </c>
      <c r="I35" s="98"/>
      <c r="J35" s="96">
        <f>J15*1000/J6</f>
        <v>24.5563661346676</v>
      </c>
      <c r="K35" s="96" t="e">
        <f>K15*1000/K6</f>
        <v>#DIV/0!</v>
      </c>
      <c r="L35" s="96">
        <f>L15*1000/L6</f>
        <v>42.1054790719918</v>
      </c>
      <c r="M35" s="97">
        <f>M15*1000/M6</f>
        <v>34.4976772747814</v>
      </c>
    </row>
    <row r="36" s="2" customFormat="1" ht="21" customHeight="1" spans="1:13">
      <c r="A36" s="99"/>
      <c r="B36" s="100" t="s">
        <v>82</v>
      </c>
      <c r="C36" s="101" t="s">
        <v>26</v>
      </c>
      <c r="D36" s="102"/>
      <c r="E36" s="102"/>
      <c r="F36" s="102"/>
      <c r="G36" s="102">
        <v>180272</v>
      </c>
      <c r="H36" s="102"/>
      <c r="I36" s="102"/>
      <c r="J36" s="102"/>
      <c r="K36" s="102"/>
      <c r="L36" s="102">
        <f>G36+'26.1'!G36</f>
        <v>429980</v>
      </c>
      <c r="M36" s="102"/>
    </row>
    <row r="37" s="1" customFormat="1" ht="29.25" customHeight="1" spans="1:13">
      <c r="A37" s="103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3">
      <c r="A38" s="104" t="s">
        <v>0</v>
      </c>
      <c r="B38" s="105" t="s">
        <v>85</v>
      </c>
      <c r="C38" s="105" t="s">
        <v>2</v>
      </c>
      <c r="D38" s="106" t="s">
        <v>86</v>
      </c>
      <c r="E38" s="107" t="s">
        <v>87</v>
      </c>
      <c r="F38" s="2"/>
      <c r="G38" s="2"/>
      <c r="H38" s="2"/>
    </row>
    <row r="39" s="1" customFormat="1" ht="27.95" customHeight="1" spans="1:13">
      <c r="A39" s="27" t="s">
        <v>11</v>
      </c>
      <c r="B39" s="28" t="s">
        <v>12</v>
      </c>
      <c r="C39" s="29" t="s">
        <v>13</v>
      </c>
      <c r="D39" s="108">
        <v>0.55</v>
      </c>
      <c r="E39" s="109">
        <v>0.55</v>
      </c>
      <c r="F39" s="2"/>
      <c r="G39" s="2"/>
      <c r="H39" s="2"/>
    </row>
    <row r="40" s="1" customFormat="1" ht="27.95" customHeight="1" spans="1:13">
      <c r="A40" s="27" t="s">
        <v>14</v>
      </c>
      <c r="B40" s="28" t="s">
        <v>88</v>
      </c>
      <c r="C40" s="29" t="s">
        <v>16</v>
      </c>
      <c r="D40" s="110">
        <v>7625.06</v>
      </c>
      <c r="E40" s="111">
        <f>D40</f>
        <v>7625.06</v>
      </c>
      <c r="F40" s="2"/>
      <c r="G40" s="2"/>
      <c r="H40" s="2"/>
    </row>
    <row r="41" s="1" customFormat="1" ht="27.95" customHeight="1" spans="1:13">
      <c r="A41" s="27" t="s">
        <v>19</v>
      </c>
      <c r="B41" s="28" t="s">
        <v>89</v>
      </c>
      <c r="C41" s="29" t="s">
        <v>16</v>
      </c>
      <c r="D41" s="112">
        <v>7625.06</v>
      </c>
      <c r="E41" s="113">
        <f>D41</f>
        <v>7625.06</v>
      </c>
      <c r="F41" s="2"/>
      <c r="G41" s="2"/>
      <c r="H41" s="2"/>
    </row>
    <row r="42" s="1" customFormat="1" ht="27.95" customHeight="1" spans="1:13">
      <c r="A42" s="27" t="s">
        <v>21</v>
      </c>
      <c r="B42" s="41" t="s">
        <v>25</v>
      </c>
      <c r="C42" s="42" t="s">
        <v>26</v>
      </c>
      <c r="D42" s="114">
        <v>448</v>
      </c>
      <c r="E42" s="195">
        <f>D42+'26.1'!E42</f>
        <v>889</v>
      </c>
      <c r="F42" s="2"/>
      <c r="G42" s="2"/>
      <c r="H42" s="2"/>
    </row>
    <row r="43" s="1" customFormat="1" ht="27.95" customHeight="1" spans="1:13">
      <c r="A43" s="27" t="s">
        <v>24</v>
      </c>
      <c r="B43" s="41" t="s">
        <v>38</v>
      </c>
      <c r="C43" s="42" t="s">
        <v>23</v>
      </c>
      <c r="D43" s="110">
        <v>7</v>
      </c>
      <c r="E43" s="195">
        <f>D43+'26.1'!E43</f>
        <v>10</v>
      </c>
      <c r="F43" s="2"/>
      <c r="G43" s="2"/>
      <c r="H43" s="2"/>
    </row>
    <row r="44" s="1" customFormat="1" ht="27.95" customHeight="1" spans="1:13">
      <c r="A44" s="27" t="s">
        <v>27</v>
      </c>
      <c r="B44" s="41" t="s">
        <v>41</v>
      </c>
      <c r="C44" s="42" t="s">
        <v>42</v>
      </c>
      <c r="D44" s="110">
        <v>134823.999999999</v>
      </c>
      <c r="E44" s="195">
        <f>D44+'26.1'!E44</f>
        <v>267664</v>
      </c>
      <c r="F44" s="2"/>
      <c r="G44" s="2"/>
      <c r="H44" s="2"/>
    </row>
    <row r="45" s="1" customFormat="1" ht="27.95" customHeight="1" spans="1:13">
      <c r="A45" s="27"/>
      <c r="B45" s="41" t="s">
        <v>90</v>
      </c>
      <c r="C45" s="42" t="s">
        <v>42</v>
      </c>
      <c r="D45" s="110">
        <f>D44</f>
        <v>134823.999999999</v>
      </c>
      <c r="E45" s="195">
        <f>D45+'26.1'!E45</f>
        <v>267664</v>
      </c>
      <c r="F45" s="2"/>
      <c r="G45" s="2"/>
      <c r="H45" s="2"/>
    </row>
    <row r="46" s="1" customFormat="1" ht="27.95" customHeight="1" spans="1:13">
      <c r="A46" s="27" t="s">
        <v>29</v>
      </c>
      <c r="B46" s="41" t="s">
        <v>52</v>
      </c>
      <c r="C46" s="42" t="s">
        <v>53</v>
      </c>
      <c r="D46" s="116">
        <f>D44/D42</f>
        <v>300.946428571426</v>
      </c>
      <c r="E46" s="117">
        <f>E44/E42</f>
        <v>301.084364454443</v>
      </c>
      <c r="F46" s="2"/>
      <c r="G46" s="2"/>
      <c r="H46" s="2"/>
    </row>
    <row r="47" s="1" customFormat="1" ht="27.95" customHeight="1" spans="1:13">
      <c r="A47" s="27" t="s">
        <v>31</v>
      </c>
      <c r="B47" s="41" t="s">
        <v>70</v>
      </c>
      <c r="C47" s="75" t="s">
        <v>68</v>
      </c>
      <c r="D47" s="205">
        <f>D42/3.6/D39/(DAY(DATE(2026,3,0))*24)</f>
        <v>0.336700336700337</v>
      </c>
      <c r="E47" s="206">
        <f>E42/3.6/E39/(DATEDIF(DATE(2026,1,1),DATE(2026,3,1),"D")*24)</f>
        <v>0.317083261998516</v>
      </c>
      <c r="F47" s="2"/>
      <c r="G47" s="2"/>
      <c r="H47" s="2"/>
    </row>
    <row r="48" s="1" customFormat="1" ht="27.95" customHeight="1" spans="1:13">
      <c r="A48" s="27" t="s">
        <v>33</v>
      </c>
      <c r="B48" s="41" t="s">
        <v>72</v>
      </c>
      <c r="C48" s="42" t="s">
        <v>73</v>
      </c>
      <c r="D48" s="120">
        <f>D42/D41</f>
        <v>0.0587536360369623</v>
      </c>
      <c r="E48" s="121">
        <f>E42/E41</f>
        <v>0.116589246510847</v>
      </c>
      <c r="F48" s="2"/>
      <c r="G48" s="2"/>
      <c r="H48" s="2"/>
    </row>
    <row r="49" s="1" customFormat="1" ht="27.95" customHeight="1" spans="1:10">
      <c r="A49" s="27" t="s">
        <v>37</v>
      </c>
      <c r="B49" s="41" t="s">
        <v>78</v>
      </c>
      <c r="C49" s="42" t="s">
        <v>79</v>
      </c>
      <c r="D49" s="122">
        <f>D44/D41</f>
        <v>17.6816969309093</v>
      </c>
      <c r="E49" s="123">
        <f>E44/E41</f>
        <v>35.1031991879408</v>
      </c>
      <c r="F49" s="2"/>
      <c r="G49" s="2"/>
      <c r="H49" s="2"/>
    </row>
    <row r="50" s="1" customFormat="1" ht="27.95" customHeight="1" spans="1:10">
      <c r="A50" s="124" t="s">
        <v>40</v>
      </c>
      <c r="B50" s="93" t="s">
        <v>81</v>
      </c>
      <c r="C50" s="94" t="s">
        <v>76</v>
      </c>
      <c r="D50" s="125">
        <f>D43*1000/D41</f>
        <v>0.918025563077536</v>
      </c>
      <c r="E50" s="125">
        <f>E43*1000/E41</f>
        <v>1.31146509011077</v>
      </c>
      <c r="F50" s="2"/>
      <c r="G50" s="2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3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26" t="s">
        <v>0</v>
      </c>
      <c r="B53" s="127" t="s">
        <v>85</v>
      </c>
      <c r="C53" s="127" t="s">
        <v>2</v>
      </c>
      <c r="D53" s="106" t="s">
        <v>86</v>
      </c>
      <c r="E53" s="9"/>
      <c r="F53" s="10"/>
      <c r="G53" s="128" t="s">
        <v>87</v>
      </c>
      <c r="H53" s="9"/>
      <c r="I53" s="9"/>
    </row>
    <row r="54" s="1" customFormat="1" ht="31.5" customHeight="1" spans="1:10">
      <c r="A54" s="12"/>
      <c r="B54" s="13"/>
      <c r="C54" s="13"/>
      <c r="D54" s="129" t="s">
        <v>92</v>
      </c>
      <c r="E54" s="129" t="s">
        <v>93</v>
      </c>
      <c r="F54" s="130" t="s">
        <v>9</v>
      </c>
      <c r="G54" s="131" t="s">
        <v>92</v>
      </c>
      <c r="H54" s="129" t="s">
        <v>93</v>
      </c>
      <c r="I54" s="132" t="s">
        <v>9</v>
      </c>
    </row>
    <row r="55" s="1" customFormat="1" ht="27.95" customHeight="1" spans="1:10">
      <c r="A55" s="27" t="s">
        <v>11</v>
      </c>
      <c r="B55" s="28" t="s">
        <v>12</v>
      </c>
      <c r="C55" s="29" t="s">
        <v>13</v>
      </c>
      <c r="D55" s="133">
        <v>6</v>
      </c>
      <c r="E55" s="133">
        <v>6.4</v>
      </c>
      <c r="F55" s="134">
        <f t="shared" ref="F55:F61" si="5">SUM(D55:E55)</f>
        <v>12.4</v>
      </c>
      <c r="G55" s="135">
        <f>D55</f>
        <v>6</v>
      </c>
      <c r="H55" s="136">
        <f>E55</f>
        <v>6.4</v>
      </c>
      <c r="I55" s="136">
        <f t="shared" ref="I55:I61" si="6">SUM(G55:H55)</f>
        <v>12.4</v>
      </c>
    </row>
    <row r="56" s="1" customFormat="1" ht="27.95" customHeight="1" spans="1:10">
      <c r="A56" s="27" t="s">
        <v>14</v>
      </c>
      <c r="B56" s="28" t="s">
        <v>88</v>
      </c>
      <c r="C56" s="29" t="s">
        <v>16</v>
      </c>
      <c r="D56" s="72">
        <v>28895.6</v>
      </c>
      <c r="E56" s="72">
        <v>26350.3</v>
      </c>
      <c r="F56" s="112">
        <f t="shared" si="5"/>
        <v>55245.9</v>
      </c>
      <c r="G56" s="113">
        <f>D56</f>
        <v>28895.6</v>
      </c>
      <c r="H56" s="113">
        <f>E56</f>
        <v>26350.3</v>
      </c>
      <c r="I56" s="68">
        <f t="shared" si="6"/>
        <v>55245.9</v>
      </c>
    </row>
    <row r="57" s="1" customFormat="1" ht="27.95" customHeight="1" spans="1:10">
      <c r="A57" s="27" t="s">
        <v>19</v>
      </c>
      <c r="B57" s="28" t="s">
        <v>89</v>
      </c>
      <c r="C57" s="29" t="s">
        <v>16</v>
      </c>
      <c r="D57" s="68">
        <v>28895.6</v>
      </c>
      <c r="E57" s="68">
        <v>26350.3</v>
      </c>
      <c r="F57" s="112">
        <f t="shared" si="5"/>
        <v>55245.9</v>
      </c>
      <c r="G57" s="113">
        <f>D57</f>
        <v>28895.6</v>
      </c>
      <c r="H57" s="113">
        <f>E57</f>
        <v>26350.3</v>
      </c>
      <c r="I57" s="68">
        <f t="shared" si="6"/>
        <v>55245.9</v>
      </c>
    </row>
    <row r="58" s="1" customFormat="1" ht="27.95" customHeight="1" spans="1:10">
      <c r="A58" s="27" t="s">
        <v>21</v>
      </c>
      <c r="B58" s="41" t="s">
        <v>25</v>
      </c>
      <c r="C58" s="42" t="s">
        <v>26</v>
      </c>
      <c r="D58" s="72">
        <v>1517.8</v>
      </c>
      <c r="E58" s="137">
        <v>2815.2</v>
      </c>
      <c r="F58" s="112">
        <f t="shared" si="5"/>
        <v>4333</v>
      </c>
      <c r="G58" s="197">
        <f>D58+'26.1'!G58</f>
        <v>3813.3</v>
      </c>
      <c r="H58" s="197">
        <f>E58+'26.1'!H58</f>
        <v>6695.80000000001</v>
      </c>
      <c r="I58" s="68">
        <f t="shared" si="6"/>
        <v>10509.1</v>
      </c>
    </row>
    <row r="59" s="1" customFormat="1" ht="27.95" customHeight="1" spans="1:10">
      <c r="A59" s="27" t="s">
        <v>24</v>
      </c>
      <c r="B59" s="41" t="s">
        <v>38</v>
      </c>
      <c r="C59" s="42" t="s">
        <v>23</v>
      </c>
      <c r="D59" s="72">
        <v>329.9</v>
      </c>
      <c r="E59" s="72">
        <v>7.88999999999987</v>
      </c>
      <c r="F59" s="112">
        <f t="shared" si="5"/>
        <v>337.79</v>
      </c>
      <c r="G59" s="197">
        <f>D59+'26.1'!G59</f>
        <v>564.9</v>
      </c>
      <c r="H59" s="197">
        <f>E59+'26.1'!H59</f>
        <v>165.9</v>
      </c>
      <c r="I59" s="68">
        <f t="shared" si="6"/>
        <v>730.8</v>
      </c>
    </row>
    <row r="60" s="1" customFormat="1" ht="27.95" customHeight="1" spans="1:10">
      <c r="A60" s="27" t="s">
        <v>27</v>
      </c>
      <c r="B60" s="41" t="s">
        <v>41</v>
      </c>
      <c r="C60" s="42" t="s">
        <v>42</v>
      </c>
      <c r="D60" s="72">
        <v>477760</v>
      </c>
      <c r="E60" s="72">
        <v>853280</v>
      </c>
      <c r="F60" s="112">
        <f t="shared" si="5"/>
        <v>1331040</v>
      </c>
      <c r="G60" s="197">
        <f>D60+'26.1'!G60</f>
        <v>1184440</v>
      </c>
      <c r="H60" s="197">
        <f>E60+'26.1'!H60</f>
        <v>1991120</v>
      </c>
      <c r="I60" s="68">
        <f t="shared" si="6"/>
        <v>3175560</v>
      </c>
    </row>
    <row r="61" s="1" customFormat="1" ht="27.95" customHeight="1" spans="1:10">
      <c r="A61" s="27"/>
      <c r="B61" s="41" t="s">
        <v>90</v>
      </c>
      <c r="C61" s="42" t="s">
        <v>42</v>
      </c>
      <c r="D61" s="72">
        <v>477760</v>
      </c>
      <c r="E61" s="72">
        <v>853280</v>
      </c>
      <c r="F61" s="112">
        <f t="shared" si="5"/>
        <v>1331040</v>
      </c>
      <c r="G61" s="197">
        <f>D61+'26.1'!G61</f>
        <v>1184440</v>
      </c>
      <c r="H61" s="197">
        <f>E61+'26.1'!H61</f>
        <v>1991120</v>
      </c>
      <c r="I61" s="68">
        <f t="shared" si="6"/>
        <v>3175560</v>
      </c>
    </row>
    <row r="62" s="1" customFormat="1" ht="27.95" customHeight="1" spans="1:10">
      <c r="A62" s="27" t="s">
        <v>29</v>
      </c>
      <c r="B62" s="41" t="s">
        <v>52</v>
      </c>
      <c r="C62" s="42" t="s">
        <v>53</v>
      </c>
      <c r="D62" s="139">
        <v>314.77137962841</v>
      </c>
      <c r="E62" s="139">
        <v>303.097470872407</v>
      </c>
      <c r="F62" s="116">
        <f>F60/F58</f>
        <v>307.186706669744</v>
      </c>
      <c r="G62" s="140">
        <f>G60/G58</f>
        <v>310.607610206383</v>
      </c>
      <c r="H62" s="57">
        <f>H60/H58</f>
        <v>297.368499656501</v>
      </c>
      <c r="I62" s="58">
        <f>I60/I58</f>
        <v>302.172402965049</v>
      </c>
    </row>
    <row r="63" s="1" customFormat="1" ht="27.95" customHeight="1" spans="1:10">
      <c r="A63" s="27" t="s">
        <v>31</v>
      </c>
      <c r="B63" s="41" t="s">
        <v>70</v>
      </c>
      <c r="C63" s="75" t="s">
        <v>68</v>
      </c>
      <c r="D63" s="193">
        <v>0.0975951646090535</v>
      </c>
      <c r="E63" s="193">
        <v>0.169704861111111</v>
      </c>
      <c r="F63" s="205">
        <f>F58/3.6/F55/(DAY(DATE(2026,3,0))*24)</f>
        <v>0.144442577658303</v>
      </c>
      <c r="G63" s="204">
        <f>G58/3.6/G55/(DATEDIF(DATE(2026,1,1),DATE(2026,3,1),"D")*24)</f>
        <v>0.12467631826742</v>
      </c>
      <c r="H63" s="193">
        <f>H58/3.6/H55/(DATEDIF(DATE(2026,1,1),DATE(2026,3,1),"D")*24)</f>
        <v>0.205237513731953</v>
      </c>
      <c r="I63" s="203">
        <f>I58/3.6/I55/(DATEDIF(DATE(2026,1,1),DATE(2026,3,1),"D")*24)</f>
        <v>0.166256290120082</v>
      </c>
    </row>
    <row r="64" s="1" customFormat="1" ht="27.95" customHeight="1" spans="1:10">
      <c r="A64" s="27" t="s">
        <v>33</v>
      </c>
      <c r="B64" s="41" t="s">
        <v>72</v>
      </c>
      <c r="C64" s="42" t="s">
        <v>73</v>
      </c>
      <c r="D64" s="83">
        <f t="shared" ref="D64:I64" si="7">D58/D57</f>
        <v>0.0525270283364941</v>
      </c>
      <c r="E64" s="83">
        <f t="shared" si="7"/>
        <v>0.106837493311272</v>
      </c>
      <c r="F64" s="85">
        <f t="shared" si="7"/>
        <v>0.0784311595973638</v>
      </c>
      <c r="G64" s="141">
        <f t="shared" si="7"/>
        <v>0.131968188928418</v>
      </c>
      <c r="H64" s="83">
        <f t="shared" si="7"/>
        <v>0.254107163865307</v>
      </c>
      <c r="I64" s="85">
        <f t="shared" si="7"/>
        <v>0.19022407092653</v>
      </c>
    </row>
    <row r="65" s="1" customFormat="1" ht="27.95" customHeight="1" spans="1:9">
      <c r="A65" s="27" t="s">
        <v>37</v>
      </c>
      <c r="B65" s="41" t="s">
        <v>78</v>
      </c>
      <c r="C65" s="42" t="s">
        <v>79</v>
      </c>
      <c r="D65" s="87">
        <v>16.5340051772588</v>
      </c>
      <c r="E65" s="87">
        <v>32.3821740169941</v>
      </c>
      <c r="F65" s="88">
        <f>F60/F57</f>
        <v>24.0930096170033</v>
      </c>
      <c r="G65" s="142">
        <f>G60/G57</f>
        <v>40.9903237863204</v>
      </c>
      <c r="H65" s="87">
        <f>H60/H57</f>
        <v>75.563466070595</v>
      </c>
      <c r="I65" s="88">
        <f>I60/I57</f>
        <v>57.4804646136636</v>
      </c>
    </row>
    <row r="66" s="1" customFormat="1" ht="27.95" customHeight="1" spans="1:9">
      <c r="A66" s="124" t="s">
        <v>40</v>
      </c>
      <c r="B66" s="93" t="s">
        <v>81</v>
      </c>
      <c r="C66" s="94" t="s">
        <v>76</v>
      </c>
      <c r="D66" s="96">
        <v>11.416963136256</v>
      </c>
      <c r="E66" s="96">
        <v>0.299427330998124</v>
      </c>
      <c r="F66" s="97">
        <f>F59*1000/F57</f>
        <v>6.11429988469732</v>
      </c>
      <c r="G66" s="143">
        <f>G59*1000/G57</f>
        <v>19.5496892260413</v>
      </c>
      <c r="H66" s="96">
        <f>H59*1000/H57</f>
        <v>6.29594349969449</v>
      </c>
      <c r="I66" s="97">
        <f>I59*1000/I57</f>
        <v>13.2281309563244</v>
      </c>
    </row>
    <row r="67" s="1" customFormat="1" ht="18" customHeight="1" spans="1:9">
      <c r="C67" s="4"/>
      <c r="D67" s="5"/>
    </row>
    <row r="68" s="1" customFormat="1" ht="29.25" customHeight="1" spans="1:9">
      <c r="A68" s="103" t="s">
        <v>94</v>
      </c>
      <c r="C68" s="4"/>
      <c r="D68" s="5"/>
    </row>
    <row r="69" s="1" customFormat="1" ht="30" customHeight="1" spans="1:9">
      <c r="A69" s="126" t="s">
        <v>0</v>
      </c>
      <c r="B69" s="7" t="s">
        <v>1</v>
      </c>
      <c r="C69" s="7" t="s">
        <v>2</v>
      </c>
      <c r="D69" s="106" t="s">
        <v>86</v>
      </c>
      <c r="E69" s="10"/>
      <c r="F69" s="144" t="s">
        <v>87</v>
      </c>
      <c r="G69" s="9"/>
    </row>
    <row r="70" s="1" customFormat="1" ht="30" customHeight="1" spans="1:9">
      <c r="A70" s="12"/>
      <c r="B70" s="13"/>
      <c r="C70" s="13"/>
      <c r="D70" s="129" t="s">
        <v>95</v>
      </c>
      <c r="E70" s="145" t="s">
        <v>96</v>
      </c>
      <c r="F70" s="131" t="s">
        <v>95</v>
      </c>
      <c r="G70" s="132" t="s">
        <v>96</v>
      </c>
    </row>
    <row r="71" s="1" customFormat="1" ht="27.95" customHeight="1" spans="1:9">
      <c r="A71" s="18" t="s">
        <v>11</v>
      </c>
      <c r="B71" s="19" t="s">
        <v>12</v>
      </c>
      <c r="C71" s="20" t="s">
        <v>13</v>
      </c>
      <c r="D71" s="23">
        <v>217</v>
      </c>
      <c r="E71" s="146">
        <v>1.4</v>
      </c>
      <c r="F71" s="147">
        <f>D71</f>
        <v>217</v>
      </c>
      <c r="G71" s="26">
        <f>E71</f>
        <v>1.4</v>
      </c>
    </row>
    <row r="72" s="1" customFormat="1" ht="27.95" customHeight="1" spans="1:9">
      <c r="A72" s="27" t="s">
        <v>14</v>
      </c>
      <c r="B72" s="41" t="s">
        <v>22</v>
      </c>
      <c r="C72" s="42" t="s">
        <v>23</v>
      </c>
      <c r="D72" s="72"/>
      <c r="E72" s="110"/>
      <c r="F72" s="148">
        <f>D72</f>
        <v>0</v>
      </c>
      <c r="G72" s="149">
        <f>E72</f>
        <v>0</v>
      </c>
    </row>
    <row r="73" s="1" customFormat="1" ht="27.95" customHeight="1" spans="1:9">
      <c r="A73" s="27" t="s">
        <v>19</v>
      </c>
      <c r="B73" s="41" t="s">
        <v>25</v>
      </c>
      <c r="C73" s="42" t="s">
        <v>26</v>
      </c>
      <c r="D73" s="68">
        <f>D72*2.951694</f>
        <v>0</v>
      </c>
      <c r="E73" s="150">
        <f>E72*2.732</f>
        <v>0</v>
      </c>
      <c r="F73" s="195">
        <f>D73+'26.1'!F73</f>
        <v>0</v>
      </c>
      <c r="G73" s="195">
        <f>E73+'26.1'!G73</f>
        <v>0</v>
      </c>
    </row>
    <row r="74" s="1" customFormat="1" ht="27.95" customHeight="1" spans="1:9">
      <c r="A74" s="27" t="s">
        <v>21</v>
      </c>
      <c r="B74" s="41" t="s">
        <v>97</v>
      </c>
      <c r="C74" s="42" t="s">
        <v>98</v>
      </c>
      <c r="D74" s="72"/>
      <c r="E74" s="110"/>
      <c r="F74" s="195">
        <f>D74+'26.1'!F74</f>
        <v>0</v>
      </c>
      <c r="G74" s="195">
        <f>E74+'26.1'!G74</f>
        <v>0</v>
      </c>
    </row>
    <row r="75" s="1" customFormat="1" ht="27.95" customHeight="1" spans="1:9">
      <c r="A75" s="27" t="s">
        <v>24</v>
      </c>
      <c r="B75" s="41" t="s">
        <v>34</v>
      </c>
      <c r="C75" s="42" t="s">
        <v>23</v>
      </c>
      <c r="D75" s="68">
        <f>D74*D80/29308/1000</f>
        <v>0</v>
      </c>
      <c r="E75" s="112">
        <f>E74*E80/29308/1000</f>
        <v>0</v>
      </c>
      <c r="F75" s="195">
        <f>D75+'26.1'!F75</f>
        <v>0</v>
      </c>
      <c r="G75" s="195">
        <f>E75+'26.1'!G75</f>
        <v>0</v>
      </c>
    </row>
    <row r="76" s="1" customFormat="1" ht="27.95" customHeight="1" spans="1:9">
      <c r="A76" s="27" t="s">
        <v>27</v>
      </c>
      <c r="B76" s="41" t="s">
        <v>38</v>
      </c>
      <c r="C76" s="42" t="s">
        <v>23</v>
      </c>
      <c r="D76" s="72"/>
      <c r="E76" s="151"/>
      <c r="F76" s="195">
        <f>D76+'26.1'!F76</f>
        <v>0</v>
      </c>
      <c r="G76" s="195">
        <f>E76+'26.1'!G76</f>
        <v>0</v>
      </c>
    </row>
    <row r="77" s="1" customFormat="1" ht="27.95" customHeight="1" spans="1:9">
      <c r="A77" s="27" t="s">
        <v>29</v>
      </c>
      <c r="B77" s="41" t="s">
        <v>41</v>
      </c>
      <c r="C77" s="42" t="s">
        <v>42</v>
      </c>
      <c r="D77" s="72"/>
      <c r="E77" s="151"/>
      <c r="F77" s="195">
        <f>D77+'26.1'!F77</f>
        <v>0</v>
      </c>
      <c r="G77" s="195">
        <f>E77+'26.1'!G77</f>
        <v>0</v>
      </c>
    </row>
    <row r="78" s="1" customFormat="1" ht="27.95" customHeight="1" spans="1:9">
      <c r="A78" s="27" t="s">
        <v>31</v>
      </c>
      <c r="B78" s="41" t="s">
        <v>52</v>
      </c>
      <c r="C78" s="42" t="s">
        <v>53</v>
      </c>
      <c r="D78" s="152" t="e">
        <f>D77/D73</f>
        <v>#DIV/0!</v>
      </c>
      <c r="E78" s="153"/>
      <c r="F78" s="154" t="e">
        <f>F77/F73</f>
        <v>#DIV/0!</v>
      </c>
      <c r="G78" s="155"/>
    </row>
    <row r="79" s="1" customFormat="1" ht="27.95" customHeight="1" spans="1:9">
      <c r="A79" s="27" t="s">
        <v>33</v>
      </c>
      <c r="B79" s="41" t="s">
        <v>55</v>
      </c>
      <c r="C79" s="42" t="s">
        <v>56</v>
      </c>
      <c r="D79" s="57" t="e">
        <f>D75*1000/D73</f>
        <v>#DIV/0!</v>
      </c>
      <c r="E79" s="156" t="e">
        <f>E75*1000/E73</f>
        <v>#DIV/0!</v>
      </c>
      <c r="F79" s="157" t="e">
        <f>F75*1000/F73</f>
        <v>#DIV/0!</v>
      </c>
      <c r="G79" s="58" t="e">
        <f>G75*1000/G73</f>
        <v>#DIV/0!</v>
      </c>
    </row>
    <row r="80" s="1" customFormat="1" ht="27.95" customHeight="1" spans="1:9">
      <c r="A80" s="27" t="s">
        <v>37</v>
      </c>
      <c r="B80" s="41" t="s">
        <v>99</v>
      </c>
      <c r="C80" s="42" t="s">
        <v>100</v>
      </c>
      <c r="D80" s="33"/>
      <c r="E80" s="158"/>
      <c r="F80" s="159" t="e">
        <f>F75*29308*1000/F74</f>
        <v>#DIV/0!</v>
      </c>
      <c r="G80" s="68" t="e">
        <f>G75*29308*1000/G74</f>
        <v>#DIV/0!</v>
      </c>
    </row>
    <row r="81" s="1" customFormat="1" ht="27.95" customHeight="1" spans="1:11">
      <c r="A81" s="27" t="s">
        <v>40</v>
      </c>
      <c r="B81" s="41" t="s">
        <v>67</v>
      </c>
      <c r="C81" s="75" t="s">
        <v>68</v>
      </c>
      <c r="D81" s="76" t="e">
        <f>D73/(D75*29.308)</f>
        <v>#DIV/0!</v>
      </c>
      <c r="E81" s="160" t="e">
        <f>E73/(E75*29.308)</f>
        <v>#DIV/0!</v>
      </c>
      <c r="F81" s="161" t="e">
        <f>F73/(F75*29.308)</f>
        <v>#DIV/0!</v>
      </c>
      <c r="G81" s="77" t="e">
        <f>G73/(G75*29.308)</f>
        <v>#DIV/0!</v>
      </c>
    </row>
    <row r="82" s="1" customFormat="1" ht="27.95" customHeight="1" spans="1:11">
      <c r="A82" s="124" t="s">
        <v>47</v>
      </c>
      <c r="B82" s="162" t="s">
        <v>70</v>
      </c>
      <c r="C82" s="163" t="s">
        <v>68</v>
      </c>
      <c r="D82" s="207">
        <f>D73/3.6/D71/(DAY(DATE(2026,3,0))*24)</f>
        <v>0</v>
      </c>
      <c r="E82" s="208">
        <f>E73/3.6/E71/(DAY(DATE(2026,3,0))*24)</f>
        <v>0</v>
      </c>
      <c r="F82" s="209">
        <f>F73/3.6/F71/(DATEDIF(DATE(2026,1,1),DATE(2026,3,1),"D")*24)</f>
        <v>0</v>
      </c>
      <c r="G82" s="210">
        <f>G73/3.6/G71/(DATEDIF(DATE(2026,1,1),DATE(2026,3,1),"D")*24)</f>
        <v>0</v>
      </c>
    </row>
    <row r="83" s="1" customFormat="1" ht="18" customHeight="1" spans="1:11">
      <c r="B83" s="168"/>
      <c r="C83" s="168"/>
      <c r="D83" s="5"/>
    </row>
    <row r="84" s="1" customFormat="1" ht="16.25" spans="1:11">
      <c r="A84" s="103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ht="14" spans="1:11">
      <c r="A85" s="126" t="s">
        <v>0</v>
      </c>
      <c r="B85" s="127" t="s">
        <v>85</v>
      </c>
      <c r="C85" s="127" t="s">
        <v>2</v>
      </c>
      <c r="D85" s="169" t="s">
        <v>86</v>
      </c>
      <c r="E85" s="129" t="s">
        <v>87</v>
      </c>
      <c r="F85" s="169" t="s">
        <v>102</v>
      </c>
      <c r="G85" s="169" t="s">
        <v>103</v>
      </c>
      <c r="H85" s="170"/>
      <c r="I85" s="170"/>
    </row>
    <row r="86" s="1" customFormat="1" ht="14" spans="1:11">
      <c r="A86" s="12"/>
      <c r="B86" s="13"/>
      <c r="C86" s="13"/>
      <c r="D86" s="169" t="s">
        <v>104</v>
      </c>
      <c r="E86" s="169" t="s">
        <v>104</v>
      </c>
      <c r="F86" s="13"/>
      <c r="G86" s="13"/>
      <c r="H86" s="170"/>
      <c r="I86" s="103"/>
    </row>
    <row r="87" s="1" customFormat="1" ht="14" spans="1:11">
      <c r="A87" s="27" t="s">
        <v>11</v>
      </c>
      <c r="B87" s="28" t="s">
        <v>12</v>
      </c>
      <c r="C87" s="29" t="s">
        <v>13</v>
      </c>
      <c r="D87" s="171">
        <v>0.7888</v>
      </c>
      <c r="E87" s="172">
        <f>D87</f>
        <v>0.7888</v>
      </c>
      <c r="F87" s="173">
        <f t="shared" ref="F87:F93" si="8">F55+D87</f>
        <v>13.1888</v>
      </c>
      <c r="G87" s="173">
        <f t="shared" ref="G87:G93" si="9">E87+I55</f>
        <v>13.1888</v>
      </c>
      <c r="H87" s="135"/>
      <c r="I87" s="135"/>
    </row>
    <row r="88" s="1" customFormat="1" ht="14" spans="1:11">
      <c r="A88" s="27" t="s">
        <v>14</v>
      </c>
      <c r="B88" s="28" t="s">
        <v>88</v>
      </c>
      <c r="C88" s="29" t="s">
        <v>16</v>
      </c>
      <c r="D88" s="174">
        <v>20723.53</v>
      </c>
      <c r="E88" s="175">
        <f>D88</f>
        <v>20723.53</v>
      </c>
      <c r="F88" s="214">
        <v>76087.57</v>
      </c>
      <c r="G88" s="214">
        <f>F88</f>
        <v>76087.57</v>
      </c>
      <c r="H88" s="111"/>
      <c r="I88" s="111"/>
    </row>
    <row r="89" s="1" customFormat="1" ht="14" spans="1:11">
      <c r="A89" s="27" t="s">
        <v>19</v>
      </c>
      <c r="B89" s="28" t="s">
        <v>89</v>
      </c>
      <c r="C89" s="29" t="s">
        <v>16</v>
      </c>
      <c r="D89" s="174">
        <v>20723.53</v>
      </c>
      <c r="E89" s="175">
        <f>D89</f>
        <v>20723.53</v>
      </c>
      <c r="F89" s="214">
        <v>76087.57</v>
      </c>
      <c r="G89" s="214">
        <f>F89</f>
        <v>76087.57</v>
      </c>
      <c r="H89" s="111"/>
      <c r="I89" s="111"/>
    </row>
    <row r="90" s="1" customFormat="1" ht="14" spans="1:11">
      <c r="A90" s="27" t="s">
        <v>21</v>
      </c>
      <c r="B90" s="41" t="s">
        <v>25</v>
      </c>
      <c r="C90" s="42" t="s">
        <v>26</v>
      </c>
      <c r="D90" s="174">
        <v>2746.058993</v>
      </c>
      <c r="E90" s="200">
        <f>D90+'26.1'!E90</f>
        <v>6355.62400900001</v>
      </c>
      <c r="F90" s="178">
        <f t="shared" si="8"/>
        <v>7079.058993</v>
      </c>
      <c r="G90" s="178">
        <f t="shared" si="9"/>
        <v>16864.724009</v>
      </c>
      <c r="H90" s="111"/>
      <c r="I90" s="111"/>
    </row>
    <row r="91" s="1" customFormat="1" ht="14" spans="1:11">
      <c r="A91" s="27" t="s">
        <v>24</v>
      </c>
      <c r="B91" s="41" t="s">
        <v>38</v>
      </c>
      <c r="C91" s="42" t="s">
        <v>23</v>
      </c>
      <c r="D91" s="174">
        <v>37.5</v>
      </c>
      <c r="E91" s="200">
        <f>D91+'26.1'!E91</f>
        <v>86.5</v>
      </c>
      <c r="F91" s="178">
        <f t="shared" si="8"/>
        <v>375.29</v>
      </c>
      <c r="G91" s="178">
        <f t="shared" si="9"/>
        <v>817.3</v>
      </c>
      <c r="H91" s="111"/>
      <c r="I91" s="111"/>
    </row>
    <row r="92" s="1" customFormat="1" ht="14" spans="1:11">
      <c r="A92" s="27" t="s">
        <v>27</v>
      </c>
      <c r="B92" s="41" t="s">
        <v>41</v>
      </c>
      <c r="C92" s="42" t="s">
        <v>42</v>
      </c>
      <c r="D92" s="174">
        <v>317571.8</v>
      </c>
      <c r="E92" s="200">
        <f>D92+'26.1'!E92</f>
        <v>780380.88</v>
      </c>
      <c r="F92" s="178">
        <f t="shared" si="8"/>
        <v>1648611.8</v>
      </c>
      <c r="G92" s="178">
        <f t="shared" si="9"/>
        <v>3955940.88</v>
      </c>
      <c r="H92" s="111"/>
      <c r="I92" s="111"/>
    </row>
    <row r="93" s="1" customFormat="1" ht="14" spans="1:11">
      <c r="A93" s="27"/>
      <c r="B93" s="41" t="s">
        <v>90</v>
      </c>
      <c r="C93" s="42" t="s">
        <v>42</v>
      </c>
      <c r="D93" s="174">
        <v>0</v>
      </c>
      <c r="E93" s="200">
        <f>D93+'26.1'!E93</f>
        <v>0</v>
      </c>
      <c r="F93" s="178">
        <f t="shared" si="8"/>
        <v>1331040</v>
      </c>
      <c r="G93" s="178">
        <f t="shared" si="9"/>
        <v>3175560</v>
      </c>
      <c r="H93" s="111"/>
      <c r="I93" s="111"/>
    </row>
    <row r="94" s="1" customFormat="1" ht="14" spans="1:11">
      <c r="A94" s="27" t="s">
        <v>29</v>
      </c>
      <c r="B94" s="41" t="s">
        <v>52</v>
      </c>
      <c r="C94" s="42" t="s">
        <v>53</v>
      </c>
      <c r="D94" s="179">
        <v>115.646386625169</v>
      </c>
      <c r="E94" s="179">
        <f>E92/E90</f>
        <v>122.785878915261</v>
      </c>
      <c r="F94" s="179">
        <f>F92/F90</f>
        <v>232.885726991426</v>
      </c>
      <c r="G94" s="179">
        <f>G92/G90</f>
        <v>234.568966434842</v>
      </c>
      <c r="H94" s="117"/>
      <c r="I94" s="117"/>
    </row>
    <row r="95" s="1" customFormat="1" ht="14" spans="1:11">
      <c r="A95" s="27" t="s">
        <v>31</v>
      </c>
      <c r="B95" s="41" t="s">
        <v>105</v>
      </c>
      <c r="C95" s="75" t="s">
        <v>68</v>
      </c>
      <c r="D95" s="212">
        <v>1.34309880817948</v>
      </c>
      <c r="E95" s="203">
        <f>E90/3.6/E87/(DATEDIF(DATE(2026,1,1),DATE(2026,3,1),"D")*24)</f>
        <v>1.58061296857552</v>
      </c>
      <c r="F95" s="212">
        <f>F90/3.6/F87/(DAY(DATE(2026,3,0))*24)</f>
        <v>0.221869944735907</v>
      </c>
      <c r="G95" s="203">
        <f>G90/3.6/G87/(DATEDIF(DATE(2026,1,1),DATE(2026,3,1),"D")*24)</f>
        <v>0.250846590068951</v>
      </c>
      <c r="H95" s="181"/>
      <c r="I95" s="181"/>
      <c r="K95" s="182"/>
    </row>
    <row r="96" s="1" customFormat="1" ht="14" spans="1:11">
      <c r="A96" s="27" t="s">
        <v>33</v>
      </c>
      <c r="B96" s="41" t="s">
        <v>72</v>
      </c>
      <c r="C96" s="42" t="s">
        <v>73</v>
      </c>
      <c r="D96" s="183">
        <f>D90/D89</f>
        <v>0.132509229508679</v>
      </c>
      <c r="E96" s="183">
        <f>E90/E89</f>
        <v>0.306686361300416</v>
      </c>
      <c r="F96" s="183">
        <f>F90/F89</f>
        <v>0.0930383108962476</v>
      </c>
      <c r="G96" s="183">
        <f>G90/G89</f>
        <v>0.221648871280815</v>
      </c>
      <c r="H96" s="121"/>
      <c r="I96" s="121"/>
    </row>
    <row r="97" s="1" customFormat="1" ht="14" spans="1:9">
      <c r="A97" s="27" t="s">
        <v>37</v>
      </c>
      <c r="B97" s="41" t="s">
        <v>78</v>
      </c>
      <c r="C97" s="42" t="s">
        <v>79</v>
      </c>
      <c r="D97" s="184">
        <v>15.324213587164</v>
      </c>
      <c r="E97" s="184">
        <f>E92/E89</f>
        <v>37.6567544235948</v>
      </c>
      <c r="F97" s="184">
        <f>F92/F89</f>
        <v>21.667294671127</v>
      </c>
      <c r="G97" s="184">
        <f>G92/G89</f>
        <v>51.9919466477902</v>
      </c>
      <c r="H97" s="123"/>
      <c r="I97" s="123"/>
    </row>
    <row r="98" s="1" customFormat="1" ht="14.75" spans="1:9">
      <c r="A98" s="124" t="s">
        <v>40</v>
      </c>
      <c r="B98" s="93" t="s">
        <v>81</v>
      </c>
      <c r="C98" s="94" t="s">
        <v>76</v>
      </c>
      <c r="D98" s="184">
        <v>1.80953727477896</v>
      </c>
      <c r="E98" s="184">
        <f>E91*1000/E89</f>
        <v>4.17399931382347</v>
      </c>
      <c r="F98" s="184">
        <f>F91*1000/F89</f>
        <v>4.93234308836516</v>
      </c>
      <c r="G98" s="184">
        <f>G91*1000/G89</f>
        <v>10.7415705351084</v>
      </c>
      <c r="H98" s="123"/>
      <c r="I98" s="123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scale="40" orientation="landscape" horizontalDpi="600" verticalDpi="600"/>
  <headerFooter alignWithMargins="0" scaleWithDoc="0">
    <oddHeader>&amp;C&amp;20 2023年2月份集团各锅炉站生产报表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tabSelected="1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B23" sqref="B2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 customWidth="1"/>
    <col min="15" max="16384" width="8.625" style="1" customWidth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</row>
    <row r="2" s="1" customFormat="1" ht="39.95" customHeight="1" spans="1:14">
      <c r="A2" s="12"/>
      <c r="B2" s="13"/>
      <c r="C2" s="13"/>
      <c r="D2" s="14" t="s">
        <v>5</v>
      </c>
      <c r="E2" s="14" t="s">
        <v>6</v>
      </c>
      <c r="F2" s="14" t="s">
        <v>7</v>
      </c>
      <c r="G2" s="15" t="s">
        <v>8</v>
      </c>
      <c r="H2" s="16" t="s">
        <v>9</v>
      </c>
      <c r="I2" s="17" t="s">
        <v>5</v>
      </c>
      <c r="J2" s="14" t="s">
        <v>6</v>
      </c>
      <c r="K2" s="14" t="s">
        <v>7</v>
      </c>
      <c r="L2" s="15" t="s">
        <v>10</v>
      </c>
      <c r="M2" s="16" t="s">
        <v>9</v>
      </c>
    </row>
    <row r="3" s="1" customFormat="1" ht="18" customHeight="1" spans="1:14">
      <c r="A3" s="18" t="s">
        <v>11</v>
      </c>
      <c r="B3" s="19" t="s">
        <v>12</v>
      </c>
      <c r="C3" s="20" t="s">
        <v>13</v>
      </c>
      <c r="D3" s="21">
        <v>348</v>
      </c>
      <c r="E3" s="22">
        <v>162</v>
      </c>
      <c r="F3" s="22"/>
      <c r="G3" s="23">
        <v>14</v>
      </c>
      <c r="H3" s="24">
        <f t="shared" ref="H3:H12" si="0">E3+F3+G3</f>
        <v>176</v>
      </c>
      <c r="I3" s="25">
        <f>D3</f>
        <v>348</v>
      </c>
      <c r="J3" s="21">
        <f>E3</f>
        <v>162</v>
      </c>
      <c r="K3" s="21">
        <f>F3</f>
        <v>0</v>
      </c>
      <c r="L3" s="26">
        <f>G3</f>
        <v>14</v>
      </c>
      <c r="M3" s="24">
        <f t="shared" ref="M3:M12" si="1">J3+K3+L3</f>
        <v>176</v>
      </c>
    </row>
    <row r="4" s="1" customFormat="1" ht="18" customHeight="1" spans="1:14">
      <c r="A4" s="27" t="s">
        <v>14</v>
      </c>
      <c r="B4" s="28" t="s">
        <v>15</v>
      </c>
      <c r="C4" s="29" t="s">
        <v>16</v>
      </c>
      <c r="D4" s="30" t="s">
        <v>17</v>
      </c>
      <c r="E4" s="31"/>
      <c r="F4" s="32"/>
      <c r="G4" s="33"/>
      <c r="H4" s="34">
        <f t="shared" si="0"/>
        <v>0</v>
      </c>
      <c r="I4" s="35" t="str">
        <f>D4</f>
        <v> -   </v>
      </c>
      <c r="J4" s="31">
        <f>E4</f>
        <v>0</v>
      </c>
      <c r="K4" s="36">
        <f>F4</f>
        <v>0</v>
      </c>
      <c r="L4" s="37">
        <f>G4</f>
        <v>0</v>
      </c>
      <c r="M4" s="34">
        <f t="shared" si="1"/>
        <v>0</v>
      </c>
    </row>
    <row r="5" s="1" customFormat="1" ht="18" customHeight="1" spans="1:14">
      <c r="A5" s="27"/>
      <c r="B5" s="28" t="s">
        <v>18</v>
      </c>
      <c r="C5" s="29" t="s">
        <v>16</v>
      </c>
      <c r="D5" s="30" t="s">
        <v>17</v>
      </c>
      <c r="E5" s="32">
        <v>55000</v>
      </c>
      <c r="F5" s="38">
        <v>0</v>
      </c>
      <c r="G5" s="39">
        <v>0</v>
      </c>
      <c r="H5" s="34">
        <f t="shared" si="0"/>
        <v>55000</v>
      </c>
      <c r="I5" s="35" t="str">
        <f>D5</f>
        <v> -   </v>
      </c>
      <c r="J5" s="31">
        <f>E5</f>
        <v>55000</v>
      </c>
      <c r="K5" s="36">
        <f>F5</f>
        <v>0</v>
      </c>
      <c r="L5" s="37">
        <f>G5</f>
        <v>0</v>
      </c>
      <c r="M5" s="34">
        <f t="shared" si="1"/>
        <v>55000</v>
      </c>
    </row>
    <row r="6" s="1" customFormat="1" ht="18" customHeight="1" spans="1:14">
      <c r="A6" s="27" t="s">
        <v>19</v>
      </c>
      <c r="B6" s="28" t="s">
        <v>20</v>
      </c>
      <c r="C6" s="29" t="s">
        <v>16</v>
      </c>
      <c r="D6" s="30" t="s">
        <v>17</v>
      </c>
      <c r="E6" s="33">
        <f>E4</f>
        <v>0</v>
      </c>
      <c r="F6" s="33">
        <f>F4</f>
        <v>0</v>
      </c>
      <c r="G6" s="33">
        <f>G4</f>
        <v>0</v>
      </c>
      <c r="H6" s="34">
        <f t="shared" si="0"/>
        <v>0</v>
      </c>
      <c r="I6" s="35" t="str">
        <f>D6</f>
        <v> -   </v>
      </c>
      <c r="J6" s="40">
        <f>E6</f>
        <v>0</v>
      </c>
      <c r="K6" s="40">
        <f>F6</f>
        <v>0</v>
      </c>
      <c r="L6" s="40">
        <f>G6</f>
        <v>0</v>
      </c>
      <c r="M6" s="34">
        <f t="shared" si="1"/>
        <v>0</v>
      </c>
    </row>
    <row r="7" s="2" customFormat="1" ht="18" customHeight="1" spans="1:14">
      <c r="A7" s="27" t="s">
        <v>21</v>
      </c>
      <c r="B7" s="41" t="s">
        <v>22</v>
      </c>
      <c r="C7" s="42" t="s">
        <v>23</v>
      </c>
      <c r="D7" s="39">
        <v>0</v>
      </c>
      <c r="E7" s="39">
        <v>0</v>
      </c>
      <c r="F7" s="39">
        <v>0</v>
      </c>
      <c r="G7" s="39"/>
      <c r="H7" s="34">
        <f t="shared" si="0"/>
        <v>0</v>
      </c>
      <c r="I7" s="50">
        <f>D7+'26.2'!I7</f>
        <v>0</v>
      </c>
      <c r="J7" s="50">
        <f>E7+'26.2'!J7</f>
        <v>0</v>
      </c>
      <c r="K7" s="50">
        <f>F7+'26.2'!K7</f>
        <v>0</v>
      </c>
      <c r="L7" s="50">
        <f>G7+'26.2'!L7</f>
        <v>0</v>
      </c>
      <c r="M7" s="34">
        <f t="shared" si="1"/>
        <v>0</v>
      </c>
    </row>
    <row r="8" s="2" customFormat="1" ht="18" customHeight="1" spans="1:14">
      <c r="A8" s="27" t="s">
        <v>24</v>
      </c>
      <c r="B8" s="41" t="s">
        <v>25</v>
      </c>
      <c r="C8" s="42" t="s">
        <v>26</v>
      </c>
      <c r="D8" s="44"/>
      <c r="E8" s="39"/>
      <c r="F8" s="38"/>
      <c r="G8" s="33"/>
      <c r="H8" s="34">
        <f t="shared" si="0"/>
        <v>0</v>
      </c>
      <c r="I8" s="50">
        <f>D8+'26.2'!I8</f>
        <v>1168258</v>
      </c>
      <c r="J8" s="50">
        <f>E8+'26.2'!J8</f>
        <v>267460.3967164</v>
      </c>
      <c r="K8" s="50">
        <f>F8+'26.2'!K8</f>
        <v>0</v>
      </c>
      <c r="L8" s="50">
        <f>G8+'26.2'!L8</f>
        <v>440887.508551189</v>
      </c>
      <c r="M8" s="34">
        <f t="shared" si="1"/>
        <v>708347.905267589</v>
      </c>
      <c r="N8" s="45"/>
    </row>
    <row r="9" s="2" customFormat="1" ht="18" customHeight="1" spans="1:14">
      <c r="A9" s="27" t="s">
        <v>27</v>
      </c>
      <c r="B9" s="41" t="s">
        <v>28</v>
      </c>
      <c r="C9" s="42" t="s">
        <v>26</v>
      </c>
      <c r="D9" s="39"/>
      <c r="E9" s="46">
        <f>[1]售热量!$G$25</f>
        <v>1308</v>
      </c>
      <c r="F9" s="38"/>
      <c r="G9" s="38"/>
      <c r="H9" s="34">
        <f t="shared" si="0"/>
        <v>1308</v>
      </c>
      <c r="I9" s="50">
        <f>D9+'26.2'!I9</f>
        <v>0</v>
      </c>
      <c r="J9" s="50">
        <f>E9+'26.2'!J9</f>
        <v>8828</v>
      </c>
      <c r="K9" s="50">
        <f>F9+'26.2'!K9</f>
        <v>0</v>
      </c>
      <c r="L9" s="50">
        <f>G9+'26.2'!L9</f>
        <v>0</v>
      </c>
      <c r="M9" s="34">
        <f t="shared" si="1"/>
        <v>8828</v>
      </c>
    </row>
    <row r="10" s="2" customFormat="1" ht="18" customHeight="1" spans="1:14">
      <c r="A10" s="27" t="s">
        <v>29</v>
      </c>
      <c r="B10" s="41" t="s">
        <v>30</v>
      </c>
      <c r="C10" s="42" t="s">
        <v>23</v>
      </c>
      <c r="D10" s="39"/>
      <c r="E10" s="32"/>
      <c r="F10" s="38"/>
      <c r="G10" s="33"/>
      <c r="H10" s="34">
        <f t="shared" si="0"/>
        <v>0</v>
      </c>
      <c r="I10" s="50">
        <f>D10+'26.2'!I10</f>
        <v>66226</v>
      </c>
      <c r="J10" s="50">
        <f>E10+'26.2'!J10</f>
        <v>21656</v>
      </c>
      <c r="K10" s="50">
        <f>F10+'26.2'!K10</f>
        <v>0</v>
      </c>
      <c r="L10" s="50">
        <f>G10+'26.2'!L10</f>
        <v>931</v>
      </c>
      <c r="M10" s="34">
        <f t="shared" si="1"/>
        <v>22587</v>
      </c>
    </row>
    <row r="11" s="2" customFormat="1" ht="18" customHeight="1" spans="1:14">
      <c r="A11" s="27" t="s">
        <v>31</v>
      </c>
      <c r="B11" s="41" t="s">
        <v>32</v>
      </c>
      <c r="C11" s="42" t="s">
        <v>23</v>
      </c>
      <c r="D11" s="39"/>
      <c r="E11" s="39"/>
      <c r="F11" s="39"/>
      <c r="G11" s="39"/>
      <c r="H11" s="34">
        <f t="shared" si="0"/>
        <v>0</v>
      </c>
      <c r="I11" s="50">
        <f>D11+'26.2'!I11</f>
        <v>16.2</v>
      </c>
      <c r="J11" s="50">
        <f>E11+'26.2'!J11</f>
        <v>0</v>
      </c>
      <c r="K11" s="50">
        <f>F11+'26.2'!K11</f>
        <v>0</v>
      </c>
      <c r="L11" s="50">
        <f>G11+'26.2'!L11</f>
        <v>0</v>
      </c>
      <c r="M11" s="34">
        <f t="shared" si="1"/>
        <v>0</v>
      </c>
    </row>
    <row r="12" s="2" customFormat="1" ht="18" customHeight="1" spans="1:14">
      <c r="A12" s="27" t="s">
        <v>33</v>
      </c>
      <c r="B12" s="41" t="s">
        <v>34</v>
      </c>
      <c r="C12" s="42" t="s">
        <v>23</v>
      </c>
      <c r="D12" s="44">
        <f>D13+D14</f>
        <v>0</v>
      </c>
      <c r="E12" s="44">
        <f>E13+E14</f>
        <v>0</v>
      </c>
      <c r="F12" s="44">
        <f>F13+F14</f>
        <v>0</v>
      </c>
      <c r="G12" s="44">
        <f>G13+G14</f>
        <v>0</v>
      </c>
      <c r="H12" s="34">
        <f t="shared" si="0"/>
        <v>0</v>
      </c>
      <c r="I12" s="50">
        <f>D12+'26.2'!I12</f>
        <v>43472.2579475284</v>
      </c>
      <c r="J12" s="50">
        <f>E12+'26.2'!J12</f>
        <v>13036.909</v>
      </c>
      <c r="K12" s="50">
        <f>F12+'26.2'!K12</f>
        <v>0</v>
      </c>
      <c r="L12" s="50">
        <f>G12+'26.2'!L12</f>
        <v>620.280370522607</v>
      </c>
      <c r="M12" s="34">
        <f t="shared" si="1"/>
        <v>13657.1893705226</v>
      </c>
    </row>
    <row r="13" s="2" customFormat="1" ht="18" customHeight="1" spans="1:14">
      <c r="A13" s="27"/>
      <c r="B13" s="41" t="s">
        <v>35</v>
      </c>
      <c r="C13" s="42" t="s">
        <v>23</v>
      </c>
      <c r="D13" s="39"/>
      <c r="E13" s="39"/>
      <c r="F13" s="39"/>
      <c r="G13" s="44"/>
      <c r="H13" s="47"/>
      <c r="I13" s="50">
        <f>D13+'26.2'!I13</f>
        <v>43448.6529275284</v>
      </c>
      <c r="J13" s="50">
        <f>E13+'26.2'!J13</f>
        <v>13036.909</v>
      </c>
      <c r="K13" s="50">
        <f>F13+'26.2'!K13</f>
        <v>0</v>
      </c>
      <c r="L13" s="50">
        <f>G13+'26.2'!L13</f>
        <v>620.280370522607</v>
      </c>
      <c r="M13" s="47"/>
    </row>
    <row r="14" s="2" customFormat="1" ht="18" customHeight="1" spans="1:14">
      <c r="A14" s="27"/>
      <c r="B14" s="41" t="s">
        <v>36</v>
      </c>
      <c r="C14" s="42" t="s">
        <v>23</v>
      </c>
      <c r="D14" s="44"/>
      <c r="E14" s="39"/>
      <c r="F14" s="39"/>
      <c r="G14" s="39"/>
      <c r="H14" s="47"/>
      <c r="I14" s="50">
        <f>D14+'26.2'!I14</f>
        <v>23.60502</v>
      </c>
      <c r="J14" s="50">
        <f>E14+'26.2'!J14</f>
        <v>0</v>
      </c>
      <c r="K14" s="50">
        <f>F14+'26.2'!K14</f>
        <v>0</v>
      </c>
      <c r="L14" s="50">
        <f>G14+'26.2'!L14</f>
        <v>0</v>
      </c>
      <c r="M14" s="47"/>
    </row>
    <row r="15" s="2" customFormat="1" ht="18" customHeight="1" spans="1:14">
      <c r="A15" s="27" t="s">
        <v>37</v>
      </c>
      <c r="B15" s="41" t="s">
        <v>38</v>
      </c>
      <c r="C15" s="42" t="s">
        <v>23</v>
      </c>
      <c r="D15" s="39"/>
      <c r="E15" s="48"/>
      <c r="F15" s="38"/>
      <c r="G15" s="33"/>
      <c r="H15" s="34"/>
      <c r="I15" s="50">
        <f>D15+'26.2'!I15</f>
        <v>23540</v>
      </c>
      <c r="J15" s="50">
        <f>E15+'26.2'!J15</f>
        <v>43463</v>
      </c>
      <c r="K15" s="50">
        <f>F15+'26.2'!K15</f>
        <v>0</v>
      </c>
      <c r="L15" s="50">
        <f>G15+'26.2'!L15</f>
        <v>97382</v>
      </c>
      <c r="M15" s="34">
        <f>J15+K15+L15</f>
        <v>140845</v>
      </c>
    </row>
    <row r="16" s="2" customFormat="1" ht="18" customHeight="1" spans="1:14">
      <c r="A16" s="27"/>
      <c r="B16" s="41" t="s">
        <v>39</v>
      </c>
      <c r="C16" s="42" t="s">
        <v>23</v>
      </c>
      <c r="D16" s="39"/>
      <c r="E16" s="48"/>
      <c r="F16" s="38"/>
      <c r="G16" s="38"/>
      <c r="H16" s="34"/>
      <c r="I16" s="50">
        <f>D16+'26.2'!I16</f>
        <v>2975</v>
      </c>
      <c r="J16" s="50">
        <f>E16+'26.2'!J16</f>
        <v>0</v>
      </c>
      <c r="K16" s="50">
        <f>F16+'26.2'!K16</f>
        <v>0</v>
      </c>
      <c r="L16" s="50">
        <f>G16+'26.2'!L16</f>
        <v>0</v>
      </c>
      <c r="M16" s="34">
        <f>J16+K16+L16</f>
        <v>0</v>
      </c>
    </row>
    <row r="17" s="2" customFormat="1" ht="18" customHeight="1" spans="1:14">
      <c r="A17" s="27" t="s">
        <v>40</v>
      </c>
      <c r="B17" s="41" t="s">
        <v>41</v>
      </c>
      <c r="C17" s="42" t="s">
        <v>42</v>
      </c>
      <c r="D17" s="44"/>
      <c r="E17" s="48"/>
      <c r="F17" s="38"/>
      <c r="G17" s="33"/>
      <c r="H17" s="34"/>
      <c r="I17" s="50">
        <f>D17+'26.2'!I17</f>
        <v>8122792</v>
      </c>
      <c r="J17" s="50">
        <f>E17+'26.2'!J17</f>
        <v>3287588</v>
      </c>
      <c r="K17" s="49"/>
      <c r="L17" s="50">
        <f>G17+'26.2'!L17</f>
        <v>2263757.5</v>
      </c>
      <c r="M17" s="34">
        <f>J17+K17+L17</f>
        <v>5551345.5</v>
      </c>
    </row>
    <row r="18" s="2" customFormat="1" ht="18" customHeight="1" spans="1:14">
      <c r="A18" s="27"/>
      <c r="B18" s="41" t="s">
        <v>43</v>
      </c>
      <c r="C18" s="42" t="s">
        <v>42</v>
      </c>
      <c r="D18" s="39"/>
      <c r="E18" s="48"/>
      <c r="F18" s="38"/>
      <c r="G18" s="38"/>
      <c r="H18" s="47"/>
      <c r="I18" s="50">
        <f>D18+'26.2'!I18</f>
        <v>8122792</v>
      </c>
      <c r="J18" s="50">
        <f>E18+'26.2'!J18</f>
        <v>0</v>
      </c>
      <c r="K18" s="50">
        <f>F18+'26.2'!K18</f>
        <v>0</v>
      </c>
      <c r="L18" s="50">
        <f>G18+'26.2'!L18</f>
        <v>0</v>
      </c>
      <c r="M18" s="47"/>
    </row>
    <row r="19" s="2" customFormat="1" ht="18" customHeight="1" spans="1:14">
      <c r="A19" s="27"/>
      <c r="B19" s="41" t="s">
        <v>44</v>
      </c>
      <c r="C19" s="42" t="s">
        <v>42</v>
      </c>
      <c r="D19" s="39"/>
      <c r="E19" s="33"/>
      <c r="F19" s="33"/>
      <c r="G19" s="33"/>
      <c r="H19" s="47"/>
      <c r="I19" s="50">
        <f>D19+'26.2'!I19</f>
        <v>0</v>
      </c>
      <c r="J19" s="50"/>
      <c r="K19" s="50">
        <f>F19+'26.2'!K19</f>
        <v>0</v>
      </c>
      <c r="L19" s="50">
        <f>G19+'26.2'!L19</f>
        <v>2263757.5</v>
      </c>
      <c r="M19" s="47"/>
    </row>
    <row r="20" s="2" customFormat="1" ht="18" customHeight="1" spans="1:14">
      <c r="A20" s="27"/>
      <c r="B20" s="41" t="s">
        <v>45</v>
      </c>
      <c r="C20" s="42" t="s">
        <v>23</v>
      </c>
      <c r="D20" s="39"/>
      <c r="E20" s="48"/>
      <c r="F20" s="38"/>
      <c r="G20" s="38"/>
      <c r="H20" s="47"/>
      <c r="I20" s="50">
        <f>D20+'26.2'!I20</f>
        <v>21425</v>
      </c>
      <c r="J20" s="50">
        <f>E20+'26.2'!J20</f>
        <v>0</v>
      </c>
      <c r="K20" s="50">
        <f>F20+'26.2'!K20</f>
        <v>0</v>
      </c>
      <c r="L20" s="50">
        <f>G20+'26.2'!L20</f>
        <v>0</v>
      </c>
      <c r="M20" s="47"/>
    </row>
    <row r="21" s="2" customFormat="1" ht="18" customHeight="1" spans="1:14">
      <c r="A21" s="27"/>
      <c r="B21" s="41" t="s">
        <v>46</v>
      </c>
      <c r="C21" s="42" t="s">
        <v>42</v>
      </c>
      <c r="D21" s="39"/>
      <c r="E21" s="48"/>
      <c r="F21" s="38"/>
      <c r="G21" s="38"/>
      <c r="H21" s="47"/>
      <c r="I21" s="50">
        <f>D21+'26.2'!I21</f>
        <v>929610.099999999</v>
      </c>
      <c r="J21" s="50">
        <f>E21+'26.2'!J21</f>
        <v>0</v>
      </c>
      <c r="K21" s="50">
        <f>F21+'26.2'!K21</f>
        <v>0</v>
      </c>
      <c r="L21" s="50">
        <f>G21+'26.2'!L21</f>
        <v>0</v>
      </c>
      <c r="M21" s="47"/>
    </row>
    <row r="22" s="2" customFormat="1" ht="14" spans="1:14">
      <c r="A22" s="51" t="s">
        <v>47</v>
      </c>
      <c r="B22" s="52" t="s">
        <v>48</v>
      </c>
      <c r="C22" s="53" t="s">
        <v>23</v>
      </c>
      <c r="D22" s="33"/>
      <c r="E22" s="54"/>
      <c r="F22" s="54"/>
      <c r="G22" s="54"/>
      <c r="H22" s="55"/>
      <c r="I22" s="50">
        <f>D22+'26.2'!I22</f>
        <v>1071.51</v>
      </c>
      <c r="J22" s="50">
        <f>E22+'26.2'!J22</f>
        <v>69.155</v>
      </c>
      <c r="K22" s="50">
        <f>F22+'26.2'!K22</f>
        <v>0</v>
      </c>
      <c r="L22" s="50">
        <f>G22+'26.2'!L22</f>
        <v>13.375</v>
      </c>
      <c r="M22" s="56">
        <f>J22+K22+L22</f>
        <v>82.53</v>
      </c>
      <c r="N22" s="1"/>
    </row>
    <row r="23" s="2" customFormat="1" ht="21" customHeight="1" spans="1:14">
      <c r="A23" s="51" t="s">
        <v>49</v>
      </c>
      <c r="B23" s="52" t="s">
        <v>50</v>
      </c>
      <c r="C23" s="53" t="s">
        <v>23</v>
      </c>
      <c r="D23" s="33"/>
      <c r="E23" s="54"/>
      <c r="F23" s="54"/>
      <c r="G23" s="54"/>
      <c r="H23" s="55"/>
      <c r="I23" s="50">
        <f>D23+'26.2'!I23</f>
        <v>371.77</v>
      </c>
      <c r="J23" s="50">
        <f>E23+'26.2'!J23</f>
        <v>49.29</v>
      </c>
      <c r="K23" s="50">
        <f>F23+'26.2'!K23</f>
        <v>0</v>
      </c>
      <c r="L23" s="50">
        <f>G23+'26.2'!L23</f>
        <v>4.025</v>
      </c>
      <c r="M23" s="56">
        <f>J23+K23+L23</f>
        <v>53.315</v>
      </c>
      <c r="N23" s="1"/>
    </row>
    <row r="24" s="2" customFormat="1" ht="18" customHeight="1" spans="1:14">
      <c r="A24" s="51" t="s">
        <v>51</v>
      </c>
      <c r="B24" s="41" t="s">
        <v>52</v>
      </c>
      <c r="C24" s="42" t="s">
        <v>53</v>
      </c>
      <c r="D24" s="57" t="e">
        <f t="shared" ref="D24:M24" si="2">D17/D8</f>
        <v>#DIV/0!</v>
      </c>
      <c r="E24" s="57" t="e">
        <f t="shared" si="2"/>
        <v>#DIV/0!</v>
      </c>
      <c r="F24" s="57" t="e">
        <f t="shared" si="2"/>
        <v>#DIV/0!</v>
      </c>
      <c r="G24" s="57" t="e">
        <f t="shared" si="2"/>
        <v>#DIV/0!</v>
      </c>
      <c r="H24" s="58" t="e">
        <f t="shared" si="2"/>
        <v>#DIV/0!</v>
      </c>
      <c r="I24" s="59">
        <f t="shared" si="2"/>
        <v>6.95290937447036</v>
      </c>
      <c r="J24" s="57">
        <f t="shared" si="2"/>
        <v>12.2918684050483</v>
      </c>
      <c r="K24" s="57" t="e">
        <f t="shared" si="2"/>
        <v>#DIV/0!</v>
      </c>
      <c r="L24" s="57">
        <f t="shared" si="2"/>
        <v>5.13454669523069</v>
      </c>
      <c r="M24" s="58">
        <f t="shared" si="2"/>
        <v>7.83703242251122</v>
      </c>
    </row>
    <row r="25" s="2" customFormat="1" ht="18" customHeight="1" spans="1:14">
      <c r="A25" s="51" t="s">
        <v>54</v>
      </c>
      <c r="B25" s="41" t="s">
        <v>55</v>
      </c>
      <c r="C25" s="42" t="s">
        <v>56</v>
      </c>
      <c r="D25" s="57" t="e">
        <f t="shared" ref="D25:M25" si="3">D12*1000/D8</f>
        <v>#DIV/0!</v>
      </c>
      <c r="E25" s="57" t="e">
        <f t="shared" si="3"/>
        <v>#DIV/0!</v>
      </c>
      <c r="F25" s="57" t="e">
        <f t="shared" si="3"/>
        <v>#DIV/0!</v>
      </c>
      <c r="G25" s="57" t="e">
        <f t="shared" si="3"/>
        <v>#DIV/0!</v>
      </c>
      <c r="H25" s="58" t="e">
        <f t="shared" si="3"/>
        <v>#DIV/0!</v>
      </c>
      <c r="I25" s="59">
        <f t="shared" si="3"/>
        <v>37.2111793349829</v>
      </c>
      <c r="J25" s="57">
        <f t="shared" si="3"/>
        <v>48.7433248438034</v>
      </c>
      <c r="K25" s="57" t="e">
        <f t="shared" si="3"/>
        <v>#DIV/0!</v>
      </c>
      <c r="L25" s="57">
        <f t="shared" si="3"/>
        <v>1.40689032574528</v>
      </c>
      <c r="M25" s="58">
        <f t="shared" si="3"/>
        <v>19.2803412969272</v>
      </c>
    </row>
    <row r="26" s="3" customFormat="1" ht="18" customHeight="1" spans="1:14">
      <c r="A26" s="51" t="s">
        <v>57</v>
      </c>
      <c r="B26" s="41" t="s">
        <v>58</v>
      </c>
      <c r="C26" s="60" t="s">
        <v>23</v>
      </c>
      <c r="D26" s="33"/>
      <c r="E26" s="61"/>
      <c r="F26" s="62"/>
      <c r="G26" s="33"/>
      <c r="H26" s="63"/>
      <c r="I26" s="50">
        <f>D26+'26.2'!I26</f>
        <v>23988</v>
      </c>
      <c r="J26" s="50">
        <f>E26+'26.2'!J26</f>
        <v>13379</v>
      </c>
      <c r="K26" s="50">
        <f>F26+'26.2'!K26</f>
        <v>0</v>
      </c>
      <c r="L26" s="50">
        <f>G26+'26.2'!L26</f>
        <v>119</v>
      </c>
      <c r="M26" s="63">
        <f>J26+K26+L26</f>
        <v>13498</v>
      </c>
    </row>
    <row r="27" s="3" customFormat="1" ht="18" customHeight="1" spans="1:14">
      <c r="A27" s="51" t="s">
        <v>59</v>
      </c>
      <c r="B27" s="41" t="s">
        <v>60</v>
      </c>
      <c r="C27" s="60" t="s">
        <v>23</v>
      </c>
      <c r="D27" s="48"/>
      <c r="E27" s="64">
        <f>J27</f>
        <v>4292.7</v>
      </c>
      <c r="F27" s="64">
        <f>K27</f>
        <v>0</v>
      </c>
      <c r="G27" s="64">
        <f>L27</f>
        <v>296.500000000023</v>
      </c>
      <c r="H27" s="65"/>
      <c r="I27" s="66">
        <f>D27</f>
        <v>0</v>
      </c>
      <c r="J27" s="202">
        <f>'26.2'!J27+E26-E10</f>
        <v>4292.7</v>
      </c>
      <c r="K27" s="202">
        <f>'26.2'!K27+F26-F10</f>
        <v>0</v>
      </c>
      <c r="L27" s="202">
        <f>'26.2'!L27+G26-G10</f>
        <v>296.500000000023</v>
      </c>
      <c r="M27" s="68">
        <f>J27+K27+L27</f>
        <v>4589.20000000002</v>
      </c>
    </row>
    <row r="28" s="2" customFormat="1" ht="18" customHeight="1" spans="1:14">
      <c r="A28" s="51" t="s">
        <v>61</v>
      </c>
      <c r="B28" s="41" t="s">
        <v>62</v>
      </c>
      <c r="C28" s="42" t="s">
        <v>63</v>
      </c>
      <c r="D28" s="69" t="e">
        <f>D13*29308/D10</f>
        <v>#DIV/0!</v>
      </c>
      <c r="E28" s="69" t="e">
        <f>E12*29308/E10</f>
        <v>#DIV/0!</v>
      </c>
      <c r="F28" s="69" t="e">
        <f>F12*29308/F10</f>
        <v>#DIV/0!</v>
      </c>
      <c r="G28" s="69" t="e">
        <f>G12*29308/G10</f>
        <v>#DIV/0!</v>
      </c>
      <c r="H28" s="69" t="e">
        <f>H12*29308/H10</f>
        <v>#DIV/0!</v>
      </c>
      <c r="I28" s="70">
        <f>I13*29308/I10</f>
        <v>19227.9938392777</v>
      </c>
      <c r="J28" s="44">
        <f>J12*29308/J10</f>
        <v>17643.4119399704</v>
      </c>
      <c r="K28" s="44" t="e">
        <f>K12*29308/K10</f>
        <v>#DIV/0!</v>
      </c>
      <c r="L28" s="44">
        <f>L12*29308/L10</f>
        <v>19526.5060142605</v>
      </c>
      <c r="M28" s="69">
        <f>M12*29308/M10</f>
        <v>17721.0300646955</v>
      </c>
    </row>
    <row r="29" s="2" customFormat="1" ht="18" customHeight="1" spans="1:14">
      <c r="A29" s="51" t="s">
        <v>64</v>
      </c>
      <c r="B29" s="41" t="s">
        <v>65</v>
      </c>
      <c r="C29" s="42" t="s">
        <v>63</v>
      </c>
      <c r="D29" s="71"/>
      <c r="E29" s="39"/>
      <c r="F29" s="39"/>
      <c r="G29" s="72"/>
      <c r="H29" s="73"/>
      <c r="I29" s="74"/>
      <c r="J29" s="39"/>
      <c r="K29" s="39"/>
      <c r="L29" s="72"/>
      <c r="M29" s="73"/>
    </row>
    <row r="30" s="2" customFormat="1" ht="18" customHeight="1" spans="1:14">
      <c r="A30" s="51" t="s">
        <v>66</v>
      </c>
      <c r="B30" s="41" t="s">
        <v>67</v>
      </c>
      <c r="C30" s="75" t="s">
        <v>68</v>
      </c>
      <c r="D30" s="76" t="e">
        <f>D8/(D12*29.308)</f>
        <v>#DIV/0!</v>
      </c>
      <c r="E30" s="76" t="e">
        <f>E8/(E12*29.308)</f>
        <v>#DIV/0!</v>
      </c>
      <c r="F30" s="76" t="e">
        <f>F8/(F12*29.308)</f>
        <v>#DIV/0!</v>
      </c>
      <c r="G30" s="76" t="e">
        <f>(G8-G36)/(G12*29.308)</f>
        <v>#DIV/0!</v>
      </c>
      <c r="H30" s="77" t="e">
        <f t="shared" ref="H30:M30" si="4">H8/(H12*29.308)</f>
        <v>#DIV/0!</v>
      </c>
      <c r="I30" s="78">
        <f t="shared" si="4"/>
        <v>0.916938868875932</v>
      </c>
      <c r="J30" s="76">
        <f t="shared" si="4"/>
        <v>0.700001011385589</v>
      </c>
      <c r="K30" s="76" t="e">
        <f t="shared" si="4"/>
        <v>#DIV/0!</v>
      </c>
      <c r="L30" s="76">
        <f t="shared" si="4"/>
        <v>24.2523358534603</v>
      </c>
      <c r="M30" s="77">
        <f t="shared" si="4"/>
        <v>1.76969775397059</v>
      </c>
    </row>
    <row r="31" s="2" customFormat="1" ht="18" customHeight="1" spans="1:14">
      <c r="A31" s="51" t="s">
        <v>69</v>
      </c>
      <c r="B31" s="41" t="s">
        <v>70</v>
      </c>
      <c r="C31" s="75" t="s">
        <v>68</v>
      </c>
      <c r="D31" s="193">
        <f>D8/3.6/D3/(DAY(DATE(2026,4,0))*24)</f>
        <v>0</v>
      </c>
      <c r="E31" s="193">
        <f>E8/3.6/E3/(DAY(DATE(2026,4,0))*24)</f>
        <v>0</v>
      </c>
      <c r="F31" s="193" t="e">
        <f>F8/3.6/F3/(DAY(DATE(2026,4,0))*24)</f>
        <v>#DIV/0!</v>
      </c>
      <c r="G31" s="193">
        <f>(G8-G36)/3.6/G3/(DAY(DATE(2026,4,0))*24)</f>
        <v>0</v>
      </c>
      <c r="H31" s="203">
        <f>H8/3.6/H3/(DAY(DATE(2026,4,0))*24)</f>
        <v>0</v>
      </c>
      <c r="I31" s="204">
        <f>I8/3.6/I3/(DATEDIF(DATE(2026,1,1),DATE(2026,4,1),"D")*24)</f>
        <v>0.431721092900052</v>
      </c>
      <c r="J31" s="193">
        <f>J8/3.6/J3/(DATEDIF(DATE(2026,1,1),DATE(2026,4,1),"D")*24)</f>
        <v>0.212318686109523</v>
      </c>
      <c r="K31" s="193" t="e">
        <f>K8/3.6/K3/(DATEDIF(DATE(2026,1,1),DATE(2026,4,1),"D")*24)</f>
        <v>#DIV/0!</v>
      </c>
      <c r="L31" s="193">
        <f>(L8-L36)/3.6/L3/(DATEDIF(DATE(2026,1,1),DATE(2026,4,1),"D")*24)</f>
        <v>0.100193898361157</v>
      </c>
      <c r="M31" s="203">
        <f>M8/3.6/M3/(DATEDIF(DATE(2026,1,1),DATE(2026,4,1),"D")*24)</f>
        <v>0.51758024783979</v>
      </c>
    </row>
    <row r="32" s="2" customFormat="1" ht="18" customHeight="1" spans="1:14">
      <c r="A32" s="51" t="s">
        <v>71</v>
      </c>
      <c r="B32" s="41" t="s">
        <v>72</v>
      </c>
      <c r="C32" s="42" t="s">
        <v>73</v>
      </c>
      <c r="D32" s="82"/>
      <c r="E32" s="83" t="e">
        <f>E8/E6</f>
        <v>#DIV/0!</v>
      </c>
      <c r="F32" s="83" t="e">
        <f>F8/F6</f>
        <v>#DIV/0!</v>
      </c>
      <c r="G32" s="83" t="e">
        <f>G8/G6</f>
        <v>#DIV/0!</v>
      </c>
      <c r="H32" s="83" t="e">
        <f>H8/H6</f>
        <v>#DIV/0!</v>
      </c>
      <c r="I32" s="84"/>
      <c r="J32" s="83" t="e">
        <f>J8/J6</f>
        <v>#DIV/0!</v>
      </c>
      <c r="K32" s="83" t="e">
        <f>K8/K6</f>
        <v>#DIV/0!</v>
      </c>
      <c r="L32" s="83" t="e">
        <f>L8/L6</f>
        <v>#DIV/0!</v>
      </c>
      <c r="M32" s="85" t="e">
        <f>M8/M6</f>
        <v>#DIV/0!</v>
      </c>
    </row>
    <row r="33" s="2" customFormat="1" ht="18" customHeight="1" spans="1:13">
      <c r="A33" s="51" t="s">
        <v>74</v>
      </c>
      <c r="B33" s="41" t="s">
        <v>75</v>
      </c>
      <c r="C33" s="42" t="s">
        <v>76</v>
      </c>
      <c r="D33" s="86"/>
      <c r="E33" s="87" t="e">
        <f>E12*1000/E6</f>
        <v>#DIV/0!</v>
      </c>
      <c r="F33" s="87" t="e">
        <f>F12*1000/F6</f>
        <v>#DIV/0!</v>
      </c>
      <c r="G33" s="87" t="e">
        <f>G12*1000/G6</f>
        <v>#DIV/0!</v>
      </c>
      <c r="H33" s="88" t="e">
        <f>H12*1000/H6</f>
        <v>#DIV/0!</v>
      </c>
      <c r="I33" s="89"/>
      <c r="J33" s="87" t="e">
        <f>J12*1000/J6</f>
        <v>#DIV/0!</v>
      </c>
      <c r="K33" s="87" t="e">
        <f>K12*1000/K6</f>
        <v>#DIV/0!</v>
      </c>
      <c r="L33" s="87" t="e">
        <f>L12*1000/L6</f>
        <v>#DIV/0!</v>
      </c>
      <c r="M33" s="88" t="e">
        <f>M12*1000/M6</f>
        <v>#DIV/0!</v>
      </c>
    </row>
    <row r="34" s="2" customFormat="1" ht="18" customHeight="1" spans="1:13">
      <c r="A34" s="51" t="s">
        <v>77</v>
      </c>
      <c r="B34" s="41" t="s">
        <v>78</v>
      </c>
      <c r="C34" s="42" t="s">
        <v>79</v>
      </c>
      <c r="D34" s="90"/>
      <c r="E34" s="87" t="e">
        <f>E17/E6</f>
        <v>#DIV/0!</v>
      </c>
      <c r="F34" s="87" t="e">
        <f>F17/F6</f>
        <v>#DIV/0!</v>
      </c>
      <c r="G34" s="87" t="e">
        <f>G17/G6</f>
        <v>#DIV/0!</v>
      </c>
      <c r="H34" s="88" t="e">
        <f>H17/H6</f>
        <v>#DIV/0!</v>
      </c>
      <c r="I34" s="91"/>
      <c r="J34" s="87" t="e">
        <f>J17/J6</f>
        <v>#DIV/0!</v>
      </c>
      <c r="K34" s="87" t="e">
        <f>K17/K6</f>
        <v>#DIV/0!</v>
      </c>
      <c r="L34" s="87" t="e">
        <f>L17/L6</f>
        <v>#DIV/0!</v>
      </c>
      <c r="M34" s="88" t="e">
        <f>M17/M6</f>
        <v>#DIV/0!</v>
      </c>
    </row>
    <row r="35" s="2" customFormat="1" ht="18" customHeight="1" spans="1:13">
      <c r="A35" s="92" t="s">
        <v>80</v>
      </c>
      <c r="B35" s="93" t="s">
        <v>81</v>
      </c>
      <c r="C35" s="94" t="s">
        <v>76</v>
      </c>
      <c r="D35" s="95"/>
      <c r="E35" s="96" t="e">
        <f>E15*1000/E6</f>
        <v>#DIV/0!</v>
      </c>
      <c r="F35" s="96" t="e">
        <f>F15*1000/F6</f>
        <v>#DIV/0!</v>
      </c>
      <c r="G35" s="96" t="e">
        <f>G15*1000/G6</f>
        <v>#DIV/0!</v>
      </c>
      <c r="H35" s="97" t="e">
        <f>H15*1000/H6</f>
        <v>#DIV/0!</v>
      </c>
      <c r="I35" s="98"/>
      <c r="J35" s="96" t="e">
        <f>J15*1000/J6</f>
        <v>#DIV/0!</v>
      </c>
      <c r="K35" s="96" t="e">
        <f>K15*1000/K6</f>
        <v>#DIV/0!</v>
      </c>
      <c r="L35" s="96" t="e">
        <f>L15*1000/L6</f>
        <v>#DIV/0!</v>
      </c>
      <c r="M35" s="97" t="e">
        <f>M15*1000/M6</f>
        <v>#DIV/0!</v>
      </c>
    </row>
    <row r="36" s="2" customFormat="1" ht="21" customHeight="1" spans="1:13">
      <c r="A36" s="99"/>
      <c r="B36" s="100" t="s">
        <v>82</v>
      </c>
      <c r="C36" s="101" t="s">
        <v>26</v>
      </c>
      <c r="D36" s="102"/>
      <c r="E36" s="102"/>
      <c r="F36" s="102"/>
      <c r="G36" s="102"/>
      <c r="H36" s="102"/>
      <c r="I36" s="102"/>
      <c r="J36" s="102"/>
      <c r="K36" s="102"/>
      <c r="L36" s="50">
        <f>G36+'26.2'!L36</f>
        <v>429980</v>
      </c>
      <c r="M36" s="102"/>
    </row>
    <row r="37" s="1" customFormat="1" ht="29.25" customHeight="1" spans="1:13">
      <c r="A37" s="103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3">
      <c r="A38" s="104" t="s">
        <v>0</v>
      </c>
      <c r="B38" s="105" t="s">
        <v>85</v>
      </c>
      <c r="C38" s="105" t="s">
        <v>2</v>
      </c>
      <c r="D38" s="106" t="s">
        <v>86</v>
      </c>
      <c r="E38" s="107" t="s">
        <v>87</v>
      </c>
      <c r="F38" s="2"/>
      <c r="G38" s="2"/>
      <c r="H38" s="2"/>
    </row>
    <row r="39" s="1" customFormat="1" ht="27.95" customHeight="1" spans="1:13">
      <c r="A39" s="27" t="s">
        <v>11</v>
      </c>
      <c r="B39" s="28" t="s">
        <v>12</v>
      </c>
      <c r="C39" s="29" t="s">
        <v>13</v>
      </c>
      <c r="D39" s="108">
        <v>0.55</v>
      </c>
      <c r="E39" s="109">
        <v>0.55</v>
      </c>
      <c r="F39" s="2"/>
      <c r="G39" s="2"/>
      <c r="H39" s="2"/>
    </row>
    <row r="40" s="1" customFormat="1" ht="27.95" customHeight="1" spans="1:13">
      <c r="A40" s="27" t="s">
        <v>14</v>
      </c>
      <c r="B40" s="28" t="s">
        <v>88</v>
      </c>
      <c r="C40" s="29" t="s">
        <v>16</v>
      </c>
      <c r="D40" s="110"/>
      <c r="E40" s="111">
        <f>D40</f>
        <v>0</v>
      </c>
      <c r="F40" s="2"/>
      <c r="G40" s="2"/>
      <c r="H40" s="2"/>
    </row>
    <row r="41" s="1" customFormat="1" ht="27.95" customHeight="1" spans="1:13">
      <c r="A41" s="27" t="s">
        <v>19</v>
      </c>
      <c r="B41" s="28" t="s">
        <v>89</v>
      </c>
      <c r="C41" s="29" t="s">
        <v>16</v>
      </c>
      <c r="D41" s="112"/>
      <c r="E41" s="113">
        <f>D41</f>
        <v>0</v>
      </c>
      <c r="F41" s="2"/>
      <c r="G41" s="2"/>
      <c r="H41" s="2"/>
    </row>
    <row r="42" s="1" customFormat="1" ht="27.95" customHeight="1" spans="1:13">
      <c r="A42" s="27" t="s">
        <v>21</v>
      </c>
      <c r="B42" s="41" t="s">
        <v>25</v>
      </c>
      <c r="C42" s="42" t="s">
        <v>26</v>
      </c>
      <c r="D42" s="114"/>
      <c r="E42" s="148">
        <f>D42+'26.2'!E42</f>
        <v>889</v>
      </c>
      <c r="F42" s="2"/>
      <c r="G42" s="2"/>
      <c r="H42" s="2"/>
    </row>
    <row r="43" s="1" customFormat="1" ht="27.95" customHeight="1" spans="1:13">
      <c r="A43" s="27" t="s">
        <v>24</v>
      </c>
      <c r="B43" s="41" t="s">
        <v>38</v>
      </c>
      <c r="C43" s="42" t="s">
        <v>23</v>
      </c>
      <c r="D43" s="110"/>
      <c r="E43" s="148">
        <f>D43+'26.2'!E43</f>
        <v>10</v>
      </c>
      <c r="F43" s="2"/>
      <c r="G43" s="2"/>
      <c r="H43" s="2"/>
    </row>
    <row r="44" s="1" customFormat="1" ht="27.95" customHeight="1" spans="1:13">
      <c r="A44" s="27" t="s">
        <v>27</v>
      </c>
      <c r="B44" s="41" t="s">
        <v>41</v>
      </c>
      <c r="C44" s="42" t="s">
        <v>42</v>
      </c>
      <c r="D44" s="110"/>
      <c r="E44" s="148">
        <f>D44+'26.2'!E44</f>
        <v>267664</v>
      </c>
      <c r="F44" s="2"/>
      <c r="G44" s="2"/>
      <c r="H44" s="2"/>
    </row>
    <row r="45" s="1" customFormat="1" ht="27.95" customHeight="1" spans="1:13">
      <c r="A45" s="27"/>
      <c r="B45" s="41" t="s">
        <v>90</v>
      </c>
      <c r="C45" s="42" t="s">
        <v>42</v>
      </c>
      <c r="D45" s="110"/>
      <c r="E45" s="148">
        <f>D45+'26.2'!E45</f>
        <v>267664</v>
      </c>
      <c r="F45" s="2"/>
      <c r="G45" s="2"/>
      <c r="H45" s="2"/>
    </row>
    <row r="46" s="1" customFormat="1" ht="27.95" customHeight="1" spans="1:13">
      <c r="A46" s="27" t="s">
        <v>29</v>
      </c>
      <c r="B46" s="41" t="s">
        <v>52</v>
      </c>
      <c r="C46" s="42" t="s">
        <v>53</v>
      </c>
      <c r="D46" s="116" t="e">
        <f>D44/D42</f>
        <v>#DIV/0!</v>
      </c>
      <c r="E46" s="117">
        <f>E44/E42</f>
        <v>301.084364454443</v>
      </c>
      <c r="F46" s="2"/>
      <c r="G46" s="2"/>
      <c r="H46" s="2"/>
    </row>
    <row r="47" s="1" customFormat="1" ht="27.95" customHeight="1" spans="1:13">
      <c r="A47" s="27" t="s">
        <v>31</v>
      </c>
      <c r="B47" s="41" t="s">
        <v>70</v>
      </c>
      <c r="C47" s="75" t="s">
        <v>68</v>
      </c>
      <c r="D47" s="205">
        <f>D42/3.6/D39/(DAY(DATE(2026,4,0))*24)</f>
        <v>0</v>
      </c>
      <c r="E47" s="206">
        <f>E42/3.6/E39/(DATEDIF(DATE(2026,1,1),DATE(2026,4,1),"D")*24)</f>
        <v>0.207865693976805</v>
      </c>
      <c r="F47" s="2"/>
      <c r="G47" s="2"/>
      <c r="H47" s="2"/>
    </row>
    <row r="48" s="1" customFormat="1" ht="27.95" customHeight="1" spans="1:13">
      <c r="A48" s="27" t="s">
        <v>33</v>
      </c>
      <c r="B48" s="41" t="s">
        <v>72</v>
      </c>
      <c r="C48" s="42" t="s">
        <v>73</v>
      </c>
      <c r="D48" s="120" t="e">
        <f>D42/D41</f>
        <v>#DIV/0!</v>
      </c>
      <c r="E48" s="121" t="e">
        <f>E42/E41</f>
        <v>#DIV/0!</v>
      </c>
      <c r="F48" s="2"/>
      <c r="G48" s="2"/>
      <c r="H48" s="2"/>
    </row>
    <row r="49" s="1" customFormat="1" ht="27.95" customHeight="1" spans="1:10">
      <c r="A49" s="27" t="s">
        <v>37</v>
      </c>
      <c r="B49" s="41" t="s">
        <v>78</v>
      </c>
      <c r="C49" s="42" t="s">
        <v>79</v>
      </c>
      <c r="D49" s="122" t="e">
        <f>D44/D41</f>
        <v>#DIV/0!</v>
      </c>
      <c r="E49" s="123" t="e">
        <f>E44/E41</f>
        <v>#DIV/0!</v>
      </c>
      <c r="F49" s="2"/>
      <c r="G49" s="2"/>
      <c r="H49" s="2"/>
    </row>
    <row r="50" s="1" customFormat="1" ht="27.95" customHeight="1" spans="1:10">
      <c r="A50" s="124" t="s">
        <v>40</v>
      </c>
      <c r="B50" s="93" t="s">
        <v>81</v>
      </c>
      <c r="C50" s="94" t="s">
        <v>76</v>
      </c>
      <c r="D50" s="125" t="e">
        <f>D43*1000/D41</f>
        <v>#DIV/0!</v>
      </c>
      <c r="E50" s="125" t="e">
        <f>E43*1000/E41</f>
        <v>#DIV/0!</v>
      </c>
      <c r="F50" s="2"/>
      <c r="G50" s="2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3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26" t="s">
        <v>0</v>
      </c>
      <c r="B53" s="127" t="s">
        <v>85</v>
      </c>
      <c r="C53" s="127" t="s">
        <v>2</v>
      </c>
      <c r="D53" s="106" t="s">
        <v>86</v>
      </c>
      <c r="E53" s="9"/>
      <c r="F53" s="10"/>
      <c r="G53" s="128" t="s">
        <v>87</v>
      </c>
      <c r="H53" s="9"/>
      <c r="I53" s="9"/>
    </row>
    <row r="54" s="1" customFormat="1" ht="31.5" customHeight="1" spans="1:10">
      <c r="A54" s="12"/>
      <c r="B54" s="13"/>
      <c r="C54" s="13"/>
      <c r="D54" s="129" t="s">
        <v>92</v>
      </c>
      <c r="E54" s="129" t="s">
        <v>93</v>
      </c>
      <c r="F54" s="130" t="s">
        <v>9</v>
      </c>
      <c r="G54" s="131" t="s">
        <v>92</v>
      </c>
      <c r="H54" s="129" t="s">
        <v>93</v>
      </c>
      <c r="I54" s="132" t="s">
        <v>9</v>
      </c>
    </row>
    <row r="55" s="1" customFormat="1" ht="27.95" customHeight="1" spans="1:10">
      <c r="A55" s="27" t="s">
        <v>11</v>
      </c>
      <c r="B55" s="28" t="s">
        <v>12</v>
      </c>
      <c r="C55" s="29" t="s">
        <v>13</v>
      </c>
      <c r="D55" s="133">
        <v>6</v>
      </c>
      <c r="E55" s="133">
        <v>6.4</v>
      </c>
      <c r="F55" s="134">
        <f t="shared" ref="F55:F61" si="5">SUM(D55:E55)</f>
        <v>12.4</v>
      </c>
      <c r="G55" s="135">
        <f>D55</f>
        <v>6</v>
      </c>
      <c r="H55" s="136">
        <f>E55</f>
        <v>6.4</v>
      </c>
      <c r="I55" s="136">
        <f t="shared" ref="I55:I61" si="6">SUM(G55:H55)</f>
        <v>12.4</v>
      </c>
    </row>
    <row r="56" s="1" customFormat="1" ht="27.95" customHeight="1" spans="1:10">
      <c r="A56" s="27" t="s">
        <v>14</v>
      </c>
      <c r="B56" s="28" t="s">
        <v>88</v>
      </c>
      <c r="C56" s="29" t="s">
        <v>16</v>
      </c>
      <c r="D56" s="72"/>
      <c r="E56" s="72"/>
      <c r="F56" s="112">
        <f t="shared" si="5"/>
        <v>0</v>
      </c>
      <c r="G56" s="113">
        <f>D56</f>
        <v>0</v>
      </c>
      <c r="H56" s="113">
        <f>E56</f>
        <v>0</v>
      </c>
      <c r="I56" s="68">
        <f t="shared" si="6"/>
        <v>0</v>
      </c>
    </row>
    <row r="57" s="1" customFormat="1" ht="27.95" customHeight="1" spans="1:10">
      <c r="A57" s="27" t="s">
        <v>19</v>
      </c>
      <c r="B57" s="28" t="s">
        <v>89</v>
      </c>
      <c r="C57" s="29" t="s">
        <v>16</v>
      </c>
      <c r="D57" s="68"/>
      <c r="E57" s="68"/>
      <c r="F57" s="112">
        <f t="shared" si="5"/>
        <v>0</v>
      </c>
      <c r="G57" s="113">
        <f>D57</f>
        <v>0</v>
      </c>
      <c r="H57" s="113">
        <f>E57</f>
        <v>0</v>
      </c>
      <c r="I57" s="68">
        <f t="shared" si="6"/>
        <v>0</v>
      </c>
    </row>
    <row r="58" s="1" customFormat="1" ht="27.95" customHeight="1" spans="1:10">
      <c r="A58" s="27" t="s">
        <v>21</v>
      </c>
      <c r="B58" s="41" t="s">
        <v>25</v>
      </c>
      <c r="C58" s="42" t="s">
        <v>26</v>
      </c>
      <c r="D58" s="72"/>
      <c r="E58" s="137"/>
      <c r="F58" s="112">
        <f t="shared" si="5"/>
        <v>0</v>
      </c>
      <c r="G58" s="113">
        <f>D58+'26.2'!G58</f>
        <v>3813.3</v>
      </c>
      <c r="H58" s="113">
        <f>E58+'26.2'!H58</f>
        <v>6695.80000000001</v>
      </c>
      <c r="I58" s="68">
        <f t="shared" si="6"/>
        <v>10509.1</v>
      </c>
    </row>
    <row r="59" s="1" customFormat="1" ht="27.95" customHeight="1" spans="1:10">
      <c r="A59" s="27" t="s">
        <v>24</v>
      </c>
      <c r="B59" s="41" t="s">
        <v>38</v>
      </c>
      <c r="C59" s="42" t="s">
        <v>23</v>
      </c>
      <c r="D59" s="72"/>
      <c r="E59" s="72"/>
      <c r="F59" s="112">
        <f t="shared" si="5"/>
        <v>0</v>
      </c>
      <c r="G59" s="113">
        <f>D59+'26.2'!G59</f>
        <v>564.9</v>
      </c>
      <c r="H59" s="113">
        <f>E59+'26.2'!H59</f>
        <v>165.9</v>
      </c>
      <c r="I59" s="68">
        <f t="shared" si="6"/>
        <v>730.8</v>
      </c>
    </row>
    <row r="60" s="1" customFormat="1" ht="27.95" customHeight="1" spans="1:10">
      <c r="A60" s="27" t="s">
        <v>27</v>
      </c>
      <c r="B60" s="41" t="s">
        <v>41</v>
      </c>
      <c r="C60" s="42" t="s">
        <v>42</v>
      </c>
      <c r="D60" s="72"/>
      <c r="E60" s="72"/>
      <c r="F60" s="112">
        <f t="shared" si="5"/>
        <v>0</v>
      </c>
      <c r="G60" s="113">
        <f>D60+'26.2'!G60</f>
        <v>1184440</v>
      </c>
      <c r="H60" s="113">
        <f>E60+'26.2'!H60</f>
        <v>1991120</v>
      </c>
      <c r="I60" s="68">
        <f t="shared" si="6"/>
        <v>3175560</v>
      </c>
    </row>
    <row r="61" s="1" customFormat="1" ht="27.95" customHeight="1" spans="1:10">
      <c r="A61" s="27"/>
      <c r="B61" s="41" t="s">
        <v>90</v>
      </c>
      <c r="C61" s="42" t="s">
        <v>42</v>
      </c>
      <c r="D61" s="72"/>
      <c r="E61" s="72"/>
      <c r="F61" s="112">
        <f t="shared" si="5"/>
        <v>0</v>
      </c>
      <c r="G61" s="113">
        <f>D61+'26.2'!G61</f>
        <v>1184440</v>
      </c>
      <c r="H61" s="113">
        <f>E61+'26.2'!H61</f>
        <v>1991120</v>
      </c>
      <c r="I61" s="68">
        <f t="shared" si="6"/>
        <v>3175560</v>
      </c>
    </row>
    <row r="62" s="1" customFormat="1" ht="27.95" customHeight="1" spans="1:10">
      <c r="A62" s="27" t="s">
        <v>29</v>
      </c>
      <c r="B62" s="41" t="s">
        <v>52</v>
      </c>
      <c r="C62" s="42" t="s">
        <v>53</v>
      </c>
      <c r="D62" s="139" t="e">
        <f t="shared" ref="D62:I62" si="7">D60/D58</f>
        <v>#DIV/0!</v>
      </c>
      <c r="E62" s="139" t="e">
        <f t="shared" si="7"/>
        <v>#DIV/0!</v>
      </c>
      <c r="F62" s="116" t="e">
        <f t="shared" si="7"/>
        <v>#DIV/0!</v>
      </c>
      <c r="G62" s="140">
        <f t="shared" si="7"/>
        <v>310.607610206383</v>
      </c>
      <c r="H62" s="57">
        <f t="shared" si="7"/>
        <v>297.368499656501</v>
      </c>
      <c r="I62" s="58">
        <f t="shared" si="7"/>
        <v>302.172402965049</v>
      </c>
    </row>
    <row r="63" s="1" customFormat="1" ht="27.95" customHeight="1" spans="1:10">
      <c r="A63" s="27" t="s">
        <v>31</v>
      </c>
      <c r="B63" s="41" t="s">
        <v>70</v>
      </c>
      <c r="C63" s="75" t="s">
        <v>68</v>
      </c>
      <c r="D63" s="193">
        <f>D58/3.6/D55/(DAY(DATE(2026,4,0))*24)</f>
        <v>0</v>
      </c>
      <c r="E63" s="193">
        <f>E58/3.6/E55/(DAY(DATE(2026,4,0))*24)</f>
        <v>0</v>
      </c>
      <c r="F63" s="205">
        <f>F58/3.6/F55/(DAY(DATE(2026,4,0))*24)</f>
        <v>0</v>
      </c>
      <c r="G63" s="204">
        <f>G58/3.6/G55/(DATEDIF(DATE(2026,1,1),DATE(2026,4,1),"D")*24)</f>
        <v>0.0817322530864198</v>
      </c>
      <c r="H63" s="193">
        <f>H58/3.6/H55/(DATEDIF(DATE(2026,1,1),DATE(2026,4,1),"D")*24)</f>
        <v>0.134544592335391</v>
      </c>
      <c r="I63" s="203">
        <f>I58/3.6/I55/(DATEDIF(DATE(2026,1,1),DATE(2026,4,1),"D")*24)</f>
        <v>0.108990234634276</v>
      </c>
    </row>
    <row r="64" s="1" customFormat="1" ht="27.95" customHeight="1" spans="1:10">
      <c r="A64" s="27" t="s">
        <v>33</v>
      </c>
      <c r="B64" s="41" t="s">
        <v>72</v>
      </c>
      <c r="C64" s="42" t="s">
        <v>73</v>
      </c>
      <c r="D64" s="83" t="e">
        <f t="shared" ref="D64:I64" si="8">D58/D57</f>
        <v>#DIV/0!</v>
      </c>
      <c r="E64" s="83" t="e">
        <f t="shared" si="8"/>
        <v>#DIV/0!</v>
      </c>
      <c r="F64" s="85" t="e">
        <f t="shared" si="8"/>
        <v>#DIV/0!</v>
      </c>
      <c r="G64" s="141" t="e">
        <f t="shared" si="8"/>
        <v>#DIV/0!</v>
      </c>
      <c r="H64" s="83" t="e">
        <f t="shared" si="8"/>
        <v>#DIV/0!</v>
      </c>
      <c r="I64" s="85" t="e">
        <f t="shared" si="8"/>
        <v>#DIV/0!</v>
      </c>
    </row>
    <row r="65" s="1" customFormat="1" ht="27.95" customHeight="1" spans="1:9">
      <c r="A65" s="27" t="s">
        <v>37</v>
      </c>
      <c r="B65" s="41" t="s">
        <v>78</v>
      </c>
      <c r="C65" s="42" t="s">
        <v>79</v>
      </c>
      <c r="D65" s="87" t="e">
        <f t="shared" ref="D65:I65" si="9">D60/D57</f>
        <v>#DIV/0!</v>
      </c>
      <c r="E65" s="87" t="e">
        <f t="shared" si="9"/>
        <v>#DIV/0!</v>
      </c>
      <c r="F65" s="88" t="e">
        <f t="shared" si="9"/>
        <v>#DIV/0!</v>
      </c>
      <c r="G65" s="142" t="e">
        <f t="shared" si="9"/>
        <v>#DIV/0!</v>
      </c>
      <c r="H65" s="87" t="e">
        <f t="shared" si="9"/>
        <v>#DIV/0!</v>
      </c>
      <c r="I65" s="88" t="e">
        <f t="shared" si="9"/>
        <v>#DIV/0!</v>
      </c>
    </row>
    <row r="66" s="1" customFormat="1" ht="27.95" customHeight="1" spans="1:9">
      <c r="A66" s="124" t="s">
        <v>40</v>
      </c>
      <c r="B66" s="93" t="s">
        <v>81</v>
      </c>
      <c r="C66" s="94" t="s">
        <v>76</v>
      </c>
      <c r="D66" s="96" t="e">
        <f t="shared" ref="D66:I66" si="10">D59*1000/D57</f>
        <v>#DIV/0!</v>
      </c>
      <c r="E66" s="96" t="e">
        <f t="shared" si="10"/>
        <v>#DIV/0!</v>
      </c>
      <c r="F66" s="97" t="e">
        <f t="shared" si="10"/>
        <v>#DIV/0!</v>
      </c>
      <c r="G66" s="143" t="e">
        <f t="shared" si="10"/>
        <v>#DIV/0!</v>
      </c>
      <c r="H66" s="96" t="e">
        <f t="shared" si="10"/>
        <v>#DIV/0!</v>
      </c>
      <c r="I66" s="97" t="e">
        <f t="shared" si="10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3" t="s">
        <v>94</v>
      </c>
      <c r="C68" s="4"/>
      <c r="D68" s="5"/>
    </row>
    <row r="69" s="1" customFormat="1" ht="30" customHeight="1" spans="1:9">
      <c r="A69" s="126" t="s">
        <v>0</v>
      </c>
      <c r="B69" s="7" t="s">
        <v>1</v>
      </c>
      <c r="C69" s="7" t="s">
        <v>2</v>
      </c>
      <c r="D69" s="106" t="s">
        <v>86</v>
      </c>
      <c r="E69" s="10"/>
      <c r="F69" s="144" t="s">
        <v>87</v>
      </c>
      <c r="G69" s="9"/>
    </row>
    <row r="70" s="1" customFormat="1" ht="30" customHeight="1" spans="1:9">
      <c r="A70" s="12"/>
      <c r="B70" s="13"/>
      <c r="C70" s="13"/>
      <c r="D70" s="129" t="s">
        <v>95</v>
      </c>
      <c r="E70" s="145" t="s">
        <v>96</v>
      </c>
      <c r="F70" s="131" t="s">
        <v>95</v>
      </c>
      <c r="G70" s="132" t="s">
        <v>96</v>
      </c>
    </row>
    <row r="71" s="1" customFormat="1" ht="27.95" customHeight="1" spans="1:9">
      <c r="A71" s="18" t="s">
        <v>11</v>
      </c>
      <c r="B71" s="19" t="s">
        <v>12</v>
      </c>
      <c r="C71" s="20" t="s">
        <v>13</v>
      </c>
      <c r="D71" s="23">
        <v>217</v>
      </c>
      <c r="E71" s="146">
        <v>1.4</v>
      </c>
      <c r="F71" s="147">
        <f>D71</f>
        <v>217</v>
      </c>
      <c r="G71" s="26">
        <f>E71</f>
        <v>1.4</v>
      </c>
    </row>
    <row r="72" s="1" customFormat="1" ht="27.95" customHeight="1" spans="1:9">
      <c r="A72" s="27" t="s">
        <v>14</v>
      </c>
      <c r="B72" s="41" t="s">
        <v>22</v>
      </c>
      <c r="C72" s="42" t="s">
        <v>23</v>
      </c>
      <c r="D72" s="72"/>
      <c r="E72" s="110"/>
      <c r="F72" s="148">
        <f>D72</f>
        <v>0</v>
      </c>
      <c r="G72" s="149">
        <f>E72</f>
        <v>0</v>
      </c>
    </row>
    <row r="73" s="1" customFormat="1" ht="27.95" customHeight="1" spans="1:9">
      <c r="A73" s="27" t="s">
        <v>19</v>
      </c>
      <c r="B73" s="41" t="s">
        <v>25</v>
      </c>
      <c r="C73" s="42" t="s">
        <v>26</v>
      </c>
      <c r="D73" s="68">
        <f>D72*2.951694</f>
        <v>0</v>
      </c>
      <c r="E73" s="150">
        <f>E72*2.732</f>
        <v>0</v>
      </c>
      <c r="F73" s="148">
        <f>D73+'26.2'!F73</f>
        <v>0</v>
      </c>
      <c r="G73" s="148">
        <f>E73+'26.2'!G73</f>
        <v>0</v>
      </c>
    </row>
    <row r="74" s="1" customFormat="1" ht="27.95" customHeight="1" spans="1:9">
      <c r="A74" s="27" t="s">
        <v>21</v>
      </c>
      <c r="B74" s="41" t="s">
        <v>97</v>
      </c>
      <c r="C74" s="42" t="s">
        <v>98</v>
      </c>
      <c r="D74" s="72"/>
      <c r="E74" s="110"/>
      <c r="F74" s="148">
        <f>D74+'26.2'!F74</f>
        <v>0</v>
      </c>
      <c r="G74" s="148">
        <f>E74+'26.2'!G74</f>
        <v>0</v>
      </c>
    </row>
    <row r="75" s="1" customFormat="1" ht="27.95" customHeight="1" spans="1:9">
      <c r="A75" s="27" t="s">
        <v>24</v>
      </c>
      <c r="B75" s="41" t="s">
        <v>34</v>
      </c>
      <c r="C75" s="42" t="s">
        <v>23</v>
      </c>
      <c r="D75" s="68">
        <f>D74*D80/29308/1000</f>
        <v>0</v>
      </c>
      <c r="E75" s="112">
        <f>E74*E80/29308/1000</f>
        <v>0</v>
      </c>
      <c r="F75" s="148">
        <f>D75+'26.2'!F75</f>
        <v>0</v>
      </c>
      <c r="G75" s="148">
        <f>E75+'26.2'!G75</f>
        <v>0</v>
      </c>
    </row>
    <row r="76" s="1" customFormat="1" ht="27.95" customHeight="1" spans="1:9">
      <c r="A76" s="27" t="s">
        <v>27</v>
      </c>
      <c r="B76" s="41" t="s">
        <v>38</v>
      </c>
      <c r="C76" s="42" t="s">
        <v>23</v>
      </c>
      <c r="D76" s="72"/>
      <c r="E76" s="151"/>
      <c r="F76" s="148">
        <f>D76+'26.2'!F76</f>
        <v>0</v>
      </c>
      <c r="G76" s="148">
        <f>E76+'26.2'!G76</f>
        <v>0</v>
      </c>
    </row>
    <row r="77" s="1" customFormat="1" ht="27.95" customHeight="1" spans="1:9">
      <c r="A77" s="27" t="s">
        <v>29</v>
      </c>
      <c r="B77" s="41" t="s">
        <v>41</v>
      </c>
      <c r="C77" s="42" t="s">
        <v>42</v>
      </c>
      <c r="D77" s="72"/>
      <c r="E77" s="151"/>
      <c r="F77" s="148">
        <f>D77+'26.2'!F77</f>
        <v>0</v>
      </c>
      <c r="G77" s="148">
        <f>E77+'26.2'!G77</f>
        <v>0</v>
      </c>
    </row>
    <row r="78" s="1" customFormat="1" ht="27.95" customHeight="1" spans="1:9">
      <c r="A78" s="27" t="s">
        <v>31</v>
      </c>
      <c r="B78" s="41" t="s">
        <v>52</v>
      </c>
      <c r="C78" s="42" t="s">
        <v>53</v>
      </c>
      <c r="D78" s="152" t="e">
        <f>D77/D73</f>
        <v>#DIV/0!</v>
      </c>
      <c r="E78" s="153"/>
      <c r="F78" s="154" t="e">
        <f>F77/F73</f>
        <v>#DIV/0!</v>
      </c>
      <c r="G78" s="155"/>
    </row>
    <row r="79" s="1" customFormat="1" ht="27.95" customHeight="1" spans="1:9">
      <c r="A79" s="27" t="s">
        <v>33</v>
      </c>
      <c r="B79" s="41" t="s">
        <v>55</v>
      </c>
      <c r="C79" s="42" t="s">
        <v>56</v>
      </c>
      <c r="D79" s="57" t="e">
        <f>D75*1000/D73</f>
        <v>#DIV/0!</v>
      </c>
      <c r="E79" s="156" t="e">
        <f>E75*1000/E73</f>
        <v>#DIV/0!</v>
      </c>
      <c r="F79" s="157" t="e">
        <f>F75*1000/F73</f>
        <v>#DIV/0!</v>
      </c>
      <c r="G79" s="58" t="e">
        <f>G75*1000/G73</f>
        <v>#DIV/0!</v>
      </c>
    </row>
    <row r="80" s="1" customFormat="1" ht="27.95" customHeight="1" spans="1:9">
      <c r="A80" s="27" t="s">
        <v>37</v>
      </c>
      <c r="B80" s="41" t="s">
        <v>99</v>
      </c>
      <c r="C80" s="42" t="s">
        <v>100</v>
      </c>
      <c r="D80" s="33"/>
      <c r="E80" s="158"/>
      <c r="F80" s="159" t="e">
        <f>F75*29308*1000/F74</f>
        <v>#DIV/0!</v>
      </c>
      <c r="G80" s="68" t="e">
        <f>G75*29308*1000/G74</f>
        <v>#DIV/0!</v>
      </c>
    </row>
    <row r="81" s="1" customFormat="1" ht="27.95" customHeight="1" spans="1:11">
      <c r="A81" s="27" t="s">
        <v>40</v>
      </c>
      <c r="B81" s="41" t="s">
        <v>67</v>
      </c>
      <c r="C81" s="75" t="s">
        <v>68</v>
      </c>
      <c r="D81" s="76" t="e">
        <f>D73/(D75*29.308)</f>
        <v>#DIV/0!</v>
      </c>
      <c r="E81" s="160" t="e">
        <f>E73/(E75*29.308)</f>
        <v>#DIV/0!</v>
      </c>
      <c r="F81" s="161" t="e">
        <f>F73/(F75*29.308)</f>
        <v>#DIV/0!</v>
      </c>
      <c r="G81" s="77" t="e">
        <f>G73/(G75*29.308)</f>
        <v>#DIV/0!</v>
      </c>
    </row>
    <row r="82" s="1" customFormat="1" ht="27.95" customHeight="1" spans="1:11">
      <c r="A82" s="124" t="s">
        <v>47</v>
      </c>
      <c r="B82" s="162" t="s">
        <v>70</v>
      </c>
      <c r="C82" s="163" t="s">
        <v>68</v>
      </c>
      <c r="D82" s="207">
        <f>D73/3.6/D71/(DAY(DATE(2026,4,0))*24)</f>
        <v>0</v>
      </c>
      <c r="E82" s="208">
        <f>E73/3.6/E71/(DAY(DATE(2026,4,0))*24)</f>
        <v>0</v>
      </c>
      <c r="F82" s="209">
        <f>F73/3.6/F71/(DATEDIF(DATE(2026,1,1),DATE(2026,4,1),"D")*24)</f>
        <v>0</v>
      </c>
      <c r="G82" s="210">
        <f>G73/3.6/G71/(DATEDIF(DATE(2026,1,1),DATE(2026,4,1),"D")*24)</f>
        <v>0</v>
      </c>
    </row>
    <row r="83" s="1" customFormat="1" ht="18" customHeight="1" spans="1:11">
      <c r="B83" s="168"/>
      <c r="C83" s="168"/>
      <c r="D83" s="5"/>
    </row>
    <row r="84" s="1" customFormat="1" ht="16.25" spans="1:11">
      <c r="A84" s="103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ht="14" spans="1:11">
      <c r="A85" s="126" t="s">
        <v>0</v>
      </c>
      <c r="B85" s="127" t="s">
        <v>85</v>
      </c>
      <c r="C85" s="127" t="s">
        <v>2</v>
      </c>
      <c r="D85" s="169" t="s">
        <v>86</v>
      </c>
      <c r="E85" s="129" t="s">
        <v>87</v>
      </c>
      <c r="F85" s="169" t="s">
        <v>102</v>
      </c>
      <c r="G85" s="169" t="s">
        <v>103</v>
      </c>
      <c r="H85" s="170"/>
      <c r="I85" s="170"/>
    </row>
    <row r="86" s="1" customFormat="1" ht="14" spans="1:11">
      <c r="A86" s="12"/>
      <c r="B86" s="13"/>
      <c r="C86" s="13"/>
      <c r="D86" s="169" t="s">
        <v>104</v>
      </c>
      <c r="E86" s="169" t="s">
        <v>104</v>
      </c>
      <c r="F86" s="13"/>
      <c r="G86" s="13"/>
      <c r="H86" s="170"/>
      <c r="I86" s="103"/>
    </row>
    <row r="87" s="1" customFormat="1" ht="14" spans="1:11">
      <c r="A87" s="27" t="s">
        <v>11</v>
      </c>
      <c r="B87" s="28" t="s">
        <v>12</v>
      </c>
      <c r="C87" s="29" t="s">
        <v>13</v>
      </c>
      <c r="D87" s="171">
        <v>0.7888</v>
      </c>
      <c r="E87" s="172">
        <f>D87</f>
        <v>0.7888</v>
      </c>
      <c r="F87" s="173">
        <f t="shared" ref="F87:F93" si="11">F55+D87</f>
        <v>13.1888</v>
      </c>
      <c r="G87" s="173">
        <f t="shared" ref="G87:G93" si="12">E87+I55</f>
        <v>13.1888</v>
      </c>
      <c r="H87" s="135"/>
      <c r="I87" s="135"/>
    </row>
    <row r="88" s="1" customFormat="1" ht="14" spans="1:11">
      <c r="A88" s="27" t="s">
        <v>14</v>
      </c>
      <c r="B88" s="28" t="s">
        <v>88</v>
      </c>
      <c r="C88" s="29" t="s">
        <v>16</v>
      </c>
      <c r="D88" s="174"/>
      <c r="E88" s="175">
        <f>D88</f>
        <v>0</v>
      </c>
      <c r="F88" s="178">
        <f t="shared" si="11"/>
        <v>0</v>
      </c>
      <c r="G88" s="178">
        <f t="shared" si="12"/>
        <v>0</v>
      </c>
      <c r="H88" s="111"/>
      <c r="I88" s="111"/>
    </row>
    <row r="89" s="1" customFormat="1" ht="14" spans="1:11">
      <c r="A89" s="27" t="s">
        <v>19</v>
      </c>
      <c r="B89" s="28" t="s">
        <v>89</v>
      </c>
      <c r="C89" s="29" t="s">
        <v>16</v>
      </c>
      <c r="D89" s="174"/>
      <c r="E89" s="175">
        <f>D89</f>
        <v>0</v>
      </c>
      <c r="F89" s="178">
        <f t="shared" si="11"/>
        <v>0</v>
      </c>
      <c r="G89" s="178">
        <f t="shared" si="12"/>
        <v>0</v>
      </c>
      <c r="H89" s="111"/>
      <c r="I89" s="111"/>
    </row>
    <row r="90" s="1" customFormat="1" ht="14" spans="1:11">
      <c r="A90" s="27" t="s">
        <v>21</v>
      </c>
      <c r="B90" s="41" t="s">
        <v>25</v>
      </c>
      <c r="C90" s="42" t="s">
        <v>26</v>
      </c>
      <c r="D90" s="174"/>
      <c r="E90" s="211">
        <f>D90+'26.2'!E90</f>
        <v>6355.62400900001</v>
      </c>
      <c r="F90" s="178">
        <f t="shared" si="11"/>
        <v>0</v>
      </c>
      <c r="G90" s="178">
        <f t="shared" si="12"/>
        <v>16864.724009</v>
      </c>
      <c r="H90" s="111"/>
      <c r="I90" s="111"/>
    </row>
    <row r="91" s="1" customFormat="1" ht="14" spans="1:11">
      <c r="A91" s="27" t="s">
        <v>24</v>
      </c>
      <c r="B91" s="41" t="s">
        <v>38</v>
      </c>
      <c r="C91" s="42" t="s">
        <v>23</v>
      </c>
      <c r="D91" s="174"/>
      <c r="E91" s="211">
        <f>D91+'26.2'!E91</f>
        <v>86.5</v>
      </c>
      <c r="F91" s="178">
        <f t="shared" si="11"/>
        <v>0</v>
      </c>
      <c r="G91" s="178">
        <f t="shared" si="12"/>
        <v>817.3</v>
      </c>
      <c r="H91" s="111"/>
      <c r="I91" s="111"/>
    </row>
    <row r="92" s="1" customFormat="1" ht="14" spans="1:11">
      <c r="A92" s="27" t="s">
        <v>27</v>
      </c>
      <c r="B92" s="41" t="s">
        <v>41</v>
      </c>
      <c r="C92" s="42" t="s">
        <v>42</v>
      </c>
      <c r="D92" s="174"/>
      <c r="E92" s="211">
        <f>D92+'26.2'!E92</f>
        <v>780380.88</v>
      </c>
      <c r="F92" s="178">
        <f t="shared" si="11"/>
        <v>0</v>
      </c>
      <c r="G92" s="178">
        <f t="shared" si="12"/>
        <v>3955940.88</v>
      </c>
      <c r="H92" s="111"/>
      <c r="I92" s="111"/>
    </row>
    <row r="93" s="1" customFormat="1" ht="14" spans="1:11">
      <c r="A93" s="27"/>
      <c r="B93" s="41" t="s">
        <v>90</v>
      </c>
      <c r="C93" s="42" t="s">
        <v>42</v>
      </c>
      <c r="D93" s="174"/>
      <c r="E93" s="211">
        <f>D93+'26.2'!E93</f>
        <v>0</v>
      </c>
      <c r="F93" s="178">
        <f t="shared" si="11"/>
        <v>0</v>
      </c>
      <c r="G93" s="178">
        <f t="shared" si="12"/>
        <v>3175560</v>
      </c>
      <c r="H93" s="111"/>
      <c r="I93" s="111"/>
    </row>
    <row r="94" s="1" customFormat="1" ht="14" spans="1:11">
      <c r="A94" s="27" t="s">
        <v>29</v>
      </c>
      <c r="B94" s="41" t="s">
        <v>52</v>
      </c>
      <c r="C94" s="42" t="s">
        <v>53</v>
      </c>
      <c r="D94" s="179" t="e">
        <f>D92/D90</f>
        <v>#DIV/0!</v>
      </c>
      <c r="E94" s="179">
        <f>E92/E90</f>
        <v>122.785878915261</v>
      </c>
      <c r="F94" s="179" t="e">
        <f>F92/F90</f>
        <v>#DIV/0!</v>
      </c>
      <c r="G94" s="179">
        <f>G92/G90</f>
        <v>234.568966434842</v>
      </c>
      <c r="H94" s="117"/>
      <c r="I94" s="117"/>
    </row>
    <row r="95" s="1" customFormat="1" ht="14" spans="1:11">
      <c r="A95" s="27" t="s">
        <v>31</v>
      </c>
      <c r="B95" s="41" t="s">
        <v>105</v>
      </c>
      <c r="C95" s="75" t="s">
        <v>68</v>
      </c>
      <c r="D95" s="212">
        <f>D90/3.6/D87/(DAY(DATE(2026,4,0))*24)</f>
        <v>0</v>
      </c>
      <c r="E95" s="203">
        <f>E90/3.6/E87/(DATEDIF(DATE(2026,1,1),DATE(2026,4,1),"D")*24)</f>
        <v>1.03617961273284</v>
      </c>
      <c r="F95" s="212">
        <f>F90/3.6/F87/(DAY(DATE(2026,4,0))*24)</f>
        <v>0</v>
      </c>
      <c r="G95" s="203">
        <f>G90/3.6/G87/(DATEDIF(DATE(2026,1,1),DATE(2026,4,1),"D")*24)</f>
        <v>0.164443875711868</v>
      </c>
      <c r="H95" s="181"/>
      <c r="I95" s="181"/>
      <c r="K95" s="182"/>
    </row>
    <row r="96" s="1" customFormat="1" ht="14" spans="1:11">
      <c r="A96" s="27" t="s">
        <v>33</v>
      </c>
      <c r="B96" s="41" t="s">
        <v>72</v>
      </c>
      <c r="C96" s="42" t="s">
        <v>73</v>
      </c>
      <c r="D96" s="183" t="e">
        <f>D90/D89</f>
        <v>#DIV/0!</v>
      </c>
      <c r="E96" s="183" t="e">
        <f>E90/E89</f>
        <v>#DIV/0!</v>
      </c>
      <c r="F96" s="183" t="e">
        <f>F90/F89</f>
        <v>#DIV/0!</v>
      </c>
      <c r="G96" s="183" t="e">
        <f>G90/G89</f>
        <v>#DIV/0!</v>
      </c>
      <c r="H96" s="121"/>
      <c r="I96" s="121"/>
    </row>
    <row r="97" s="1" customFormat="1" ht="14" spans="1:9">
      <c r="A97" s="27" t="s">
        <v>37</v>
      </c>
      <c r="B97" s="41" t="s">
        <v>78</v>
      </c>
      <c r="C97" s="42" t="s">
        <v>79</v>
      </c>
      <c r="D97" s="184" t="e">
        <f>D92/D89</f>
        <v>#DIV/0!</v>
      </c>
      <c r="E97" s="184" t="e">
        <f>E92/E89</f>
        <v>#DIV/0!</v>
      </c>
      <c r="F97" s="184" t="e">
        <f>F92/F89</f>
        <v>#DIV/0!</v>
      </c>
      <c r="G97" s="184" t="e">
        <f>G92/G89</f>
        <v>#DIV/0!</v>
      </c>
      <c r="H97" s="123"/>
      <c r="I97" s="123"/>
    </row>
    <row r="98" s="1" customFormat="1" ht="14.75" spans="1:9">
      <c r="A98" s="124" t="s">
        <v>40</v>
      </c>
      <c r="B98" s="93" t="s">
        <v>81</v>
      </c>
      <c r="C98" s="94" t="s">
        <v>76</v>
      </c>
      <c r="D98" s="184" t="e">
        <f>D91*1000/D89</f>
        <v>#DIV/0!</v>
      </c>
      <c r="E98" s="184" t="e">
        <f>E91*1000/E89</f>
        <v>#DIV/0!</v>
      </c>
      <c r="F98" s="184" t="e">
        <f>F91*1000/F89</f>
        <v>#DIV/0!</v>
      </c>
      <c r="G98" s="184" t="e">
        <f>G91*1000/G89</f>
        <v>#DIV/0!</v>
      </c>
      <c r="H98" s="123"/>
      <c r="I98" s="123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scale="40" orientation="landscape" horizontalDpi="600" verticalDpi="600"/>
  <headerFooter alignWithMargins="0" scaleWithDoc="0">
    <oddHeader>&amp;C&amp;20 2023年2月份集团各锅炉站生产报表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 customWidth="1"/>
    <col min="15" max="16384" width="8.625" style="1" customWidth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</row>
    <row r="2" s="1" customFormat="1" ht="39.95" customHeight="1" spans="1:14">
      <c r="A2" s="12"/>
      <c r="B2" s="13"/>
      <c r="C2" s="13"/>
      <c r="D2" s="14" t="s">
        <v>5</v>
      </c>
      <c r="E2" s="14" t="s">
        <v>6</v>
      </c>
      <c r="F2" s="14" t="s">
        <v>7</v>
      </c>
      <c r="G2" s="15" t="s">
        <v>8</v>
      </c>
      <c r="H2" s="16" t="s">
        <v>9</v>
      </c>
      <c r="I2" s="17" t="s">
        <v>5</v>
      </c>
      <c r="J2" s="14" t="s">
        <v>6</v>
      </c>
      <c r="K2" s="14" t="s">
        <v>7</v>
      </c>
      <c r="L2" s="15" t="s">
        <v>10</v>
      </c>
      <c r="M2" s="16" t="s">
        <v>9</v>
      </c>
    </row>
    <row r="3" s="1" customFormat="1" ht="18" customHeight="1" spans="1:14">
      <c r="A3" s="18" t="s">
        <v>11</v>
      </c>
      <c r="B3" s="19" t="s">
        <v>12</v>
      </c>
      <c r="C3" s="20" t="s">
        <v>13</v>
      </c>
      <c r="D3" s="21">
        <v>348</v>
      </c>
      <c r="E3" s="22">
        <v>162</v>
      </c>
      <c r="F3" s="22"/>
      <c r="G3" s="23">
        <v>14</v>
      </c>
      <c r="H3" s="24">
        <f>E3+F3+G3</f>
        <v>176</v>
      </c>
      <c r="I3" s="25">
        <f>D3</f>
        <v>348</v>
      </c>
      <c r="J3" s="21">
        <f>E3</f>
        <v>162</v>
      </c>
      <c r="K3" s="21">
        <f>F3</f>
        <v>0</v>
      </c>
      <c r="L3" s="26">
        <f>G3</f>
        <v>14</v>
      </c>
      <c r="M3" s="24">
        <f t="shared" ref="M3:M12" si="0">J3+K3+L3</f>
        <v>176</v>
      </c>
    </row>
    <row r="4" s="1" customFormat="1" ht="18" customHeight="1" spans="1:14">
      <c r="A4" s="27" t="s">
        <v>14</v>
      </c>
      <c r="B4" s="28" t="s">
        <v>15</v>
      </c>
      <c r="C4" s="29" t="s">
        <v>16</v>
      </c>
      <c r="D4" s="30" t="s">
        <v>17</v>
      </c>
      <c r="E4" s="31"/>
      <c r="F4" s="32"/>
      <c r="G4" s="33"/>
      <c r="H4" s="34"/>
      <c r="I4" s="35" t="str">
        <f>D4</f>
        <v> -   </v>
      </c>
      <c r="J4" s="31">
        <f>E4</f>
        <v>0</v>
      </c>
      <c r="K4" s="36">
        <f>F4</f>
        <v>0</v>
      </c>
      <c r="L4" s="37">
        <f>G4</f>
        <v>0</v>
      </c>
      <c r="M4" s="34">
        <f t="shared" si="0"/>
        <v>0</v>
      </c>
    </row>
    <row r="5" s="1" customFormat="1" ht="18" customHeight="1" spans="1:14">
      <c r="A5" s="27"/>
      <c r="B5" s="28" t="s">
        <v>18</v>
      </c>
      <c r="C5" s="29" t="s">
        <v>16</v>
      </c>
      <c r="D5" s="30" t="s">
        <v>17</v>
      </c>
      <c r="E5" s="32">
        <v>55000</v>
      </c>
      <c r="F5" s="38">
        <v>0</v>
      </c>
      <c r="G5" s="39">
        <v>0</v>
      </c>
      <c r="H5" s="34">
        <f>E5+F5+G5</f>
        <v>55000</v>
      </c>
      <c r="I5" s="35" t="str">
        <f>D5</f>
        <v> -   </v>
      </c>
      <c r="J5" s="31">
        <f>E5</f>
        <v>55000</v>
      </c>
      <c r="K5" s="36">
        <f>F5</f>
        <v>0</v>
      </c>
      <c r="L5" s="37">
        <f>G5</f>
        <v>0</v>
      </c>
      <c r="M5" s="34">
        <f t="shared" si="0"/>
        <v>55000</v>
      </c>
    </row>
    <row r="6" s="1" customFormat="1" ht="18" customHeight="1" spans="1:14">
      <c r="A6" s="27" t="s">
        <v>19</v>
      </c>
      <c r="B6" s="28" t="s">
        <v>20</v>
      </c>
      <c r="C6" s="29" t="s">
        <v>16</v>
      </c>
      <c r="D6" s="30" t="s">
        <v>17</v>
      </c>
      <c r="E6" s="33">
        <f>E4</f>
        <v>0</v>
      </c>
      <c r="F6" s="33">
        <f>F4</f>
        <v>0</v>
      </c>
      <c r="G6" s="33">
        <f>G4</f>
        <v>0</v>
      </c>
      <c r="H6" s="34">
        <f>E6+F6+G6</f>
        <v>0</v>
      </c>
      <c r="I6" s="35" t="str">
        <f>D6</f>
        <v> -   </v>
      </c>
      <c r="J6" s="40">
        <f>E6</f>
        <v>0</v>
      </c>
      <c r="K6" s="40">
        <f>F6</f>
        <v>0</v>
      </c>
      <c r="L6" s="40">
        <f>G6</f>
        <v>0</v>
      </c>
      <c r="M6" s="34">
        <f t="shared" si="0"/>
        <v>0</v>
      </c>
    </row>
    <row r="7" s="2" customFormat="1" ht="18" customHeight="1" spans="1:14">
      <c r="A7" s="27" t="s">
        <v>21</v>
      </c>
      <c r="B7" s="41" t="s">
        <v>22</v>
      </c>
      <c r="C7" s="42" t="s">
        <v>23</v>
      </c>
      <c r="D7" s="39">
        <v>0</v>
      </c>
      <c r="E7" s="39">
        <v>0</v>
      </c>
      <c r="F7" s="39">
        <v>0</v>
      </c>
      <c r="G7" s="39"/>
      <c r="H7" s="34">
        <f>E7+F7+G7</f>
        <v>0</v>
      </c>
      <c r="I7" s="49">
        <f>D7+'26.3'!I7</f>
        <v>0</v>
      </c>
      <c r="J7" s="49">
        <f>E7+'26.3'!J7</f>
        <v>0</v>
      </c>
      <c r="K7" s="49">
        <f>F7+'26.3'!K7</f>
        <v>0</v>
      </c>
      <c r="L7" s="49">
        <f>G7+'26.3'!L7</f>
        <v>0</v>
      </c>
      <c r="M7" s="34">
        <f t="shared" si="0"/>
        <v>0</v>
      </c>
    </row>
    <row r="8" s="2" customFormat="1" ht="18" customHeight="1" spans="1:14">
      <c r="A8" s="27" t="s">
        <v>24</v>
      </c>
      <c r="B8" s="41" t="s">
        <v>25</v>
      </c>
      <c r="C8" s="42" t="s">
        <v>26</v>
      </c>
      <c r="D8" s="44"/>
      <c r="E8" s="39"/>
      <c r="F8" s="38"/>
      <c r="G8" s="33"/>
      <c r="H8" s="34"/>
      <c r="I8" s="49">
        <f>D8+'26.3'!I8</f>
        <v>1168258</v>
      </c>
      <c r="J8" s="49">
        <f>E8+'26.3'!J8</f>
        <v>267460.3967164</v>
      </c>
      <c r="K8" s="49">
        <f>F8+'26.3'!K8</f>
        <v>0</v>
      </c>
      <c r="L8" s="49">
        <f>G8+'26.3'!L8</f>
        <v>440887.508551189</v>
      </c>
      <c r="M8" s="34">
        <f t="shared" si="0"/>
        <v>708347.905267589</v>
      </c>
      <c r="N8" s="45"/>
    </row>
    <row r="9" s="2" customFormat="1" ht="18" customHeight="1" spans="1:14">
      <c r="A9" s="27" t="s">
        <v>27</v>
      </c>
      <c r="B9" s="41" t="s">
        <v>28</v>
      </c>
      <c r="C9" s="42" t="s">
        <v>26</v>
      </c>
      <c r="D9" s="39">
        <v>0</v>
      </c>
      <c r="E9" s="46">
        <f>[1]售热量!$I$25</f>
        <v>0</v>
      </c>
      <c r="F9" s="38"/>
      <c r="G9" s="38"/>
      <c r="H9" s="34">
        <f>E9+F9+G9</f>
        <v>0</v>
      </c>
      <c r="I9" s="49">
        <f>D9+'26.3'!I9</f>
        <v>0</v>
      </c>
      <c r="J9" s="49">
        <f>E9+'26.3'!J9</f>
        <v>8828</v>
      </c>
      <c r="K9" s="49">
        <f>F9+'26.3'!K9</f>
        <v>0</v>
      </c>
      <c r="L9" s="49">
        <f>G9+'26.3'!L9</f>
        <v>0</v>
      </c>
      <c r="M9" s="34">
        <f t="shared" si="0"/>
        <v>8828</v>
      </c>
    </row>
    <row r="10" s="2" customFormat="1" ht="18" customHeight="1" spans="1:14">
      <c r="A10" s="27" t="s">
        <v>29</v>
      </c>
      <c r="B10" s="41" t="s">
        <v>30</v>
      </c>
      <c r="C10" s="42" t="s">
        <v>23</v>
      </c>
      <c r="D10" s="39"/>
      <c r="E10" s="32"/>
      <c r="F10" s="38"/>
      <c r="G10" s="33"/>
      <c r="H10" s="34">
        <f>E10+F10+G10</f>
        <v>0</v>
      </c>
      <c r="I10" s="49">
        <f>D10+'26.3'!I10</f>
        <v>66226</v>
      </c>
      <c r="J10" s="49">
        <f>E10+'26.3'!J10</f>
        <v>21656</v>
      </c>
      <c r="K10" s="49">
        <f>F10+'26.3'!K10</f>
        <v>0</v>
      </c>
      <c r="L10" s="49">
        <f>G10+'26.3'!L10</f>
        <v>931</v>
      </c>
      <c r="M10" s="34">
        <f t="shared" si="0"/>
        <v>22587</v>
      </c>
    </row>
    <row r="11" s="2" customFormat="1" ht="18" customHeight="1" spans="1:14">
      <c r="A11" s="27" t="s">
        <v>31</v>
      </c>
      <c r="B11" s="41" t="s">
        <v>32</v>
      </c>
      <c r="C11" s="42" t="s">
        <v>23</v>
      </c>
      <c r="D11" s="39"/>
      <c r="E11" s="39"/>
      <c r="F11" s="39"/>
      <c r="G11" s="39"/>
      <c r="H11" s="34">
        <f>E11+F11+G11</f>
        <v>0</v>
      </c>
      <c r="I11" s="49">
        <f>D11+'26.3'!I11</f>
        <v>16.2</v>
      </c>
      <c r="J11" s="49">
        <f>E11+'26.3'!J11</f>
        <v>0</v>
      </c>
      <c r="K11" s="49">
        <f>F11+'26.3'!K11</f>
        <v>0</v>
      </c>
      <c r="L11" s="49">
        <f>G11+'26.3'!L11</f>
        <v>0</v>
      </c>
      <c r="M11" s="34">
        <f t="shared" si="0"/>
        <v>0</v>
      </c>
    </row>
    <row r="12" s="2" customFormat="1" ht="18" customHeight="1" spans="1:14">
      <c r="A12" s="27" t="s">
        <v>33</v>
      </c>
      <c r="B12" s="41" t="s">
        <v>34</v>
      </c>
      <c r="C12" s="42" t="s">
        <v>23</v>
      </c>
      <c r="D12" s="44">
        <f>D13+D14</f>
        <v>0</v>
      </c>
      <c r="E12" s="44">
        <f>E13+E14</f>
        <v>0</v>
      </c>
      <c r="F12" s="44">
        <f>F13+F14</f>
        <v>0</v>
      </c>
      <c r="G12" s="44">
        <f>G13+G14</f>
        <v>0</v>
      </c>
      <c r="H12" s="34">
        <f>E12+F12+G12</f>
        <v>0</v>
      </c>
      <c r="I12" s="49">
        <f>D12+'26.3'!I12</f>
        <v>43472.2579475284</v>
      </c>
      <c r="J12" s="49">
        <f>E12+'26.3'!J12</f>
        <v>13036.909</v>
      </c>
      <c r="K12" s="49">
        <f>F12+'26.3'!K12</f>
        <v>0</v>
      </c>
      <c r="L12" s="49">
        <f>G12+'26.3'!L12</f>
        <v>620.280370522607</v>
      </c>
      <c r="M12" s="34">
        <f t="shared" si="0"/>
        <v>13657.1893705226</v>
      </c>
    </row>
    <row r="13" s="2" customFormat="1" ht="18" customHeight="1" spans="1:14">
      <c r="A13" s="27"/>
      <c r="B13" s="41" t="s">
        <v>35</v>
      </c>
      <c r="C13" s="42" t="s">
        <v>23</v>
      </c>
      <c r="D13" s="39"/>
      <c r="E13" s="39"/>
      <c r="F13" s="39"/>
      <c r="G13" s="44"/>
      <c r="H13" s="47"/>
      <c r="I13" s="49">
        <f>D13+'26.3'!I13</f>
        <v>43448.6529275284</v>
      </c>
      <c r="J13" s="49">
        <f>E13+'26.3'!J13</f>
        <v>13036.909</v>
      </c>
      <c r="K13" s="49">
        <f>F13+'26.3'!K13</f>
        <v>0</v>
      </c>
      <c r="L13" s="49">
        <f>G13+'26.3'!L13</f>
        <v>620.280370522607</v>
      </c>
      <c r="M13" s="47"/>
    </row>
    <row r="14" s="2" customFormat="1" ht="18" customHeight="1" spans="1:14">
      <c r="A14" s="27"/>
      <c r="B14" s="41" t="s">
        <v>36</v>
      </c>
      <c r="C14" s="42" t="s">
        <v>23</v>
      </c>
      <c r="D14" s="44"/>
      <c r="E14" s="39"/>
      <c r="F14" s="39"/>
      <c r="G14" s="39"/>
      <c r="H14" s="47"/>
      <c r="I14" s="49">
        <f>D14+'26.3'!I14</f>
        <v>23.60502</v>
      </c>
      <c r="J14" s="49">
        <f>E14+'26.3'!J14</f>
        <v>0</v>
      </c>
      <c r="K14" s="49">
        <f>F14+'26.3'!K14</f>
        <v>0</v>
      </c>
      <c r="L14" s="49">
        <f>G14+'26.3'!L14</f>
        <v>0</v>
      </c>
      <c r="M14" s="47"/>
    </row>
    <row r="15" s="2" customFormat="1" ht="18" customHeight="1" spans="1:14">
      <c r="A15" s="27" t="s">
        <v>37</v>
      </c>
      <c r="B15" s="41" t="s">
        <v>38</v>
      </c>
      <c r="C15" s="42" t="s">
        <v>23</v>
      </c>
      <c r="D15" s="39"/>
      <c r="E15" s="48"/>
      <c r="F15" s="38"/>
      <c r="G15" s="33"/>
      <c r="H15" s="34"/>
      <c r="I15" s="49">
        <f>D15+'26.3'!I15</f>
        <v>23540</v>
      </c>
      <c r="J15" s="49">
        <f>E15+'26.3'!J15</f>
        <v>43463</v>
      </c>
      <c r="K15" s="49">
        <f>F15+'26.3'!K15</f>
        <v>0</v>
      </c>
      <c r="L15" s="49">
        <f>G15+'26.3'!L15</f>
        <v>97382</v>
      </c>
      <c r="M15" s="34">
        <f>J15+K15+L15</f>
        <v>140845</v>
      </c>
    </row>
    <row r="16" s="2" customFormat="1" ht="18" customHeight="1" spans="1:14">
      <c r="A16" s="27"/>
      <c r="B16" s="41" t="s">
        <v>39</v>
      </c>
      <c r="C16" s="42" t="s">
        <v>23</v>
      </c>
      <c r="D16" s="39"/>
      <c r="E16" s="48"/>
      <c r="F16" s="38"/>
      <c r="G16" s="38"/>
      <c r="H16" s="34"/>
      <c r="I16" s="49">
        <f>D16+'26.3'!I16</f>
        <v>2975</v>
      </c>
      <c r="J16" s="49">
        <f>E16+'26.3'!J16</f>
        <v>0</v>
      </c>
      <c r="K16" s="49">
        <f>F16+'26.3'!K16</f>
        <v>0</v>
      </c>
      <c r="L16" s="49">
        <f>G16+'26.3'!L16</f>
        <v>0</v>
      </c>
      <c r="M16" s="34">
        <f>J16+K16+L16</f>
        <v>0</v>
      </c>
    </row>
    <row r="17" s="2" customFormat="1" ht="18" customHeight="1" spans="1:14">
      <c r="A17" s="27" t="s">
        <v>40</v>
      </c>
      <c r="B17" s="41" t="s">
        <v>41</v>
      </c>
      <c r="C17" s="42" t="s">
        <v>42</v>
      </c>
      <c r="D17" s="44"/>
      <c r="E17" s="48"/>
      <c r="F17" s="38"/>
      <c r="G17" s="33"/>
      <c r="H17" s="34"/>
      <c r="I17" s="49">
        <f>D17+'26.3'!I17</f>
        <v>8122792</v>
      </c>
      <c r="J17" s="49">
        <f>E17+'26.3'!J17</f>
        <v>3287588</v>
      </c>
      <c r="K17" s="49"/>
      <c r="L17" s="49">
        <f>G17+'26.3'!L17</f>
        <v>2263757.5</v>
      </c>
      <c r="M17" s="34">
        <f>J17+K17+L17</f>
        <v>5551345.5</v>
      </c>
    </row>
    <row r="18" s="2" customFormat="1" ht="18" customHeight="1" spans="1:14">
      <c r="A18" s="27"/>
      <c r="B18" s="41" t="s">
        <v>43</v>
      </c>
      <c r="C18" s="42" t="s">
        <v>42</v>
      </c>
      <c r="D18" s="39"/>
      <c r="E18" s="48"/>
      <c r="F18" s="38"/>
      <c r="G18" s="38"/>
      <c r="H18" s="47"/>
      <c r="I18" s="49">
        <f>D18+'26.3'!I18</f>
        <v>8122792</v>
      </c>
      <c r="J18" s="49">
        <f>E18+'26.3'!J18</f>
        <v>0</v>
      </c>
      <c r="K18" s="49">
        <f>F18+'26.3'!K18</f>
        <v>0</v>
      </c>
      <c r="L18" s="49">
        <f>G18+'26.3'!L18</f>
        <v>0</v>
      </c>
      <c r="M18" s="47"/>
    </row>
    <row r="19" s="2" customFormat="1" ht="18" customHeight="1" spans="1:14">
      <c r="A19" s="27"/>
      <c r="B19" s="41" t="s">
        <v>44</v>
      </c>
      <c r="C19" s="42" t="s">
        <v>42</v>
      </c>
      <c r="D19" s="39"/>
      <c r="E19" s="33"/>
      <c r="F19" s="33"/>
      <c r="G19" s="33"/>
      <c r="H19" s="47"/>
      <c r="I19" s="49">
        <f>D19+'26.3'!I19</f>
        <v>0</v>
      </c>
      <c r="J19" s="50"/>
      <c r="K19" s="49">
        <f>F19+'26.3'!K19</f>
        <v>0</v>
      </c>
      <c r="L19" s="49">
        <f>G19+'26.3'!L19</f>
        <v>2263757.5</v>
      </c>
      <c r="M19" s="47"/>
    </row>
    <row r="20" s="2" customFormat="1" ht="18" customHeight="1" spans="1:14">
      <c r="A20" s="27"/>
      <c r="B20" s="41" t="s">
        <v>45</v>
      </c>
      <c r="C20" s="42" t="s">
        <v>23</v>
      </c>
      <c r="D20" s="39"/>
      <c r="E20" s="48"/>
      <c r="F20" s="38"/>
      <c r="G20" s="38"/>
      <c r="H20" s="47"/>
      <c r="I20" s="49">
        <f>D20+'26.3'!I20</f>
        <v>21425</v>
      </c>
      <c r="J20" s="49">
        <f>E20+'26.3'!J20</f>
        <v>0</v>
      </c>
      <c r="K20" s="49">
        <f>F20+'26.3'!K20</f>
        <v>0</v>
      </c>
      <c r="L20" s="49">
        <f>G20+'26.3'!L20</f>
        <v>0</v>
      </c>
      <c r="M20" s="47"/>
    </row>
    <row r="21" s="2" customFormat="1" ht="18" customHeight="1" spans="1:14">
      <c r="A21" s="27"/>
      <c r="B21" s="41" t="s">
        <v>46</v>
      </c>
      <c r="C21" s="42" t="s">
        <v>42</v>
      </c>
      <c r="D21" s="39"/>
      <c r="E21" s="48"/>
      <c r="F21" s="38"/>
      <c r="G21" s="38"/>
      <c r="H21" s="47"/>
      <c r="I21" s="49">
        <f>D21+'26.3'!I21</f>
        <v>929610.099999999</v>
      </c>
      <c r="J21" s="49">
        <f>E21+'26.3'!J21</f>
        <v>0</v>
      </c>
      <c r="K21" s="49">
        <f>F21+'26.3'!K21</f>
        <v>0</v>
      </c>
      <c r="L21" s="49">
        <f>G21+'26.3'!L21</f>
        <v>0</v>
      </c>
      <c r="M21" s="47"/>
    </row>
    <row r="22" s="2" customFormat="1" ht="14" spans="1:14">
      <c r="A22" s="51" t="s">
        <v>47</v>
      </c>
      <c r="B22" s="52" t="s">
        <v>48</v>
      </c>
      <c r="C22" s="53" t="s">
        <v>23</v>
      </c>
      <c r="D22" s="33"/>
      <c r="E22" s="54"/>
      <c r="F22" s="54"/>
      <c r="G22" s="54"/>
      <c r="H22" s="55"/>
      <c r="I22" s="49">
        <f>D22+'26.3'!I22</f>
        <v>1071.51</v>
      </c>
      <c r="J22" s="49">
        <f>E22+'26.3'!J22</f>
        <v>69.155</v>
      </c>
      <c r="K22" s="49">
        <f>F22+'26.3'!K22</f>
        <v>0</v>
      </c>
      <c r="L22" s="49">
        <f>G22+'26.3'!L22</f>
        <v>13.375</v>
      </c>
      <c r="M22" s="56">
        <f>J22+K22+L22</f>
        <v>82.53</v>
      </c>
      <c r="N22" s="1"/>
    </row>
    <row r="23" s="2" customFormat="1" ht="21" customHeight="1" spans="1:14">
      <c r="A23" s="51" t="s">
        <v>49</v>
      </c>
      <c r="B23" s="52" t="s">
        <v>50</v>
      </c>
      <c r="C23" s="53" t="s">
        <v>23</v>
      </c>
      <c r="D23" s="33"/>
      <c r="E23" s="54"/>
      <c r="F23" s="54"/>
      <c r="G23" s="54"/>
      <c r="H23" s="55"/>
      <c r="I23" s="49">
        <f>D23+'26.3'!I23</f>
        <v>371.77</v>
      </c>
      <c r="J23" s="49">
        <f>E23+'26.3'!J23</f>
        <v>49.29</v>
      </c>
      <c r="K23" s="49">
        <f>F23+'26.3'!K23</f>
        <v>0</v>
      </c>
      <c r="L23" s="49">
        <f>G23+'26.3'!L23</f>
        <v>4.025</v>
      </c>
      <c r="M23" s="56">
        <f>J23+K23+L23</f>
        <v>53.315</v>
      </c>
      <c r="N23" s="1"/>
    </row>
    <row r="24" s="2" customFormat="1" ht="18" customHeight="1" spans="1:14">
      <c r="A24" s="51" t="s">
        <v>51</v>
      </c>
      <c r="B24" s="41" t="s">
        <v>52</v>
      </c>
      <c r="C24" s="42" t="s">
        <v>53</v>
      </c>
      <c r="D24" s="57" t="e">
        <f t="shared" ref="D24:M24" si="1">D17/D8</f>
        <v>#DIV/0!</v>
      </c>
      <c r="E24" s="57" t="e">
        <f t="shared" si="1"/>
        <v>#DIV/0!</v>
      </c>
      <c r="F24" s="57" t="e">
        <f t="shared" si="1"/>
        <v>#DIV/0!</v>
      </c>
      <c r="G24" s="57" t="e">
        <f t="shared" si="1"/>
        <v>#DIV/0!</v>
      </c>
      <c r="H24" s="58" t="e">
        <f t="shared" si="1"/>
        <v>#DIV/0!</v>
      </c>
      <c r="I24" s="59">
        <f t="shared" si="1"/>
        <v>6.95290937447036</v>
      </c>
      <c r="J24" s="57">
        <f t="shared" si="1"/>
        <v>12.2918684050483</v>
      </c>
      <c r="K24" s="57" t="e">
        <f t="shared" si="1"/>
        <v>#DIV/0!</v>
      </c>
      <c r="L24" s="57">
        <f t="shared" si="1"/>
        <v>5.13454669523069</v>
      </c>
      <c r="M24" s="58">
        <f t="shared" si="1"/>
        <v>7.83703242251122</v>
      </c>
    </row>
    <row r="25" s="2" customFormat="1" ht="18" customHeight="1" spans="1:14">
      <c r="A25" s="51" t="s">
        <v>54</v>
      </c>
      <c r="B25" s="41" t="s">
        <v>55</v>
      </c>
      <c r="C25" s="42" t="s">
        <v>56</v>
      </c>
      <c r="D25" s="57" t="e">
        <f t="shared" ref="D25:M25" si="2">D12*1000/D8</f>
        <v>#DIV/0!</v>
      </c>
      <c r="E25" s="57" t="e">
        <f t="shared" si="2"/>
        <v>#DIV/0!</v>
      </c>
      <c r="F25" s="57" t="e">
        <f t="shared" si="2"/>
        <v>#DIV/0!</v>
      </c>
      <c r="G25" s="57" t="e">
        <f t="shared" si="2"/>
        <v>#DIV/0!</v>
      </c>
      <c r="H25" s="58" t="e">
        <f t="shared" si="2"/>
        <v>#DIV/0!</v>
      </c>
      <c r="I25" s="59">
        <f t="shared" si="2"/>
        <v>37.2111793349829</v>
      </c>
      <c r="J25" s="57">
        <f t="shared" si="2"/>
        <v>48.7433248438034</v>
      </c>
      <c r="K25" s="57" t="e">
        <f t="shared" si="2"/>
        <v>#DIV/0!</v>
      </c>
      <c r="L25" s="57">
        <f t="shared" si="2"/>
        <v>1.40689032574528</v>
      </c>
      <c r="M25" s="58">
        <f t="shared" si="2"/>
        <v>19.2803412969272</v>
      </c>
    </row>
    <row r="26" s="3" customFormat="1" ht="18" customHeight="1" spans="1:14">
      <c r="A26" s="51" t="s">
        <v>57</v>
      </c>
      <c r="B26" s="41" t="s">
        <v>58</v>
      </c>
      <c r="C26" s="60" t="s">
        <v>23</v>
      </c>
      <c r="D26" s="33"/>
      <c r="E26" s="61"/>
      <c r="F26" s="62"/>
      <c r="G26" s="33"/>
      <c r="H26" s="63"/>
      <c r="I26" s="49">
        <f>D26+'26.3'!I26</f>
        <v>23988</v>
      </c>
      <c r="J26" s="49">
        <f>E26+'26.3'!J26</f>
        <v>13379</v>
      </c>
      <c r="K26" s="49">
        <f>F26+'26.3'!K26</f>
        <v>0</v>
      </c>
      <c r="L26" s="49">
        <f>G26+'26.3'!L26</f>
        <v>119</v>
      </c>
      <c r="M26" s="63">
        <f>J26+K26+L26</f>
        <v>13498</v>
      </c>
    </row>
    <row r="27" s="3" customFormat="1" ht="18" customHeight="1" spans="1:14">
      <c r="A27" s="51" t="s">
        <v>59</v>
      </c>
      <c r="B27" s="41" t="s">
        <v>60</v>
      </c>
      <c r="C27" s="60" t="s">
        <v>23</v>
      </c>
      <c r="D27" s="48"/>
      <c r="E27" s="64">
        <f>J27</f>
        <v>4292.7</v>
      </c>
      <c r="F27" s="64"/>
      <c r="G27" s="64">
        <f>L27</f>
        <v>296.500000000023</v>
      </c>
      <c r="H27" s="65"/>
      <c r="I27" s="66">
        <f>D27</f>
        <v>0</v>
      </c>
      <c r="J27" s="191">
        <f>'26.3'!J27+E26-E10</f>
        <v>4292.7</v>
      </c>
      <c r="K27" s="191">
        <f>'26.3'!K27+F26-F10</f>
        <v>0</v>
      </c>
      <c r="L27" s="191">
        <f>'26.3'!L27+G26-G10</f>
        <v>296.500000000023</v>
      </c>
      <c r="M27" s="68">
        <f>J27+K27+L27</f>
        <v>4589.20000000002</v>
      </c>
    </row>
    <row r="28" s="2" customFormat="1" ht="18" customHeight="1" spans="1:14">
      <c r="A28" s="51" t="s">
        <v>61</v>
      </c>
      <c r="B28" s="41" t="s">
        <v>62</v>
      </c>
      <c r="C28" s="42" t="s">
        <v>63</v>
      </c>
      <c r="D28" s="69" t="e">
        <f>D13*29308/D10</f>
        <v>#DIV/0!</v>
      </c>
      <c r="E28" s="69" t="e">
        <f>E12*29308/E10</f>
        <v>#DIV/0!</v>
      </c>
      <c r="F28" s="69" t="e">
        <f>F12*29308/F10</f>
        <v>#DIV/0!</v>
      </c>
      <c r="G28" s="69" t="e">
        <f>G12*29308/G10</f>
        <v>#DIV/0!</v>
      </c>
      <c r="H28" s="69" t="e">
        <f>H12*29308/H10</f>
        <v>#DIV/0!</v>
      </c>
      <c r="I28" s="70">
        <f>I13*29308/I10</f>
        <v>19227.9938392777</v>
      </c>
      <c r="J28" s="44">
        <f>J12*29308/J10</f>
        <v>17643.4119399704</v>
      </c>
      <c r="K28" s="44" t="e">
        <f>K12*29308/K10</f>
        <v>#DIV/0!</v>
      </c>
      <c r="L28" s="44">
        <f>L12*29308/L10</f>
        <v>19526.5060142605</v>
      </c>
      <c r="M28" s="69">
        <f>M12*29308/M10</f>
        <v>17721.0300646955</v>
      </c>
    </row>
    <row r="29" s="2" customFormat="1" ht="18" customHeight="1" spans="1:14">
      <c r="A29" s="51" t="s">
        <v>64</v>
      </c>
      <c r="B29" s="41" t="s">
        <v>65</v>
      </c>
      <c r="C29" s="42" t="s">
        <v>63</v>
      </c>
      <c r="D29" s="71"/>
      <c r="E29" s="39"/>
      <c r="F29" s="39"/>
      <c r="G29" s="72"/>
      <c r="H29" s="73"/>
      <c r="I29" s="74"/>
      <c r="J29" s="39"/>
      <c r="K29" s="39"/>
      <c r="L29" s="72"/>
      <c r="M29" s="73"/>
    </row>
    <row r="30" s="2" customFormat="1" ht="18" customHeight="1" spans="1:14">
      <c r="A30" s="51" t="s">
        <v>66</v>
      </c>
      <c r="B30" s="41" t="s">
        <v>67</v>
      </c>
      <c r="C30" s="75" t="s">
        <v>68</v>
      </c>
      <c r="D30" s="76" t="e">
        <f>D8/(D12*29.308)</f>
        <v>#DIV/0!</v>
      </c>
      <c r="E30" s="76" t="e">
        <f>E8/(E12*29.308)</f>
        <v>#DIV/0!</v>
      </c>
      <c r="F30" s="76" t="e">
        <f>F8/(F12*29.308)</f>
        <v>#DIV/0!</v>
      </c>
      <c r="G30" s="76" t="e">
        <f>(G8-G36)/(G12*29.308)</f>
        <v>#DIV/0!</v>
      </c>
      <c r="H30" s="77" t="e">
        <f t="shared" ref="H30:M30" si="3">H8/(H12*29.308)</f>
        <v>#DIV/0!</v>
      </c>
      <c r="I30" s="78">
        <f t="shared" si="3"/>
        <v>0.916938868875932</v>
      </c>
      <c r="J30" s="76">
        <f t="shared" si="3"/>
        <v>0.700001011385589</v>
      </c>
      <c r="K30" s="76" t="e">
        <f t="shared" si="3"/>
        <v>#DIV/0!</v>
      </c>
      <c r="L30" s="76">
        <f t="shared" si="3"/>
        <v>24.2523358534603</v>
      </c>
      <c r="M30" s="77">
        <f t="shared" si="3"/>
        <v>1.76969775397059</v>
      </c>
    </row>
    <row r="31" s="2" customFormat="1" ht="18" customHeight="1" spans="1:14">
      <c r="A31" s="51" t="s">
        <v>69</v>
      </c>
      <c r="B31" s="41" t="s">
        <v>70</v>
      </c>
      <c r="C31" s="75" t="s">
        <v>68</v>
      </c>
      <c r="D31" s="192">
        <f>D8/3.6/D3/(5*24)</f>
        <v>0</v>
      </c>
      <c r="E31" s="192">
        <f>E8/3.6/E3/(5*24)</f>
        <v>0</v>
      </c>
      <c r="F31" s="192" t="e">
        <f>F8/3.6/F3/(5*24)</f>
        <v>#DIV/0!</v>
      </c>
      <c r="G31" s="193">
        <f>(G8-G36)/3.6/G3/(DAY(DATE(2026,5,0))*24)</f>
        <v>0</v>
      </c>
      <c r="H31" s="194">
        <f>H8/3.6/H3/(5*24)</f>
        <v>0</v>
      </c>
      <c r="I31" s="81">
        <f>I8/3.6/I3/(DATEDIF(DATE(2026,1,1),DATE(2026,5,1),"D")*24)</f>
        <v>0.323790819675039</v>
      </c>
      <c r="J31" s="79">
        <f>J8/3.6/J3/(DATEDIF(DATE(2026,1,1),DATE(2026,5,1),"D")*24)</f>
        <v>0.159239014582143</v>
      </c>
      <c r="K31" s="79" t="e">
        <f>K8/3.6/K3/(DATEDIF(DATE(2026,1,1),DATE(2026,5,1),"D")*24)</f>
        <v>#DIV/0!</v>
      </c>
      <c r="L31" s="79">
        <f>(L8-L36)/3.6/L3/(DATEDIF(DATE(2026,1,1),DATE(2026,5,1),"D")*24)</f>
        <v>0.0751454237708676</v>
      </c>
      <c r="M31" s="80">
        <f>M8/3.6/M3/(DATEDIF(DATE(2026,1,1),DATE(2026,5,1),"D")*24)</f>
        <v>0.388185185879843</v>
      </c>
    </row>
    <row r="32" s="2" customFormat="1" ht="18" customHeight="1" spans="1:14">
      <c r="A32" s="51" t="s">
        <v>71</v>
      </c>
      <c r="B32" s="41" t="s">
        <v>72</v>
      </c>
      <c r="C32" s="42" t="s">
        <v>73</v>
      </c>
      <c r="D32" s="82"/>
      <c r="E32" s="83" t="e">
        <f>E8/E6</f>
        <v>#DIV/0!</v>
      </c>
      <c r="F32" s="83" t="e">
        <f>F8/F6</f>
        <v>#DIV/0!</v>
      </c>
      <c r="G32" s="83" t="e">
        <f>G8/G6</f>
        <v>#DIV/0!</v>
      </c>
      <c r="H32" s="83" t="e">
        <f>H8/H6</f>
        <v>#DIV/0!</v>
      </c>
      <c r="I32" s="84"/>
      <c r="J32" s="83" t="e">
        <f>J8/J6</f>
        <v>#DIV/0!</v>
      </c>
      <c r="K32" s="83" t="e">
        <f>K8/K6</f>
        <v>#DIV/0!</v>
      </c>
      <c r="L32" s="83" t="e">
        <f>L8/L6</f>
        <v>#DIV/0!</v>
      </c>
      <c r="M32" s="85" t="e">
        <f>M8/M6</f>
        <v>#DIV/0!</v>
      </c>
    </row>
    <row r="33" s="2" customFormat="1" ht="18" customHeight="1" spans="1:13">
      <c r="A33" s="51" t="s">
        <v>74</v>
      </c>
      <c r="B33" s="41" t="s">
        <v>75</v>
      </c>
      <c r="C33" s="42" t="s">
        <v>76</v>
      </c>
      <c r="D33" s="86"/>
      <c r="E33" s="87" t="e">
        <f>E12*1000/E6</f>
        <v>#DIV/0!</v>
      </c>
      <c r="F33" s="87" t="e">
        <f>F12*1000/F6</f>
        <v>#DIV/0!</v>
      </c>
      <c r="G33" s="87" t="e">
        <f>G12*1000/G6</f>
        <v>#DIV/0!</v>
      </c>
      <c r="H33" s="88" t="e">
        <f>H12*1000/H6</f>
        <v>#DIV/0!</v>
      </c>
      <c r="I33" s="89"/>
      <c r="J33" s="87" t="e">
        <f>J12*1000/J6</f>
        <v>#DIV/0!</v>
      </c>
      <c r="K33" s="87" t="e">
        <f>K12*1000/K6</f>
        <v>#DIV/0!</v>
      </c>
      <c r="L33" s="87" t="e">
        <f>L12*1000/L6</f>
        <v>#DIV/0!</v>
      </c>
      <c r="M33" s="88" t="e">
        <f>M12*1000/M6</f>
        <v>#DIV/0!</v>
      </c>
    </row>
    <row r="34" s="2" customFormat="1" ht="18" customHeight="1" spans="1:13">
      <c r="A34" s="51" t="s">
        <v>77</v>
      </c>
      <c r="B34" s="41" t="s">
        <v>78</v>
      </c>
      <c r="C34" s="42" t="s">
        <v>79</v>
      </c>
      <c r="D34" s="90"/>
      <c r="E34" s="87" t="e">
        <f>E17/E6</f>
        <v>#DIV/0!</v>
      </c>
      <c r="F34" s="87" t="e">
        <f>F17/F6</f>
        <v>#DIV/0!</v>
      </c>
      <c r="G34" s="87" t="e">
        <f>G17/G6</f>
        <v>#DIV/0!</v>
      </c>
      <c r="H34" s="88" t="e">
        <f>H17/H6</f>
        <v>#DIV/0!</v>
      </c>
      <c r="I34" s="91"/>
      <c r="J34" s="87" t="e">
        <f>J17/J6</f>
        <v>#DIV/0!</v>
      </c>
      <c r="K34" s="87" t="e">
        <f>K17/K6</f>
        <v>#DIV/0!</v>
      </c>
      <c r="L34" s="87" t="e">
        <f>L17/L6</f>
        <v>#DIV/0!</v>
      </c>
      <c r="M34" s="88" t="e">
        <f>M17/M6</f>
        <v>#DIV/0!</v>
      </c>
    </row>
    <row r="35" s="2" customFormat="1" ht="18" customHeight="1" spans="1:13">
      <c r="A35" s="92" t="s">
        <v>80</v>
      </c>
      <c r="B35" s="93" t="s">
        <v>81</v>
      </c>
      <c r="C35" s="94" t="s">
        <v>76</v>
      </c>
      <c r="D35" s="95"/>
      <c r="E35" s="96" t="e">
        <f>E15*1000/E6</f>
        <v>#DIV/0!</v>
      </c>
      <c r="F35" s="96" t="e">
        <f>F15*1000/F6</f>
        <v>#DIV/0!</v>
      </c>
      <c r="G35" s="96" t="e">
        <f>G15*1000/G6</f>
        <v>#DIV/0!</v>
      </c>
      <c r="H35" s="97" t="e">
        <f>H15*1000/H6</f>
        <v>#DIV/0!</v>
      </c>
      <c r="I35" s="98"/>
      <c r="J35" s="96" t="e">
        <f>J15*1000/J6</f>
        <v>#DIV/0!</v>
      </c>
      <c r="K35" s="96" t="e">
        <f>K15*1000/K6</f>
        <v>#DIV/0!</v>
      </c>
      <c r="L35" s="96" t="e">
        <f>L15*1000/L6</f>
        <v>#DIV/0!</v>
      </c>
      <c r="M35" s="97" t="e">
        <f>M15*1000/M6</f>
        <v>#DIV/0!</v>
      </c>
    </row>
    <row r="36" s="2" customFormat="1" ht="21" customHeight="1" spans="1:13">
      <c r="A36" s="99"/>
      <c r="B36" s="100" t="s">
        <v>82</v>
      </c>
      <c r="C36" s="101" t="s">
        <v>26</v>
      </c>
      <c r="D36" s="102"/>
      <c r="E36" s="102"/>
      <c r="F36" s="102"/>
      <c r="G36" s="102"/>
      <c r="H36" s="102"/>
      <c r="I36" s="102"/>
      <c r="J36" s="102"/>
      <c r="K36" s="102"/>
      <c r="L36" s="49">
        <f>G36+'26.3'!L36</f>
        <v>429980</v>
      </c>
      <c r="M36" s="102"/>
    </row>
    <row r="37" s="1" customFormat="1" ht="29.25" customHeight="1" spans="1:13">
      <c r="A37" s="103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3">
      <c r="A38" s="104" t="s">
        <v>0</v>
      </c>
      <c r="B38" s="105" t="s">
        <v>85</v>
      </c>
      <c r="C38" s="105" t="s">
        <v>2</v>
      </c>
      <c r="D38" s="106" t="s">
        <v>86</v>
      </c>
      <c r="E38" s="107" t="s">
        <v>87</v>
      </c>
      <c r="F38" s="2"/>
      <c r="G38" s="2"/>
      <c r="H38" s="2"/>
    </row>
    <row r="39" s="1" customFormat="1" ht="27.95" customHeight="1" spans="1:13">
      <c r="A39" s="27" t="s">
        <v>11</v>
      </c>
      <c r="B39" s="28" t="s">
        <v>12</v>
      </c>
      <c r="C39" s="29" t="s">
        <v>13</v>
      </c>
      <c r="D39" s="108">
        <v>0.55</v>
      </c>
      <c r="E39" s="109">
        <v>0.55</v>
      </c>
      <c r="F39" s="2"/>
      <c r="G39" s="2"/>
      <c r="H39" s="2"/>
    </row>
    <row r="40" s="1" customFormat="1" ht="27.95" customHeight="1" spans="1:13">
      <c r="A40" s="27" t="s">
        <v>14</v>
      </c>
      <c r="B40" s="28" t="s">
        <v>88</v>
      </c>
      <c r="C40" s="29" t="s">
        <v>16</v>
      </c>
      <c r="D40" s="110"/>
      <c r="E40" s="111">
        <f>D40</f>
        <v>0</v>
      </c>
      <c r="F40" s="2"/>
      <c r="G40" s="2"/>
      <c r="H40" s="2"/>
    </row>
    <row r="41" s="1" customFormat="1" ht="27.95" customHeight="1" spans="1:13">
      <c r="A41" s="27" t="s">
        <v>19</v>
      </c>
      <c r="B41" s="28" t="s">
        <v>89</v>
      </c>
      <c r="C41" s="29" t="s">
        <v>16</v>
      </c>
      <c r="D41" s="112"/>
      <c r="E41" s="113">
        <f>D41</f>
        <v>0</v>
      </c>
      <c r="F41" s="2"/>
      <c r="G41" s="2"/>
      <c r="H41" s="2"/>
    </row>
    <row r="42" s="1" customFormat="1" ht="27.95" customHeight="1" spans="1:13">
      <c r="A42" s="27" t="s">
        <v>21</v>
      </c>
      <c r="B42" s="41" t="s">
        <v>25</v>
      </c>
      <c r="C42" s="42" t="s">
        <v>26</v>
      </c>
      <c r="D42" s="114"/>
      <c r="E42" s="195">
        <f>D42+'26.3'!E42</f>
        <v>889</v>
      </c>
      <c r="F42" s="2"/>
      <c r="G42" s="2"/>
      <c r="H42" s="2"/>
    </row>
    <row r="43" s="1" customFormat="1" ht="27.95" customHeight="1" spans="1:13">
      <c r="A43" s="27" t="s">
        <v>24</v>
      </c>
      <c r="B43" s="41" t="s">
        <v>38</v>
      </c>
      <c r="C43" s="42" t="s">
        <v>23</v>
      </c>
      <c r="D43" s="110"/>
      <c r="E43" s="195">
        <f>D43+'26.3'!E43</f>
        <v>10</v>
      </c>
      <c r="F43" s="2"/>
      <c r="G43" s="2"/>
      <c r="H43" s="2"/>
    </row>
    <row r="44" s="1" customFormat="1" ht="27.95" customHeight="1" spans="1:13">
      <c r="A44" s="27" t="s">
        <v>27</v>
      </c>
      <c r="B44" s="41" t="s">
        <v>41</v>
      </c>
      <c r="C44" s="42" t="s">
        <v>42</v>
      </c>
      <c r="D44" s="110"/>
      <c r="E44" s="195">
        <f>D44+'26.3'!E44</f>
        <v>267664</v>
      </c>
      <c r="F44" s="2"/>
      <c r="G44" s="2"/>
      <c r="H44" s="2"/>
    </row>
    <row r="45" s="1" customFormat="1" ht="27.95" customHeight="1" spans="1:13">
      <c r="A45" s="27"/>
      <c r="B45" s="41" t="s">
        <v>90</v>
      </c>
      <c r="C45" s="42" t="s">
        <v>42</v>
      </c>
      <c r="D45" s="110">
        <f>D44</f>
        <v>0</v>
      </c>
      <c r="E45" s="195">
        <f>D45+'26.3'!E45</f>
        <v>267664</v>
      </c>
      <c r="F45" s="2"/>
      <c r="G45" s="2"/>
      <c r="H45" s="2"/>
    </row>
    <row r="46" s="1" customFormat="1" ht="27.95" customHeight="1" spans="1:13">
      <c r="A46" s="27" t="s">
        <v>29</v>
      </c>
      <c r="B46" s="41" t="s">
        <v>52</v>
      </c>
      <c r="C46" s="42" t="s">
        <v>53</v>
      </c>
      <c r="D46" s="116" t="e">
        <f>D44/D42</f>
        <v>#DIV/0!</v>
      </c>
      <c r="E46" s="117">
        <f>E44/E42</f>
        <v>301.084364454443</v>
      </c>
      <c r="F46" s="2"/>
      <c r="G46" s="2"/>
      <c r="H46" s="2"/>
    </row>
    <row r="47" s="1" customFormat="1" ht="27.95" customHeight="1" spans="1:13">
      <c r="A47" s="27" t="s">
        <v>31</v>
      </c>
      <c r="B47" s="41" t="s">
        <v>70</v>
      </c>
      <c r="C47" s="75" t="s">
        <v>68</v>
      </c>
      <c r="D47" s="196">
        <f>D42/3.6/D39/(5*24)</f>
        <v>0</v>
      </c>
      <c r="E47" s="119">
        <f>E42/3.6/E39/(DATEDIF(DATE(2026,1,1),DATE(2026,5,1),"D")*24)</f>
        <v>0.155899270482604</v>
      </c>
      <c r="F47" s="2"/>
      <c r="G47" s="2"/>
      <c r="H47" s="2"/>
    </row>
    <row r="48" s="1" customFormat="1" ht="27.95" customHeight="1" spans="1:13">
      <c r="A48" s="27" t="s">
        <v>33</v>
      </c>
      <c r="B48" s="41" t="s">
        <v>72</v>
      </c>
      <c r="C48" s="42" t="s">
        <v>73</v>
      </c>
      <c r="D48" s="120" t="e">
        <f>D42/D41</f>
        <v>#DIV/0!</v>
      </c>
      <c r="E48" s="121" t="e">
        <f>E42/E41</f>
        <v>#DIV/0!</v>
      </c>
      <c r="F48" s="2"/>
      <c r="G48" s="2"/>
      <c r="H48" s="2"/>
    </row>
    <row r="49" s="1" customFormat="1" ht="27.95" customHeight="1" spans="1:10">
      <c r="A49" s="27" t="s">
        <v>37</v>
      </c>
      <c r="B49" s="41" t="s">
        <v>78</v>
      </c>
      <c r="C49" s="42" t="s">
        <v>79</v>
      </c>
      <c r="D49" s="122" t="e">
        <f>D44/D41</f>
        <v>#DIV/0!</v>
      </c>
      <c r="E49" s="123" t="e">
        <f>E44/E41</f>
        <v>#DIV/0!</v>
      </c>
      <c r="F49" s="2"/>
      <c r="G49" s="2"/>
      <c r="H49" s="2"/>
    </row>
    <row r="50" s="1" customFormat="1" ht="27.95" customHeight="1" spans="1:10">
      <c r="A50" s="124" t="s">
        <v>40</v>
      </c>
      <c r="B50" s="93" t="s">
        <v>81</v>
      </c>
      <c r="C50" s="94" t="s">
        <v>76</v>
      </c>
      <c r="D50" s="125" t="e">
        <f>D43*1000/D41</f>
        <v>#DIV/0!</v>
      </c>
      <c r="E50" s="125" t="e">
        <f>E43*1000/E41</f>
        <v>#DIV/0!</v>
      </c>
      <c r="F50" s="2"/>
      <c r="G50" s="2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3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26" t="s">
        <v>0</v>
      </c>
      <c r="B53" s="127" t="s">
        <v>85</v>
      </c>
      <c r="C53" s="127" t="s">
        <v>2</v>
      </c>
      <c r="D53" s="106" t="s">
        <v>86</v>
      </c>
      <c r="E53" s="9"/>
      <c r="F53" s="10"/>
      <c r="G53" s="128" t="s">
        <v>87</v>
      </c>
      <c r="H53" s="9"/>
      <c r="I53" s="9"/>
    </row>
    <row r="54" s="1" customFormat="1" ht="31.5" customHeight="1" spans="1:10">
      <c r="A54" s="12"/>
      <c r="B54" s="13"/>
      <c r="C54" s="13"/>
      <c r="D54" s="129" t="s">
        <v>92</v>
      </c>
      <c r="E54" s="129" t="s">
        <v>93</v>
      </c>
      <c r="F54" s="130" t="s">
        <v>9</v>
      </c>
      <c r="G54" s="131" t="s">
        <v>92</v>
      </c>
      <c r="H54" s="129" t="s">
        <v>93</v>
      </c>
      <c r="I54" s="132" t="s">
        <v>9</v>
      </c>
    </row>
    <row r="55" s="1" customFormat="1" ht="27.95" customHeight="1" spans="1:10">
      <c r="A55" s="27" t="s">
        <v>11</v>
      </c>
      <c r="B55" s="28" t="s">
        <v>12</v>
      </c>
      <c r="C55" s="29" t="s">
        <v>13</v>
      </c>
      <c r="D55" s="133">
        <v>6</v>
      </c>
      <c r="E55" s="133">
        <v>6.4</v>
      </c>
      <c r="F55" s="134">
        <f t="shared" ref="F55:F61" si="4">SUM(D55:E55)</f>
        <v>12.4</v>
      </c>
      <c r="G55" s="135">
        <f>D55</f>
        <v>6</v>
      </c>
      <c r="H55" s="136">
        <f>E55</f>
        <v>6.4</v>
      </c>
      <c r="I55" s="136">
        <f t="shared" ref="I55:I61" si="5">SUM(G55:H55)</f>
        <v>12.4</v>
      </c>
    </row>
    <row r="56" s="1" customFormat="1" ht="27.95" customHeight="1" spans="1:10">
      <c r="A56" s="27" t="s">
        <v>14</v>
      </c>
      <c r="B56" s="28" t="s">
        <v>88</v>
      </c>
      <c r="C56" s="29" t="s">
        <v>16</v>
      </c>
      <c r="D56" s="72"/>
      <c r="E56" s="72"/>
      <c r="F56" s="112">
        <f t="shared" si="4"/>
        <v>0</v>
      </c>
      <c r="G56" s="113">
        <f>D56</f>
        <v>0</v>
      </c>
      <c r="H56" s="113">
        <f>E56</f>
        <v>0</v>
      </c>
      <c r="I56" s="68">
        <f t="shared" si="5"/>
        <v>0</v>
      </c>
    </row>
    <row r="57" s="1" customFormat="1" ht="27.95" customHeight="1" spans="1:10">
      <c r="A57" s="27" t="s">
        <v>19</v>
      </c>
      <c r="B57" s="28" t="s">
        <v>89</v>
      </c>
      <c r="C57" s="29" t="s">
        <v>16</v>
      </c>
      <c r="D57" s="68"/>
      <c r="E57" s="68"/>
      <c r="F57" s="112">
        <f t="shared" si="4"/>
        <v>0</v>
      </c>
      <c r="G57" s="113">
        <f>D57</f>
        <v>0</v>
      </c>
      <c r="H57" s="113">
        <f>E57</f>
        <v>0</v>
      </c>
      <c r="I57" s="68">
        <f t="shared" si="5"/>
        <v>0</v>
      </c>
    </row>
    <row r="58" s="1" customFormat="1" ht="27.95" customHeight="1" spans="1:10">
      <c r="A58" s="27" t="s">
        <v>21</v>
      </c>
      <c r="B58" s="41" t="s">
        <v>25</v>
      </c>
      <c r="C58" s="42" t="s">
        <v>26</v>
      </c>
      <c r="D58" s="72"/>
      <c r="E58" s="137"/>
      <c r="F58" s="112">
        <f t="shared" si="4"/>
        <v>0</v>
      </c>
      <c r="G58" s="197">
        <f>D58+'26.3'!G58</f>
        <v>3813.3</v>
      </c>
      <c r="H58" s="197">
        <f>E58+'26.3'!H58</f>
        <v>6695.80000000001</v>
      </c>
      <c r="I58" s="68">
        <f t="shared" si="5"/>
        <v>10509.1</v>
      </c>
    </row>
    <row r="59" s="1" customFormat="1" ht="27.95" customHeight="1" spans="1:10">
      <c r="A59" s="27" t="s">
        <v>24</v>
      </c>
      <c r="B59" s="41" t="s">
        <v>38</v>
      </c>
      <c r="C59" s="42" t="s">
        <v>23</v>
      </c>
      <c r="D59" s="72"/>
      <c r="E59" s="72"/>
      <c r="F59" s="112">
        <f t="shared" si="4"/>
        <v>0</v>
      </c>
      <c r="G59" s="197">
        <f>D59+'26.3'!G59</f>
        <v>564.9</v>
      </c>
      <c r="H59" s="197">
        <f>E59+'26.3'!H59</f>
        <v>165.9</v>
      </c>
      <c r="I59" s="68">
        <f t="shared" si="5"/>
        <v>730.8</v>
      </c>
    </row>
    <row r="60" s="1" customFormat="1" ht="27.95" customHeight="1" spans="1:10">
      <c r="A60" s="27" t="s">
        <v>27</v>
      </c>
      <c r="B60" s="41" t="s">
        <v>41</v>
      </c>
      <c r="C60" s="42" t="s">
        <v>42</v>
      </c>
      <c r="D60" s="72"/>
      <c r="E60" s="72"/>
      <c r="F60" s="112">
        <f t="shared" si="4"/>
        <v>0</v>
      </c>
      <c r="G60" s="197">
        <f>D60+'26.3'!G60</f>
        <v>1184440</v>
      </c>
      <c r="H60" s="197">
        <f>E60+'26.3'!H60</f>
        <v>1991120</v>
      </c>
      <c r="I60" s="68">
        <f t="shared" si="5"/>
        <v>3175560</v>
      </c>
    </row>
    <row r="61" s="1" customFormat="1" ht="27.95" customHeight="1" spans="1:10">
      <c r="A61" s="27"/>
      <c r="B61" s="41" t="s">
        <v>90</v>
      </c>
      <c r="C61" s="42" t="s">
        <v>42</v>
      </c>
      <c r="D61" s="72"/>
      <c r="E61" s="72"/>
      <c r="F61" s="112">
        <f t="shared" si="4"/>
        <v>0</v>
      </c>
      <c r="G61" s="197">
        <f>D61+'26.3'!G61</f>
        <v>1184440</v>
      </c>
      <c r="H61" s="197">
        <f>E61+'26.3'!H61</f>
        <v>1991120</v>
      </c>
      <c r="I61" s="68">
        <f t="shared" si="5"/>
        <v>3175560</v>
      </c>
    </row>
    <row r="62" s="1" customFormat="1" ht="27.95" customHeight="1" spans="1:10">
      <c r="A62" s="27" t="s">
        <v>29</v>
      </c>
      <c r="B62" s="41" t="s">
        <v>52</v>
      </c>
      <c r="C62" s="42" t="s">
        <v>53</v>
      </c>
      <c r="D62" s="139" t="e">
        <f t="shared" ref="D62:I62" si="6">D60/D58</f>
        <v>#DIV/0!</v>
      </c>
      <c r="E62" s="139" t="e">
        <f t="shared" si="6"/>
        <v>#DIV/0!</v>
      </c>
      <c r="F62" s="116" t="e">
        <f t="shared" si="6"/>
        <v>#DIV/0!</v>
      </c>
      <c r="G62" s="140">
        <f t="shared" si="6"/>
        <v>310.607610206383</v>
      </c>
      <c r="H62" s="57">
        <f t="shared" si="6"/>
        <v>297.368499656501</v>
      </c>
      <c r="I62" s="58">
        <f t="shared" si="6"/>
        <v>302.172402965049</v>
      </c>
    </row>
    <row r="63" s="1" customFormat="1" ht="27.95" customHeight="1" spans="1:10">
      <c r="A63" s="27" t="s">
        <v>31</v>
      </c>
      <c r="B63" s="41" t="s">
        <v>70</v>
      </c>
      <c r="C63" s="75" t="s">
        <v>68</v>
      </c>
      <c r="D63" s="192">
        <f>D58/3.6/D55/(5*24)</f>
        <v>0</v>
      </c>
      <c r="E63" s="192">
        <f>E58/3.6/E55/(5*24)</f>
        <v>0</v>
      </c>
      <c r="F63" s="196">
        <f>F58/3.6/F55/(5*24)</f>
        <v>0</v>
      </c>
      <c r="G63" s="81">
        <f>G58/3.6/G55/(DATEDIF(DATE(2026,1,1),DATE(2026,5,1),"D")*24)</f>
        <v>0.0612991898148148</v>
      </c>
      <c r="H63" s="79">
        <f>H58/3.6/H55/(DATEDIF(DATE(2026,1,1),DATE(2026,5,1),"D")*24)</f>
        <v>0.100908444251543</v>
      </c>
      <c r="I63" s="80">
        <f>I58/3.6/I55/(DATEDIF(DATE(2026,1,1),DATE(2026,5,1),"D")*24)</f>
        <v>0.081742675975707</v>
      </c>
    </row>
    <row r="64" s="1" customFormat="1" ht="27.95" customHeight="1" spans="1:10">
      <c r="A64" s="27" t="s">
        <v>33</v>
      </c>
      <c r="B64" s="41" t="s">
        <v>72</v>
      </c>
      <c r="C64" s="42" t="s">
        <v>73</v>
      </c>
      <c r="D64" s="83" t="e">
        <f t="shared" ref="D64:I64" si="7">D58/D57</f>
        <v>#DIV/0!</v>
      </c>
      <c r="E64" s="83" t="e">
        <f t="shared" si="7"/>
        <v>#DIV/0!</v>
      </c>
      <c r="F64" s="85" t="e">
        <f t="shared" si="7"/>
        <v>#DIV/0!</v>
      </c>
      <c r="G64" s="141" t="e">
        <f t="shared" si="7"/>
        <v>#DIV/0!</v>
      </c>
      <c r="H64" s="83" t="e">
        <f t="shared" si="7"/>
        <v>#DIV/0!</v>
      </c>
      <c r="I64" s="85" t="e">
        <f t="shared" si="7"/>
        <v>#DIV/0!</v>
      </c>
    </row>
    <row r="65" s="1" customFormat="1" ht="27.95" customHeight="1" spans="1:9">
      <c r="A65" s="27" t="s">
        <v>37</v>
      </c>
      <c r="B65" s="41" t="s">
        <v>78</v>
      </c>
      <c r="C65" s="42" t="s">
        <v>79</v>
      </c>
      <c r="D65" s="87" t="e">
        <f t="shared" ref="D65:I65" si="8">D60/D57</f>
        <v>#DIV/0!</v>
      </c>
      <c r="E65" s="87" t="e">
        <f t="shared" si="8"/>
        <v>#DIV/0!</v>
      </c>
      <c r="F65" s="88" t="e">
        <f t="shared" si="8"/>
        <v>#DIV/0!</v>
      </c>
      <c r="G65" s="142" t="e">
        <f t="shared" si="8"/>
        <v>#DIV/0!</v>
      </c>
      <c r="H65" s="87" t="e">
        <f t="shared" si="8"/>
        <v>#DIV/0!</v>
      </c>
      <c r="I65" s="88" t="e">
        <f t="shared" si="8"/>
        <v>#DIV/0!</v>
      </c>
    </row>
    <row r="66" s="1" customFormat="1" ht="27.95" customHeight="1" spans="1:9">
      <c r="A66" s="124" t="s">
        <v>40</v>
      </c>
      <c r="B66" s="93" t="s">
        <v>81</v>
      </c>
      <c r="C66" s="94" t="s">
        <v>76</v>
      </c>
      <c r="D66" s="96" t="e">
        <f t="shared" ref="D66:I66" si="9">D59*1000/D57</f>
        <v>#DIV/0!</v>
      </c>
      <c r="E66" s="96" t="e">
        <f t="shared" si="9"/>
        <v>#DIV/0!</v>
      </c>
      <c r="F66" s="97" t="e">
        <f t="shared" si="9"/>
        <v>#DIV/0!</v>
      </c>
      <c r="G66" s="143" t="e">
        <f t="shared" si="9"/>
        <v>#DIV/0!</v>
      </c>
      <c r="H66" s="96" t="e">
        <f t="shared" si="9"/>
        <v>#DIV/0!</v>
      </c>
      <c r="I66" s="97" t="e">
        <f t="shared" si="9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3" t="s">
        <v>94</v>
      </c>
      <c r="C68" s="4"/>
      <c r="D68" s="5"/>
    </row>
    <row r="69" s="1" customFormat="1" ht="30" customHeight="1" spans="1:9">
      <c r="A69" s="126" t="s">
        <v>0</v>
      </c>
      <c r="B69" s="7" t="s">
        <v>1</v>
      </c>
      <c r="C69" s="7" t="s">
        <v>2</v>
      </c>
      <c r="D69" s="106" t="s">
        <v>86</v>
      </c>
      <c r="E69" s="10"/>
      <c r="F69" s="144" t="s">
        <v>87</v>
      </c>
      <c r="G69" s="9"/>
    </row>
    <row r="70" s="1" customFormat="1" ht="30" customHeight="1" spans="1:9">
      <c r="A70" s="12"/>
      <c r="B70" s="13"/>
      <c r="C70" s="13"/>
      <c r="D70" s="129" t="s">
        <v>95</v>
      </c>
      <c r="E70" s="145" t="s">
        <v>96</v>
      </c>
      <c r="F70" s="131" t="s">
        <v>95</v>
      </c>
      <c r="G70" s="132" t="s">
        <v>96</v>
      </c>
    </row>
    <row r="71" s="1" customFormat="1" ht="27.95" customHeight="1" spans="1:9">
      <c r="A71" s="18" t="s">
        <v>11</v>
      </c>
      <c r="B71" s="19" t="s">
        <v>12</v>
      </c>
      <c r="C71" s="20" t="s">
        <v>13</v>
      </c>
      <c r="D71" s="23">
        <v>217</v>
      </c>
      <c r="E71" s="146">
        <v>1.4</v>
      </c>
      <c r="F71" s="147">
        <f>D71</f>
        <v>217</v>
      </c>
      <c r="G71" s="26">
        <f>E71</f>
        <v>1.4</v>
      </c>
    </row>
    <row r="72" s="1" customFormat="1" ht="27.95" customHeight="1" spans="1:9">
      <c r="A72" s="27" t="s">
        <v>14</v>
      </c>
      <c r="B72" s="41" t="s">
        <v>22</v>
      </c>
      <c r="C72" s="42" t="s">
        <v>23</v>
      </c>
      <c r="D72" s="72"/>
      <c r="E72" s="110"/>
      <c r="F72" s="148">
        <f>D72</f>
        <v>0</v>
      </c>
      <c r="G72" s="149">
        <f>E72</f>
        <v>0</v>
      </c>
    </row>
    <row r="73" s="1" customFormat="1" ht="27.95" customHeight="1" spans="1:9">
      <c r="A73" s="27" t="s">
        <v>19</v>
      </c>
      <c r="B73" s="41" t="s">
        <v>25</v>
      </c>
      <c r="C73" s="42" t="s">
        <v>26</v>
      </c>
      <c r="D73" s="68">
        <f>D72*2.951694</f>
        <v>0</v>
      </c>
      <c r="E73" s="150">
        <f>E72*2.732</f>
        <v>0</v>
      </c>
      <c r="F73" s="195">
        <f>D73+'26.3'!F73</f>
        <v>0</v>
      </c>
      <c r="G73" s="195">
        <f>E73+'26.3'!G73</f>
        <v>0</v>
      </c>
    </row>
    <row r="74" s="1" customFormat="1" ht="27.95" customHeight="1" spans="1:9">
      <c r="A74" s="27" t="s">
        <v>21</v>
      </c>
      <c r="B74" s="41" t="s">
        <v>97</v>
      </c>
      <c r="C74" s="42" t="s">
        <v>98</v>
      </c>
      <c r="D74" s="72"/>
      <c r="E74" s="110"/>
      <c r="F74" s="195">
        <f>D74+'26.3'!F74</f>
        <v>0</v>
      </c>
      <c r="G74" s="195">
        <f>E74+'26.3'!G74</f>
        <v>0</v>
      </c>
    </row>
    <row r="75" s="1" customFormat="1" ht="27.95" customHeight="1" spans="1:9">
      <c r="A75" s="27" t="s">
        <v>24</v>
      </c>
      <c r="B75" s="41" t="s">
        <v>34</v>
      </c>
      <c r="C75" s="42" t="s">
        <v>23</v>
      </c>
      <c r="D75" s="68">
        <f>D74*D80/29308/1000</f>
        <v>0</v>
      </c>
      <c r="E75" s="112">
        <f>E74*E80/29308/1000</f>
        <v>0</v>
      </c>
      <c r="F75" s="195">
        <f>D75+'26.3'!F75</f>
        <v>0</v>
      </c>
      <c r="G75" s="195">
        <f>E75+'26.3'!G75</f>
        <v>0</v>
      </c>
    </row>
    <row r="76" s="1" customFormat="1" ht="27.95" customHeight="1" spans="1:9">
      <c r="A76" s="27" t="s">
        <v>27</v>
      </c>
      <c r="B76" s="41" t="s">
        <v>38</v>
      </c>
      <c r="C76" s="42" t="s">
        <v>23</v>
      </c>
      <c r="D76" s="72"/>
      <c r="E76" s="151"/>
      <c r="F76" s="195">
        <f>D76+'26.3'!F76</f>
        <v>0</v>
      </c>
      <c r="G76" s="195">
        <f>E76+'26.3'!G76</f>
        <v>0</v>
      </c>
    </row>
    <row r="77" s="1" customFormat="1" ht="27.95" customHeight="1" spans="1:9">
      <c r="A77" s="27" t="s">
        <v>29</v>
      </c>
      <c r="B77" s="41" t="s">
        <v>41</v>
      </c>
      <c r="C77" s="42" t="s">
        <v>42</v>
      </c>
      <c r="D77" s="72"/>
      <c r="E77" s="151"/>
      <c r="F77" s="195">
        <f>D77+'26.3'!F77</f>
        <v>0</v>
      </c>
      <c r="G77" s="195">
        <f>E77+'26.3'!G77</f>
        <v>0</v>
      </c>
    </row>
    <row r="78" s="1" customFormat="1" ht="27.95" customHeight="1" spans="1:9">
      <c r="A78" s="27" t="s">
        <v>31</v>
      </c>
      <c r="B78" s="41" t="s">
        <v>52</v>
      </c>
      <c r="C78" s="42" t="s">
        <v>53</v>
      </c>
      <c r="D78" s="152" t="e">
        <f>D77/D73</f>
        <v>#DIV/0!</v>
      </c>
      <c r="E78" s="153"/>
      <c r="F78" s="154" t="e">
        <f>F77/F73</f>
        <v>#DIV/0!</v>
      </c>
      <c r="G78" s="155"/>
    </row>
    <row r="79" s="1" customFormat="1" ht="27.95" customHeight="1" spans="1:9">
      <c r="A79" s="27" t="s">
        <v>33</v>
      </c>
      <c r="B79" s="41" t="s">
        <v>55</v>
      </c>
      <c r="C79" s="42" t="s">
        <v>56</v>
      </c>
      <c r="D79" s="57" t="e">
        <f>D75*1000/D73</f>
        <v>#DIV/0!</v>
      </c>
      <c r="E79" s="156" t="e">
        <f>E75*1000/E73</f>
        <v>#DIV/0!</v>
      </c>
      <c r="F79" s="157" t="e">
        <f>F75*1000/F73</f>
        <v>#DIV/0!</v>
      </c>
      <c r="G79" s="58" t="e">
        <f>G75*1000/G73</f>
        <v>#DIV/0!</v>
      </c>
    </row>
    <row r="80" s="1" customFormat="1" ht="27.95" customHeight="1" spans="1:9">
      <c r="A80" s="27" t="s">
        <v>37</v>
      </c>
      <c r="B80" s="41" t="s">
        <v>99</v>
      </c>
      <c r="C80" s="42" t="s">
        <v>100</v>
      </c>
      <c r="D80" s="33"/>
      <c r="E80" s="158"/>
      <c r="F80" s="159" t="e">
        <f>F75*29308*1000/F74</f>
        <v>#DIV/0!</v>
      </c>
      <c r="G80" s="68" t="e">
        <f>G75*29308*1000/G74</f>
        <v>#DIV/0!</v>
      </c>
    </row>
    <row r="81" s="1" customFormat="1" ht="27.95" customHeight="1" spans="1:11">
      <c r="A81" s="27" t="s">
        <v>40</v>
      </c>
      <c r="B81" s="41" t="s">
        <v>67</v>
      </c>
      <c r="C81" s="75" t="s">
        <v>68</v>
      </c>
      <c r="D81" s="76" t="e">
        <f>D73/(D75*29.308)</f>
        <v>#DIV/0!</v>
      </c>
      <c r="E81" s="160" t="e">
        <f>E73/(E75*29.308)</f>
        <v>#DIV/0!</v>
      </c>
      <c r="F81" s="161" t="e">
        <f>F73/(F75*29.308)</f>
        <v>#DIV/0!</v>
      </c>
      <c r="G81" s="77" t="e">
        <f>G73/(G75*29.308)</f>
        <v>#DIV/0!</v>
      </c>
    </row>
    <row r="82" s="1" customFormat="1" ht="27.95" customHeight="1" spans="1:11">
      <c r="A82" s="124" t="s">
        <v>47</v>
      </c>
      <c r="B82" s="162" t="s">
        <v>70</v>
      </c>
      <c r="C82" s="163" t="s">
        <v>68</v>
      </c>
      <c r="D82" s="198">
        <f>D73/3.6/D71/(5*24)</f>
        <v>0</v>
      </c>
      <c r="E82" s="199">
        <f>E73/3.6/E71/(5*24)</f>
        <v>0</v>
      </c>
      <c r="F82" s="166">
        <f>F73/3.6/F71/(DATEDIF(DATE(2026,1,1),DATE(2026,5,1),"D")*24)</f>
        <v>0</v>
      </c>
      <c r="G82" s="167">
        <f>G73/3.6/G71/(DATEDIF(DATE(2026,1,1),DATE(2026,5,1),"D")*24)</f>
        <v>0</v>
      </c>
    </row>
    <row r="83" s="1" customFormat="1" ht="18" customHeight="1" spans="1:11">
      <c r="B83" s="168"/>
      <c r="C83" s="168"/>
      <c r="D83" s="5"/>
    </row>
    <row r="84" s="1" customFormat="1" ht="16.25" spans="1:11">
      <c r="A84" s="103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ht="14" spans="1:11">
      <c r="A85" s="126" t="s">
        <v>0</v>
      </c>
      <c r="B85" s="127" t="s">
        <v>85</v>
      </c>
      <c r="C85" s="127" t="s">
        <v>2</v>
      </c>
      <c r="D85" s="169" t="s">
        <v>86</v>
      </c>
      <c r="E85" s="129" t="s">
        <v>87</v>
      </c>
      <c r="F85" s="169" t="s">
        <v>102</v>
      </c>
      <c r="G85" s="169" t="s">
        <v>103</v>
      </c>
      <c r="H85" s="170"/>
      <c r="I85" s="170"/>
    </row>
    <row r="86" s="1" customFormat="1" ht="14" spans="1:11">
      <c r="A86" s="12"/>
      <c r="B86" s="13"/>
      <c r="C86" s="13"/>
      <c r="D86" s="169" t="s">
        <v>104</v>
      </c>
      <c r="E86" s="169" t="s">
        <v>104</v>
      </c>
      <c r="F86" s="13"/>
      <c r="G86" s="13"/>
      <c r="H86" s="170"/>
      <c r="I86" s="103"/>
    </row>
    <row r="87" s="1" customFormat="1" ht="14" spans="1:11">
      <c r="A87" s="27" t="s">
        <v>11</v>
      </c>
      <c r="B87" s="28" t="s">
        <v>12</v>
      </c>
      <c r="C87" s="29" t="s">
        <v>13</v>
      </c>
      <c r="D87" s="171">
        <v>0.7888</v>
      </c>
      <c r="E87" s="172">
        <f>D87</f>
        <v>0.7888</v>
      </c>
      <c r="F87" s="173">
        <f>F55+D87</f>
        <v>13.1888</v>
      </c>
      <c r="G87" s="173">
        <f>E87+I55</f>
        <v>13.1888</v>
      </c>
      <c r="H87" s="135"/>
      <c r="I87" s="135"/>
    </row>
    <row r="88" s="1" customFormat="1" ht="14" spans="1:11">
      <c r="A88" s="27" t="s">
        <v>14</v>
      </c>
      <c r="B88" s="28" t="s">
        <v>88</v>
      </c>
      <c r="C88" s="29" t="s">
        <v>16</v>
      </c>
      <c r="D88" s="174"/>
      <c r="E88" s="175">
        <f>D88</f>
        <v>0</v>
      </c>
      <c r="F88" s="176">
        <v>83197.81</v>
      </c>
      <c r="G88" s="176">
        <v>83197.81</v>
      </c>
      <c r="H88" s="111"/>
      <c r="I88" s="111"/>
    </row>
    <row r="89" s="1" customFormat="1" ht="14" spans="1:11">
      <c r="A89" s="27" t="s">
        <v>19</v>
      </c>
      <c r="B89" s="28" t="s">
        <v>89</v>
      </c>
      <c r="C89" s="29" t="s">
        <v>16</v>
      </c>
      <c r="D89" s="174"/>
      <c r="E89" s="175">
        <f>D89</f>
        <v>0</v>
      </c>
      <c r="F89" s="176">
        <v>83197.81</v>
      </c>
      <c r="G89" s="176">
        <v>83197.81</v>
      </c>
      <c r="H89" s="111"/>
      <c r="I89" s="111"/>
    </row>
    <row r="90" s="1" customFormat="1" ht="14" spans="1:11">
      <c r="A90" s="27" t="s">
        <v>21</v>
      </c>
      <c r="B90" s="41" t="s">
        <v>25</v>
      </c>
      <c r="C90" s="42" t="s">
        <v>26</v>
      </c>
      <c r="D90" s="174"/>
      <c r="E90" s="200">
        <f>D90+'26.3'!E90</f>
        <v>6355.62400900001</v>
      </c>
      <c r="F90" s="178">
        <f>F58+D90</f>
        <v>0</v>
      </c>
      <c r="G90" s="178">
        <f>E90+I58</f>
        <v>16864.724009</v>
      </c>
      <c r="H90" s="111"/>
      <c r="I90" s="111"/>
    </row>
    <row r="91" s="1" customFormat="1" ht="14" spans="1:11">
      <c r="A91" s="27" t="s">
        <v>24</v>
      </c>
      <c r="B91" s="41" t="s">
        <v>38</v>
      </c>
      <c r="C91" s="42" t="s">
        <v>23</v>
      </c>
      <c r="D91" s="174"/>
      <c r="E91" s="200">
        <f>D91+'26.3'!E91</f>
        <v>86.5</v>
      </c>
      <c r="F91" s="178">
        <f>F59+D91</f>
        <v>0</v>
      </c>
      <c r="G91" s="178">
        <f>E91+I59</f>
        <v>817.3</v>
      </c>
      <c r="H91" s="111"/>
      <c r="I91" s="111"/>
    </row>
    <row r="92" s="1" customFormat="1" ht="14" spans="1:11">
      <c r="A92" s="27" t="s">
        <v>27</v>
      </c>
      <c r="B92" s="41" t="s">
        <v>41</v>
      </c>
      <c r="C92" s="42" t="s">
        <v>42</v>
      </c>
      <c r="D92" s="174"/>
      <c r="E92" s="200">
        <f>D92+'26.3'!E92</f>
        <v>780380.88</v>
      </c>
      <c r="F92" s="178">
        <f>F60+D92</f>
        <v>0</v>
      </c>
      <c r="G92" s="178">
        <f>E92+I60</f>
        <v>3955940.88</v>
      </c>
      <c r="H92" s="111"/>
      <c r="I92" s="111"/>
    </row>
    <row r="93" s="1" customFormat="1" ht="14" spans="1:11">
      <c r="A93" s="27"/>
      <c r="B93" s="41" t="s">
        <v>90</v>
      </c>
      <c r="C93" s="42" t="s">
        <v>42</v>
      </c>
      <c r="D93" s="174"/>
      <c r="E93" s="200">
        <f>D93+'26.3'!E93</f>
        <v>0</v>
      </c>
      <c r="F93" s="178">
        <f>F61+D93</f>
        <v>0</v>
      </c>
      <c r="G93" s="178">
        <f>E93+I61</f>
        <v>3175560</v>
      </c>
      <c r="H93" s="111"/>
      <c r="I93" s="111"/>
    </row>
    <row r="94" s="1" customFormat="1" ht="14" spans="1:11">
      <c r="A94" s="27" t="s">
        <v>29</v>
      </c>
      <c r="B94" s="41" t="s">
        <v>52</v>
      </c>
      <c r="C94" s="42" t="s">
        <v>53</v>
      </c>
      <c r="D94" s="179" t="e">
        <f>D92/D90</f>
        <v>#DIV/0!</v>
      </c>
      <c r="E94" s="179">
        <f>E92/E90</f>
        <v>122.785878915261</v>
      </c>
      <c r="F94" s="179" t="e">
        <f>F92/F90</f>
        <v>#DIV/0!</v>
      </c>
      <c r="G94" s="179">
        <f>G92/G90</f>
        <v>234.568966434842</v>
      </c>
      <c r="H94" s="117"/>
      <c r="I94" s="117"/>
    </row>
    <row r="95" s="1" customFormat="1" ht="14" spans="1:11">
      <c r="A95" s="27" t="s">
        <v>31</v>
      </c>
      <c r="B95" s="41" t="s">
        <v>105</v>
      </c>
      <c r="C95" s="75" t="s">
        <v>68</v>
      </c>
      <c r="D95" s="201">
        <f>D90/3.6/D87/(5*24)</f>
        <v>0</v>
      </c>
      <c r="E95" s="80">
        <f>E90/3.6/E87/(DATEDIF(DATE(2026,1,1),DATE(2026,5,1),"D")*24)</f>
        <v>0.77713470954963</v>
      </c>
      <c r="F95" s="201">
        <f>F90/3.6/F87/(5*24)</f>
        <v>0</v>
      </c>
      <c r="G95" s="80">
        <f>G90/3.6/G87/(DATEDIF(DATE(2026,1,1),DATE(2026,5,1),"D")*24)</f>
        <v>0.123332906783901</v>
      </c>
      <c r="H95" s="181"/>
      <c r="I95" s="181"/>
      <c r="K95" s="182"/>
    </row>
    <row r="96" s="1" customFormat="1" ht="14" spans="1:11">
      <c r="A96" s="27" t="s">
        <v>33</v>
      </c>
      <c r="B96" s="41" t="s">
        <v>72</v>
      </c>
      <c r="C96" s="42" t="s">
        <v>73</v>
      </c>
      <c r="D96" s="183" t="e">
        <f>D90/D89</f>
        <v>#DIV/0!</v>
      </c>
      <c r="E96" s="183" t="e">
        <f>E90/E89</f>
        <v>#DIV/0!</v>
      </c>
      <c r="F96" s="183">
        <f>F90/F89</f>
        <v>0</v>
      </c>
      <c r="G96" s="183">
        <f>G90/G89</f>
        <v>0.20270634538337</v>
      </c>
      <c r="H96" s="121"/>
      <c r="I96" s="121"/>
    </row>
    <row r="97" s="1" customFormat="1" ht="14" spans="1:9">
      <c r="A97" s="27" t="s">
        <v>37</v>
      </c>
      <c r="B97" s="41" t="s">
        <v>78</v>
      </c>
      <c r="C97" s="42" t="s">
        <v>79</v>
      </c>
      <c r="D97" s="184" t="e">
        <f>D92/D89</f>
        <v>#DIV/0!</v>
      </c>
      <c r="E97" s="184" t="e">
        <f>E92/E89</f>
        <v>#DIV/0!</v>
      </c>
      <c r="F97" s="184">
        <f>F92/F89</f>
        <v>0</v>
      </c>
      <c r="G97" s="184">
        <f>G92/G89</f>
        <v>47.5486179263613</v>
      </c>
      <c r="H97" s="123"/>
      <c r="I97" s="123"/>
    </row>
    <row r="98" s="1" customFormat="1" ht="14.75" spans="1:9">
      <c r="A98" s="124" t="s">
        <v>40</v>
      </c>
      <c r="B98" s="93" t="s">
        <v>81</v>
      </c>
      <c r="C98" s="94" t="s">
        <v>76</v>
      </c>
      <c r="D98" s="184" t="e">
        <f>D91*1000/D89</f>
        <v>#DIV/0!</v>
      </c>
      <c r="E98" s="184" t="e">
        <f>E91*1000/E89</f>
        <v>#DIV/0!</v>
      </c>
      <c r="F98" s="184">
        <f>F91*1000/F89</f>
        <v>0</v>
      </c>
      <c r="G98" s="184">
        <f>G91*1000/G89</f>
        <v>9.82357588499024</v>
      </c>
      <c r="H98" s="123"/>
      <c r="I98" s="123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7916666666667" right="0.747916666666667" top="0.984027777777778" bottom="0.984027777777778" header="0.511805555555556" footer="0.511805555555556"/>
  <pageSetup paperSize="9" scale="40" orientation="landscape" horizontalDpi="600" verticalDpi="600"/>
  <headerFooter alignWithMargins="0" scaleWithDoc="0">
    <oddHeader>&amp;C&amp;20 2022年4月份集团各锅炉站生产报表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 customWidth="1"/>
    <col min="15" max="16384" width="8.625" style="1" customWidth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</row>
    <row r="2" s="1" customFormat="1" ht="39.95" customHeight="1" spans="1:14">
      <c r="A2" s="12"/>
      <c r="B2" s="13"/>
      <c r="C2" s="13"/>
      <c r="D2" s="14" t="s">
        <v>5</v>
      </c>
      <c r="E2" s="14" t="s">
        <v>6</v>
      </c>
      <c r="F2" s="14" t="s">
        <v>7</v>
      </c>
      <c r="G2" s="15" t="s">
        <v>8</v>
      </c>
      <c r="H2" s="16" t="s">
        <v>9</v>
      </c>
      <c r="I2" s="17" t="s">
        <v>5</v>
      </c>
      <c r="J2" s="14" t="s">
        <v>6</v>
      </c>
      <c r="K2" s="14" t="s">
        <v>7</v>
      </c>
      <c r="L2" s="15" t="s">
        <v>10</v>
      </c>
      <c r="M2" s="16" t="s">
        <v>9</v>
      </c>
    </row>
    <row r="3" s="1" customFormat="1" ht="18" customHeight="1" spans="1:14">
      <c r="A3" s="18" t="s">
        <v>11</v>
      </c>
      <c r="B3" s="19" t="s">
        <v>12</v>
      </c>
      <c r="C3" s="20" t="s">
        <v>13</v>
      </c>
      <c r="D3" s="21">
        <v>348</v>
      </c>
      <c r="E3" s="22">
        <v>162</v>
      </c>
      <c r="F3" s="22"/>
      <c r="G3" s="23">
        <v>14</v>
      </c>
      <c r="H3" s="24">
        <f>E3+F3+G3</f>
        <v>176</v>
      </c>
      <c r="I3" s="25">
        <f>D3</f>
        <v>348</v>
      </c>
      <c r="J3" s="21">
        <f>E3</f>
        <v>162</v>
      </c>
      <c r="K3" s="21">
        <f>F3</f>
        <v>0</v>
      </c>
      <c r="L3" s="26">
        <f>G3</f>
        <v>14</v>
      </c>
      <c r="M3" s="24">
        <f t="shared" ref="M3:M12" si="0">J3+K3+L3</f>
        <v>176</v>
      </c>
    </row>
    <row r="4" s="1" customFormat="1" ht="18" customHeight="1" spans="1:14">
      <c r="A4" s="27" t="s">
        <v>14</v>
      </c>
      <c r="B4" s="28" t="s">
        <v>15</v>
      </c>
      <c r="C4" s="29" t="s">
        <v>16</v>
      </c>
      <c r="D4" s="30" t="s">
        <v>17</v>
      </c>
      <c r="E4" s="31"/>
      <c r="F4" s="32"/>
      <c r="G4" s="33"/>
      <c r="H4" s="34"/>
      <c r="I4" s="35" t="str">
        <f>D4</f>
        <v> -   </v>
      </c>
      <c r="J4" s="31">
        <f>E4</f>
        <v>0</v>
      </c>
      <c r="K4" s="36">
        <f>F4</f>
        <v>0</v>
      </c>
      <c r="L4" s="37">
        <f>G4</f>
        <v>0</v>
      </c>
      <c r="M4" s="34">
        <f t="shared" si="0"/>
        <v>0</v>
      </c>
    </row>
    <row r="5" s="1" customFormat="1" ht="18" customHeight="1" spans="1:14">
      <c r="A5" s="27"/>
      <c r="B5" s="28" t="s">
        <v>18</v>
      </c>
      <c r="C5" s="29" t="s">
        <v>16</v>
      </c>
      <c r="D5" s="30" t="s">
        <v>17</v>
      </c>
      <c r="E5" s="32">
        <v>55000</v>
      </c>
      <c r="F5" s="38">
        <v>0</v>
      </c>
      <c r="G5" s="39">
        <v>0</v>
      </c>
      <c r="H5" s="34">
        <f>E5+F5+G5</f>
        <v>55000</v>
      </c>
      <c r="I5" s="35" t="str">
        <f>D5</f>
        <v> -   </v>
      </c>
      <c r="J5" s="31">
        <f>E5</f>
        <v>55000</v>
      </c>
      <c r="K5" s="36">
        <f>F5</f>
        <v>0</v>
      </c>
      <c r="L5" s="37">
        <f>G5</f>
        <v>0</v>
      </c>
      <c r="M5" s="34">
        <f t="shared" si="0"/>
        <v>55000</v>
      </c>
    </row>
    <row r="6" s="1" customFormat="1" ht="18" customHeight="1" spans="1:14">
      <c r="A6" s="27" t="s">
        <v>19</v>
      </c>
      <c r="B6" s="28" t="s">
        <v>20</v>
      </c>
      <c r="C6" s="29" t="s">
        <v>16</v>
      </c>
      <c r="D6" s="30" t="s">
        <v>17</v>
      </c>
      <c r="E6" s="33">
        <f>E4</f>
        <v>0</v>
      </c>
      <c r="F6" s="33">
        <f>F4</f>
        <v>0</v>
      </c>
      <c r="G6" s="33">
        <f>G4</f>
        <v>0</v>
      </c>
      <c r="H6" s="34">
        <f>E6+F6+G6</f>
        <v>0</v>
      </c>
      <c r="I6" s="35" t="str">
        <f>D6</f>
        <v> -   </v>
      </c>
      <c r="J6" s="40">
        <f>E6</f>
        <v>0</v>
      </c>
      <c r="K6" s="40">
        <f>F6</f>
        <v>0</v>
      </c>
      <c r="L6" s="40">
        <f>G6</f>
        <v>0</v>
      </c>
      <c r="M6" s="34">
        <f t="shared" si="0"/>
        <v>0</v>
      </c>
    </row>
    <row r="7" s="2" customFormat="1" ht="18" customHeight="1" spans="1:14">
      <c r="A7" s="27" t="s">
        <v>21</v>
      </c>
      <c r="B7" s="41" t="s">
        <v>22</v>
      </c>
      <c r="C7" s="42" t="s">
        <v>23</v>
      </c>
      <c r="D7" s="39">
        <v>0</v>
      </c>
      <c r="E7" s="39">
        <v>0</v>
      </c>
      <c r="F7" s="39">
        <v>0</v>
      </c>
      <c r="G7" s="39"/>
      <c r="H7" s="34">
        <f>E7+F7+G7</f>
        <v>0</v>
      </c>
      <c r="I7" s="185">
        <f>D7+'26.4'!I7</f>
        <v>0</v>
      </c>
      <c r="J7" s="185">
        <f>E7+'26.4'!J7</f>
        <v>0</v>
      </c>
      <c r="K7" s="185">
        <f>F7+'26.4'!K7</f>
        <v>0</v>
      </c>
      <c r="L7" s="185">
        <f>G7+'26.4'!L7</f>
        <v>0</v>
      </c>
      <c r="M7" s="34">
        <f t="shared" si="0"/>
        <v>0</v>
      </c>
    </row>
    <row r="8" s="2" customFormat="1" ht="18" customHeight="1" spans="1:14">
      <c r="A8" s="27" t="s">
        <v>24</v>
      </c>
      <c r="B8" s="41" t="s">
        <v>25</v>
      </c>
      <c r="C8" s="42" t="s">
        <v>26</v>
      </c>
      <c r="D8" s="44"/>
      <c r="E8" s="39"/>
      <c r="F8" s="38"/>
      <c r="G8" s="33"/>
      <c r="H8" s="34"/>
      <c r="I8" s="185">
        <f>D8+'26.4'!I8</f>
        <v>1168258</v>
      </c>
      <c r="J8" s="185">
        <f>E8+'26.4'!J8</f>
        <v>267460.3967164</v>
      </c>
      <c r="K8" s="185">
        <f>F8+'26.4'!K8</f>
        <v>0</v>
      </c>
      <c r="L8" s="185">
        <f>G8+'26.4'!L8</f>
        <v>440887.508551189</v>
      </c>
      <c r="M8" s="34">
        <f t="shared" si="0"/>
        <v>708347.905267589</v>
      </c>
      <c r="N8" s="45"/>
    </row>
    <row r="9" s="2" customFormat="1" ht="18" customHeight="1" spans="1:14">
      <c r="A9" s="27" t="s">
        <v>27</v>
      </c>
      <c r="B9" s="41" t="s">
        <v>28</v>
      </c>
      <c r="C9" s="42" t="s">
        <v>26</v>
      </c>
      <c r="D9" s="39">
        <v>0</v>
      </c>
      <c r="E9" s="46">
        <f>[1]售热量!$K$25</f>
        <v>0</v>
      </c>
      <c r="F9" s="38"/>
      <c r="G9" s="38"/>
      <c r="H9" s="34">
        <f>E9+F9+G9</f>
        <v>0</v>
      </c>
      <c r="I9" s="185">
        <f>D9+'26.4'!I9</f>
        <v>0</v>
      </c>
      <c r="J9" s="185">
        <f>E9+'26.4'!J9</f>
        <v>8828</v>
      </c>
      <c r="K9" s="185">
        <f>F9+'26.4'!K9</f>
        <v>0</v>
      </c>
      <c r="L9" s="185">
        <f>G9+'26.4'!L9</f>
        <v>0</v>
      </c>
      <c r="M9" s="34">
        <f t="shared" si="0"/>
        <v>8828</v>
      </c>
    </row>
    <row r="10" s="2" customFormat="1" ht="18" customHeight="1" spans="1:14">
      <c r="A10" s="27" t="s">
        <v>29</v>
      </c>
      <c r="B10" s="41" t="s">
        <v>30</v>
      </c>
      <c r="C10" s="42" t="s">
        <v>23</v>
      </c>
      <c r="D10" s="39"/>
      <c r="E10" s="32"/>
      <c r="F10" s="38"/>
      <c r="G10" s="33"/>
      <c r="H10" s="34">
        <f>E10+F10+G10</f>
        <v>0</v>
      </c>
      <c r="I10" s="185">
        <f>D10+'26.4'!I10</f>
        <v>66226</v>
      </c>
      <c r="J10" s="185">
        <f>E10+'26.4'!J10</f>
        <v>21656</v>
      </c>
      <c r="K10" s="185">
        <f>F10+'26.4'!K10</f>
        <v>0</v>
      </c>
      <c r="L10" s="185">
        <f>G10+'26.4'!L10</f>
        <v>931</v>
      </c>
      <c r="M10" s="34">
        <f t="shared" si="0"/>
        <v>22587</v>
      </c>
    </row>
    <row r="11" s="2" customFormat="1" ht="18" customHeight="1" spans="1:14">
      <c r="A11" s="27" t="s">
        <v>31</v>
      </c>
      <c r="B11" s="41" t="s">
        <v>32</v>
      </c>
      <c r="C11" s="42" t="s">
        <v>23</v>
      </c>
      <c r="D11" s="39"/>
      <c r="E11" s="39">
        <v>0</v>
      </c>
      <c r="F11" s="39"/>
      <c r="G11" s="39"/>
      <c r="H11" s="34">
        <f>E11+F11+G11</f>
        <v>0</v>
      </c>
      <c r="I11" s="185">
        <f>D11+'26.4'!I11</f>
        <v>16.2</v>
      </c>
      <c r="J11" s="185">
        <f>E11+'26.4'!J11</f>
        <v>0</v>
      </c>
      <c r="K11" s="185">
        <f>F11+'26.4'!K11</f>
        <v>0</v>
      </c>
      <c r="L11" s="185">
        <f>G11+'26.4'!L11</f>
        <v>0</v>
      </c>
      <c r="M11" s="34">
        <f t="shared" si="0"/>
        <v>0</v>
      </c>
    </row>
    <row r="12" s="2" customFormat="1" ht="18" customHeight="1" spans="1:14">
      <c r="A12" s="27" t="s">
        <v>33</v>
      </c>
      <c r="B12" s="41" t="s">
        <v>34</v>
      </c>
      <c r="C12" s="42" t="s">
        <v>23</v>
      </c>
      <c r="D12" s="44">
        <f>D13+D14</f>
        <v>0</v>
      </c>
      <c r="E12" s="44">
        <f>E13+E14</f>
        <v>0</v>
      </c>
      <c r="F12" s="44">
        <f>F13+F14</f>
        <v>0</v>
      </c>
      <c r="G12" s="44">
        <f>G13+G14</f>
        <v>0</v>
      </c>
      <c r="H12" s="34">
        <f>E12+F12+G12</f>
        <v>0</v>
      </c>
      <c r="I12" s="185">
        <f>D12+'26.4'!I12</f>
        <v>43472.2579475284</v>
      </c>
      <c r="J12" s="185">
        <f>E12+'26.4'!J12</f>
        <v>13036.909</v>
      </c>
      <c r="K12" s="185">
        <f>F12+'26.4'!K12</f>
        <v>0</v>
      </c>
      <c r="L12" s="185">
        <f>G12+'26.4'!L12</f>
        <v>620.280370522607</v>
      </c>
      <c r="M12" s="34">
        <f t="shared" si="0"/>
        <v>13657.1893705226</v>
      </c>
    </row>
    <row r="13" s="2" customFormat="1" ht="18" customHeight="1" spans="1:14">
      <c r="A13" s="27"/>
      <c r="B13" s="41" t="s">
        <v>35</v>
      </c>
      <c r="C13" s="42" t="s">
        <v>23</v>
      </c>
      <c r="D13" s="39"/>
      <c r="E13" s="39"/>
      <c r="F13" s="39"/>
      <c r="G13" s="44"/>
      <c r="H13" s="47"/>
      <c r="I13" s="185">
        <f>D13+'26.4'!I13</f>
        <v>43448.6529275284</v>
      </c>
      <c r="J13" s="185">
        <f>E13+'26.4'!J13</f>
        <v>13036.909</v>
      </c>
      <c r="K13" s="185">
        <f>F13+'26.4'!K13</f>
        <v>0</v>
      </c>
      <c r="L13" s="185">
        <f>G13+'26.4'!L13</f>
        <v>620.280370522607</v>
      </c>
      <c r="M13" s="47"/>
    </row>
    <row r="14" s="2" customFormat="1" ht="18" customHeight="1" spans="1:14">
      <c r="A14" s="27"/>
      <c r="B14" s="41" t="s">
        <v>36</v>
      </c>
      <c r="C14" s="42" t="s">
        <v>23</v>
      </c>
      <c r="D14" s="44"/>
      <c r="E14" s="39"/>
      <c r="F14" s="39"/>
      <c r="G14" s="39"/>
      <c r="H14" s="47"/>
      <c r="I14" s="185">
        <f>D14+'26.4'!I14</f>
        <v>23.60502</v>
      </c>
      <c r="J14" s="185">
        <f>E14+'26.4'!J14</f>
        <v>0</v>
      </c>
      <c r="K14" s="185">
        <f>F14+'26.4'!K14</f>
        <v>0</v>
      </c>
      <c r="L14" s="185">
        <f>G14+'26.4'!L14</f>
        <v>0</v>
      </c>
      <c r="M14" s="47"/>
    </row>
    <row r="15" s="2" customFormat="1" ht="18" customHeight="1" spans="1:14">
      <c r="A15" s="27" t="s">
        <v>37</v>
      </c>
      <c r="B15" s="41" t="s">
        <v>38</v>
      </c>
      <c r="C15" s="42" t="s">
        <v>23</v>
      </c>
      <c r="D15" s="39"/>
      <c r="E15" s="48"/>
      <c r="F15" s="38"/>
      <c r="G15" s="33"/>
      <c r="H15" s="34"/>
      <c r="I15" s="185">
        <f>D15+'26.4'!I15</f>
        <v>23540</v>
      </c>
      <c r="J15" s="185">
        <f>E15+'26.4'!J15</f>
        <v>43463</v>
      </c>
      <c r="K15" s="185">
        <f>F15+'26.4'!K15</f>
        <v>0</v>
      </c>
      <c r="L15" s="185">
        <f>G15+'26.4'!L15</f>
        <v>97382</v>
      </c>
      <c r="M15" s="34">
        <f>J15+K15+L15</f>
        <v>140845</v>
      </c>
    </row>
    <row r="16" s="2" customFormat="1" ht="18" customHeight="1" spans="1:14">
      <c r="A16" s="27"/>
      <c r="B16" s="41" t="s">
        <v>39</v>
      </c>
      <c r="C16" s="42" t="s">
        <v>23</v>
      </c>
      <c r="D16" s="39"/>
      <c r="E16" s="48"/>
      <c r="F16" s="38"/>
      <c r="G16" s="38"/>
      <c r="H16" s="34"/>
      <c r="I16" s="185">
        <f>D16+'26.4'!I16</f>
        <v>2975</v>
      </c>
      <c r="J16" s="185">
        <f>E16+'26.4'!J16</f>
        <v>0</v>
      </c>
      <c r="K16" s="185">
        <f>F16+'26.4'!K16</f>
        <v>0</v>
      </c>
      <c r="L16" s="185">
        <f>G16+'26.4'!L16</f>
        <v>0</v>
      </c>
      <c r="M16" s="34">
        <f>J16+K16+L16</f>
        <v>0</v>
      </c>
    </row>
    <row r="17" s="2" customFormat="1" ht="18" customHeight="1" spans="1:14">
      <c r="A17" s="27" t="s">
        <v>40</v>
      </c>
      <c r="B17" s="41" t="s">
        <v>41</v>
      </c>
      <c r="C17" s="42" t="s">
        <v>42</v>
      </c>
      <c r="D17" s="44"/>
      <c r="E17" s="48"/>
      <c r="F17" s="38"/>
      <c r="G17" s="33"/>
      <c r="H17" s="34"/>
      <c r="I17" s="185">
        <f>D17+'26.4'!I17</f>
        <v>8122792</v>
      </c>
      <c r="J17" s="185">
        <f>E17+'26.4'!J17</f>
        <v>3287588</v>
      </c>
      <c r="K17" s="49"/>
      <c r="L17" s="185">
        <f>G17+'26.4'!L17</f>
        <v>2263757.5</v>
      </c>
      <c r="M17" s="34">
        <f>J17+K17+L17</f>
        <v>5551345.5</v>
      </c>
    </row>
    <row r="18" s="2" customFormat="1" ht="18" customHeight="1" spans="1:14">
      <c r="A18" s="27"/>
      <c r="B18" s="41" t="s">
        <v>43</v>
      </c>
      <c r="C18" s="42" t="s">
        <v>42</v>
      </c>
      <c r="D18" s="39"/>
      <c r="E18" s="48"/>
      <c r="F18" s="38"/>
      <c r="G18" s="38"/>
      <c r="H18" s="47"/>
      <c r="I18" s="185">
        <f>D18+'26.4'!I18</f>
        <v>8122792</v>
      </c>
      <c r="J18" s="185">
        <f>E18+'26.4'!J18</f>
        <v>0</v>
      </c>
      <c r="K18" s="185">
        <f>F18+'26.4'!K18</f>
        <v>0</v>
      </c>
      <c r="L18" s="185">
        <f>G18+'26.4'!L18</f>
        <v>0</v>
      </c>
      <c r="M18" s="47"/>
    </row>
    <row r="19" s="2" customFormat="1" ht="18" customHeight="1" spans="1:14">
      <c r="A19" s="27"/>
      <c r="B19" s="41" t="s">
        <v>44</v>
      </c>
      <c r="C19" s="42" t="s">
        <v>42</v>
      </c>
      <c r="D19" s="39"/>
      <c r="E19" s="33"/>
      <c r="F19" s="33"/>
      <c r="G19" s="33"/>
      <c r="H19" s="47"/>
      <c r="I19" s="185">
        <f>D19+'26.4'!I19</f>
        <v>0</v>
      </c>
      <c r="J19" s="50"/>
      <c r="K19" s="185">
        <f>F19+'26.4'!K19</f>
        <v>0</v>
      </c>
      <c r="L19" s="185">
        <f>G19+'26.4'!L19</f>
        <v>2263757.5</v>
      </c>
      <c r="M19" s="47"/>
    </row>
    <row r="20" s="2" customFormat="1" ht="18" customHeight="1" spans="1:14">
      <c r="A20" s="27"/>
      <c r="B20" s="41" t="s">
        <v>45</v>
      </c>
      <c r="C20" s="42" t="s">
        <v>23</v>
      </c>
      <c r="D20" s="39"/>
      <c r="E20" s="48"/>
      <c r="F20" s="38"/>
      <c r="G20" s="38"/>
      <c r="H20" s="47"/>
      <c r="I20" s="185">
        <f>D20+'26.4'!I20</f>
        <v>21425</v>
      </c>
      <c r="J20" s="185">
        <f>E20+'26.4'!J20</f>
        <v>0</v>
      </c>
      <c r="K20" s="185">
        <f>F20+'26.4'!K20</f>
        <v>0</v>
      </c>
      <c r="L20" s="185">
        <f>G20+'26.4'!L20</f>
        <v>0</v>
      </c>
      <c r="M20" s="47"/>
    </row>
    <row r="21" s="2" customFormat="1" ht="18" customHeight="1" spans="1:14">
      <c r="A21" s="27"/>
      <c r="B21" s="41" t="s">
        <v>46</v>
      </c>
      <c r="C21" s="42" t="s">
        <v>42</v>
      </c>
      <c r="D21" s="39"/>
      <c r="E21" s="48"/>
      <c r="F21" s="38"/>
      <c r="G21" s="38"/>
      <c r="H21" s="47"/>
      <c r="I21" s="185">
        <f>D21+'26.4'!I21</f>
        <v>929610.099999999</v>
      </c>
      <c r="J21" s="185">
        <f>E21+'26.4'!J21</f>
        <v>0</v>
      </c>
      <c r="K21" s="185">
        <f>F21+'26.4'!K21</f>
        <v>0</v>
      </c>
      <c r="L21" s="185">
        <f>G21+'26.4'!L21</f>
        <v>0</v>
      </c>
      <c r="M21" s="47"/>
    </row>
    <row r="22" s="2" customFormat="1" ht="14" spans="1:14">
      <c r="A22" s="51" t="s">
        <v>47</v>
      </c>
      <c r="B22" s="52" t="s">
        <v>48</v>
      </c>
      <c r="C22" s="53" t="s">
        <v>23</v>
      </c>
      <c r="D22" s="33"/>
      <c r="E22" s="54"/>
      <c r="F22" s="54"/>
      <c r="G22" s="54"/>
      <c r="H22" s="55"/>
      <c r="I22" s="185">
        <f>D22+'26.4'!I22</f>
        <v>1071.51</v>
      </c>
      <c r="J22" s="185">
        <f>E22+'26.4'!J22</f>
        <v>69.155</v>
      </c>
      <c r="K22" s="185">
        <f>F22+'26.4'!K22</f>
        <v>0</v>
      </c>
      <c r="L22" s="185">
        <f>G22+'26.4'!L22</f>
        <v>13.375</v>
      </c>
      <c r="M22" s="56">
        <f>J22+K22+L22</f>
        <v>82.53</v>
      </c>
      <c r="N22" s="1"/>
    </row>
    <row r="23" s="2" customFormat="1" ht="21" customHeight="1" spans="1:14">
      <c r="A23" s="51" t="s">
        <v>49</v>
      </c>
      <c r="B23" s="52" t="s">
        <v>50</v>
      </c>
      <c r="C23" s="53" t="s">
        <v>23</v>
      </c>
      <c r="D23" s="33"/>
      <c r="E23" s="54"/>
      <c r="F23" s="54"/>
      <c r="G23" s="54"/>
      <c r="H23" s="55"/>
      <c r="I23" s="185">
        <f>D23+'26.4'!I23</f>
        <v>371.77</v>
      </c>
      <c r="J23" s="185">
        <f>E23+'26.4'!J23</f>
        <v>49.29</v>
      </c>
      <c r="K23" s="185">
        <f>F23+'26.4'!K23</f>
        <v>0</v>
      </c>
      <c r="L23" s="185">
        <f>G23+'26.4'!L23</f>
        <v>4.025</v>
      </c>
      <c r="M23" s="56">
        <f>J23+K23+L23</f>
        <v>53.315</v>
      </c>
      <c r="N23" s="1"/>
    </row>
    <row r="24" s="2" customFormat="1" ht="18" customHeight="1" spans="1:14">
      <c r="A24" s="51" t="s">
        <v>51</v>
      </c>
      <c r="B24" s="41" t="s">
        <v>52</v>
      </c>
      <c r="C24" s="42" t="s">
        <v>53</v>
      </c>
      <c r="D24" s="57" t="e">
        <f t="shared" ref="D24:M24" si="1">D17/D8</f>
        <v>#DIV/0!</v>
      </c>
      <c r="E24" s="57" t="e">
        <f t="shared" si="1"/>
        <v>#DIV/0!</v>
      </c>
      <c r="F24" s="57" t="e">
        <f t="shared" si="1"/>
        <v>#DIV/0!</v>
      </c>
      <c r="G24" s="57" t="e">
        <f t="shared" si="1"/>
        <v>#DIV/0!</v>
      </c>
      <c r="H24" s="58" t="e">
        <f t="shared" si="1"/>
        <v>#DIV/0!</v>
      </c>
      <c r="I24" s="59">
        <f t="shared" si="1"/>
        <v>6.95290937447036</v>
      </c>
      <c r="J24" s="57">
        <f t="shared" si="1"/>
        <v>12.2918684050483</v>
      </c>
      <c r="K24" s="57" t="e">
        <f t="shared" si="1"/>
        <v>#DIV/0!</v>
      </c>
      <c r="L24" s="57">
        <f t="shared" si="1"/>
        <v>5.13454669523069</v>
      </c>
      <c r="M24" s="58">
        <f t="shared" si="1"/>
        <v>7.83703242251122</v>
      </c>
    </row>
    <row r="25" s="2" customFormat="1" ht="18" customHeight="1" spans="1:14">
      <c r="A25" s="51" t="s">
        <v>54</v>
      </c>
      <c r="B25" s="41" t="s">
        <v>55</v>
      </c>
      <c r="C25" s="42" t="s">
        <v>56</v>
      </c>
      <c r="D25" s="57" t="e">
        <f t="shared" ref="D25:M25" si="2">D12*1000/D8</f>
        <v>#DIV/0!</v>
      </c>
      <c r="E25" s="57" t="e">
        <f t="shared" si="2"/>
        <v>#DIV/0!</v>
      </c>
      <c r="F25" s="57" t="e">
        <f t="shared" si="2"/>
        <v>#DIV/0!</v>
      </c>
      <c r="G25" s="57" t="e">
        <f t="shared" si="2"/>
        <v>#DIV/0!</v>
      </c>
      <c r="H25" s="58" t="e">
        <f t="shared" si="2"/>
        <v>#DIV/0!</v>
      </c>
      <c r="I25" s="59">
        <f t="shared" si="2"/>
        <v>37.2111793349829</v>
      </c>
      <c r="J25" s="57">
        <f t="shared" si="2"/>
        <v>48.7433248438034</v>
      </c>
      <c r="K25" s="57" t="e">
        <f t="shared" si="2"/>
        <v>#DIV/0!</v>
      </c>
      <c r="L25" s="57">
        <f t="shared" si="2"/>
        <v>1.40689032574528</v>
      </c>
      <c r="M25" s="58">
        <f t="shared" si="2"/>
        <v>19.2803412969272</v>
      </c>
    </row>
    <row r="26" s="3" customFormat="1" ht="18" customHeight="1" spans="1:14">
      <c r="A26" s="51" t="s">
        <v>57</v>
      </c>
      <c r="B26" s="41" t="s">
        <v>58</v>
      </c>
      <c r="C26" s="60" t="s">
        <v>23</v>
      </c>
      <c r="D26" s="33"/>
      <c r="E26" s="61"/>
      <c r="F26" s="62"/>
      <c r="G26" s="33"/>
      <c r="H26" s="63"/>
      <c r="I26" s="185">
        <f>D26+'26.4'!I26</f>
        <v>23988</v>
      </c>
      <c r="J26" s="185">
        <f>E26+'26.4'!J26</f>
        <v>13379</v>
      </c>
      <c r="K26" s="185">
        <f>F26+'26.4'!K26</f>
        <v>0</v>
      </c>
      <c r="L26" s="185">
        <f>G26+'26.4'!L26</f>
        <v>119</v>
      </c>
      <c r="M26" s="63">
        <f>J26+K26+L26</f>
        <v>13498</v>
      </c>
    </row>
    <row r="27" s="3" customFormat="1" ht="18" customHeight="1" spans="1:14">
      <c r="A27" s="51" t="s">
        <v>59</v>
      </c>
      <c r="B27" s="41" t="s">
        <v>60</v>
      </c>
      <c r="C27" s="60" t="s">
        <v>23</v>
      </c>
      <c r="D27" s="48"/>
      <c r="E27" s="64">
        <f>J27</f>
        <v>4292.7</v>
      </c>
      <c r="F27" s="64"/>
      <c r="G27" s="64">
        <f>L27</f>
        <v>296.500000000023</v>
      </c>
      <c r="H27" s="65"/>
      <c r="I27" s="66">
        <f>D27</f>
        <v>0</v>
      </c>
      <c r="J27" s="187">
        <f>'26.4'!J27+E26-E10</f>
        <v>4292.7</v>
      </c>
      <c r="K27" s="187">
        <f>'26.4'!K27+F26-F10</f>
        <v>0</v>
      </c>
      <c r="L27" s="187">
        <f>'26.4'!L27+G26-G10</f>
        <v>296.500000000023</v>
      </c>
      <c r="M27" s="68">
        <f>J27+K27+L27</f>
        <v>4589.20000000002</v>
      </c>
    </row>
    <row r="28" s="2" customFormat="1" ht="18" customHeight="1" spans="1:14">
      <c r="A28" s="51" t="s">
        <v>61</v>
      </c>
      <c r="B28" s="41" t="s">
        <v>62</v>
      </c>
      <c r="C28" s="42" t="s">
        <v>63</v>
      </c>
      <c r="D28" s="69" t="e">
        <f>D13*29308/D10</f>
        <v>#DIV/0!</v>
      </c>
      <c r="E28" s="69" t="e">
        <f>E12*29308/E10</f>
        <v>#DIV/0!</v>
      </c>
      <c r="F28" s="69" t="e">
        <f>F12*29308/F10</f>
        <v>#DIV/0!</v>
      </c>
      <c r="G28" s="69" t="e">
        <f>G12*29308/G10</f>
        <v>#DIV/0!</v>
      </c>
      <c r="H28" s="69" t="e">
        <f>H12*29308/H10</f>
        <v>#DIV/0!</v>
      </c>
      <c r="I28" s="70">
        <f>I13*29308/I10</f>
        <v>19227.9938392777</v>
      </c>
      <c r="J28" s="44">
        <f>J12*29308/J10</f>
        <v>17643.4119399704</v>
      </c>
      <c r="K28" s="44" t="e">
        <f>K12*29308/K10</f>
        <v>#DIV/0!</v>
      </c>
      <c r="L28" s="44">
        <f>L12*29308/L10</f>
        <v>19526.5060142605</v>
      </c>
      <c r="M28" s="69">
        <f>M12*29308/M10</f>
        <v>17721.0300646955</v>
      </c>
    </row>
    <row r="29" s="2" customFormat="1" ht="18" customHeight="1" spans="1:14">
      <c r="A29" s="51" t="s">
        <v>64</v>
      </c>
      <c r="B29" s="41" t="s">
        <v>65</v>
      </c>
      <c r="C29" s="42" t="s">
        <v>63</v>
      </c>
      <c r="D29" s="71"/>
      <c r="E29" s="39"/>
      <c r="F29" s="39"/>
      <c r="G29" s="72"/>
      <c r="H29" s="73"/>
      <c r="I29" s="74"/>
      <c r="J29" s="39"/>
      <c r="K29" s="39"/>
      <c r="L29" s="72"/>
      <c r="M29" s="73"/>
    </row>
    <row r="30" s="2" customFormat="1" ht="18" customHeight="1" spans="1:14">
      <c r="A30" s="51" t="s">
        <v>66</v>
      </c>
      <c r="B30" s="41" t="s">
        <v>67</v>
      </c>
      <c r="C30" s="75" t="s">
        <v>68</v>
      </c>
      <c r="D30" s="76" t="e">
        <f>D8/(D12*29.308)</f>
        <v>#DIV/0!</v>
      </c>
      <c r="E30" s="76" t="e">
        <f>E8/(E12*29.308)</f>
        <v>#DIV/0!</v>
      </c>
      <c r="F30" s="76" t="e">
        <f>F8/(F12*29.308)</f>
        <v>#DIV/0!</v>
      </c>
      <c r="G30" s="76" t="e">
        <f>(G8-G36)/(G12*29.308)</f>
        <v>#DIV/0!</v>
      </c>
      <c r="H30" s="77" t="e">
        <f t="shared" ref="H30:M30" si="3">H8/(H12*29.308)</f>
        <v>#DIV/0!</v>
      </c>
      <c r="I30" s="78">
        <f t="shared" si="3"/>
        <v>0.916938868875932</v>
      </c>
      <c r="J30" s="76">
        <f t="shared" si="3"/>
        <v>0.700001011385589</v>
      </c>
      <c r="K30" s="76" t="e">
        <f t="shared" si="3"/>
        <v>#DIV/0!</v>
      </c>
      <c r="L30" s="76">
        <f t="shared" si="3"/>
        <v>24.2523358534603</v>
      </c>
      <c r="M30" s="77">
        <f t="shared" si="3"/>
        <v>1.76969775397059</v>
      </c>
    </row>
    <row r="31" s="2" customFormat="1" ht="18" customHeight="1" spans="1:14">
      <c r="A31" s="51" t="s">
        <v>69</v>
      </c>
      <c r="B31" s="41" t="s">
        <v>70</v>
      </c>
      <c r="C31" s="75" t="s">
        <v>68</v>
      </c>
      <c r="D31" s="79">
        <f>D8/3.6/D3/(DAY(DATE(2026,6,0))*24)</f>
        <v>0</v>
      </c>
      <c r="E31" s="79">
        <f>E8/3.6/E3/(DAY(DATE(2026,6,0))*24)</f>
        <v>0</v>
      </c>
      <c r="F31" s="79" t="e">
        <f>F8/3.6/F3/(DAY(DATE(2026,6,0))*24)</f>
        <v>#DIV/0!</v>
      </c>
      <c r="G31" s="79">
        <f>(G8-G36)/3.6/G3/(DAY(DATE(2026,6,0))*24)</f>
        <v>0</v>
      </c>
      <c r="H31" s="80">
        <f>H8/3.6/H3/(DAY(DATE(2026,6,0))*24)</f>
        <v>0</v>
      </c>
      <c r="I31" s="81">
        <f>I8/3.6/I3/(DATEDIF(DATE(2026,1,1),DATE(2026,6,1),"D")*24)</f>
        <v>0.257317207688773</v>
      </c>
      <c r="J31" s="79">
        <f>J8/3.6/J3/(DATEDIF(DATE(2026,1,1),DATE(2026,6,1),"D")*24)</f>
        <v>0.126547561257332</v>
      </c>
      <c r="K31" s="79" t="e">
        <f>K8/3.6/K3/(DATEDIF(DATE(2026,1,1),DATE(2026,6,1),"D")*24)</f>
        <v>#DIV/0!</v>
      </c>
      <c r="L31" s="79">
        <f>(L8-L36)/3.6/L3/(DATEDIF(DATE(2026,1,1),DATE(2026,6,1),"D")*24)</f>
        <v>0.0597182175662524</v>
      </c>
      <c r="M31" s="80">
        <f>M8/3.6/M3/(DATEDIF(DATE(2026,1,1),DATE(2026,6,1),"D")*24)</f>
        <v>0.308491538447557</v>
      </c>
    </row>
    <row r="32" s="2" customFormat="1" ht="18" customHeight="1" spans="1:14">
      <c r="A32" s="51" t="s">
        <v>71</v>
      </c>
      <c r="B32" s="41" t="s">
        <v>72</v>
      </c>
      <c r="C32" s="42" t="s">
        <v>73</v>
      </c>
      <c r="D32" s="82"/>
      <c r="E32" s="83" t="e">
        <f>E8/E6</f>
        <v>#DIV/0!</v>
      </c>
      <c r="F32" s="83" t="e">
        <f>F8/F6</f>
        <v>#DIV/0!</v>
      </c>
      <c r="G32" s="83" t="e">
        <f>G8/G6</f>
        <v>#DIV/0!</v>
      </c>
      <c r="H32" s="83" t="e">
        <f>H8/H6</f>
        <v>#DIV/0!</v>
      </c>
      <c r="I32" s="84"/>
      <c r="J32" s="83" t="e">
        <f>J8/J6</f>
        <v>#DIV/0!</v>
      </c>
      <c r="K32" s="83" t="e">
        <f>K8/K6</f>
        <v>#DIV/0!</v>
      </c>
      <c r="L32" s="83" t="e">
        <f>L8/L6</f>
        <v>#DIV/0!</v>
      </c>
      <c r="M32" s="85" t="e">
        <f>M8/M6</f>
        <v>#DIV/0!</v>
      </c>
    </row>
    <row r="33" s="2" customFormat="1" ht="18" customHeight="1" spans="1:13">
      <c r="A33" s="51" t="s">
        <v>74</v>
      </c>
      <c r="B33" s="41" t="s">
        <v>75</v>
      </c>
      <c r="C33" s="42" t="s">
        <v>76</v>
      </c>
      <c r="D33" s="86"/>
      <c r="E33" s="87" t="e">
        <f>E12*1000/E6</f>
        <v>#DIV/0!</v>
      </c>
      <c r="F33" s="87" t="e">
        <f>F12*1000/F6</f>
        <v>#DIV/0!</v>
      </c>
      <c r="G33" s="87" t="e">
        <f>G12*1000/G6</f>
        <v>#DIV/0!</v>
      </c>
      <c r="H33" s="88" t="e">
        <f>H12*1000/H6</f>
        <v>#DIV/0!</v>
      </c>
      <c r="I33" s="89"/>
      <c r="J33" s="87" t="e">
        <f>J12*1000/J6</f>
        <v>#DIV/0!</v>
      </c>
      <c r="K33" s="87" t="e">
        <f>K12*1000/K6</f>
        <v>#DIV/0!</v>
      </c>
      <c r="L33" s="87" t="e">
        <f>L12*1000/L6</f>
        <v>#DIV/0!</v>
      </c>
      <c r="M33" s="88" t="e">
        <f>M12*1000/M6</f>
        <v>#DIV/0!</v>
      </c>
    </row>
    <row r="34" s="2" customFormat="1" ht="18" customHeight="1" spans="1:13">
      <c r="A34" s="51" t="s">
        <v>77</v>
      </c>
      <c r="B34" s="41" t="s">
        <v>78</v>
      </c>
      <c r="C34" s="42" t="s">
        <v>79</v>
      </c>
      <c r="D34" s="90"/>
      <c r="E34" s="87" t="e">
        <f>E17/E6</f>
        <v>#DIV/0!</v>
      </c>
      <c r="F34" s="87" t="e">
        <f>F17/F6</f>
        <v>#DIV/0!</v>
      </c>
      <c r="G34" s="87" t="e">
        <f>G17/G6</f>
        <v>#DIV/0!</v>
      </c>
      <c r="H34" s="88" t="e">
        <f>H17/H6</f>
        <v>#DIV/0!</v>
      </c>
      <c r="I34" s="91"/>
      <c r="J34" s="87" t="e">
        <f>J17/J6</f>
        <v>#DIV/0!</v>
      </c>
      <c r="K34" s="87" t="e">
        <f>K17/K6</f>
        <v>#DIV/0!</v>
      </c>
      <c r="L34" s="87" t="e">
        <f>L17/L6</f>
        <v>#DIV/0!</v>
      </c>
      <c r="M34" s="88" t="e">
        <f>M17/M6</f>
        <v>#DIV/0!</v>
      </c>
    </row>
    <row r="35" s="2" customFormat="1" ht="18" customHeight="1" spans="1:13">
      <c r="A35" s="92" t="s">
        <v>80</v>
      </c>
      <c r="B35" s="93" t="s">
        <v>81</v>
      </c>
      <c r="C35" s="94" t="s">
        <v>76</v>
      </c>
      <c r="D35" s="95"/>
      <c r="E35" s="96" t="e">
        <f>E15*1000/E6</f>
        <v>#DIV/0!</v>
      </c>
      <c r="F35" s="96" t="e">
        <f>F15*1000/F6</f>
        <v>#DIV/0!</v>
      </c>
      <c r="G35" s="96" t="e">
        <f>G15*1000/G6</f>
        <v>#DIV/0!</v>
      </c>
      <c r="H35" s="97" t="e">
        <f>H15*1000/H6</f>
        <v>#DIV/0!</v>
      </c>
      <c r="I35" s="98"/>
      <c r="J35" s="96" t="e">
        <f>J15*1000/J6</f>
        <v>#DIV/0!</v>
      </c>
      <c r="K35" s="96" t="e">
        <f>K15*1000/K6</f>
        <v>#DIV/0!</v>
      </c>
      <c r="L35" s="96" t="e">
        <f>L15*1000/L6</f>
        <v>#DIV/0!</v>
      </c>
      <c r="M35" s="97" t="e">
        <f>M15*1000/M6</f>
        <v>#DIV/0!</v>
      </c>
    </row>
    <row r="36" s="2" customFormat="1" ht="21" customHeight="1" spans="1:13">
      <c r="A36" s="99"/>
      <c r="B36" s="100" t="s">
        <v>82</v>
      </c>
      <c r="C36" s="101" t="s">
        <v>26</v>
      </c>
      <c r="D36" s="102"/>
      <c r="E36" s="102"/>
      <c r="F36" s="102"/>
      <c r="G36" s="102"/>
      <c r="H36" s="102"/>
      <c r="I36" s="102"/>
      <c r="J36" s="102"/>
      <c r="K36" s="102"/>
      <c r="L36" s="185">
        <f>G36+'26.4'!L36</f>
        <v>429980</v>
      </c>
      <c r="M36" s="102"/>
    </row>
    <row r="37" s="1" customFormat="1" ht="29.25" customHeight="1" spans="1:13">
      <c r="A37" s="103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3">
      <c r="A38" s="104" t="s">
        <v>0</v>
      </c>
      <c r="B38" s="105" t="s">
        <v>85</v>
      </c>
      <c r="C38" s="105" t="s">
        <v>2</v>
      </c>
      <c r="D38" s="106" t="s">
        <v>86</v>
      </c>
      <c r="E38" s="107" t="s">
        <v>87</v>
      </c>
      <c r="F38" s="2"/>
      <c r="G38" s="2"/>
      <c r="H38" s="2"/>
    </row>
    <row r="39" s="1" customFormat="1" ht="27.95" customHeight="1" spans="1:13">
      <c r="A39" s="27" t="s">
        <v>11</v>
      </c>
      <c r="B39" s="28" t="s">
        <v>12</v>
      </c>
      <c r="C39" s="29" t="s">
        <v>13</v>
      </c>
      <c r="D39" s="108">
        <v>0.55</v>
      </c>
      <c r="E39" s="109">
        <v>0.55</v>
      </c>
      <c r="F39" s="2"/>
      <c r="G39" s="2"/>
      <c r="H39" s="2"/>
    </row>
    <row r="40" s="1" customFormat="1" ht="27.95" customHeight="1" spans="1:13">
      <c r="A40" s="27" t="s">
        <v>14</v>
      </c>
      <c r="B40" s="28" t="s">
        <v>88</v>
      </c>
      <c r="C40" s="29" t="s">
        <v>16</v>
      </c>
      <c r="D40" s="110"/>
      <c r="E40" s="111">
        <f>D40</f>
        <v>0</v>
      </c>
      <c r="F40" s="2"/>
      <c r="G40" s="2"/>
      <c r="H40" s="2"/>
    </row>
    <row r="41" s="1" customFormat="1" ht="27.95" customHeight="1" spans="1:13">
      <c r="A41" s="27" t="s">
        <v>19</v>
      </c>
      <c r="B41" s="28" t="s">
        <v>89</v>
      </c>
      <c r="C41" s="29" t="s">
        <v>16</v>
      </c>
      <c r="D41" s="112"/>
      <c r="E41" s="113">
        <f>D41</f>
        <v>0</v>
      </c>
      <c r="F41" s="2"/>
      <c r="G41" s="2"/>
      <c r="H41" s="2"/>
    </row>
    <row r="42" s="1" customFormat="1" ht="27.95" customHeight="1" spans="1:13">
      <c r="A42" s="27" t="s">
        <v>21</v>
      </c>
      <c r="B42" s="41" t="s">
        <v>25</v>
      </c>
      <c r="C42" s="42" t="s">
        <v>26</v>
      </c>
      <c r="D42" s="114"/>
      <c r="E42" s="188">
        <f>D42+'26.4'!E42</f>
        <v>889</v>
      </c>
      <c r="F42" s="2"/>
      <c r="G42" s="2"/>
      <c r="H42" s="2"/>
    </row>
    <row r="43" s="1" customFormat="1" ht="27.95" customHeight="1" spans="1:13">
      <c r="A43" s="27" t="s">
        <v>24</v>
      </c>
      <c r="B43" s="41" t="s">
        <v>38</v>
      </c>
      <c r="C43" s="42" t="s">
        <v>23</v>
      </c>
      <c r="D43" s="110"/>
      <c r="E43" s="188">
        <f>D43+'26.4'!E43</f>
        <v>10</v>
      </c>
      <c r="F43" s="2"/>
      <c r="G43" s="2"/>
      <c r="H43" s="2"/>
    </row>
    <row r="44" s="1" customFormat="1" ht="27.95" customHeight="1" spans="1:13">
      <c r="A44" s="27" t="s">
        <v>27</v>
      </c>
      <c r="B44" s="41" t="s">
        <v>41</v>
      </c>
      <c r="C44" s="42" t="s">
        <v>42</v>
      </c>
      <c r="D44" s="110"/>
      <c r="E44" s="188">
        <f>D44+'26.4'!E44</f>
        <v>267664</v>
      </c>
      <c r="F44" s="2"/>
      <c r="G44" s="2"/>
      <c r="H44" s="2"/>
    </row>
    <row r="45" s="1" customFormat="1" ht="27.95" customHeight="1" spans="1:13">
      <c r="A45" s="27"/>
      <c r="B45" s="41" t="s">
        <v>90</v>
      </c>
      <c r="C45" s="42" t="s">
        <v>42</v>
      </c>
      <c r="D45" s="110">
        <f>D44</f>
        <v>0</v>
      </c>
      <c r="E45" s="188">
        <f>D45+'26.4'!E45</f>
        <v>267664</v>
      </c>
      <c r="F45" s="2"/>
      <c r="G45" s="2"/>
      <c r="H45" s="2"/>
    </row>
    <row r="46" s="1" customFormat="1" ht="27.95" customHeight="1" spans="1:13">
      <c r="A46" s="27" t="s">
        <v>29</v>
      </c>
      <c r="B46" s="41" t="s">
        <v>52</v>
      </c>
      <c r="C46" s="42" t="s">
        <v>53</v>
      </c>
      <c r="D46" s="116" t="e">
        <f>D44/D42</f>
        <v>#DIV/0!</v>
      </c>
      <c r="E46" s="117">
        <f>E44/E42</f>
        <v>301.084364454443</v>
      </c>
      <c r="F46" s="2"/>
      <c r="G46" s="2"/>
      <c r="H46" s="2"/>
    </row>
    <row r="47" s="1" customFormat="1" ht="27.95" customHeight="1" spans="1:13">
      <c r="A47" s="27" t="s">
        <v>31</v>
      </c>
      <c r="B47" s="41" t="s">
        <v>70</v>
      </c>
      <c r="C47" s="75" t="s">
        <v>68</v>
      </c>
      <c r="D47" s="118">
        <f>D42/3.6/D39/(DAY(DATE(2026,6,0))*24)</f>
        <v>0</v>
      </c>
      <c r="E47" s="119">
        <f>E42/3.6/E39/(DATEDIF(DATE(2026,1,1),DATE(2026,6,1),"D")*24)</f>
        <v>0.123893459986175</v>
      </c>
      <c r="F47" s="2"/>
      <c r="G47" s="2"/>
      <c r="H47" s="2"/>
    </row>
    <row r="48" s="1" customFormat="1" ht="27.95" customHeight="1" spans="1:13">
      <c r="A48" s="27" t="s">
        <v>33</v>
      </c>
      <c r="B48" s="41" t="s">
        <v>72</v>
      </c>
      <c r="C48" s="42" t="s">
        <v>73</v>
      </c>
      <c r="D48" s="120" t="e">
        <f>D42/D41</f>
        <v>#DIV/0!</v>
      </c>
      <c r="E48" s="121" t="e">
        <f>E42/E41</f>
        <v>#DIV/0!</v>
      </c>
      <c r="F48" s="2"/>
      <c r="G48" s="2"/>
      <c r="H48" s="2"/>
    </row>
    <row r="49" s="1" customFormat="1" ht="27.95" customHeight="1" spans="1:10">
      <c r="A49" s="27" t="s">
        <v>37</v>
      </c>
      <c r="B49" s="41" t="s">
        <v>78</v>
      </c>
      <c r="C49" s="42" t="s">
        <v>79</v>
      </c>
      <c r="D49" s="122" t="e">
        <f>D44/D41</f>
        <v>#DIV/0!</v>
      </c>
      <c r="E49" s="123" t="e">
        <f>E44/E41</f>
        <v>#DIV/0!</v>
      </c>
      <c r="F49" s="2"/>
      <c r="G49" s="2"/>
      <c r="H49" s="2"/>
    </row>
    <row r="50" s="1" customFormat="1" ht="27.95" customHeight="1" spans="1:10">
      <c r="A50" s="124" t="s">
        <v>40</v>
      </c>
      <c r="B50" s="93" t="s">
        <v>81</v>
      </c>
      <c r="C50" s="94" t="s">
        <v>76</v>
      </c>
      <c r="D50" s="125" t="e">
        <f>D43*1000/D41</f>
        <v>#DIV/0!</v>
      </c>
      <c r="E50" s="125" t="e">
        <f>E43*1000/E41</f>
        <v>#DIV/0!</v>
      </c>
      <c r="F50" s="2"/>
      <c r="G50" s="2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3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26" t="s">
        <v>0</v>
      </c>
      <c r="B53" s="127" t="s">
        <v>85</v>
      </c>
      <c r="C53" s="127" t="s">
        <v>2</v>
      </c>
      <c r="D53" s="106" t="s">
        <v>86</v>
      </c>
      <c r="E53" s="9"/>
      <c r="F53" s="10"/>
      <c r="G53" s="128" t="s">
        <v>87</v>
      </c>
      <c r="H53" s="9"/>
      <c r="I53" s="9"/>
    </row>
    <row r="54" s="1" customFormat="1" ht="31.5" customHeight="1" spans="1:10">
      <c r="A54" s="12"/>
      <c r="B54" s="13"/>
      <c r="C54" s="13"/>
      <c r="D54" s="129" t="s">
        <v>92</v>
      </c>
      <c r="E54" s="129" t="s">
        <v>93</v>
      </c>
      <c r="F54" s="130" t="s">
        <v>9</v>
      </c>
      <c r="G54" s="131" t="s">
        <v>92</v>
      </c>
      <c r="H54" s="129" t="s">
        <v>93</v>
      </c>
      <c r="I54" s="132" t="s">
        <v>9</v>
      </c>
    </row>
    <row r="55" s="1" customFormat="1" ht="27.95" customHeight="1" spans="1:10">
      <c r="A55" s="27" t="s">
        <v>11</v>
      </c>
      <c r="B55" s="28" t="s">
        <v>12</v>
      </c>
      <c r="C55" s="29" t="s">
        <v>13</v>
      </c>
      <c r="D55" s="133">
        <v>6</v>
      </c>
      <c r="E55" s="133">
        <v>6.4</v>
      </c>
      <c r="F55" s="134">
        <f t="shared" ref="F55:F61" si="4">SUM(D55:E55)</f>
        <v>12.4</v>
      </c>
      <c r="G55" s="135">
        <f>D55</f>
        <v>6</v>
      </c>
      <c r="H55" s="136">
        <f>E55</f>
        <v>6.4</v>
      </c>
      <c r="I55" s="136">
        <f t="shared" ref="I55:I61" si="5">SUM(G55:H55)</f>
        <v>12.4</v>
      </c>
    </row>
    <row r="56" s="1" customFormat="1" ht="27.95" customHeight="1" spans="1:10">
      <c r="A56" s="27" t="s">
        <v>14</v>
      </c>
      <c r="B56" s="28" t="s">
        <v>88</v>
      </c>
      <c r="C56" s="29" t="s">
        <v>16</v>
      </c>
      <c r="D56" s="72"/>
      <c r="E56" s="72"/>
      <c r="F56" s="112">
        <f t="shared" si="4"/>
        <v>0</v>
      </c>
      <c r="G56" s="113">
        <f>D56</f>
        <v>0</v>
      </c>
      <c r="H56" s="113">
        <f>E56</f>
        <v>0</v>
      </c>
      <c r="I56" s="68">
        <f t="shared" si="5"/>
        <v>0</v>
      </c>
    </row>
    <row r="57" s="1" customFormat="1" ht="27.95" customHeight="1" spans="1:10">
      <c r="A57" s="27" t="s">
        <v>19</v>
      </c>
      <c r="B57" s="28" t="s">
        <v>89</v>
      </c>
      <c r="C57" s="29" t="s">
        <v>16</v>
      </c>
      <c r="D57" s="68"/>
      <c r="E57" s="68"/>
      <c r="F57" s="112">
        <f t="shared" si="4"/>
        <v>0</v>
      </c>
      <c r="G57" s="113">
        <f>D57</f>
        <v>0</v>
      </c>
      <c r="H57" s="113">
        <f>E57</f>
        <v>0</v>
      </c>
      <c r="I57" s="68">
        <f t="shared" si="5"/>
        <v>0</v>
      </c>
    </row>
    <row r="58" s="1" customFormat="1" ht="27.95" customHeight="1" spans="1:10">
      <c r="A58" s="27" t="s">
        <v>21</v>
      </c>
      <c r="B58" s="41" t="s">
        <v>25</v>
      </c>
      <c r="C58" s="42" t="s">
        <v>26</v>
      </c>
      <c r="D58" s="72"/>
      <c r="E58" s="137"/>
      <c r="F58" s="112">
        <f t="shared" si="4"/>
        <v>0</v>
      </c>
      <c r="G58" s="189">
        <f>D58+'26.4'!G58</f>
        <v>3813.3</v>
      </c>
      <c r="H58" s="189">
        <f>E58+'26.4'!H58</f>
        <v>6695.80000000001</v>
      </c>
      <c r="I58" s="68">
        <f t="shared" si="5"/>
        <v>10509.1</v>
      </c>
    </row>
    <row r="59" s="1" customFormat="1" ht="27.95" customHeight="1" spans="1:10">
      <c r="A59" s="27" t="s">
        <v>24</v>
      </c>
      <c r="B59" s="41" t="s">
        <v>38</v>
      </c>
      <c r="C59" s="42" t="s">
        <v>23</v>
      </c>
      <c r="D59" s="72"/>
      <c r="E59" s="72"/>
      <c r="F59" s="112">
        <f t="shared" si="4"/>
        <v>0</v>
      </c>
      <c r="G59" s="189">
        <f>D59+'26.4'!G59</f>
        <v>564.9</v>
      </c>
      <c r="H59" s="189">
        <f>E59+'26.4'!H59</f>
        <v>165.9</v>
      </c>
      <c r="I59" s="68">
        <f t="shared" si="5"/>
        <v>730.8</v>
      </c>
    </row>
    <row r="60" s="1" customFormat="1" ht="27.95" customHeight="1" spans="1:10">
      <c r="A60" s="27" t="s">
        <v>27</v>
      </c>
      <c r="B60" s="41" t="s">
        <v>41</v>
      </c>
      <c r="C60" s="42" t="s">
        <v>42</v>
      </c>
      <c r="D60" s="72"/>
      <c r="E60" s="72"/>
      <c r="F60" s="112">
        <f t="shared" si="4"/>
        <v>0</v>
      </c>
      <c r="G60" s="189">
        <f>D60+'26.4'!G60</f>
        <v>1184440</v>
      </c>
      <c r="H60" s="189">
        <f>E60+'26.4'!H60</f>
        <v>1991120</v>
      </c>
      <c r="I60" s="68">
        <f t="shared" si="5"/>
        <v>3175560</v>
      </c>
    </row>
    <row r="61" s="1" customFormat="1" ht="27.95" customHeight="1" spans="1:10">
      <c r="A61" s="27"/>
      <c r="B61" s="41" t="s">
        <v>90</v>
      </c>
      <c r="C61" s="42" t="s">
        <v>42</v>
      </c>
      <c r="D61" s="72"/>
      <c r="E61" s="72"/>
      <c r="F61" s="112">
        <f t="shared" si="4"/>
        <v>0</v>
      </c>
      <c r="G61" s="189">
        <f>D61+'26.4'!G61</f>
        <v>1184440</v>
      </c>
      <c r="H61" s="189">
        <f>E61+'26.4'!H61</f>
        <v>1991120</v>
      </c>
      <c r="I61" s="68">
        <f t="shared" si="5"/>
        <v>3175560</v>
      </c>
    </row>
    <row r="62" s="1" customFormat="1" ht="27.95" customHeight="1" spans="1:10">
      <c r="A62" s="27" t="s">
        <v>29</v>
      </c>
      <c r="B62" s="41" t="s">
        <v>52</v>
      </c>
      <c r="C62" s="42" t="s">
        <v>53</v>
      </c>
      <c r="D62" s="139" t="e">
        <f t="shared" ref="D62:I62" si="6">D60/D58</f>
        <v>#DIV/0!</v>
      </c>
      <c r="E62" s="139" t="e">
        <f t="shared" si="6"/>
        <v>#DIV/0!</v>
      </c>
      <c r="F62" s="116" t="e">
        <f t="shared" si="6"/>
        <v>#DIV/0!</v>
      </c>
      <c r="G62" s="140">
        <f t="shared" si="6"/>
        <v>310.607610206383</v>
      </c>
      <c r="H62" s="57">
        <f t="shared" si="6"/>
        <v>297.368499656501</v>
      </c>
      <c r="I62" s="58">
        <f t="shared" si="6"/>
        <v>302.172402965049</v>
      </c>
    </row>
    <row r="63" s="1" customFormat="1" ht="27.95" customHeight="1" spans="1:10">
      <c r="A63" s="27" t="s">
        <v>31</v>
      </c>
      <c r="B63" s="41" t="s">
        <v>70</v>
      </c>
      <c r="C63" s="75" t="s">
        <v>68</v>
      </c>
      <c r="D63" s="79">
        <f>D58/3.6/D55/(DAY(DATE(2026,6,0))*24)</f>
        <v>0</v>
      </c>
      <c r="E63" s="79">
        <f>E58/3.6/E55/(DAY(DATE(2026,6,0))*24)</f>
        <v>0</v>
      </c>
      <c r="F63" s="118">
        <f>F58/3.6/F55/(DAY(DATE(2026,6,0))*24)</f>
        <v>0</v>
      </c>
      <c r="G63" s="81">
        <f>G58/3.6/G55/(DATEDIF(DATE(2026,1,1),DATE(2026,6,1),"D")*24)</f>
        <v>0.0487145879323032</v>
      </c>
      <c r="H63" s="79">
        <f>H58/3.6/H55/(DATEDIF(DATE(2026,1,1),DATE(2026,6,1),"D")*24)</f>
        <v>0.0801921411270543</v>
      </c>
      <c r="I63" s="80">
        <f>I58/3.6/I55/(DATEDIF(DATE(2026,1,1),DATE(2026,6,1),"D")*24)</f>
        <v>0.0649610670005618</v>
      </c>
    </row>
    <row r="64" s="1" customFormat="1" ht="27.95" customHeight="1" spans="1:10">
      <c r="A64" s="27" t="s">
        <v>33</v>
      </c>
      <c r="B64" s="41" t="s">
        <v>72</v>
      </c>
      <c r="C64" s="42" t="s">
        <v>73</v>
      </c>
      <c r="D64" s="83" t="e">
        <f t="shared" ref="D64:I64" si="7">D58/D57</f>
        <v>#DIV/0!</v>
      </c>
      <c r="E64" s="83" t="e">
        <f t="shared" si="7"/>
        <v>#DIV/0!</v>
      </c>
      <c r="F64" s="85" t="e">
        <f t="shared" si="7"/>
        <v>#DIV/0!</v>
      </c>
      <c r="G64" s="141" t="e">
        <f t="shared" si="7"/>
        <v>#DIV/0!</v>
      </c>
      <c r="H64" s="83" t="e">
        <f t="shared" si="7"/>
        <v>#DIV/0!</v>
      </c>
      <c r="I64" s="85" t="e">
        <f t="shared" si="7"/>
        <v>#DIV/0!</v>
      </c>
    </row>
    <row r="65" s="1" customFormat="1" ht="27.95" customHeight="1" spans="1:9">
      <c r="A65" s="27" t="s">
        <v>37</v>
      </c>
      <c r="B65" s="41" t="s">
        <v>78</v>
      </c>
      <c r="C65" s="42" t="s">
        <v>79</v>
      </c>
      <c r="D65" s="87" t="e">
        <f t="shared" ref="D65:I65" si="8">D60/D57</f>
        <v>#DIV/0!</v>
      </c>
      <c r="E65" s="87" t="e">
        <f t="shared" si="8"/>
        <v>#DIV/0!</v>
      </c>
      <c r="F65" s="88" t="e">
        <f t="shared" si="8"/>
        <v>#DIV/0!</v>
      </c>
      <c r="G65" s="142" t="e">
        <f t="shared" si="8"/>
        <v>#DIV/0!</v>
      </c>
      <c r="H65" s="87" t="e">
        <f t="shared" si="8"/>
        <v>#DIV/0!</v>
      </c>
      <c r="I65" s="88" t="e">
        <f t="shared" si="8"/>
        <v>#DIV/0!</v>
      </c>
    </row>
    <row r="66" s="1" customFormat="1" ht="27.95" customHeight="1" spans="1:9">
      <c r="A66" s="124" t="s">
        <v>40</v>
      </c>
      <c r="B66" s="93" t="s">
        <v>81</v>
      </c>
      <c r="C66" s="94" t="s">
        <v>76</v>
      </c>
      <c r="D66" s="96" t="e">
        <f t="shared" ref="D66:I66" si="9">D59*1000/D57</f>
        <v>#DIV/0!</v>
      </c>
      <c r="E66" s="96" t="e">
        <f t="shared" si="9"/>
        <v>#DIV/0!</v>
      </c>
      <c r="F66" s="97" t="e">
        <f t="shared" si="9"/>
        <v>#DIV/0!</v>
      </c>
      <c r="G66" s="143" t="e">
        <f t="shared" si="9"/>
        <v>#DIV/0!</v>
      </c>
      <c r="H66" s="96" t="e">
        <f t="shared" si="9"/>
        <v>#DIV/0!</v>
      </c>
      <c r="I66" s="97" t="e">
        <f t="shared" si="9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3" t="s">
        <v>94</v>
      </c>
      <c r="C68" s="4"/>
      <c r="D68" s="5"/>
    </row>
    <row r="69" s="1" customFormat="1" ht="30" customHeight="1" spans="1:9">
      <c r="A69" s="126" t="s">
        <v>0</v>
      </c>
      <c r="B69" s="7" t="s">
        <v>1</v>
      </c>
      <c r="C69" s="7" t="s">
        <v>2</v>
      </c>
      <c r="D69" s="106" t="s">
        <v>86</v>
      </c>
      <c r="E69" s="10"/>
      <c r="F69" s="144" t="s">
        <v>87</v>
      </c>
      <c r="G69" s="9"/>
    </row>
    <row r="70" s="1" customFormat="1" ht="30" customHeight="1" spans="1:9">
      <c r="A70" s="12"/>
      <c r="B70" s="13"/>
      <c r="C70" s="13"/>
      <c r="D70" s="129" t="s">
        <v>95</v>
      </c>
      <c r="E70" s="145" t="s">
        <v>96</v>
      </c>
      <c r="F70" s="131" t="s">
        <v>95</v>
      </c>
      <c r="G70" s="132" t="s">
        <v>96</v>
      </c>
    </row>
    <row r="71" s="1" customFormat="1" ht="27.95" customHeight="1" spans="1:9">
      <c r="A71" s="18" t="s">
        <v>11</v>
      </c>
      <c r="B71" s="19" t="s">
        <v>12</v>
      </c>
      <c r="C71" s="20" t="s">
        <v>13</v>
      </c>
      <c r="D71" s="23">
        <v>217</v>
      </c>
      <c r="E71" s="146">
        <v>1.4</v>
      </c>
      <c r="F71" s="147">
        <f>D71</f>
        <v>217</v>
      </c>
      <c r="G71" s="26">
        <f>E71</f>
        <v>1.4</v>
      </c>
    </row>
    <row r="72" s="1" customFormat="1" ht="27.95" customHeight="1" spans="1:9">
      <c r="A72" s="27" t="s">
        <v>14</v>
      </c>
      <c r="B72" s="41" t="s">
        <v>22</v>
      </c>
      <c r="C72" s="42" t="s">
        <v>23</v>
      </c>
      <c r="D72" s="72"/>
      <c r="E72" s="110"/>
      <c r="F72" s="148">
        <f>D72</f>
        <v>0</v>
      </c>
      <c r="G72" s="149">
        <f>E72</f>
        <v>0</v>
      </c>
    </row>
    <row r="73" s="1" customFormat="1" ht="27.95" customHeight="1" spans="1:9">
      <c r="A73" s="27" t="s">
        <v>19</v>
      </c>
      <c r="B73" s="41" t="s">
        <v>25</v>
      </c>
      <c r="C73" s="42" t="s">
        <v>26</v>
      </c>
      <c r="D73" s="68">
        <f>D72*2.951694</f>
        <v>0</v>
      </c>
      <c r="E73" s="150">
        <f>E72*2.732</f>
        <v>0</v>
      </c>
      <c r="F73" s="188">
        <f>D73+'26.4'!F73</f>
        <v>0</v>
      </c>
      <c r="G73" s="188">
        <f>E73+'26.4'!G73</f>
        <v>0</v>
      </c>
    </row>
    <row r="74" s="1" customFormat="1" ht="27.95" customHeight="1" spans="1:9">
      <c r="A74" s="27" t="s">
        <v>21</v>
      </c>
      <c r="B74" s="41" t="s">
        <v>97</v>
      </c>
      <c r="C74" s="42" t="s">
        <v>98</v>
      </c>
      <c r="D74" s="72"/>
      <c r="E74" s="110"/>
      <c r="F74" s="188">
        <f>D74+'26.4'!F74</f>
        <v>0</v>
      </c>
      <c r="G74" s="188">
        <f>E74+'26.4'!G74</f>
        <v>0</v>
      </c>
    </row>
    <row r="75" s="1" customFormat="1" ht="27.95" customHeight="1" spans="1:9">
      <c r="A75" s="27" t="s">
        <v>24</v>
      </c>
      <c r="B75" s="41" t="s">
        <v>34</v>
      </c>
      <c r="C75" s="42" t="s">
        <v>23</v>
      </c>
      <c r="D75" s="68">
        <f>D74*D80/29308/1000</f>
        <v>0</v>
      </c>
      <c r="E75" s="112">
        <f>E74*E80/29308/1000</f>
        <v>0</v>
      </c>
      <c r="F75" s="188">
        <f>D75+'26.4'!F75</f>
        <v>0</v>
      </c>
      <c r="G75" s="188">
        <f>E75+'26.4'!G75</f>
        <v>0</v>
      </c>
    </row>
    <row r="76" s="1" customFormat="1" ht="27.95" customHeight="1" spans="1:9">
      <c r="A76" s="27" t="s">
        <v>27</v>
      </c>
      <c r="B76" s="41" t="s">
        <v>38</v>
      </c>
      <c r="C76" s="42" t="s">
        <v>23</v>
      </c>
      <c r="D76" s="72"/>
      <c r="E76" s="151"/>
      <c r="F76" s="188">
        <f>D76+'26.4'!F76</f>
        <v>0</v>
      </c>
      <c r="G76" s="188">
        <f>E76+'26.4'!G76</f>
        <v>0</v>
      </c>
    </row>
    <row r="77" s="1" customFormat="1" ht="27.95" customHeight="1" spans="1:9">
      <c r="A77" s="27" t="s">
        <v>29</v>
      </c>
      <c r="B77" s="41" t="s">
        <v>41</v>
      </c>
      <c r="C77" s="42" t="s">
        <v>42</v>
      </c>
      <c r="D77" s="72"/>
      <c r="E77" s="151"/>
      <c r="F77" s="188">
        <f>D77+'26.4'!F77</f>
        <v>0</v>
      </c>
      <c r="G77" s="188">
        <f>E77+'26.4'!G77</f>
        <v>0</v>
      </c>
    </row>
    <row r="78" s="1" customFormat="1" ht="27.95" customHeight="1" spans="1:9">
      <c r="A78" s="27" t="s">
        <v>31</v>
      </c>
      <c r="B78" s="41" t="s">
        <v>52</v>
      </c>
      <c r="C78" s="42" t="s">
        <v>53</v>
      </c>
      <c r="D78" s="152" t="e">
        <f>D77/D73</f>
        <v>#DIV/0!</v>
      </c>
      <c r="E78" s="153"/>
      <c r="F78" s="154" t="e">
        <f>F77/F73</f>
        <v>#DIV/0!</v>
      </c>
      <c r="G78" s="155"/>
    </row>
    <row r="79" s="1" customFormat="1" ht="27.95" customHeight="1" spans="1:9">
      <c r="A79" s="27" t="s">
        <v>33</v>
      </c>
      <c r="B79" s="41" t="s">
        <v>55</v>
      </c>
      <c r="C79" s="42" t="s">
        <v>56</v>
      </c>
      <c r="D79" s="57" t="e">
        <f>D75*1000/D73</f>
        <v>#DIV/0!</v>
      </c>
      <c r="E79" s="156" t="e">
        <f>E75*1000/E73</f>
        <v>#DIV/0!</v>
      </c>
      <c r="F79" s="157" t="e">
        <f>F75*1000/F73</f>
        <v>#DIV/0!</v>
      </c>
      <c r="G79" s="58" t="e">
        <f>G75*1000/G73</f>
        <v>#DIV/0!</v>
      </c>
    </row>
    <row r="80" s="1" customFormat="1" ht="27.95" customHeight="1" spans="1:9">
      <c r="A80" s="27" t="s">
        <v>37</v>
      </c>
      <c r="B80" s="41" t="s">
        <v>99</v>
      </c>
      <c r="C80" s="42" t="s">
        <v>100</v>
      </c>
      <c r="D80" s="33"/>
      <c r="E80" s="158"/>
      <c r="F80" s="159" t="e">
        <f>F75*29308*1000/F74</f>
        <v>#DIV/0!</v>
      </c>
      <c r="G80" s="68" t="e">
        <f>G75*29308*1000/G74</f>
        <v>#DIV/0!</v>
      </c>
    </row>
    <row r="81" s="1" customFormat="1" ht="27.95" customHeight="1" spans="1:11">
      <c r="A81" s="27" t="s">
        <v>40</v>
      </c>
      <c r="B81" s="41" t="s">
        <v>67</v>
      </c>
      <c r="C81" s="75" t="s">
        <v>68</v>
      </c>
      <c r="D81" s="76" t="e">
        <f>D73/(D75*29.308)</f>
        <v>#DIV/0!</v>
      </c>
      <c r="E81" s="160" t="e">
        <f>E73/(E75*29.308)</f>
        <v>#DIV/0!</v>
      </c>
      <c r="F81" s="161" t="e">
        <f>F73/(F75*29.308)</f>
        <v>#DIV/0!</v>
      </c>
      <c r="G81" s="77" t="e">
        <f>G73/(G75*29.308)</f>
        <v>#DIV/0!</v>
      </c>
    </row>
    <row r="82" s="1" customFormat="1" ht="27.95" customHeight="1" spans="1:11">
      <c r="A82" s="124" t="s">
        <v>47</v>
      </c>
      <c r="B82" s="162" t="s">
        <v>70</v>
      </c>
      <c r="C82" s="163" t="s">
        <v>68</v>
      </c>
      <c r="D82" s="164">
        <f>D73/3.6/D71/(DAY(DATE(2026,6,0))*24)</f>
        <v>0</v>
      </c>
      <c r="E82" s="165">
        <f>E73/3.6/E71/(DAY(DATE(2026,6,0))*24)</f>
        <v>0</v>
      </c>
      <c r="F82" s="166">
        <f>F73/3.6/F71/(DATEDIF(DATE(2026,1,1),DATE(2026,6,1),"D")*24)</f>
        <v>0</v>
      </c>
      <c r="G82" s="167">
        <f>G73/3.6/G71/(DATEDIF(DATE(2026,1,1),DATE(2026,6,1),"D")*24)</f>
        <v>0</v>
      </c>
    </row>
    <row r="83" s="1" customFormat="1" ht="18" customHeight="1" spans="1:11">
      <c r="B83" s="168"/>
      <c r="C83" s="168"/>
      <c r="D83" s="5"/>
    </row>
    <row r="84" s="1" customFormat="1" ht="16.25" spans="1:11">
      <c r="A84" s="103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ht="14" spans="1:11">
      <c r="A85" s="126" t="s">
        <v>0</v>
      </c>
      <c r="B85" s="127" t="s">
        <v>85</v>
      </c>
      <c r="C85" s="127" t="s">
        <v>2</v>
      </c>
      <c r="D85" s="169" t="s">
        <v>86</v>
      </c>
      <c r="E85" s="129" t="s">
        <v>87</v>
      </c>
      <c r="F85" s="169" t="s">
        <v>102</v>
      </c>
      <c r="G85" s="169" t="s">
        <v>103</v>
      </c>
      <c r="H85" s="170"/>
      <c r="I85" s="170"/>
    </row>
    <row r="86" s="1" customFormat="1" ht="14" spans="1:11">
      <c r="A86" s="12"/>
      <c r="B86" s="13"/>
      <c r="C86" s="13"/>
      <c r="D86" s="169" t="s">
        <v>104</v>
      </c>
      <c r="E86" s="169" t="s">
        <v>104</v>
      </c>
      <c r="F86" s="13"/>
      <c r="G86" s="13"/>
      <c r="H86" s="170"/>
      <c r="I86" s="103"/>
    </row>
    <row r="87" s="1" customFormat="1" ht="14" spans="1:11">
      <c r="A87" s="27" t="s">
        <v>11</v>
      </c>
      <c r="B87" s="28" t="s">
        <v>12</v>
      </c>
      <c r="C87" s="29" t="s">
        <v>13</v>
      </c>
      <c r="D87" s="171">
        <v>0.7888</v>
      </c>
      <c r="E87" s="172">
        <f>D87</f>
        <v>0.7888</v>
      </c>
      <c r="F87" s="173">
        <f>F55+D87</f>
        <v>13.1888</v>
      </c>
      <c r="G87" s="173">
        <f>E87+I55</f>
        <v>13.1888</v>
      </c>
      <c r="H87" s="135"/>
      <c r="I87" s="135"/>
    </row>
    <row r="88" s="1" customFormat="1" ht="14" spans="1:11">
      <c r="A88" s="27" t="s">
        <v>14</v>
      </c>
      <c r="B88" s="28" t="s">
        <v>88</v>
      </c>
      <c r="C88" s="29" t="s">
        <v>16</v>
      </c>
      <c r="D88" s="174"/>
      <c r="E88" s="175">
        <f>D88</f>
        <v>0</v>
      </c>
      <c r="F88" s="176">
        <v>83197.81</v>
      </c>
      <c r="G88" s="176">
        <v>83197.81</v>
      </c>
      <c r="H88" s="111"/>
      <c r="I88" s="111"/>
    </row>
    <row r="89" s="1" customFormat="1" ht="14" spans="1:11">
      <c r="A89" s="27" t="s">
        <v>19</v>
      </c>
      <c r="B89" s="28" t="s">
        <v>89</v>
      </c>
      <c r="C89" s="29" t="s">
        <v>16</v>
      </c>
      <c r="D89" s="174"/>
      <c r="E89" s="175">
        <f>D89</f>
        <v>0</v>
      </c>
      <c r="F89" s="176">
        <v>83197.81</v>
      </c>
      <c r="G89" s="176">
        <v>83197.81</v>
      </c>
      <c r="H89" s="111"/>
      <c r="I89" s="111"/>
    </row>
    <row r="90" s="1" customFormat="1" ht="14" spans="1:11">
      <c r="A90" s="27" t="s">
        <v>21</v>
      </c>
      <c r="B90" s="41" t="s">
        <v>25</v>
      </c>
      <c r="C90" s="42" t="s">
        <v>26</v>
      </c>
      <c r="D90" s="174"/>
      <c r="E90" s="190">
        <f>D90+'26.4'!E90</f>
        <v>6355.62400900001</v>
      </c>
      <c r="F90" s="178">
        <f>F58+D90</f>
        <v>0</v>
      </c>
      <c r="G90" s="178">
        <f>E90+I58</f>
        <v>16864.724009</v>
      </c>
      <c r="H90" s="111"/>
      <c r="I90" s="111"/>
    </row>
    <row r="91" s="1" customFormat="1" ht="14" spans="1:11">
      <c r="A91" s="27" t="s">
        <v>24</v>
      </c>
      <c r="B91" s="41" t="s">
        <v>38</v>
      </c>
      <c r="C91" s="42" t="s">
        <v>23</v>
      </c>
      <c r="D91" s="174"/>
      <c r="E91" s="190">
        <f>D91+'26.4'!E91</f>
        <v>86.5</v>
      </c>
      <c r="F91" s="178">
        <f>F59+D91</f>
        <v>0</v>
      </c>
      <c r="G91" s="178">
        <f>E91+I59</f>
        <v>817.3</v>
      </c>
      <c r="H91" s="111"/>
      <c r="I91" s="111"/>
    </row>
    <row r="92" s="1" customFormat="1" ht="14" spans="1:11">
      <c r="A92" s="27" t="s">
        <v>27</v>
      </c>
      <c r="B92" s="41" t="s">
        <v>41</v>
      </c>
      <c r="C92" s="42" t="s">
        <v>42</v>
      </c>
      <c r="D92" s="174"/>
      <c r="E92" s="190">
        <f>D92+'26.4'!E92</f>
        <v>780380.88</v>
      </c>
      <c r="F92" s="178">
        <f>F60+D92</f>
        <v>0</v>
      </c>
      <c r="G92" s="178">
        <f>E92+I60</f>
        <v>3955940.88</v>
      </c>
      <c r="H92" s="111"/>
      <c r="I92" s="111"/>
    </row>
    <row r="93" s="1" customFormat="1" ht="14" spans="1:11">
      <c r="A93" s="27"/>
      <c r="B93" s="41" t="s">
        <v>90</v>
      </c>
      <c r="C93" s="42" t="s">
        <v>42</v>
      </c>
      <c r="D93" s="174"/>
      <c r="E93" s="190">
        <f>D93+'26.4'!E93</f>
        <v>0</v>
      </c>
      <c r="F93" s="178">
        <f>F61+D93</f>
        <v>0</v>
      </c>
      <c r="G93" s="178">
        <f>E93+I61</f>
        <v>3175560</v>
      </c>
      <c r="H93" s="111"/>
      <c r="I93" s="111"/>
    </row>
    <row r="94" s="1" customFormat="1" ht="14" spans="1:11">
      <c r="A94" s="27" t="s">
        <v>29</v>
      </c>
      <c r="B94" s="41" t="s">
        <v>52</v>
      </c>
      <c r="C94" s="42" t="s">
        <v>53</v>
      </c>
      <c r="D94" s="179" t="e">
        <f>D92/D90</f>
        <v>#DIV/0!</v>
      </c>
      <c r="E94" s="179">
        <f>E92/E90</f>
        <v>122.785878915261</v>
      </c>
      <c r="F94" s="179" t="e">
        <f>F92/F90</f>
        <v>#DIV/0!</v>
      </c>
      <c r="G94" s="179">
        <f>G92/G90</f>
        <v>234.568966434842</v>
      </c>
      <c r="H94" s="117"/>
      <c r="I94" s="117"/>
    </row>
    <row r="95" s="1" customFormat="1" ht="14" spans="1:11">
      <c r="A95" s="27" t="s">
        <v>31</v>
      </c>
      <c r="B95" s="41" t="s">
        <v>105</v>
      </c>
      <c r="C95" s="75" t="s">
        <v>68</v>
      </c>
      <c r="D95" s="180">
        <f>D90/3.6/D87/(DAY(DATE(2026,6,0))*24)</f>
        <v>0</v>
      </c>
      <c r="E95" s="80">
        <f>E90/3.6/E87/(DATEDIF(DATE(2026,1,1),DATE(2026,6,1),"D")*24)</f>
        <v>0.617590497655335</v>
      </c>
      <c r="F95" s="180">
        <f>F90/3.6/F87/(DAY(DATE(2026,6,0))*24)</f>
        <v>0</v>
      </c>
      <c r="G95" s="80">
        <f>G90/3.6/G87/(DATEDIF(DATE(2026,1,1),DATE(2026,6,1),"D")*24)</f>
        <v>0.0980129060534313</v>
      </c>
      <c r="H95" s="181"/>
      <c r="I95" s="181"/>
      <c r="K95" s="182"/>
    </row>
    <row r="96" s="1" customFormat="1" ht="14" spans="1:11">
      <c r="A96" s="27" t="s">
        <v>33</v>
      </c>
      <c r="B96" s="41" t="s">
        <v>72</v>
      </c>
      <c r="C96" s="42" t="s">
        <v>73</v>
      </c>
      <c r="D96" s="183" t="e">
        <f>D90/D89</f>
        <v>#DIV/0!</v>
      </c>
      <c r="E96" s="183" t="e">
        <f>E90/E89</f>
        <v>#DIV/0!</v>
      </c>
      <c r="F96" s="183">
        <f>F90/F89</f>
        <v>0</v>
      </c>
      <c r="G96" s="183">
        <f>G90/G89</f>
        <v>0.20270634538337</v>
      </c>
      <c r="H96" s="121"/>
      <c r="I96" s="121"/>
    </row>
    <row r="97" s="1" customFormat="1" ht="14" spans="1:9">
      <c r="A97" s="27" t="s">
        <v>37</v>
      </c>
      <c r="B97" s="41" t="s">
        <v>78</v>
      </c>
      <c r="C97" s="42" t="s">
        <v>79</v>
      </c>
      <c r="D97" s="184" t="e">
        <f>D92/D89</f>
        <v>#DIV/0!</v>
      </c>
      <c r="E97" s="184" t="e">
        <f>E92/E89</f>
        <v>#DIV/0!</v>
      </c>
      <c r="F97" s="184">
        <f>F92/F89</f>
        <v>0</v>
      </c>
      <c r="G97" s="184">
        <f>G92/G89</f>
        <v>47.5486179263613</v>
      </c>
      <c r="H97" s="123"/>
      <c r="I97" s="123"/>
    </row>
    <row r="98" s="1" customFormat="1" ht="14.75" spans="1:9">
      <c r="A98" s="124" t="s">
        <v>40</v>
      </c>
      <c r="B98" s="93" t="s">
        <v>81</v>
      </c>
      <c r="C98" s="94" t="s">
        <v>76</v>
      </c>
      <c r="D98" s="184" t="e">
        <f>D91*1000/D89</f>
        <v>#DIV/0!</v>
      </c>
      <c r="E98" s="184" t="e">
        <f>E91*1000/E89</f>
        <v>#DIV/0!</v>
      </c>
      <c r="F98" s="184">
        <f>F91*1000/F89</f>
        <v>0</v>
      </c>
      <c r="G98" s="184">
        <f>G91*1000/G89</f>
        <v>9.82357588499024</v>
      </c>
      <c r="H98" s="123"/>
      <c r="I98" s="123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8" orientation="landscape" horizontalDpi="600" verticalDpi="600"/>
  <headerFooter alignWithMargins="0" scaleWithDoc="0">
    <oddHeader>&amp;C&amp;20 2022年5月份集团各锅炉站生产报表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 customWidth="1"/>
    <col min="15" max="16384" width="8.625" style="1" customWidth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</row>
    <row r="2" s="1" customFormat="1" ht="39.95" customHeight="1" spans="1:14">
      <c r="A2" s="12"/>
      <c r="B2" s="13"/>
      <c r="C2" s="13"/>
      <c r="D2" s="14" t="s">
        <v>5</v>
      </c>
      <c r="E2" s="14" t="s">
        <v>6</v>
      </c>
      <c r="F2" s="14" t="s">
        <v>7</v>
      </c>
      <c r="G2" s="15" t="s">
        <v>8</v>
      </c>
      <c r="H2" s="16" t="s">
        <v>9</v>
      </c>
      <c r="I2" s="17" t="s">
        <v>5</v>
      </c>
      <c r="J2" s="14" t="s">
        <v>6</v>
      </c>
      <c r="K2" s="14" t="s">
        <v>7</v>
      </c>
      <c r="L2" s="15" t="s">
        <v>10</v>
      </c>
      <c r="M2" s="16" t="s">
        <v>9</v>
      </c>
    </row>
    <row r="3" s="1" customFormat="1" ht="18" customHeight="1" spans="1:14">
      <c r="A3" s="18" t="s">
        <v>11</v>
      </c>
      <c r="B3" s="19" t="s">
        <v>12</v>
      </c>
      <c r="C3" s="20" t="s">
        <v>13</v>
      </c>
      <c r="D3" s="21">
        <v>348</v>
      </c>
      <c r="E3" s="22">
        <v>162</v>
      </c>
      <c r="F3" s="22"/>
      <c r="G3" s="23">
        <v>14</v>
      </c>
      <c r="H3" s="24">
        <f>E3+F3+G3</f>
        <v>176</v>
      </c>
      <c r="I3" s="25">
        <f>D3</f>
        <v>348</v>
      </c>
      <c r="J3" s="21">
        <f>E3</f>
        <v>162</v>
      </c>
      <c r="K3" s="21">
        <f>F3</f>
        <v>0</v>
      </c>
      <c r="L3" s="26">
        <f>G3</f>
        <v>14</v>
      </c>
      <c r="M3" s="24">
        <f t="shared" ref="M3:M12" si="0">J3+K3+L3</f>
        <v>176</v>
      </c>
    </row>
    <row r="4" s="1" customFormat="1" ht="18" customHeight="1" spans="1:14">
      <c r="A4" s="27" t="s">
        <v>14</v>
      </c>
      <c r="B4" s="28" t="s">
        <v>15</v>
      </c>
      <c r="C4" s="29" t="s">
        <v>16</v>
      </c>
      <c r="D4" s="30" t="s">
        <v>17</v>
      </c>
      <c r="E4" s="31"/>
      <c r="F4" s="32"/>
      <c r="G4" s="33"/>
      <c r="H4" s="34"/>
      <c r="I4" s="35" t="str">
        <f>D4</f>
        <v> -   </v>
      </c>
      <c r="J4" s="31">
        <f>E4</f>
        <v>0</v>
      </c>
      <c r="K4" s="36">
        <f>F4</f>
        <v>0</v>
      </c>
      <c r="L4" s="37">
        <f>G4</f>
        <v>0</v>
      </c>
      <c r="M4" s="34">
        <f t="shared" si="0"/>
        <v>0</v>
      </c>
    </row>
    <row r="5" s="1" customFormat="1" ht="18" customHeight="1" spans="1:14">
      <c r="A5" s="27"/>
      <c r="B5" s="28" t="s">
        <v>18</v>
      </c>
      <c r="C5" s="29" t="s">
        <v>16</v>
      </c>
      <c r="D5" s="30" t="s">
        <v>17</v>
      </c>
      <c r="E5" s="32">
        <v>55000</v>
      </c>
      <c r="F5" s="38">
        <v>0</v>
      </c>
      <c r="G5" s="39">
        <v>0</v>
      </c>
      <c r="H5" s="34">
        <f>E5+F5+G5</f>
        <v>55000</v>
      </c>
      <c r="I5" s="35" t="str">
        <f>D5</f>
        <v> -   </v>
      </c>
      <c r="J5" s="31">
        <f>E5</f>
        <v>55000</v>
      </c>
      <c r="K5" s="36">
        <f>F5</f>
        <v>0</v>
      </c>
      <c r="L5" s="37">
        <f>G5</f>
        <v>0</v>
      </c>
      <c r="M5" s="34">
        <f t="shared" si="0"/>
        <v>55000</v>
      </c>
    </row>
    <row r="6" s="1" customFormat="1" ht="18" customHeight="1" spans="1:14">
      <c r="A6" s="27" t="s">
        <v>19</v>
      </c>
      <c r="B6" s="28" t="s">
        <v>20</v>
      </c>
      <c r="C6" s="29" t="s">
        <v>16</v>
      </c>
      <c r="D6" s="30" t="s">
        <v>17</v>
      </c>
      <c r="E6" s="33">
        <f>E4</f>
        <v>0</v>
      </c>
      <c r="F6" s="33">
        <f>F4</f>
        <v>0</v>
      </c>
      <c r="G6" s="33">
        <f>G4</f>
        <v>0</v>
      </c>
      <c r="H6" s="34">
        <f>E6+F6+G6</f>
        <v>0</v>
      </c>
      <c r="I6" s="35" t="str">
        <f>D6</f>
        <v> -   </v>
      </c>
      <c r="J6" s="40">
        <f>E6</f>
        <v>0</v>
      </c>
      <c r="K6" s="40">
        <f>F6</f>
        <v>0</v>
      </c>
      <c r="L6" s="40">
        <f>G6</f>
        <v>0</v>
      </c>
      <c r="M6" s="34">
        <f t="shared" si="0"/>
        <v>0</v>
      </c>
    </row>
    <row r="7" s="2" customFormat="1" ht="18" customHeight="1" spans="1:14">
      <c r="A7" s="27" t="s">
        <v>21</v>
      </c>
      <c r="B7" s="41" t="s">
        <v>22</v>
      </c>
      <c r="C7" s="42" t="s">
        <v>23</v>
      </c>
      <c r="D7" s="39">
        <v>0</v>
      </c>
      <c r="E7" s="39">
        <v>0</v>
      </c>
      <c r="F7" s="39">
        <v>0</v>
      </c>
      <c r="G7" s="39"/>
      <c r="H7" s="34">
        <f>E7+F7+G7</f>
        <v>0</v>
      </c>
      <c r="I7" s="43">
        <f>D7+'26.5'!I7</f>
        <v>0</v>
      </c>
      <c r="J7" s="43">
        <f>E7+'26.5'!J7</f>
        <v>0</v>
      </c>
      <c r="K7" s="43">
        <f>F7+'26.5'!K7</f>
        <v>0</v>
      </c>
      <c r="L7" s="43">
        <f>G7+'26.5'!L7</f>
        <v>0</v>
      </c>
      <c r="M7" s="34">
        <f t="shared" si="0"/>
        <v>0</v>
      </c>
    </row>
    <row r="8" s="2" customFormat="1" ht="18" customHeight="1" spans="1:14">
      <c r="A8" s="27" t="s">
        <v>24</v>
      </c>
      <c r="B8" s="41" t="s">
        <v>25</v>
      </c>
      <c r="C8" s="42" t="s">
        <v>26</v>
      </c>
      <c r="D8" s="44"/>
      <c r="E8" s="39"/>
      <c r="F8" s="38"/>
      <c r="G8" s="33"/>
      <c r="H8" s="34"/>
      <c r="I8" s="43">
        <f>D8+'26.5'!I8</f>
        <v>1168258</v>
      </c>
      <c r="J8" s="43">
        <f>E8+'26.5'!J8</f>
        <v>267460.3967164</v>
      </c>
      <c r="K8" s="43">
        <f>F8+'26.5'!K8</f>
        <v>0</v>
      </c>
      <c r="L8" s="43">
        <f>G8+'26.5'!L8</f>
        <v>440887.508551189</v>
      </c>
      <c r="M8" s="34">
        <f t="shared" si="0"/>
        <v>708347.905267589</v>
      </c>
      <c r="N8" s="45"/>
    </row>
    <row r="9" s="2" customFormat="1" ht="18" customHeight="1" spans="1:14">
      <c r="A9" s="27" t="s">
        <v>27</v>
      </c>
      <c r="B9" s="41" t="s">
        <v>28</v>
      </c>
      <c r="C9" s="42" t="s">
        <v>26</v>
      </c>
      <c r="D9" s="39">
        <v>0</v>
      </c>
      <c r="E9" s="46">
        <f>[1]售热量!$M$25</f>
        <v>0</v>
      </c>
      <c r="F9" s="38"/>
      <c r="G9" s="38"/>
      <c r="H9" s="34">
        <f>E9+F9+G9</f>
        <v>0</v>
      </c>
      <c r="I9" s="43">
        <f>D9+'26.5'!I9</f>
        <v>0</v>
      </c>
      <c r="J9" s="43">
        <f>E9+'26.5'!J9</f>
        <v>8828</v>
      </c>
      <c r="K9" s="43">
        <f>F9+'26.5'!K9</f>
        <v>0</v>
      </c>
      <c r="L9" s="43">
        <f>G9+'26.5'!L9</f>
        <v>0</v>
      </c>
      <c r="M9" s="34">
        <f t="shared" si="0"/>
        <v>8828</v>
      </c>
    </row>
    <row r="10" s="2" customFormat="1" ht="18" customHeight="1" spans="1:14">
      <c r="A10" s="27" t="s">
        <v>29</v>
      </c>
      <c r="B10" s="41" t="s">
        <v>30</v>
      </c>
      <c r="C10" s="42" t="s">
        <v>23</v>
      </c>
      <c r="D10" s="39"/>
      <c r="E10" s="32"/>
      <c r="F10" s="38"/>
      <c r="G10" s="33"/>
      <c r="H10" s="34">
        <f>E10+F10+G10</f>
        <v>0</v>
      </c>
      <c r="I10" s="43">
        <f>D10+'26.5'!I10</f>
        <v>66226</v>
      </c>
      <c r="J10" s="43">
        <f>E10+'26.5'!J10</f>
        <v>21656</v>
      </c>
      <c r="K10" s="43">
        <f>F10+'26.5'!K10</f>
        <v>0</v>
      </c>
      <c r="L10" s="43">
        <f>G10+'26.5'!L10</f>
        <v>931</v>
      </c>
      <c r="M10" s="34">
        <f t="shared" si="0"/>
        <v>22587</v>
      </c>
    </row>
    <row r="11" s="2" customFormat="1" ht="18" customHeight="1" spans="1:14">
      <c r="A11" s="27" t="s">
        <v>31</v>
      </c>
      <c r="B11" s="41" t="s">
        <v>32</v>
      </c>
      <c r="C11" s="42" t="s">
        <v>23</v>
      </c>
      <c r="D11" s="39"/>
      <c r="E11" s="39">
        <v>0</v>
      </c>
      <c r="F11" s="39"/>
      <c r="G11" s="39"/>
      <c r="H11" s="34">
        <f>E11+F11+G11</f>
        <v>0</v>
      </c>
      <c r="I11" s="43">
        <f>D11+'26.5'!I11</f>
        <v>16.2</v>
      </c>
      <c r="J11" s="43">
        <f>E11+'26.5'!J11</f>
        <v>0</v>
      </c>
      <c r="K11" s="43">
        <f>F11+'26.5'!K11</f>
        <v>0</v>
      </c>
      <c r="L11" s="43">
        <f>G11+'26.5'!L11</f>
        <v>0</v>
      </c>
      <c r="M11" s="34">
        <f t="shared" si="0"/>
        <v>0</v>
      </c>
    </row>
    <row r="12" s="2" customFormat="1" ht="18" customHeight="1" spans="1:14">
      <c r="A12" s="27" t="s">
        <v>33</v>
      </c>
      <c r="B12" s="41" t="s">
        <v>34</v>
      </c>
      <c r="C12" s="42" t="s">
        <v>23</v>
      </c>
      <c r="D12" s="44">
        <f>D13+D14</f>
        <v>0</v>
      </c>
      <c r="E12" s="44">
        <f>E13+E14</f>
        <v>0</v>
      </c>
      <c r="F12" s="44">
        <f>F13+F14</f>
        <v>0</v>
      </c>
      <c r="G12" s="44">
        <f>G13+G14</f>
        <v>0</v>
      </c>
      <c r="H12" s="34">
        <f>E12+F12+G12</f>
        <v>0</v>
      </c>
      <c r="I12" s="43">
        <f>D12+'26.5'!I12</f>
        <v>43472.2579475284</v>
      </c>
      <c r="J12" s="43">
        <f>E12+'26.5'!J12</f>
        <v>13036.909</v>
      </c>
      <c r="K12" s="43">
        <f>F12+'26.5'!K12</f>
        <v>0</v>
      </c>
      <c r="L12" s="43">
        <f>G12+'26.5'!L12</f>
        <v>620.280370522607</v>
      </c>
      <c r="M12" s="34">
        <f t="shared" si="0"/>
        <v>13657.1893705226</v>
      </c>
    </row>
    <row r="13" s="2" customFormat="1" ht="18" customHeight="1" spans="1:14">
      <c r="A13" s="27"/>
      <c r="B13" s="41" t="s">
        <v>35</v>
      </c>
      <c r="C13" s="42" t="s">
        <v>23</v>
      </c>
      <c r="D13" s="39"/>
      <c r="E13" s="39"/>
      <c r="F13" s="39"/>
      <c r="G13" s="44"/>
      <c r="H13" s="47"/>
      <c r="I13" s="43">
        <f>D13+'26.5'!I13</f>
        <v>43448.6529275284</v>
      </c>
      <c r="J13" s="43">
        <f>E13+'26.5'!J13</f>
        <v>13036.909</v>
      </c>
      <c r="K13" s="43">
        <f>F13+'26.5'!K13</f>
        <v>0</v>
      </c>
      <c r="L13" s="43">
        <f>G13+'26.5'!L13</f>
        <v>620.280370522607</v>
      </c>
      <c r="M13" s="47"/>
    </row>
    <row r="14" s="2" customFormat="1" ht="18" customHeight="1" spans="1:14">
      <c r="A14" s="27"/>
      <c r="B14" s="41" t="s">
        <v>36</v>
      </c>
      <c r="C14" s="42" t="s">
        <v>23</v>
      </c>
      <c r="D14" s="44"/>
      <c r="E14" s="39"/>
      <c r="F14" s="39"/>
      <c r="G14" s="39"/>
      <c r="H14" s="47"/>
      <c r="I14" s="43">
        <f>D14+'26.5'!I14</f>
        <v>23.60502</v>
      </c>
      <c r="J14" s="43">
        <f>E14+'26.5'!J14</f>
        <v>0</v>
      </c>
      <c r="K14" s="43">
        <f>F14+'26.5'!K14</f>
        <v>0</v>
      </c>
      <c r="L14" s="43">
        <f>G14+'26.5'!L14</f>
        <v>0</v>
      </c>
      <c r="M14" s="47"/>
    </row>
    <row r="15" s="2" customFormat="1" ht="18" customHeight="1" spans="1:14">
      <c r="A15" s="27" t="s">
        <v>37</v>
      </c>
      <c r="B15" s="41" t="s">
        <v>38</v>
      </c>
      <c r="C15" s="42" t="s">
        <v>23</v>
      </c>
      <c r="D15" s="39"/>
      <c r="E15" s="48"/>
      <c r="F15" s="38"/>
      <c r="G15" s="33"/>
      <c r="H15" s="34"/>
      <c r="I15" s="43">
        <f>D15+'26.5'!I15</f>
        <v>23540</v>
      </c>
      <c r="J15" s="43">
        <f>E15+'26.5'!J15</f>
        <v>43463</v>
      </c>
      <c r="K15" s="43">
        <f>F15+'26.5'!K15</f>
        <v>0</v>
      </c>
      <c r="L15" s="43">
        <f>G15+'26.5'!L15</f>
        <v>97382</v>
      </c>
      <c r="M15" s="34">
        <f>J15+K15+L15</f>
        <v>140845</v>
      </c>
    </row>
    <row r="16" s="2" customFormat="1" ht="18" customHeight="1" spans="1:14">
      <c r="A16" s="27"/>
      <c r="B16" s="41" t="s">
        <v>39</v>
      </c>
      <c r="C16" s="42" t="s">
        <v>23</v>
      </c>
      <c r="D16" s="39"/>
      <c r="E16" s="48"/>
      <c r="F16" s="38"/>
      <c r="G16" s="38"/>
      <c r="H16" s="34"/>
      <c r="I16" s="43">
        <f>D16+'26.5'!I16</f>
        <v>2975</v>
      </c>
      <c r="J16" s="43">
        <f>E16+'26.5'!J16</f>
        <v>0</v>
      </c>
      <c r="K16" s="43">
        <f>F16+'26.5'!K16</f>
        <v>0</v>
      </c>
      <c r="L16" s="43">
        <f>G16+'26.5'!L16</f>
        <v>0</v>
      </c>
      <c r="M16" s="34">
        <f>J16+K16+L16</f>
        <v>0</v>
      </c>
    </row>
    <row r="17" s="2" customFormat="1" ht="18" customHeight="1" spans="1:14">
      <c r="A17" s="27" t="s">
        <v>40</v>
      </c>
      <c r="B17" s="41" t="s">
        <v>41</v>
      </c>
      <c r="C17" s="42" t="s">
        <v>42</v>
      </c>
      <c r="D17" s="44"/>
      <c r="E17" s="48"/>
      <c r="F17" s="38"/>
      <c r="G17" s="33"/>
      <c r="H17" s="34"/>
      <c r="I17" s="43">
        <f>D17+'26.5'!I17</f>
        <v>8122792</v>
      </c>
      <c r="J17" s="43">
        <f>E17+'26.5'!J17</f>
        <v>3287588</v>
      </c>
      <c r="K17" s="49"/>
      <c r="L17" s="43">
        <f>G17+'26.5'!L17</f>
        <v>2263757.5</v>
      </c>
      <c r="M17" s="34">
        <f>J17+K17+L17</f>
        <v>5551345.5</v>
      </c>
    </row>
    <row r="18" s="2" customFormat="1" ht="18" customHeight="1" spans="1:14">
      <c r="A18" s="27"/>
      <c r="B18" s="41" t="s">
        <v>43</v>
      </c>
      <c r="C18" s="42" t="s">
        <v>42</v>
      </c>
      <c r="D18" s="39"/>
      <c r="E18" s="48"/>
      <c r="F18" s="38"/>
      <c r="G18" s="38"/>
      <c r="H18" s="47"/>
      <c r="I18" s="43">
        <f>D18+'26.5'!I18</f>
        <v>8122792</v>
      </c>
      <c r="J18" s="43">
        <f>E18+'26.5'!J18</f>
        <v>0</v>
      </c>
      <c r="K18" s="43">
        <f>F18+'26.5'!K18</f>
        <v>0</v>
      </c>
      <c r="L18" s="43">
        <f>G18+'26.5'!L18</f>
        <v>0</v>
      </c>
      <c r="M18" s="47"/>
    </row>
    <row r="19" s="2" customFormat="1" ht="18" customHeight="1" spans="1:14">
      <c r="A19" s="27"/>
      <c r="B19" s="41" t="s">
        <v>44</v>
      </c>
      <c r="C19" s="42" t="s">
        <v>42</v>
      </c>
      <c r="D19" s="39"/>
      <c r="E19" s="48"/>
      <c r="F19" s="33"/>
      <c r="G19" s="33"/>
      <c r="H19" s="47"/>
      <c r="I19" s="43">
        <f>D19+'26.5'!I19</f>
        <v>0</v>
      </c>
      <c r="J19" s="50"/>
      <c r="K19" s="43">
        <f>F19+'26.5'!K19</f>
        <v>0</v>
      </c>
      <c r="L19" s="43">
        <f>G19+'26.5'!L19</f>
        <v>2263757.5</v>
      </c>
      <c r="M19" s="47"/>
    </row>
    <row r="20" s="2" customFormat="1" ht="18" customHeight="1" spans="1:14">
      <c r="A20" s="27"/>
      <c r="B20" s="41" t="s">
        <v>45</v>
      </c>
      <c r="C20" s="42" t="s">
        <v>23</v>
      </c>
      <c r="D20" s="39"/>
      <c r="E20" s="48"/>
      <c r="F20" s="38"/>
      <c r="G20" s="38"/>
      <c r="H20" s="47"/>
      <c r="I20" s="43">
        <f>D20+'26.5'!I20</f>
        <v>21425</v>
      </c>
      <c r="J20" s="43">
        <f>E20+'26.5'!J20</f>
        <v>0</v>
      </c>
      <c r="K20" s="43">
        <f>F20+'26.5'!K20</f>
        <v>0</v>
      </c>
      <c r="L20" s="43">
        <f>G20+'26.5'!L20</f>
        <v>0</v>
      </c>
      <c r="M20" s="47"/>
    </row>
    <row r="21" s="2" customFormat="1" ht="18" customHeight="1" spans="1:14">
      <c r="A21" s="27"/>
      <c r="B21" s="41" t="s">
        <v>46</v>
      </c>
      <c r="C21" s="42" t="s">
        <v>42</v>
      </c>
      <c r="D21" s="39"/>
      <c r="E21" s="48"/>
      <c r="F21" s="38"/>
      <c r="G21" s="38"/>
      <c r="H21" s="47"/>
      <c r="I21" s="43">
        <f>D21+'26.5'!I21</f>
        <v>929610.099999999</v>
      </c>
      <c r="J21" s="43">
        <f>E21+'26.5'!J21</f>
        <v>0</v>
      </c>
      <c r="K21" s="43">
        <f>F21+'26.5'!K21</f>
        <v>0</v>
      </c>
      <c r="L21" s="43">
        <f>G21+'26.5'!L21</f>
        <v>0</v>
      </c>
      <c r="M21" s="47"/>
    </row>
    <row r="22" s="2" customFormat="1" ht="14" spans="1:14">
      <c r="A22" s="51" t="s">
        <v>47</v>
      </c>
      <c r="B22" s="52" t="s">
        <v>48</v>
      </c>
      <c r="C22" s="53" t="s">
        <v>23</v>
      </c>
      <c r="D22" s="33"/>
      <c r="E22" s="54"/>
      <c r="F22" s="54"/>
      <c r="G22" s="54"/>
      <c r="H22" s="55"/>
      <c r="I22" s="43">
        <f>D22+'26.5'!I22</f>
        <v>1071.51</v>
      </c>
      <c r="J22" s="43">
        <f>E22+'26.5'!J22</f>
        <v>69.155</v>
      </c>
      <c r="K22" s="43">
        <f>F22+'26.5'!K22</f>
        <v>0</v>
      </c>
      <c r="L22" s="43">
        <f>G22+'26.5'!L22</f>
        <v>13.375</v>
      </c>
      <c r="M22" s="56">
        <f>J22+K22+L22</f>
        <v>82.53</v>
      </c>
      <c r="N22" s="1"/>
    </row>
    <row r="23" s="2" customFormat="1" ht="21" customHeight="1" spans="1:14">
      <c r="A23" s="51" t="s">
        <v>49</v>
      </c>
      <c r="B23" s="52" t="s">
        <v>50</v>
      </c>
      <c r="C23" s="53" t="s">
        <v>23</v>
      </c>
      <c r="D23" s="33"/>
      <c r="E23" s="54"/>
      <c r="F23" s="54"/>
      <c r="G23" s="54"/>
      <c r="H23" s="55"/>
      <c r="I23" s="43">
        <f>D23+'26.5'!I23</f>
        <v>371.77</v>
      </c>
      <c r="J23" s="43">
        <f>E23+'26.5'!J23</f>
        <v>49.29</v>
      </c>
      <c r="K23" s="43">
        <f>F23+'26.5'!K23</f>
        <v>0</v>
      </c>
      <c r="L23" s="43">
        <f>G23+'26.5'!L23</f>
        <v>4.025</v>
      </c>
      <c r="M23" s="56">
        <f>J23+K23+L23</f>
        <v>53.315</v>
      </c>
      <c r="N23" s="1"/>
    </row>
    <row r="24" s="2" customFormat="1" ht="18" customHeight="1" spans="1:14">
      <c r="A24" s="51" t="s">
        <v>51</v>
      </c>
      <c r="B24" s="41" t="s">
        <v>52</v>
      </c>
      <c r="C24" s="42" t="s">
        <v>53</v>
      </c>
      <c r="D24" s="57" t="e">
        <f t="shared" ref="D24:M24" si="1">D17/D8</f>
        <v>#DIV/0!</v>
      </c>
      <c r="E24" s="57" t="e">
        <f t="shared" si="1"/>
        <v>#DIV/0!</v>
      </c>
      <c r="F24" s="57" t="e">
        <f t="shared" si="1"/>
        <v>#DIV/0!</v>
      </c>
      <c r="G24" s="57" t="e">
        <f t="shared" si="1"/>
        <v>#DIV/0!</v>
      </c>
      <c r="H24" s="58" t="e">
        <f t="shared" si="1"/>
        <v>#DIV/0!</v>
      </c>
      <c r="I24" s="59">
        <f t="shared" si="1"/>
        <v>6.95290937447036</v>
      </c>
      <c r="J24" s="57">
        <f t="shared" si="1"/>
        <v>12.2918684050483</v>
      </c>
      <c r="K24" s="57" t="e">
        <f t="shared" si="1"/>
        <v>#DIV/0!</v>
      </c>
      <c r="L24" s="57">
        <f t="shared" si="1"/>
        <v>5.13454669523069</v>
      </c>
      <c r="M24" s="58">
        <f t="shared" si="1"/>
        <v>7.83703242251122</v>
      </c>
    </row>
    <row r="25" s="2" customFormat="1" ht="18" customHeight="1" spans="1:14">
      <c r="A25" s="51" t="s">
        <v>54</v>
      </c>
      <c r="B25" s="41" t="s">
        <v>55</v>
      </c>
      <c r="C25" s="42" t="s">
        <v>56</v>
      </c>
      <c r="D25" s="57" t="e">
        <f t="shared" ref="D25:M25" si="2">D12*1000/D8</f>
        <v>#DIV/0!</v>
      </c>
      <c r="E25" s="57" t="e">
        <f t="shared" si="2"/>
        <v>#DIV/0!</v>
      </c>
      <c r="F25" s="57" t="e">
        <f t="shared" si="2"/>
        <v>#DIV/0!</v>
      </c>
      <c r="G25" s="57" t="e">
        <f t="shared" si="2"/>
        <v>#DIV/0!</v>
      </c>
      <c r="H25" s="58" t="e">
        <f t="shared" si="2"/>
        <v>#DIV/0!</v>
      </c>
      <c r="I25" s="59">
        <f t="shared" si="2"/>
        <v>37.2111793349829</v>
      </c>
      <c r="J25" s="57">
        <f t="shared" si="2"/>
        <v>48.7433248438034</v>
      </c>
      <c r="K25" s="57" t="e">
        <f t="shared" si="2"/>
        <v>#DIV/0!</v>
      </c>
      <c r="L25" s="57">
        <f t="shared" si="2"/>
        <v>1.40689032574528</v>
      </c>
      <c r="M25" s="58">
        <f t="shared" si="2"/>
        <v>19.2803412969272</v>
      </c>
    </row>
    <row r="26" s="3" customFormat="1" ht="18" customHeight="1" spans="1:14">
      <c r="A26" s="51" t="s">
        <v>57</v>
      </c>
      <c r="B26" s="41" t="s">
        <v>58</v>
      </c>
      <c r="C26" s="60" t="s">
        <v>23</v>
      </c>
      <c r="D26" s="33"/>
      <c r="E26" s="61"/>
      <c r="F26" s="62"/>
      <c r="G26" s="33"/>
      <c r="H26" s="63"/>
      <c r="I26" s="43">
        <f>D26+'26.5'!I26</f>
        <v>23988</v>
      </c>
      <c r="J26" s="43">
        <f>E26+'26.5'!J26</f>
        <v>13379</v>
      </c>
      <c r="K26" s="43">
        <f>F26+'26.5'!K26</f>
        <v>0</v>
      </c>
      <c r="L26" s="43">
        <f>G26+'26.5'!L26</f>
        <v>119</v>
      </c>
      <c r="M26" s="63">
        <f>J26+K26+L26</f>
        <v>13498</v>
      </c>
    </row>
    <row r="27" s="3" customFormat="1" ht="18" customHeight="1" spans="1:14">
      <c r="A27" s="51" t="s">
        <v>59</v>
      </c>
      <c r="B27" s="41" t="s">
        <v>60</v>
      </c>
      <c r="C27" s="60" t="s">
        <v>23</v>
      </c>
      <c r="D27" s="48"/>
      <c r="E27" s="64">
        <f>J27</f>
        <v>4292.7</v>
      </c>
      <c r="F27" s="64"/>
      <c r="G27" s="64">
        <f>L27</f>
        <v>296.500000000023</v>
      </c>
      <c r="H27" s="65"/>
      <c r="I27" s="66"/>
      <c r="J27" s="67">
        <f>'26.5'!J27+E26-E10</f>
        <v>4292.7</v>
      </c>
      <c r="K27" s="67">
        <f>'26.5'!K27+F26-F10</f>
        <v>0</v>
      </c>
      <c r="L27" s="67">
        <f>'26.5'!L27+G26-G10</f>
        <v>296.500000000023</v>
      </c>
      <c r="M27" s="68">
        <f>J27+K27+L27</f>
        <v>4589.20000000002</v>
      </c>
    </row>
    <row r="28" s="2" customFormat="1" ht="18" customHeight="1" spans="1:14">
      <c r="A28" s="51" t="s">
        <v>61</v>
      </c>
      <c r="B28" s="41" t="s">
        <v>62</v>
      </c>
      <c r="C28" s="42" t="s">
        <v>63</v>
      </c>
      <c r="D28" s="69" t="e">
        <f>D13*29308/D10</f>
        <v>#DIV/0!</v>
      </c>
      <c r="E28" s="69" t="e">
        <f>E12*29308/E10</f>
        <v>#DIV/0!</v>
      </c>
      <c r="F28" s="69" t="e">
        <f>F12*29308/F10</f>
        <v>#DIV/0!</v>
      </c>
      <c r="G28" s="69" t="e">
        <f>G12*29308/G10</f>
        <v>#DIV/0!</v>
      </c>
      <c r="H28" s="69" t="e">
        <f>H12*29308/H10</f>
        <v>#DIV/0!</v>
      </c>
      <c r="I28" s="70">
        <f>I13*29308/I10</f>
        <v>19227.9938392777</v>
      </c>
      <c r="J28" s="44">
        <f>J12*29308/J10</f>
        <v>17643.4119399704</v>
      </c>
      <c r="K28" s="44" t="e">
        <f>K12*29308/K10</f>
        <v>#DIV/0!</v>
      </c>
      <c r="L28" s="44">
        <f>L12*29308/L10</f>
        <v>19526.5060142605</v>
      </c>
      <c r="M28" s="69">
        <f>M12*29308/M10</f>
        <v>17721.0300646955</v>
      </c>
    </row>
    <row r="29" s="2" customFormat="1" ht="18" customHeight="1" spans="1:14">
      <c r="A29" s="51" t="s">
        <v>64</v>
      </c>
      <c r="B29" s="41" t="s">
        <v>65</v>
      </c>
      <c r="C29" s="42" t="s">
        <v>63</v>
      </c>
      <c r="D29" s="71"/>
      <c r="E29" s="39"/>
      <c r="F29" s="39"/>
      <c r="G29" s="72"/>
      <c r="H29" s="73"/>
      <c r="I29" s="74"/>
      <c r="J29" s="39"/>
      <c r="K29" s="39"/>
      <c r="L29" s="72"/>
      <c r="M29" s="73"/>
    </row>
    <row r="30" s="2" customFormat="1" ht="18" customHeight="1" spans="1:14">
      <c r="A30" s="51" t="s">
        <v>66</v>
      </c>
      <c r="B30" s="41" t="s">
        <v>67</v>
      </c>
      <c r="C30" s="75" t="s">
        <v>68</v>
      </c>
      <c r="D30" s="76" t="e">
        <f>D8/(D12*29.308)</f>
        <v>#DIV/0!</v>
      </c>
      <c r="E30" s="76" t="e">
        <f>E8/(E12*29.308)</f>
        <v>#DIV/0!</v>
      </c>
      <c r="F30" s="76" t="e">
        <f>F8/(F12*29.308)</f>
        <v>#DIV/0!</v>
      </c>
      <c r="G30" s="76" t="e">
        <f>(G8-G36)/(G12*29.308)</f>
        <v>#DIV/0!</v>
      </c>
      <c r="H30" s="77" t="e">
        <f t="shared" ref="H30:M30" si="3">H8/(H12*29.308)</f>
        <v>#DIV/0!</v>
      </c>
      <c r="I30" s="78">
        <f t="shared" si="3"/>
        <v>0.916938868875932</v>
      </c>
      <c r="J30" s="76">
        <f t="shared" si="3"/>
        <v>0.700001011385589</v>
      </c>
      <c r="K30" s="76" t="e">
        <f t="shared" si="3"/>
        <v>#DIV/0!</v>
      </c>
      <c r="L30" s="76">
        <f t="shared" si="3"/>
        <v>24.2523358534603</v>
      </c>
      <c r="M30" s="77">
        <f t="shared" si="3"/>
        <v>1.76969775397059</v>
      </c>
    </row>
    <row r="31" s="2" customFormat="1" ht="18" customHeight="1" spans="1:14">
      <c r="A31" s="51" t="s">
        <v>69</v>
      </c>
      <c r="B31" s="41" t="s">
        <v>70</v>
      </c>
      <c r="C31" s="75" t="s">
        <v>68</v>
      </c>
      <c r="D31" s="79">
        <f>D8/3.6/D3/(DAY(DATE(2026,7,0))*24)</f>
        <v>0</v>
      </c>
      <c r="E31" s="79">
        <f>E8/3.6/E3/(DAY(DATE(2026,7,0))*24)</f>
        <v>0</v>
      </c>
      <c r="F31" s="79" t="e">
        <f>F8/3.6/F3/(DAY(DATE(2026,7,0))*24)</f>
        <v>#DIV/0!</v>
      </c>
      <c r="G31" s="79">
        <f>(G8-G36)/3.6/G3/(DAY(DATE(2026,7,0))*24)</f>
        <v>0</v>
      </c>
      <c r="H31" s="80">
        <f>H8/3.6/H3/(DAY(DATE(2026,7,0))*24)</f>
        <v>0</v>
      </c>
      <c r="I31" s="81">
        <f>I8/3.6/I3/(DATEDIF(DATE(2026,1,1),DATE(2026,7,1),"D")*24)</f>
        <v>0.214667946745882</v>
      </c>
      <c r="J31" s="79">
        <f>J8/3.6/J3/(DATEDIF(DATE(2026,1,1),DATE(2026,7,1),"D")*24)</f>
        <v>0.105572827347277</v>
      </c>
      <c r="K31" s="79" t="e">
        <f>K8/3.6/K3/(DATEDIF(DATE(2026,1,1),DATE(2026,7,1),"D")*24)</f>
        <v>#DIV/0!</v>
      </c>
      <c r="L31" s="79">
        <f>(L8-L36)/3.6/L3/(DATEDIF(DATE(2026,1,1),DATE(2026,7,1),"D")*24)</f>
        <v>0.0498201704558238</v>
      </c>
      <c r="M31" s="80">
        <f>M8/3.6/M3/(DATEDIF(DATE(2026,1,1),DATE(2026,7,1),"D")*24)</f>
        <v>0.25736034422973</v>
      </c>
    </row>
    <row r="32" s="2" customFormat="1" ht="18" customHeight="1" spans="1:14">
      <c r="A32" s="51" t="s">
        <v>71</v>
      </c>
      <c r="B32" s="41" t="s">
        <v>72</v>
      </c>
      <c r="C32" s="42" t="s">
        <v>73</v>
      </c>
      <c r="D32" s="82"/>
      <c r="E32" s="83" t="e">
        <f>E8/E6</f>
        <v>#DIV/0!</v>
      </c>
      <c r="F32" s="83" t="e">
        <f>F8/F6</f>
        <v>#DIV/0!</v>
      </c>
      <c r="G32" s="83" t="e">
        <f>G8/G6</f>
        <v>#DIV/0!</v>
      </c>
      <c r="H32" s="83" t="e">
        <f>H8/H6</f>
        <v>#DIV/0!</v>
      </c>
      <c r="I32" s="84"/>
      <c r="J32" s="83" t="e">
        <f>J8/J6</f>
        <v>#DIV/0!</v>
      </c>
      <c r="K32" s="83" t="e">
        <f>K8/K6</f>
        <v>#DIV/0!</v>
      </c>
      <c r="L32" s="83" t="e">
        <f>L8/L6</f>
        <v>#DIV/0!</v>
      </c>
      <c r="M32" s="85" t="e">
        <f>M8/M6</f>
        <v>#DIV/0!</v>
      </c>
    </row>
    <row r="33" s="2" customFormat="1" ht="18" customHeight="1" spans="1:13">
      <c r="A33" s="51" t="s">
        <v>74</v>
      </c>
      <c r="B33" s="41" t="s">
        <v>75</v>
      </c>
      <c r="C33" s="42" t="s">
        <v>76</v>
      </c>
      <c r="D33" s="86"/>
      <c r="E33" s="87" t="e">
        <f>E12*1000/E6</f>
        <v>#DIV/0!</v>
      </c>
      <c r="F33" s="87" t="e">
        <f>F12*1000/F6</f>
        <v>#DIV/0!</v>
      </c>
      <c r="G33" s="87" t="e">
        <f>G12*1000/G6</f>
        <v>#DIV/0!</v>
      </c>
      <c r="H33" s="88" t="e">
        <f>H12*1000/H6</f>
        <v>#DIV/0!</v>
      </c>
      <c r="I33" s="89"/>
      <c r="J33" s="87" t="e">
        <f>J12*1000/J6</f>
        <v>#DIV/0!</v>
      </c>
      <c r="K33" s="87" t="e">
        <f>K12*1000/K6</f>
        <v>#DIV/0!</v>
      </c>
      <c r="L33" s="87" t="e">
        <f>L12*1000/L6</f>
        <v>#DIV/0!</v>
      </c>
      <c r="M33" s="88" t="e">
        <f>M12*1000/M6</f>
        <v>#DIV/0!</v>
      </c>
    </row>
    <row r="34" s="2" customFormat="1" ht="18" customHeight="1" spans="1:13">
      <c r="A34" s="51" t="s">
        <v>77</v>
      </c>
      <c r="B34" s="41" t="s">
        <v>78</v>
      </c>
      <c r="C34" s="42" t="s">
        <v>79</v>
      </c>
      <c r="D34" s="90"/>
      <c r="E34" s="87" t="e">
        <f>E17/E6</f>
        <v>#DIV/0!</v>
      </c>
      <c r="F34" s="87" t="e">
        <f>F17/F6</f>
        <v>#DIV/0!</v>
      </c>
      <c r="G34" s="87" t="e">
        <f>G17/G6</f>
        <v>#DIV/0!</v>
      </c>
      <c r="H34" s="88" t="e">
        <f>H17/H6</f>
        <v>#DIV/0!</v>
      </c>
      <c r="I34" s="91"/>
      <c r="J34" s="87" t="e">
        <f>J17/J6</f>
        <v>#DIV/0!</v>
      </c>
      <c r="K34" s="87" t="e">
        <f>K17/K6</f>
        <v>#DIV/0!</v>
      </c>
      <c r="L34" s="87" t="e">
        <f>L17/L6</f>
        <v>#DIV/0!</v>
      </c>
      <c r="M34" s="88" t="e">
        <f>M17/M6</f>
        <v>#DIV/0!</v>
      </c>
    </row>
    <row r="35" s="2" customFormat="1" ht="18" customHeight="1" spans="1:13">
      <c r="A35" s="92" t="s">
        <v>80</v>
      </c>
      <c r="B35" s="93" t="s">
        <v>81</v>
      </c>
      <c r="C35" s="94" t="s">
        <v>76</v>
      </c>
      <c r="D35" s="95"/>
      <c r="E35" s="96" t="e">
        <f>E15*1000/E6</f>
        <v>#DIV/0!</v>
      </c>
      <c r="F35" s="96" t="e">
        <f>F15*1000/F6</f>
        <v>#DIV/0!</v>
      </c>
      <c r="G35" s="96" t="e">
        <f>G15*1000/G6</f>
        <v>#DIV/0!</v>
      </c>
      <c r="H35" s="97" t="e">
        <f>H15*1000/H6</f>
        <v>#DIV/0!</v>
      </c>
      <c r="I35" s="98"/>
      <c r="J35" s="96" t="e">
        <f>J15*1000/J6</f>
        <v>#DIV/0!</v>
      </c>
      <c r="K35" s="96" t="e">
        <f>K15*1000/K6</f>
        <v>#DIV/0!</v>
      </c>
      <c r="L35" s="96" t="e">
        <f>L15*1000/L6</f>
        <v>#DIV/0!</v>
      </c>
      <c r="M35" s="97" t="e">
        <f>M15*1000/M6</f>
        <v>#DIV/0!</v>
      </c>
    </row>
    <row r="36" s="2" customFormat="1" ht="21" customHeight="1" spans="1:13">
      <c r="A36" s="99"/>
      <c r="B36" s="100" t="s">
        <v>82</v>
      </c>
      <c r="C36" s="101" t="s">
        <v>26</v>
      </c>
      <c r="D36" s="102"/>
      <c r="E36" s="102"/>
      <c r="F36" s="102"/>
      <c r="G36" s="102"/>
      <c r="H36" s="102"/>
      <c r="I36" s="102"/>
      <c r="J36" s="102"/>
      <c r="K36" s="102"/>
      <c r="L36" s="43">
        <f>G36+'26.5'!L36</f>
        <v>429980</v>
      </c>
      <c r="M36" s="102"/>
    </row>
    <row r="37" s="1" customFormat="1" ht="29.25" customHeight="1" spans="1:13">
      <c r="A37" s="103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3">
      <c r="A38" s="104" t="s">
        <v>0</v>
      </c>
      <c r="B38" s="105" t="s">
        <v>85</v>
      </c>
      <c r="C38" s="105" t="s">
        <v>2</v>
      </c>
      <c r="D38" s="106" t="s">
        <v>86</v>
      </c>
      <c r="E38" s="107" t="s">
        <v>87</v>
      </c>
      <c r="F38" s="2"/>
      <c r="G38" s="2"/>
      <c r="H38" s="2"/>
    </row>
    <row r="39" s="1" customFormat="1" ht="27.95" customHeight="1" spans="1:13">
      <c r="A39" s="27" t="s">
        <v>11</v>
      </c>
      <c r="B39" s="28" t="s">
        <v>12</v>
      </c>
      <c r="C39" s="29" t="s">
        <v>13</v>
      </c>
      <c r="D39" s="108">
        <v>0.55</v>
      </c>
      <c r="E39" s="109">
        <v>0.55</v>
      </c>
      <c r="F39" s="2"/>
      <c r="G39" s="2"/>
      <c r="H39" s="2"/>
    </row>
    <row r="40" s="1" customFormat="1" ht="27.95" customHeight="1" spans="1:13">
      <c r="A40" s="27" t="s">
        <v>14</v>
      </c>
      <c r="B40" s="28" t="s">
        <v>88</v>
      </c>
      <c r="C40" s="29" t="s">
        <v>16</v>
      </c>
      <c r="D40" s="110">
        <v>7592.12</v>
      </c>
      <c r="E40" s="111">
        <f>D40</f>
        <v>7592.12</v>
      </c>
      <c r="F40" s="2"/>
      <c r="G40" s="2"/>
      <c r="H40" s="2"/>
    </row>
    <row r="41" s="1" customFormat="1" ht="27.95" customHeight="1" spans="1:13">
      <c r="A41" s="27" t="s">
        <v>19</v>
      </c>
      <c r="B41" s="28" t="s">
        <v>89</v>
      </c>
      <c r="C41" s="29" t="s">
        <v>16</v>
      </c>
      <c r="D41" s="112">
        <v>7592.12</v>
      </c>
      <c r="E41" s="113">
        <f>D41</f>
        <v>7592.12</v>
      </c>
      <c r="F41" s="2"/>
      <c r="G41" s="2"/>
      <c r="H41" s="2"/>
    </row>
    <row r="42" s="1" customFormat="1" ht="27.95" customHeight="1" spans="1:13">
      <c r="A42" s="27" t="s">
        <v>21</v>
      </c>
      <c r="B42" s="41" t="s">
        <v>25</v>
      </c>
      <c r="C42" s="42" t="s">
        <v>26</v>
      </c>
      <c r="D42" s="114">
        <v>0</v>
      </c>
      <c r="E42" s="115">
        <f>D42+'26.5'!E42</f>
        <v>889</v>
      </c>
      <c r="F42" s="2"/>
      <c r="G42" s="2"/>
      <c r="H42" s="2"/>
    </row>
    <row r="43" s="1" customFormat="1" ht="27.95" customHeight="1" spans="1:13">
      <c r="A43" s="27" t="s">
        <v>24</v>
      </c>
      <c r="B43" s="41" t="s">
        <v>38</v>
      </c>
      <c r="C43" s="42" t="s">
        <v>23</v>
      </c>
      <c r="D43" s="110"/>
      <c r="E43" s="115">
        <f>D43+'26.5'!E43</f>
        <v>10</v>
      </c>
      <c r="F43" s="2"/>
      <c r="G43" s="2"/>
      <c r="H43" s="2"/>
    </row>
    <row r="44" s="1" customFormat="1" ht="27.95" customHeight="1" spans="1:13">
      <c r="A44" s="27" t="s">
        <v>27</v>
      </c>
      <c r="B44" s="41" t="s">
        <v>41</v>
      </c>
      <c r="C44" s="42" t="s">
        <v>42</v>
      </c>
      <c r="D44" s="110"/>
      <c r="E44" s="115">
        <f>D44+'26.5'!E44</f>
        <v>267664</v>
      </c>
      <c r="F44" s="2"/>
      <c r="G44" s="2"/>
      <c r="H44" s="2"/>
    </row>
    <row r="45" s="1" customFormat="1" ht="27.95" customHeight="1" spans="1:13">
      <c r="A45" s="27"/>
      <c r="B45" s="41" t="s">
        <v>90</v>
      </c>
      <c r="C45" s="42" t="s">
        <v>42</v>
      </c>
      <c r="D45" s="110">
        <f>D44</f>
        <v>0</v>
      </c>
      <c r="E45" s="115">
        <f>D45+'26.5'!E45</f>
        <v>267664</v>
      </c>
      <c r="F45" s="2"/>
      <c r="G45" s="2"/>
      <c r="H45" s="2"/>
    </row>
    <row r="46" s="1" customFormat="1" ht="27.95" customHeight="1" spans="1:13">
      <c r="A46" s="27" t="s">
        <v>29</v>
      </c>
      <c r="B46" s="41" t="s">
        <v>52</v>
      </c>
      <c r="C46" s="42" t="s">
        <v>53</v>
      </c>
      <c r="D46" s="116" t="e">
        <f>D44/D42</f>
        <v>#DIV/0!</v>
      </c>
      <c r="E46" s="117">
        <f>E44/E42</f>
        <v>301.084364454443</v>
      </c>
      <c r="F46" s="2"/>
      <c r="G46" s="2"/>
      <c r="H46" s="2"/>
    </row>
    <row r="47" s="1" customFormat="1" ht="27.95" customHeight="1" spans="1:13">
      <c r="A47" s="27" t="s">
        <v>31</v>
      </c>
      <c r="B47" s="41" t="s">
        <v>70</v>
      </c>
      <c r="C47" s="75" t="s">
        <v>68</v>
      </c>
      <c r="D47" s="118">
        <f>D42/3.6/D39/(DAY(DATE(2026,7,0))*24)</f>
        <v>0</v>
      </c>
      <c r="E47" s="119">
        <f>E42/3.6/E39/(DATEDIF(DATE(2026,1,1),DATE(2026,7,1),"D")*24)</f>
        <v>0.103358632364157</v>
      </c>
      <c r="F47" s="2"/>
      <c r="G47" s="2"/>
      <c r="H47" s="2"/>
    </row>
    <row r="48" s="1" customFormat="1" ht="27.95" customHeight="1" spans="1:13">
      <c r="A48" s="27" t="s">
        <v>33</v>
      </c>
      <c r="B48" s="41" t="s">
        <v>72</v>
      </c>
      <c r="C48" s="42" t="s">
        <v>73</v>
      </c>
      <c r="D48" s="120">
        <f>D42/D41</f>
        <v>0</v>
      </c>
      <c r="E48" s="121">
        <f>E42/E41</f>
        <v>0.117095093333614</v>
      </c>
      <c r="F48" s="2"/>
      <c r="G48" s="2"/>
      <c r="H48" s="2"/>
    </row>
    <row r="49" s="1" customFormat="1" ht="27.95" customHeight="1" spans="1:10">
      <c r="A49" s="27" t="s">
        <v>37</v>
      </c>
      <c r="B49" s="41" t="s">
        <v>78</v>
      </c>
      <c r="C49" s="42" t="s">
        <v>79</v>
      </c>
      <c r="D49" s="122">
        <f>D44/D41</f>
        <v>0</v>
      </c>
      <c r="E49" s="123">
        <f>E44/E41</f>
        <v>35.255501757085</v>
      </c>
      <c r="F49" s="2"/>
      <c r="G49" s="2"/>
      <c r="H49" s="2"/>
    </row>
    <row r="50" s="1" customFormat="1" ht="27.95" customHeight="1" spans="1:10">
      <c r="A50" s="124" t="s">
        <v>40</v>
      </c>
      <c r="B50" s="93" t="s">
        <v>81</v>
      </c>
      <c r="C50" s="94" t="s">
        <v>76</v>
      </c>
      <c r="D50" s="125">
        <f>D43*1000/D41</f>
        <v>0</v>
      </c>
      <c r="E50" s="125">
        <f>E43*1000/E41</f>
        <v>1.31715515560871</v>
      </c>
      <c r="F50" s="2"/>
      <c r="G50" s="2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3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26" t="s">
        <v>0</v>
      </c>
      <c r="B53" s="127" t="s">
        <v>85</v>
      </c>
      <c r="C53" s="127" t="s">
        <v>2</v>
      </c>
      <c r="D53" s="106" t="s">
        <v>86</v>
      </c>
      <c r="E53" s="9"/>
      <c r="F53" s="10"/>
      <c r="G53" s="128" t="s">
        <v>87</v>
      </c>
      <c r="H53" s="9"/>
      <c r="I53" s="9"/>
    </row>
    <row r="54" s="1" customFormat="1" ht="31.5" customHeight="1" spans="1:10">
      <c r="A54" s="12"/>
      <c r="B54" s="13"/>
      <c r="C54" s="13"/>
      <c r="D54" s="129" t="s">
        <v>92</v>
      </c>
      <c r="E54" s="129" t="s">
        <v>93</v>
      </c>
      <c r="F54" s="130" t="s">
        <v>9</v>
      </c>
      <c r="G54" s="131" t="s">
        <v>92</v>
      </c>
      <c r="H54" s="129" t="s">
        <v>93</v>
      </c>
      <c r="I54" s="132" t="s">
        <v>9</v>
      </c>
    </row>
    <row r="55" s="1" customFormat="1" ht="27.95" customHeight="1" spans="1:10">
      <c r="A55" s="27" t="s">
        <v>11</v>
      </c>
      <c r="B55" s="28" t="s">
        <v>12</v>
      </c>
      <c r="C55" s="29" t="s">
        <v>13</v>
      </c>
      <c r="D55" s="133">
        <v>6</v>
      </c>
      <c r="E55" s="133">
        <v>6.4</v>
      </c>
      <c r="F55" s="134">
        <f t="shared" ref="F55:F61" si="4">SUM(D55:E55)</f>
        <v>12.4</v>
      </c>
      <c r="G55" s="135">
        <f>D55</f>
        <v>6</v>
      </c>
      <c r="H55" s="136">
        <f>E55</f>
        <v>6.4</v>
      </c>
      <c r="I55" s="136">
        <f t="shared" ref="I55:I61" si="5">SUM(G55:H55)</f>
        <v>12.4</v>
      </c>
    </row>
    <row r="56" s="1" customFormat="1" ht="27.95" customHeight="1" spans="1:10">
      <c r="A56" s="27" t="s">
        <v>14</v>
      </c>
      <c r="B56" s="28" t="s">
        <v>88</v>
      </c>
      <c r="C56" s="29" t="s">
        <v>16</v>
      </c>
      <c r="D56" s="72"/>
      <c r="E56" s="72"/>
      <c r="F56" s="112">
        <f t="shared" si="4"/>
        <v>0</v>
      </c>
      <c r="G56" s="113">
        <f>D56</f>
        <v>0</v>
      </c>
      <c r="H56" s="113">
        <f>E56</f>
        <v>0</v>
      </c>
      <c r="I56" s="68">
        <f t="shared" si="5"/>
        <v>0</v>
      </c>
    </row>
    <row r="57" s="1" customFormat="1" ht="27.95" customHeight="1" spans="1:10">
      <c r="A57" s="27" t="s">
        <v>19</v>
      </c>
      <c r="B57" s="28" t="s">
        <v>89</v>
      </c>
      <c r="C57" s="29" t="s">
        <v>16</v>
      </c>
      <c r="D57" s="68"/>
      <c r="E57" s="68"/>
      <c r="F57" s="112">
        <f t="shared" si="4"/>
        <v>0</v>
      </c>
      <c r="G57" s="113">
        <f>D57</f>
        <v>0</v>
      </c>
      <c r="H57" s="113">
        <f>E57</f>
        <v>0</v>
      </c>
      <c r="I57" s="68">
        <f t="shared" si="5"/>
        <v>0</v>
      </c>
    </row>
    <row r="58" s="1" customFormat="1" ht="27.95" customHeight="1" spans="1:10">
      <c r="A58" s="27" t="s">
        <v>21</v>
      </c>
      <c r="B58" s="41" t="s">
        <v>25</v>
      </c>
      <c r="C58" s="42" t="s">
        <v>26</v>
      </c>
      <c r="D58" s="72"/>
      <c r="E58" s="137"/>
      <c r="F58" s="112">
        <f t="shared" si="4"/>
        <v>0</v>
      </c>
      <c r="G58" s="138">
        <f>D58+'26.5'!G58</f>
        <v>3813.3</v>
      </c>
      <c r="H58" s="138">
        <f>E58+'26.5'!H58</f>
        <v>6695.80000000001</v>
      </c>
      <c r="I58" s="68">
        <f t="shared" si="5"/>
        <v>10509.1</v>
      </c>
    </row>
    <row r="59" s="1" customFormat="1" ht="27.95" customHeight="1" spans="1:10">
      <c r="A59" s="27" t="s">
        <v>24</v>
      </c>
      <c r="B59" s="41" t="s">
        <v>38</v>
      </c>
      <c r="C59" s="42" t="s">
        <v>23</v>
      </c>
      <c r="D59" s="72"/>
      <c r="E59" s="72"/>
      <c r="F59" s="112">
        <f t="shared" si="4"/>
        <v>0</v>
      </c>
      <c r="G59" s="138">
        <f>D59+'26.5'!G59</f>
        <v>564.9</v>
      </c>
      <c r="H59" s="138">
        <f>E59+'26.5'!H59</f>
        <v>165.9</v>
      </c>
      <c r="I59" s="68">
        <f t="shared" si="5"/>
        <v>730.8</v>
      </c>
    </row>
    <row r="60" s="1" customFormat="1" ht="27.95" customHeight="1" spans="1:10">
      <c r="A60" s="27" t="s">
        <v>27</v>
      </c>
      <c r="B60" s="41" t="s">
        <v>41</v>
      </c>
      <c r="C60" s="42" t="s">
        <v>42</v>
      </c>
      <c r="D60" s="72"/>
      <c r="E60" s="72"/>
      <c r="F60" s="112">
        <f t="shared" si="4"/>
        <v>0</v>
      </c>
      <c r="G60" s="138">
        <f>D60+'26.5'!G60</f>
        <v>1184440</v>
      </c>
      <c r="H60" s="138">
        <f>E60+'26.5'!H60</f>
        <v>1991120</v>
      </c>
      <c r="I60" s="68">
        <f t="shared" si="5"/>
        <v>3175560</v>
      </c>
    </row>
    <row r="61" s="1" customFormat="1" ht="27.95" customHeight="1" spans="1:10">
      <c r="A61" s="27"/>
      <c r="B61" s="41" t="s">
        <v>90</v>
      </c>
      <c r="C61" s="42" t="s">
        <v>42</v>
      </c>
      <c r="D61" s="72"/>
      <c r="E61" s="72"/>
      <c r="F61" s="112">
        <f t="shared" si="4"/>
        <v>0</v>
      </c>
      <c r="G61" s="138">
        <f>D61+'26.5'!G61</f>
        <v>1184440</v>
      </c>
      <c r="H61" s="138">
        <f>E61+'26.5'!H61</f>
        <v>1991120</v>
      </c>
      <c r="I61" s="68">
        <f t="shared" si="5"/>
        <v>3175560</v>
      </c>
    </row>
    <row r="62" s="1" customFormat="1" ht="27.95" customHeight="1" spans="1:10">
      <c r="A62" s="27" t="s">
        <v>29</v>
      </c>
      <c r="B62" s="41" t="s">
        <v>52</v>
      </c>
      <c r="C62" s="42" t="s">
        <v>53</v>
      </c>
      <c r="D62" s="139" t="e">
        <f t="shared" ref="D62:I62" si="6">D60/D58</f>
        <v>#DIV/0!</v>
      </c>
      <c r="E62" s="139" t="e">
        <f t="shared" si="6"/>
        <v>#DIV/0!</v>
      </c>
      <c r="F62" s="116" t="e">
        <f t="shared" si="6"/>
        <v>#DIV/0!</v>
      </c>
      <c r="G62" s="140">
        <f t="shared" si="6"/>
        <v>310.607610206383</v>
      </c>
      <c r="H62" s="57">
        <f t="shared" si="6"/>
        <v>297.368499656501</v>
      </c>
      <c r="I62" s="58">
        <f t="shared" si="6"/>
        <v>302.172402965049</v>
      </c>
    </row>
    <row r="63" s="1" customFormat="1" ht="27.95" customHeight="1" spans="1:10">
      <c r="A63" s="27" t="s">
        <v>31</v>
      </c>
      <c r="B63" s="41" t="s">
        <v>70</v>
      </c>
      <c r="C63" s="75" t="s">
        <v>68</v>
      </c>
      <c r="D63" s="79">
        <f>D58/3.6/D55/(DAY(DATE(2026,7,0))*24)</f>
        <v>0</v>
      </c>
      <c r="E63" s="79">
        <f>E58/3.6/E55/(DAY(DATE(2026,7,0))*24)</f>
        <v>0</v>
      </c>
      <c r="F63" s="118">
        <f>F58/3.6/F55/(DAY(DATE(2026,7,0))*24)</f>
        <v>0</v>
      </c>
      <c r="G63" s="81">
        <f>G58/3.6/G55/(DATEDIF(DATE(2026,1,1),DATE(2026,7,1),"D")*24)</f>
        <v>0.0406403468385513</v>
      </c>
      <c r="H63" s="79">
        <f>H58/3.6/H55/(DATEDIF(DATE(2026,1,1),DATE(2026,7,1),"D")*24)</f>
        <v>0.0669006260231227</v>
      </c>
      <c r="I63" s="80">
        <f>I58/3.6/I55/(DATEDIF(DATE(2026,1,1),DATE(2026,7,1),"D")*24)</f>
        <v>0.0541940393209107</v>
      </c>
    </row>
    <row r="64" s="1" customFormat="1" ht="27.95" customHeight="1" spans="1:10">
      <c r="A64" s="27" t="s">
        <v>33</v>
      </c>
      <c r="B64" s="41" t="s">
        <v>72</v>
      </c>
      <c r="C64" s="42" t="s">
        <v>73</v>
      </c>
      <c r="D64" s="83" t="e">
        <f t="shared" ref="D64:I64" si="7">D58/D57</f>
        <v>#DIV/0!</v>
      </c>
      <c r="E64" s="83" t="e">
        <f t="shared" si="7"/>
        <v>#DIV/0!</v>
      </c>
      <c r="F64" s="85" t="e">
        <f t="shared" si="7"/>
        <v>#DIV/0!</v>
      </c>
      <c r="G64" s="141" t="e">
        <f t="shared" si="7"/>
        <v>#DIV/0!</v>
      </c>
      <c r="H64" s="83" t="e">
        <f t="shared" si="7"/>
        <v>#DIV/0!</v>
      </c>
      <c r="I64" s="85" t="e">
        <f t="shared" si="7"/>
        <v>#DIV/0!</v>
      </c>
    </row>
    <row r="65" s="1" customFormat="1" ht="27.95" customHeight="1" spans="1:9">
      <c r="A65" s="27" t="s">
        <v>37</v>
      </c>
      <c r="B65" s="41" t="s">
        <v>78</v>
      </c>
      <c r="C65" s="42" t="s">
        <v>79</v>
      </c>
      <c r="D65" s="87" t="e">
        <f t="shared" ref="D65:I65" si="8">D60/D57</f>
        <v>#DIV/0!</v>
      </c>
      <c r="E65" s="87" t="e">
        <f t="shared" si="8"/>
        <v>#DIV/0!</v>
      </c>
      <c r="F65" s="88" t="e">
        <f t="shared" si="8"/>
        <v>#DIV/0!</v>
      </c>
      <c r="G65" s="142" t="e">
        <f t="shared" si="8"/>
        <v>#DIV/0!</v>
      </c>
      <c r="H65" s="87" t="e">
        <f t="shared" si="8"/>
        <v>#DIV/0!</v>
      </c>
      <c r="I65" s="88" t="e">
        <f t="shared" si="8"/>
        <v>#DIV/0!</v>
      </c>
    </row>
    <row r="66" s="1" customFormat="1" ht="27.95" customHeight="1" spans="1:9">
      <c r="A66" s="124" t="s">
        <v>40</v>
      </c>
      <c r="B66" s="93" t="s">
        <v>81</v>
      </c>
      <c r="C66" s="94" t="s">
        <v>76</v>
      </c>
      <c r="D66" s="96" t="e">
        <f t="shared" ref="D66:I66" si="9">D59*1000/D57</f>
        <v>#DIV/0!</v>
      </c>
      <c r="E66" s="96" t="e">
        <f t="shared" si="9"/>
        <v>#DIV/0!</v>
      </c>
      <c r="F66" s="97" t="e">
        <f t="shared" si="9"/>
        <v>#DIV/0!</v>
      </c>
      <c r="G66" s="143" t="e">
        <f t="shared" si="9"/>
        <v>#DIV/0!</v>
      </c>
      <c r="H66" s="96" t="e">
        <f t="shared" si="9"/>
        <v>#DIV/0!</v>
      </c>
      <c r="I66" s="97" t="e">
        <f t="shared" si="9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3" t="s">
        <v>94</v>
      </c>
      <c r="C68" s="4"/>
      <c r="D68" s="5"/>
    </row>
    <row r="69" s="1" customFormat="1" ht="30" customHeight="1" spans="1:9">
      <c r="A69" s="126" t="s">
        <v>0</v>
      </c>
      <c r="B69" s="7" t="s">
        <v>1</v>
      </c>
      <c r="C69" s="7" t="s">
        <v>2</v>
      </c>
      <c r="D69" s="106" t="s">
        <v>86</v>
      </c>
      <c r="E69" s="10"/>
      <c r="F69" s="144" t="s">
        <v>87</v>
      </c>
      <c r="G69" s="9"/>
    </row>
    <row r="70" s="1" customFormat="1" ht="30" customHeight="1" spans="1:9">
      <c r="A70" s="12"/>
      <c r="B70" s="13"/>
      <c r="C70" s="13"/>
      <c r="D70" s="129" t="s">
        <v>95</v>
      </c>
      <c r="E70" s="145" t="s">
        <v>96</v>
      </c>
      <c r="F70" s="131" t="s">
        <v>95</v>
      </c>
      <c r="G70" s="132" t="s">
        <v>96</v>
      </c>
    </row>
    <row r="71" s="1" customFormat="1" ht="27.95" customHeight="1" spans="1:9">
      <c r="A71" s="18" t="s">
        <v>11</v>
      </c>
      <c r="B71" s="19" t="s">
        <v>12</v>
      </c>
      <c r="C71" s="20" t="s">
        <v>13</v>
      </c>
      <c r="D71" s="23">
        <v>217</v>
      </c>
      <c r="E71" s="146">
        <v>1.4</v>
      </c>
      <c r="F71" s="147">
        <f>D71</f>
        <v>217</v>
      </c>
      <c r="G71" s="26">
        <f>E71</f>
        <v>1.4</v>
      </c>
    </row>
    <row r="72" s="1" customFormat="1" ht="27.95" customHeight="1" spans="1:9">
      <c r="A72" s="27" t="s">
        <v>14</v>
      </c>
      <c r="B72" s="41" t="s">
        <v>22</v>
      </c>
      <c r="C72" s="42" t="s">
        <v>23</v>
      </c>
      <c r="D72" s="72"/>
      <c r="E72" s="110"/>
      <c r="F72" s="148">
        <f>D72</f>
        <v>0</v>
      </c>
      <c r="G72" s="149">
        <f>E72</f>
        <v>0</v>
      </c>
    </row>
    <row r="73" s="1" customFormat="1" ht="27.95" customHeight="1" spans="1:9">
      <c r="A73" s="27" t="s">
        <v>19</v>
      </c>
      <c r="B73" s="41" t="s">
        <v>25</v>
      </c>
      <c r="C73" s="42" t="s">
        <v>26</v>
      </c>
      <c r="D73" s="68">
        <f>D72*2.951694</f>
        <v>0</v>
      </c>
      <c r="E73" s="150">
        <f>E72*2.732</f>
        <v>0</v>
      </c>
      <c r="F73" s="115">
        <f>D73+'26.5'!F73</f>
        <v>0</v>
      </c>
      <c r="G73" s="115">
        <f>E73+'26.5'!G73</f>
        <v>0</v>
      </c>
    </row>
    <row r="74" s="1" customFormat="1" ht="27.95" customHeight="1" spans="1:9">
      <c r="A74" s="27" t="s">
        <v>21</v>
      </c>
      <c r="B74" s="41" t="s">
        <v>97</v>
      </c>
      <c r="C74" s="42" t="s">
        <v>98</v>
      </c>
      <c r="D74" s="72"/>
      <c r="E74" s="110"/>
      <c r="F74" s="115">
        <f>D74+'26.5'!F74</f>
        <v>0</v>
      </c>
      <c r="G74" s="115">
        <f>E74+'26.5'!G74</f>
        <v>0</v>
      </c>
    </row>
    <row r="75" s="1" customFormat="1" ht="27.95" customHeight="1" spans="1:9">
      <c r="A75" s="27" t="s">
        <v>24</v>
      </c>
      <c r="B75" s="41" t="s">
        <v>34</v>
      </c>
      <c r="C75" s="42" t="s">
        <v>23</v>
      </c>
      <c r="D75" s="68">
        <f>D74*D80/29308/1000</f>
        <v>0</v>
      </c>
      <c r="E75" s="112">
        <f>E74*E80/29308/1000</f>
        <v>0</v>
      </c>
      <c r="F75" s="115">
        <f>D75+'26.5'!F75</f>
        <v>0</v>
      </c>
      <c r="G75" s="115">
        <f>E75+'26.5'!G75</f>
        <v>0</v>
      </c>
    </row>
    <row r="76" s="1" customFormat="1" ht="27.95" customHeight="1" spans="1:9">
      <c r="A76" s="27" t="s">
        <v>27</v>
      </c>
      <c r="B76" s="41" t="s">
        <v>38</v>
      </c>
      <c r="C76" s="42" t="s">
        <v>23</v>
      </c>
      <c r="D76" s="72"/>
      <c r="E76" s="151"/>
      <c r="F76" s="115">
        <f>D76+'26.5'!F76</f>
        <v>0</v>
      </c>
      <c r="G76" s="115">
        <f>E76+'26.5'!G76</f>
        <v>0</v>
      </c>
    </row>
    <row r="77" s="1" customFormat="1" ht="27.95" customHeight="1" spans="1:9">
      <c r="A77" s="27" t="s">
        <v>29</v>
      </c>
      <c r="B77" s="41" t="s">
        <v>41</v>
      </c>
      <c r="C77" s="42" t="s">
        <v>42</v>
      </c>
      <c r="D77" s="72"/>
      <c r="E77" s="151"/>
      <c r="F77" s="115">
        <f>D77+'26.5'!F77</f>
        <v>0</v>
      </c>
      <c r="G77" s="115">
        <f>E77+'26.5'!G77</f>
        <v>0</v>
      </c>
    </row>
    <row r="78" s="1" customFormat="1" ht="27.95" customHeight="1" spans="1:9">
      <c r="A78" s="27" t="s">
        <v>31</v>
      </c>
      <c r="B78" s="41" t="s">
        <v>52</v>
      </c>
      <c r="C78" s="42" t="s">
        <v>53</v>
      </c>
      <c r="D78" s="152" t="e">
        <f>D77/D73</f>
        <v>#DIV/0!</v>
      </c>
      <c r="E78" s="153"/>
      <c r="F78" s="154" t="e">
        <f>F77/F73</f>
        <v>#DIV/0!</v>
      </c>
      <c r="G78" s="155"/>
    </row>
    <row r="79" s="1" customFormat="1" ht="27.95" customHeight="1" spans="1:9">
      <c r="A79" s="27" t="s">
        <v>33</v>
      </c>
      <c r="B79" s="41" t="s">
        <v>55</v>
      </c>
      <c r="C79" s="42" t="s">
        <v>56</v>
      </c>
      <c r="D79" s="57" t="e">
        <f>D75*1000/D73</f>
        <v>#DIV/0!</v>
      </c>
      <c r="E79" s="156" t="e">
        <f>E75*1000/E73</f>
        <v>#DIV/0!</v>
      </c>
      <c r="F79" s="157" t="e">
        <f>F75*1000/F73</f>
        <v>#DIV/0!</v>
      </c>
      <c r="G79" s="58" t="e">
        <f>G75*1000/G73</f>
        <v>#DIV/0!</v>
      </c>
    </row>
    <row r="80" s="1" customFormat="1" ht="27.95" customHeight="1" spans="1:9">
      <c r="A80" s="27" t="s">
        <v>37</v>
      </c>
      <c r="B80" s="41" t="s">
        <v>99</v>
      </c>
      <c r="C80" s="42" t="s">
        <v>100</v>
      </c>
      <c r="D80" s="33"/>
      <c r="E80" s="158"/>
      <c r="F80" s="159" t="e">
        <f>F75*29308*1000/F74</f>
        <v>#DIV/0!</v>
      </c>
      <c r="G80" s="68" t="e">
        <f>G75*29308*1000/G74</f>
        <v>#DIV/0!</v>
      </c>
    </row>
    <row r="81" s="1" customFormat="1" ht="27.95" customHeight="1" spans="1:11">
      <c r="A81" s="27" t="s">
        <v>40</v>
      </c>
      <c r="B81" s="41" t="s">
        <v>67</v>
      </c>
      <c r="C81" s="75" t="s">
        <v>68</v>
      </c>
      <c r="D81" s="76" t="e">
        <f>D73/(D75*29.308)</f>
        <v>#DIV/0!</v>
      </c>
      <c r="E81" s="160" t="e">
        <f>E73/(E75*29.308)</f>
        <v>#DIV/0!</v>
      </c>
      <c r="F81" s="161" t="e">
        <f>F73/(F75*29.308)</f>
        <v>#DIV/0!</v>
      </c>
      <c r="G81" s="77" t="e">
        <f>G73/(G75*29.308)</f>
        <v>#DIV/0!</v>
      </c>
    </row>
    <row r="82" s="1" customFormat="1" ht="27.95" customHeight="1" spans="1:11">
      <c r="A82" s="124" t="s">
        <v>47</v>
      </c>
      <c r="B82" s="162" t="s">
        <v>70</v>
      </c>
      <c r="C82" s="163" t="s">
        <v>68</v>
      </c>
      <c r="D82" s="164">
        <f>D73/3.6/D71/(DAY(DATE(2026,7,0))*24)</f>
        <v>0</v>
      </c>
      <c r="E82" s="165">
        <f>E73/3.6/E71/(DAY(DATE(2026,7,0))*24)</f>
        <v>0</v>
      </c>
      <c r="F82" s="166">
        <f>F73/3.6/F71/(DATEDIF(DATE(2026,1,1),DATE(2026,7,1),"D")*24)</f>
        <v>0</v>
      </c>
      <c r="G82" s="167">
        <f>G73/3.6/G71/(DATEDIF(DATE(2026,1,1),DATE(2026,7,1),"D")*24)</f>
        <v>0</v>
      </c>
    </row>
    <row r="83" s="1" customFormat="1" ht="18" customHeight="1" spans="1:11">
      <c r="B83" s="168"/>
      <c r="C83" s="168"/>
      <c r="D83" s="5"/>
    </row>
    <row r="84" s="1" customFormat="1" ht="16.25" spans="1:11">
      <c r="A84" s="103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ht="14" spans="1:11">
      <c r="A85" s="126" t="s">
        <v>0</v>
      </c>
      <c r="B85" s="127" t="s">
        <v>85</v>
      </c>
      <c r="C85" s="127" t="s">
        <v>2</v>
      </c>
      <c r="D85" s="169" t="s">
        <v>86</v>
      </c>
      <c r="E85" s="129" t="s">
        <v>87</v>
      </c>
      <c r="F85" s="169" t="s">
        <v>102</v>
      </c>
      <c r="G85" s="169" t="s">
        <v>103</v>
      </c>
      <c r="H85" s="170"/>
      <c r="I85" s="170"/>
    </row>
    <row r="86" s="1" customFormat="1" ht="14" spans="1:11">
      <c r="A86" s="12"/>
      <c r="B86" s="13"/>
      <c r="C86" s="13"/>
      <c r="D86" s="169" t="s">
        <v>104</v>
      </c>
      <c r="E86" s="169" t="s">
        <v>104</v>
      </c>
      <c r="F86" s="13"/>
      <c r="G86" s="13"/>
      <c r="H86" s="170"/>
      <c r="I86" s="103"/>
    </row>
    <row r="87" s="1" customFormat="1" ht="14" spans="1:11">
      <c r="A87" s="27" t="s">
        <v>11</v>
      </c>
      <c r="B87" s="28" t="s">
        <v>12</v>
      </c>
      <c r="C87" s="29" t="s">
        <v>13</v>
      </c>
      <c r="D87" s="171">
        <v>0.7888</v>
      </c>
      <c r="E87" s="172">
        <f>D87</f>
        <v>0.7888</v>
      </c>
      <c r="F87" s="173">
        <f>F55+D87</f>
        <v>13.1888</v>
      </c>
      <c r="G87" s="173">
        <f>E87+I55</f>
        <v>13.1888</v>
      </c>
      <c r="H87" s="135"/>
      <c r="I87" s="135"/>
    </row>
    <row r="88" s="1" customFormat="1" ht="14" spans="1:11">
      <c r="A88" s="27" t="s">
        <v>14</v>
      </c>
      <c r="B88" s="28" t="s">
        <v>88</v>
      </c>
      <c r="C88" s="29" t="s">
        <v>16</v>
      </c>
      <c r="D88" s="174"/>
      <c r="E88" s="175">
        <f>D88</f>
        <v>0</v>
      </c>
      <c r="F88" s="176">
        <v>83197.81</v>
      </c>
      <c r="G88" s="176">
        <v>83197.81</v>
      </c>
      <c r="H88" s="111"/>
      <c r="I88" s="111"/>
    </row>
    <row r="89" s="1" customFormat="1" ht="14" spans="1:11">
      <c r="A89" s="27" t="s">
        <v>19</v>
      </c>
      <c r="B89" s="28" t="s">
        <v>89</v>
      </c>
      <c r="C89" s="29" t="s">
        <v>16</v>
      </c>
      <c r="D89" s="174"/>
      <c r="E89" s="175">
        <f>D89</f>
        <v>0</v>
      </c>
      <c r="F89" s="176">
        <v>83197.81</v>
      </c>
      <c r="G89" s="176">
        <v>83197.81</v>
      </c>
      <c r="H89" s="111"/>
      <c r="I89" s="111"/>
    </row>
    <row r="90" s="1" customFormat="1" ht="14" spans="1:11">
      <c r="A90" s="27" t="s">
        <v>21</v>
      </c>
      <c r="B90" s="41" t="s">
        <v>25</v>
      </c>
      <c r="C90" s="42" t="s">
        <v>26</v>
      </c>
      <c r="D90" s="174"/>
      <c r="E90" s="177">
        <f>D90+'26.5'!E90</f>
        <v>6355.62400900001</v>
      </c>
      <c r="F90" s="178">
        <f>F58+D90</f>
        <v>0</v>
      </c>
      <c r="G90" s="178">
        <f>E90+I58</f>
        <v>16864.724009</v>
      </c>
      <c r="H90" s="111"/>
      <c r="I90" s="111"/>
    </row>
    <row r="91" s="1" customFormat="1" ht="14" spans="1:11">
      <c r="A91" s="27" t="s">
        <v>24</v>
      </c>
      <c r="B91" s="41" t="s">
        <v>38</v>
      </c>
      <c r="C91" s="42" t="s">
        <v>23</v>
      </c>
      <c r="D91" s="174"/>
      <c r="E91" s="177">
        <f>D91+'26.5'!E91</f>
        <v>86.5</v>
      </c>
      <c r="F91" s="178">
        <f>F59+D91</f>
        <v>0</v>
      </c>
      <c r="G91" s="178">
        <f>E91+I59</f>
        <v>817.3</v>
      </c>
      <c r="H91" s="111"/>
      <c r="I91" s="111"/>
    </row>
    <row r="92" s="1" customFormat="1" ht="14" spans="1:11">
      <c r="A92" s="27" t="s">
        <v>27</v>
      </c>
      <c r="B92" s="41" t="s">
        <v>41</v>
      </c>
      <c r="C92" s="42" t="s">
        <v>42</v>
      </c>
      <c r="D92" s="174"/>
      <c r="E92" s="177">
        <f>D92+'26.5'!E92</f>
        <v>780380.88</v>
      </c>
      <c r="F92" s="178">
        <f>F60+D92</f>
        <v>0</v>
      </c>
      <c r="G92" s="178">
        <f>E92+I60</f>
        <v>3955940.88</v>
      </c>
      <c r="H92" s="111"/>
      <c r="I92" s="111"/>
    </row>
    <row r="93" s="1" customFormat="1" ht="14" spans="1:11">
      <c r="A93" s="27"/>
      <c r="B93" s="41" t="s">
        <v>90</v>
      </c>
      <c r="C93" s="42" t="s">
        <v>42</v>
      </c>
      <c r="D93" s="174"/>
      <c r="E93" s="177">
        <f>D93+'26.5'!E93</f>
        <v>0</v>
      </c>
      <c r="F93" s="178">
        <f>F61+D93</f>
        <v>0</v>
      </c>
      <c r="G93" s="178">
        <f>E93+I61</f>
        <v>3175560</v>
      </c>
      <c r="H93" s="111"/>
      <c r="I93" s="111"/>
    </row>
    <row r="94" s="1" customFormat="1" ht="14" spans="1:11">
      <c r="A94" s="27" t="s">
        <v>29</v>
      </c>
      <c r="B94" s="41" t="s">
        <v>52</v>
      </c>
      <c r="C94" s="42" t="s">
        <v>53</v>
      </c>
      <c r="D94" s="179" t="e">
        <f>D92/D90</f>
        <v>#DIV/0!</v>
      </c>
      <c r="E94" s="179">
        <f>E92/E90</f>
        <v>122.785878915261</v>
      </c>
      <c r="F94" s="179" t="e">
        <f>F92/F90</f>
        <v>#DIV/0!</v>
      </c>
      <c r="G94" s="179">
        <f>G92/G90</f>
        <v>234.568966434842</v>
      </c>
      <c r="H94" s="117"/>
      <c r="I94" s="117"/>
    </row>
    <row r="95" s="1" customFormat="1" ht="14" spans="1:11">
      <c r="A95" s="27" t="s">
        <v>31</v>
      </c>
      <c r="B95" s="41" t="s">
        <v>105</v>
      </c>
      <c r="C95" s="75" t="s">
        <v>68</v>
      </c>
      <c r="D95" s="180">
        <f>D90/3.6/D87/(DAY(DATE(2026,7,0))*24)</f>
        <v>0</v>
      </c>
      <c r="E95" s="80">
        <f>E90/3.6/E87/(DATEDIF(DATE(2026,1,1),DATE(2026,7,1),"D")*24)</f>
        <v>0.515227431745611</v>
      </c>
      <c r="F95" s="180">
        <f>F90/3.6/F87/(DAY(DATE(2026,7,0))*24)</f>
        <v>0</v>
      </c>
      <c r="G95" s="80">
        <f>G90/3.6/G87/(DATEDIF(DATE(2026,1,1),DATE(2026,7,1),"D")*24)</f>
        <v>0.0817676730059013</v>
      </c>
      <c r="H95" s="181"/>
      <c r="I95" s="181"/>
      <c r="K95" s="182"/>
    </row>
    <row r="96" s="1" customFormat="1" ht="14" spans="1:11">
      <c r="A96" s="27" t="s">
        <v>33</v>
      </c>
      <c r="B96" s="41" t="s">
        <v>72</v>
      </c>
      <c r="C96" s="42" t="s">
        <v>73</v>
      </c>
      <c r="D96" s="183" t="e">
        <f>D90/D89</f>
        <v>#DIV/0!</v>
      </c>
      <c r="E96" s="183" t="e">
        <f>E90/E89</f>
        <v>#DIV/0!</v>
      </c>
      <c r="F96" s="183">
        <f>F90/F89</f>
        <v>0</v>
      </c>
      <c r="G96" s="183">
        <f>G90/G89</f>
        <v>0.20270634538337</v>
      </c>
      <c r="H96" s="121"/>
      <c r="I96" s="121"/>
    </row>
    <row r="97" s="1" customFormat="1" ht="14" spans="1:9">
      <c r="A97" s="27" t="s">
        <v>37</v>
      </c>
      <c r="B97" s="41" t="s">
        <v>78</v>
      </c>
      <c r="C97" s="42" t="s">
        <v>79</v>
      </c>
      <c r="D97" s="184" t="e">
        <f>D92/D89</f>
        <v>#DIV/0!</v>
      </c>
      <c r="E97" s="184" t="e">
        <f>E92/E89</f>
        <v>#DIV/0!</v>
      </c>
      <c r="F97" s="184">
        <f>F92/F89</f>
        <v>0</v>
      </c>
      <c r="G97" s="184">
        <f>G92/G89</f>
        <v>47.5486179263613</v>
      </c>
      <c r="H97" s="123"/>
      <c r="I97" s="123"/>
    </row>
    <row r="98" s="1" customFormat="1" ht="14.75" spans="1:9">
      <c r="A98" s="124" t="s">
        <v>40</v>
      </c>
      <c r="B98" s="93" t="s">
        <v>81</v>
      </c>
      <c r="C98" s="94" t="s">
        <v>76</v>
      </c>
      <c r="D98" s="184" t="e">
        <f>D91*1000/D89</f>
        <v>#DIV/0!</v>
      </c>
      <c r="E98" s="184" t="e">
        <f>E91*1000/E89</f>
        <v>#DIV/0!</v>
      </c>
      <c r="F98" s="184">
        <f>F91*1000/F89</f>
        <v>0</v>
      </c>
      <c r="G98" s="184">
        <f>G91*1000/G89</f>
        <v>9.82357588499024</v>
      </c>
      <c r="H98" s="123"/>
      <c r="I98" s="123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&amp;C&amp;"Times New Roman,常规"&amp;20 2022&amp;"宋体,常规"年&amp;"Times New Roman,常规"6&amp;"宋体,常规"月份集团各锅炉站生产报表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 customWidth="1"/>
    <col min="15" max="16384" width="8.625" style="1" customWidth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</row>
    <row r="2" s="1" customFormat="1" ht="39.95" customHeight="1" spans="1:14">
      <c r="A2" s="12"/>
      <c r="B2" s="13"/>
      <c r="C2" s="13"/>
      <c r="D2" s="14" t="s">
        <v>5</v>
      </c>
      <c r="E2" s="14" t="s">
        <v>6</v>
      </c>
      <c r="F2" s="14" t="s">
        <v>7</v>
      </c>
      <c r="G2" s="15" t="s">
        <v>8</v>
      </c>
      <c r="H2" s="16" t="s">
        <v>9</v>
      </c>
      <c r="I2" s="17" t="s">
        <v>5</v>
      </c>
      <c r="J2" s="14" t="s">
        <v>6</v>
      </c>
      <c r="K2" s="14" t="s">
        <v>7</v>
      </c>
      <c r="L2" s="15" t="s">
        <v>10</v>
      </c>
      <c r="M2" s="16" t="s">
        <v>9</v>
      </c>
    </row>
    <row r="3" s="1" customFormat="1" ht="18" customHeight="1" spans="1:14">
      <c r="A3" s="18" t="s">
        <v>11</v>
      </c>
      <c r="B3" s="19" t="s">
        <v>12</v>
      </c>
      <c r="C3" s="20" t="s">
        <v>13</v>
      </c>
      <c r="D3" s="21">
        <v>348</v>
      </c>
      <c r="E3" s="22">
        <v>162</v>
      </c>
      <c r="F3" s="22"/>
      <c r="G3" s="23">
        <v>14</v>
      </c>
      <c r="H3" s="24">
        <f>E3+F3+G3</f>
        <v>176</v>
      </c>
      <c r="I3" s="25">
        <f>D3</f>
        <v>348</v>
      </c>
      <c r="J3" s="21">
        <f>E3</f>
        <v>162</v>
      </c>
      <c r="K3" s="21">
        <f>F3</f>
        <v>0</v>
      </c>
      <c r="L3" s="26">
        <f>G3</f>
        <v>14</v>
      </c>
      <c r="M3" s="24">
        <f t="shared" ref="M3:M12" si="0">J3+K3+L3</f>
        <v>176</v>
      </c>
    </row>
    <row r="4" s="1" customFormat="1" ht="18" customHeight="1" spans="1:14">
      <c r="A4" s="27" t="s">
        <v>14</v>
      </c>
      <c r="B4" s="28" t="s">
        <v>15</v>
      </c>
      <c r="C4" s="29" t="s">
        <v>16</v>
      </c>
      <c r="D4" s="30" t="s">
        <v>17</v>
      </c>
      <c r="E4" s="31"/>
      <c r="F4" s="32"/>
      <c r="G4" s="33"/>
      <c r="H4" s="34"/>
      <c r="I4" s="35" t="str">
        <f>D4</f>
        <v> -   </v>
      </c>
      <c r="J4" s="31">
        <f>E4</f>
        <v>0</v>
      </c>
      <c r="K4" s="36">
        <f>F4</f>
        <v>0</v>
      </c>
      <c r="L4" s="37">
        <f>G4</f>
        <v>0</v>
      </c>
      <c r="M4" s="34">
        <f t="shared" si="0"/>
        <v>0</v>
      </c>
    </row>
    <row r="5" s="1" customFormat="1" ht="18" customHeight="1" spans="1:14">
      <c r="A5" s="27"/>
      <c r="B5" s="28" t="s">
        <v>18</v>
      </c>
      <c r="C5" s="29" t="s">
        <v>16</v>
      </c>
      <c r="D5" s="30" t="s">
        <v>17</v>
      </c>
      <c r="E5" s="32">
        <v>55000</v>
      </c>
      <c r="F5" s="38">
        <v>0</v>
      </c>
      <c r="G5" s="39">
        <v>0</v>
      </c>
      <c r="H5" s="34">
        <f>E5+F5+G5</f>
        <v>55000</v>
      </c>
      <c r="I5" s="35" t="str">
        <f>D5</f>
        <v> -   </v>
      </c>
      <c r="J5" s="31">
        <f>E5</f>
        <v>55000</v>
      </c>
      <c r="K5" s="36">
        <f>F5</f>
        <v>0</v>
      </c>
      <c r="L5" s="37">
        <f>G5</f>
        <v>0</v>
      </c>
      <c r="M5" s="34">
        <f t="shared" si="0"/>
        <v>55000</v>
      </c>
    </row>
    <row r="6" s="1" customFormat="1" ht="18" customHeight="1" spans="1:14">
      <c r="A6" s="27" t="s">
        <v>19</v>
      </c>
      <c r="B6" s="28" t="s">
        <v>20</v>
      </c>
      <c r="C6" s="29" t="s">
        <v>16</v>
      </c>
      <c r="D6" s="30" t="s">
        <v>17</v>
      </c>
      <c r="E6" s="33">
        <f>E4</f>
        <v>0</v>
      </c>
      <c r="F6" s="33">
        <f>F4</f>
        <v>0</v>
      </c>
      <c r="G6" s="33">
        <f>G4</f>
        <v>0</v>
      </c>
      <c r="H6" s="34">
        <f>E6+F6+G6</f>
        <v>0</v>
      </c>
      <c r="I6" s="35" t="str">
        <f>D6</f>
        <v> -   </v>
      </c>
      <c r="J6" s="40">
        <f>E6</f>
        <v>0</v>
      </c>
      <c r="K6" s="40">
        <f>F6</f>
        <v>0</v>
      </c>
      <c r="L6" s="40">
        <f>G6</f>
        <v>0</v>
      </c>
      <c r="M6" s="34">
        <f t="shared" si="0"/>
        <v>0</v>
      </c>
    </row>
    <row r="7" s="2" customFormat="1" ht="18" customHeight="1" spans="1:14">
      <c r="A7" s="27" t="s">
        <v>21</v>
      </c>
      <c r="B7" s="41" t="s">
        <v>22</v>
      </c>
      <c r="C7" s="42" t="s">
        <v>23</v>
      </c>
      <c r="D7" s="39">
        <v>0</v>
      </c>
      <c r="E7" s="39">
        <v>0</v>
      </c>
      <c r="F7" s="39">
        <v>0</v>
      </c>
      <c r="G7" s="39"/>
      <c r="H7" s="34">
        <f>E7+F7+G7</f>
        <v>0</v>
      </c>
      <c r="I7" s="185">
        <f>D7+'26.6'!I7</f>
        <v>0</v>
      </c>
      <c r="J7" s="185">
        <f>E7+'26.6'!J7</f>
        <v>0</v>
      </c>
      <c r="K7" s="185">
        <f>F7+'26.6'!K7</f>
        <v>0</v>
      </c>
      <c r="L7" s="185">
        <f>G7+'26.6'!L7</f>
        <v>0</v>
      </c>
      <c r="M7" s="34">
        <f t="shared" si="0"/>
        <v>0</v>
      </c>
    </row>
    <row r="8" s="2" customFormat="1" ht="18" customHeight="1" spans="1:14">
      <c r="A8" s="27" t="s">
        <v>24</v>
      </c>
      <c r="B8" s="41" t="s">
        <v>25</v>
      </c>
      <c r="C8" s="42" t="s">
        <v>26</v>
      </c>
      <c r="D8" s="44"/>
      <c r="E8" s="39"/>
      <c r="F8" s="38"/>
      <c r="G8" s="33"/>
      <c r="H8" s="34"/>
      <c r="I8" s="185">
        <f>D8+'26.6'!I8</f>
        <v>1168258</v>
      </c>
      <c r="J8" s="185">
        <f>E8+'26.6'!J8</f>
        <v>267460.3967164</v>
      </c>
      <c r="K8" s="185">
        <f>F8+'26.6'!K8</f>
        <v>0</v>
      </c>
      <c r="L8" s="185">
        <f>G8+'26.6'!L8</f>
        <v>440887.508551189</v>
      </c>
      <c r="M8" s="34">
        <f t="shared" si="0"/>
        <v>708347.905267589</v>
      </c>
      <c r="N8" s="45"/>
    </row>
    <row r="9" s="2" customFormat="1" ht="18" customHeight="1" spans="1:14">
      <c r="A9" s="27" t="s">
        <v>27</v>
      </c>
      <c r="B9" s="41" t="s">
        <v>28</v>
      </c>
      <c r="C9" s="42" t="s">
        <v>26</v>
      </c>
      <c r="D9" s="39">
        <v>0</v>
      </c>
      <c r="E9" s="186">
        <f>[1]售热量!$O$25</f>
        <v>0</v>
      </c>
      <c r="F9" s="38"/>
      <c r="G9" s="38"/>
      <c r="H9" s="34">
        <f>E9+F9+G9</f>
        <v>0</v>
      </c>
      <c r="I9" s="185">
        <f>D9+'26.6'!I9</f>
        <v>0</v>
      </c>
      <c r="J9" s="185">
        <f>E9+'26.6'!J9</f>
        <v>8828</v>
      </c>
      <c r="K9" s="185">
        <f>F9+'26.6'!K9</f>
        <v>0</v>
      </c>
      <c r="L9" s="185">
        <f>G9+'26.6'!L9</f>
        <v>0</v>
      </c>
      <c r="M9" s="34">
        <f t="shared" si="0"/>
        <v>8828</v>
      </c>
    </row>
    <row r="10" s="2" customFormat="1" ht="18" customHeight="1" spans="1:14">
      <c r="A10" s="27" t="s">
        <v>29</v>
      </c>
      <c r="B10" s="41" t="s">
        <v>30</v>
      </c>
      <c r="C10" s="42" t="s">
        <v>23</v>
      </c>
      <c r="D10" s="39"/>
      <c r="E10" s="32"/>
      <c r="F10" s="38"/>
      <c r="G10" s="33"/>
      <c r="H10" s="34">
        <f>E10+F10+G10</f>
        <v>0</v>
      </c>
      <c r="I10" s="185">
        <f>D10+'26.6'!I10</f>
        <v>66226</v>
      </c>
      <c r="J10" s="185">
        <f>E10+'26.6'!J10</f>
        <v>21656</v>
      </c>
      <c r="K10" s="185">
        <f>F10+'26.6'!K10</f>
        <v>0</v>
      </c>
      <c r="L10" s="185">
        <f>G10+'26.6'!L10</f>
        <v>931</v>
      </c>
      <c r="M10" s="34">
        <f t="shared" si="0"/>
        <v>22587</v>
      </c>
    </row>
    <row r="11" s="2" customFormat="1" ht="18" customHeight="1" spans="1:14">
      <c r="A11" s="27" t="s">
        <v>31</v>
      </c>
      <c r="B11" s="41" t="s">
        <v>32</v>
      </c>
      <c r="C11" s="42" t="s">
        <v>23</v>
      </c>
      <c r="D11" s="39"/>
      <c r="E11" s="39">
        <v>0</v>
      </c>
      <c r="F11" s="39"/>
      <c r="G11" s="39"/>
      <c r="H11" s="34">
        <f>E11+F11+G11</f>
        <v>0</v>
      </c>
      <c r="I11" s="185">
        <f>D11+'26.6'!I11</f>
        <v>16.2</v>
      </c>
      <c r="J11" s="185">
        <f>E11+'26.6'!J11</f>
        <v>0</v>
      </c>
      <c r="K11" s="185">
        <f>F11+'26.6'!K11</f>
        <v>0</v>
      </c>
      <c r="L11" s="185">
        <f>G11+'26.6'!L11</f>
        <v>0</v>
      </c>
      <c r="M11" s="34">
        <f t="shared" si="0"/>
        <v>0</v>
      </c>
    </row>
    <row r="12" s="2" customFormat="1" ht="18" customHeight="1" spans="1:14">
      <c r="A12" s="27" t="s">
        <v>33</v>
      </c>
      <c r="B12" s="41" t="s">
        <v>34</v>
      </c>
      <c r="C12" s="42" t="s">
        <v>23</v>
      </c>
      <c r="D12" s="44">
        <f>D13+D14</f>
        <v>0</v>
      </c>
      <c r="E12" s="44">
        <f>E13+E14</f>
        <v>0</v>
      </c>
      <c r="F12" s="44">
        <f>F13+F14</f>
        <v>0</v>
      </c>
      <c r="G12" s="44">
        <f>G13+G14</f>
        <v>0</v>
      </c>
      <c r="H12" s="34">
        <f>E12+F12+G12</f>
        <v>0</v>
      </c>
      <c r="I12" s="185">
        <f>D12+'26.6'!I12</f>
        <v>43472.2579475284</v>
      </c>
      <c r="J12" s="185">
        <f>E12+'26.6'!J12</f>
        <v>13036.909</v>
      </c>
      <c r="K12" s="185">
        <f>F12+'26.6'!K12</f>
        <v>0</v>
      </c>
      <c r="L12" s="185">
        <f>G12+'26.6'!L12</f>
        <v>620.280370522607</v>
      </c>
      <c r="M12" s="34">
        <f t="shared" si="0"/>
        <v>13657.1893705226</v>
      </c>
    </row>
    <row r="13" s="2" customFormat="1" ht="18" customHeight="1" spans="1:14">
      <c r="A13" s="27"/>
      <c r="B13" s="41" t="s">
        <v>35</v>
      </c>
      <c r="C13" s="42" t="s">
        <v>23</v>
      </c>
      <c r="D13" s="39"/>
      <c r="E13" s="39"/>
      <c r="F13" s="39"/>
      <c r="G13" s="44"/>
      <c r="H13" s="47"/>
      <c r="I13" s="185">
        <f>D13+'26.6'!I13</f>
        <v>43448.6529275284</v>
      </c>
      <c r="J13" s="185">
        <f>E13+'26.6'!J13</f>
        <v>13036.909</v>
      </c>
      <c r="K13" s="185">
        <f>F13+'26.6'!K13</f>
        <v>0</v>
      </c>
      <c r="L13" s="185">
        <f>G13+'26.6'!L13</f>
        <v>620.280370522607</v>
      </c>
      <c r="M13" s="47"/>
    </row>
    <row r="14" s="2" customFormat="1" ht="18" customHeight="1" spans="1:14">
      <c r="A14" s="27"/>
      <c r="B14" s="41" t="s">
        <v>36</v>
      </c>
      <c r="C14" s="42" t="s">
        <v>23</v>
      </c>
      <c r="D14" s="44"/>
      <c r="E14" s="39"/>
      <c r="F14" s="39"/>
      <c r="G14" s="39"/>
      <c r="H14" s="47"/>
      <c r="I14" s="185">
        <f>D14+'26.6'!I14</f>
        <v>23.60502</v>
      </c>
      <c r="J14" s="185">
        <f>E14+'26.6'!J14</f>
        <v>0</v>
      </c>
      <c r="K14" s="185">
        <f>F14+'26.6'!K14</f>
        <v>0</v>
      </c>
      <c r="L14" s="185">
        <f>G14+'26.6'!L14</f>
        <v>0</v>
      </c>
      <c r="M14" s="47"/>
    </row>
    <row r="15" s="2" customFormat="1" ht="18" customHeight="1" spans="1:14">
      <c r="A15" s="27" t="s">
        <v>37</v>
      </c>
      <c r="B15" s="41" t="s">
        <v>38</v>
      </c>
      <c r="C15" s="42" t="s">
        <v>23</v>
      </c>
      <c r="D15" s="39"/>
      <c r="E15" s="48"/>
      <c r="F15" s="38"/>
      <c r="G15" s="33"/>
      <c r="H15" s="34"/>
      <c r="I15" s="185">
        <f>D15+'26.6'!I15</f>
        <v>23540</v>
      </c>
      <c r="J15" s="185">
        <f>E15+'26.6'!J15</f>
        <v>43463</v>
      </c>
      <c r="K15" s="185">
        <f>F15+'26.6'!K15</f>
        <v>0</v>
      </c>
      <c r="L15" s="185">
        <f>G15+'26.6'!L15</f>
        <v>97382</v>
      </c>
      <c r="M15" s="34">
        <f>J15+K15+L15</f>
        <v>140845</v>
      </c>
    </row>
    <row r="16" s="2" customFormat="1" ht="18" customHeight="1" spans="1:14">
      <c r="A16" s="27"/>
      <c r="B16" s="41" t="s">
        <v>39</v>
      </c>
      <c r="C16" s="42" t="s">
        <v>23</v>
      </c>
      <c r="D16" s="39"/>
      <c r="E16" s="48"/>
      <c r="F16" s="38"/>
      <c r="G16" s="38"/>
      <c r="H16" s="34"/>
      <c r="I16" s="185">
        <f>D16+'26.6'!I16</f>
        <v>2975</v>
      </c>
      <c r="J16" s="185">
        <f>E16+'26.6'!J16</f>
        <v>0</v>
      </c>
      <c r="K16" s="185">
        <f>F16+'26.6'!K16</f>
        <v>0</v>
      </c>
      <c r="L16" s="185">
        <f>G16+'26.6'!L16</f>
        <v>0</v>
      </c>
      <c r="M16" s="34">
        <f>J16+K16+L16</f>
        <v>0</v>
      </c>
    </row>
    <row r="17" s="2" customFormat="1" ht="18" customHeight="1" spans="1:14">
      <c r="A17" s="27" t="s">
        <v>40</v>
      </c>
      <c r="B17" s="41" t="s">
        <v>41</v>
      </c>
      <c r="C17" s="42" t="s">
        <v>42</v>
      </c>
      <c r="D17" s="44"/>
      <c r="E17" s="48"/>
      <c r="F17" s="38"/>
      <c r="G17" s="33"/>
      <c r="H17" s="34"/>
      <c r="I17" s="185">
        <f>D17+'26.6'!I17</f>
        <v>8122792</v>
      </c>
      <c r="J17" s="185">
        <f>E17+'26.6'!J17</f>
        <v>3287588</v>
      </c>
      <c r="K17" s="49"/>
      <c r="L17" s="185">
        <f>G17+'26.6'!L17</f>
        <v>2263757.5</v>
      </c>
      <c r="M17" s="34">
        <f>J17+K17+L17</f>
        <v>5551345.5</v>
      </c>
    </row>
    <row r="18" s="2" customFormat="1" ht="18" customHeight="1" spans="1:14">
      <c r="A18" s="27"/>
      <c r="B18" s="41" t="s">
        <v>43</v>
      </c>
      <c r="C18" s="42" t="s">
        <v>42</v>
      </c>
      <c r="D18" s="39"/>
      <c r="E18" s="48"/>
      <c r="F18" s="38"/>
      <c r="G18" s="38"/>
      <c r="H18" s="47"/>
      <c r="I18" s="185">
        <f>D18+'26.6'!I18</f>
        <v>8122792</v>
      </c>
      <c r="J18" s="185">
        <f>E18+'26.6'!J18</f>
        <v>0</v>
      </c>
      <c r="K18" s="185">
        <f>F18+'26.6'!K18</f>
        <v>0</v>
      </c>
      <c r="L18" s="185">
        <f>G18+'26.6'!L18</f>
        <v>0</v>
      </c>
      <c r="M18" s="47"/>
    </row>
    <row r="19" s="2" customFormat="1" ht="18" customHeight="1" spans="1:14">
      <c r="A19" s="27"/>
      <c r="B19" s="41" t="s">
        <v>44</v>
      </c>
      <c r="C19" s="42" t="s">
        <v>42</v>
      </c>
      <c r="D19" s="39"/>
      <c r="E19" s="48"/>
      <c r="F19" s="33"/>
      <c r="G19" s="33"/>
      <c r="H19" s="47"/>
      <c r="I19" s="185">
        <f>D19+'26.6'!I19</f>
        <v>0</v>
      </c>
      <c r="J19" s="50"/>
      <c r="K19" s="185">
        <f>F19+'26.6'!K19</f>
        <v>0</v>
      </c>
      <c r="L19" s="185">
        <f>G19+'26.6'!L19</f>
        <v>2263757.5</v>
      </c>
      <c r="M19" s="47"/>
    </row>
    <row r="20" s="2" customFormat="1" ht="18" customHeight="1" spans="1:14">
      <c r="A20" s="27"/>
      <c r="B20" s="41" t="s">
        <v>45</v>
      </c>
      <c r="C20" s="42" t="s">
        <v>23</v>
      </c>
      <c r="D20" s="39"/>
      <c r="E20" s="48"/>
      <c r="F20" s="38"/>
      <c r="G20" s="38"/>
      <c r="H20" s="47"/>
      <c r="I20" s="185">
        <f>D20+'26.6'!I20</f>
        <v>21425</v>
      </c>
      <c r="J20" s="185">
        <f>E20+'26.6'!J20</f>
        <v>0</v>
      </c>
      <c r="K20" s="185">
        <f>F20+'26.6'!K20</f>
        <v>0</v>
      </c>
      <c r="L20" s="185">
        <f>G20+'26.6'!L20</f>
        <v>0</v>
      </c>
      <c r="M20" s="47"/>
    </row>
    <row r="21" s="2" customFormat="1" ht="18" customHeight="1" spans="1:14">
      <c r="A21" s="27"/>
      <c r="B21" s="41" t="s">
        <v>46</v>
      </c>
      <c r="C21" s="42" t="s">
        <v>42</v>
      </c>
      <c r="D21" s="39"/>
      <c r="E21" s="48"/>
      <c r="F21" s="38"/>
      <c r="G21" s="38"/>
      <c r="H21" s="47"/>
      <c r="I21" s="185">
        <f>D21+'26.6'!I21</f>
        <v>929610.099999999</v>
      </c>
      <c r="J21" s="185">
        <f>E21+'26.6'!J21</f>
        <v>0</v>
      </c>
      <c r="K21" s="185">
        <f>F21+'26.6'!K21</f>
        <v>0</v>
      </c>
      <c r="L21" s="185">
        <f>G21+'26.6'!L21</f>
        <v>0</v>
      </c>
      <c r="M21" s="47"/>
    </row>
    <row r="22" s="2" customFormat="1" ht="14" spans="1:14">
      <c r="A22" s="51" t="s">
        <v>47</v>
      </c>
      <c r="B22" s="52" t="s">
        <v>48</v>
      </c>
      <c r="C22" s="53" t="s">
        <v>23</v>
      </c>
      <c r="D22" s="33"/>
      <c r="E22" s="54"/>
      <c r="F22" s="54"/>
      <c r="G22" s="54"/>
      <c r="H22" s="55"/>
      <c r="I22" s="185">
        <f>D22+'26.6'!I22</f>
        <v>1071.51</v>
      </c>
      <c r="J22" s="185">
        <f>E22+'26.6'!J22</f>
        <v>69.155</v>
      </c>
      <c r="K22" s="185">
        <f>F22+'26.6'!K22</f>
        <v>0</v>
      </c>
      <c r="L22" s="185">
        <f>G22+'26.6'!L22</f>
        <v>13.375</v>
      </c>
      <c r="M22" s="56">
        <f>J22+K22+L22</f>
        <v>82.53</v>
      </c>
      <c r="N22" s="1"/>
    </row>
    <row r="23" s="2" customFormat="1" ht="21" customHeight="1" spans="1:14">
      <c r="A23" s="51" t="s">
        <v>49</v>
      </c>
      <c r="B23" s="52" t="s">
        <v>50</v>
      </c>
      <c r="C23" s="53" t="s">
        <v>23</v>
      </c>
      <c r="D23" s="33"/>
      <c r="E23" s="54"/>
      <c r="F23" s="54"/>
      <c r="G23" s="54"/>
      <c r="H23" s="55"/>
      <c r="I23" s="185">
        <f>D23+'26.6'!I23</f>
        <v>371.77</v>
      </c>
      <c r="J23" s="185">
        <f>E23+'26.6'!J23</f>
        <v>49.29</v>
      </c>
      <c r="K23" s="185">
        <f>F23+'26.6'!K23</f>
        <v>0</v>
      </c>
      <c r="L23" s="185">
        <f>G23+'26.6'!L23</f>
        <v>4.025</v>
      </c>
      <c r="M23" s="56">
        <f>J23+K23+L23</f>
        <v>53.315</v>
      </c>
      <c r="N23" s="1"/>
    </row>
    <row r="24" s="2" customFormat="1" ht="18" customHeight="1" spans="1:14">
      <c r="A24" s="51" t="s">
        <v>51</v>
      </c>
      <c r="B24" s="41" t="s">
        <v>52</v>
      </c>
      <c r="C24" s="42" t="s">
        <v>53</v>
      </c>
      <c r="D24" s="57" t="e">
        <f t="shared" ref="D24:M24" si="1">D17/D8</f>
        <v>#DIV/0!</v>
      </c>
      <c r="E24" s="57" t="e">
        <f t="shared" si="1"/>
        <v>#DIV/0!</v>
      </c>
      <c r="F24" s="57" t="e">
        <f t="shared" si="1"/>
        <v>#DIV/0!</v>
      </c>
      <c r="G24" s="57" t="e">
        <f t="shared" si="1"/>
        <v>#DIV/0!</v>
      </c>
      <c r="H24" s="58" t="e">
        <f t="shared" si="1"/>
        <v>#DIV/0!</v>
      </c>
      <c r="I24" s="59">
        <f t="shared" si="1"/>
        <v>6.95290937447036</v>
      </c>
      <c r="J24" s="57">
        <f t="shared" si="1"/>
        <v>12.2918684050483</v>
      </c>
      <c r="K24" s="57" t="e">
        <f t="shared" si="1"/>
        <v>#DIV/0!</v>
      </c>
      <c r="L24" s="57">
        <f t="shared" si="1"/>
        <v>5.13454669523069</v>
      </c>
      <c r="M24" s="58">
        <f t="shared" si="1"/>
        <v>7.83703242251122</v>
      </c>
    </row>
    <row r="25" s="2" customFormat="1" ht="18" customHeight="1" spans="1:14">
      <c r="A25" s="51" t="s">
        <v>54</v>
      </c>
      <c r="B25" s="41" t="s">
        <v>55</v>
      </c>
      <c r="C25" s="42" t="s">
        <v>56</v>
      </c>
      <c r="D25" s="57" t="e">
        <f t="shared" ref="D25:M25" si="2">D12*1000/D8</f>
        <v>#DIV/0!</v>
      </c>
      <c r="E25" s="57" t="e">
        <f t="shared" si="2"/>
        <v>#DIV/0!</v>
      </c>
      <c r="F25" s="57" t="e">
        <f t="shared" si="2"/>
        <v>#DIV/0!</v>
      </c>
      <c r="G25" s="57" t="e">
        <f t="shared" si="2"/>
        <v>#DIV/0!</v>
      </c>
      <c r="H25" s="58" t="e">
        <f t="shared" si="2"/>
        <v>#DIV/0!</v>
      </c>
      <c r="I25" s="59">
        <f t="shared" si="2"/>
        <v>37.2111793349829</v>
      </c>
      <c r="J25" s="57">
        <f t="shared" si="2"/>
        <v>48.7433248438034</v>
      </c>
      <c r="K25" s="57" t="e">
        <f t="shared" si="2"/>
        <v>#DIV/0!</v>
      </c>
      <c r="L25" s="57">
        <f t="shared" si="2"/>
        <v>1.40689032574528</v>
      </c>
      <c r="M25" s="58">
        <f t="shared" si="2"/>
        <v>19.2803412969272</v>
      </c>
    </row>
    <row r="26" s="3" customFormat="1" ht="18" customHeight="1" spans="1:14">
      <c r="A26" s="51" t="s">
        <v>57</v>
      </c>
      <c r="B26" s="41" t="s">
        <v>58</v>
      </c>
      <c r="C26" s="60" t="s">
        <v>23</v>
      </c>
      <c r="D26" s="33"/>
      <c r="E26" s="61"/>
      <c r="F26" s="62"/>
      <c r="G26" s="33"/>
      <c r="H26" s="63"/>
      <c r="I26" s="185">
        <f>D26+'26.6'!I26</f>
        <v>23988</v>
      </c>
      <c r="J26" s="185">
        <f>E26+'26.6'!J26</f>
        <v>13379</v>
      </c>
      <c r="K26" s="185">
        <f>F26+'26.6'!K26</f>
        <v>0</v>
      </c>
      <c r="L26" s="185">
        <f>G26+'26.6'!L26</f>
        <v>119</v>
      </c>
      <c r="M26" s="63">
        <f>J26+K26+L26</f>
        <v>13498</v>
      </c>
    </row>
    <row r="27" s="3" customFormat="1" ht="18" customHeight="1" spans="1:14">
      <c r="A27" s="51" t="s">
        <v>59</v>
      </c>
      <c r="B27" s="41" t="s">
        <v>60</v>
      </c>
      <c r="C27" s="60" t="s">
        <v>23</v>
      </c>
      <c r="D27" s="48"/>
      <c r="E27" s="64">
        <f>J27</f>
        <v>4292.7</v>
      </c>
      <c r="F27" s="64"/>
      <c r="G27" s="64">
        <f>L27</f>
        <v>296.500000000023</v>
      </c>
      <c r="H27" s="65"/>
      <c r="I27" s="66"/>
      <c r="J27" s="187">
        <f>'26.6'!J27+E26-E10</f>
        <v>4292.7</v>
      </c>
      <c r="K27" s="187">
        <f>'26.6'!K27+F26-F10</f>
        <v>0</v>
      </c>
      <c r="L27" s="187">
        <f>'26.6'!L27+G26-G10</f>
        <v>296.500000000023</v>
      </c>
      <c r="M27" s="68">
        <f>J27+K27+L27</f>
        <v>4589.20000000002</v>
      </c>
    </row>
    <row r="28" s="2" customFormat="1" ht="18" customHeight="1" spans="1:14">
      <c r="A28" s="51" t="s">
        <v>61</v>
      </c>
      <c r="B28" s="41" t="s">
        <v>62</v>
      </c>
      <c r="C28" s="42" t="s">
        <v>63</v>
      </c>
      <c r="D28" s="69" t="e">
        <f>D13*29308/D10</f>
        <v>#DIV/0!</v>
      </c>
      <c r="E28" s="69" t="e">
        <f>E12*29308/E10</f>
        <v>#DIV/0!</v>
      </c>
      <c r="F28" s="69" t="e">
        <f>F12*29308/F10</f>
        <v>#DIV/0!</v>
      </c>
      <c r="G28" s="69" t="e">
        <f>G12*29308/G10</f>
        <v>#DIV/0!</v>
      </c>
      <c r="H28" s="69" t="e">
        <f>H12*29308/H10</f>
        <v>#DIV/0!</v>
      </c>
      <c r="I28" s="70">
        <f>I13*29308/I10</f>
        <v>19227.9938392777</v>
      </c>
      <c r="J28" s="44">
        <f>J12*29308/J10</f>
        <v>17643.4119399704</v>
      </c>
      <c r="K28" s="44" t="e">
        <f>K12*29308/K10</f>
        <v>#DIV/0!</v>
      </c>
      <c r="L28" s="44">
        <f>L12*29308/L10</f>
        <v>19526.5060142605</v>
      </c>
      <c r="M28" s="69">
        <f>M12*29308/M10</f>
        <v>17721.0300646955</v>
      </c>
    </row>
    <row r="29" s="2" customFormat="1" ht="18" customHeight="1" spans="1:14">
      <c r="A29" s="51" t="s">
        <v>64</v>
      </c>
      <c r="B29" s="41" t="s">
        <v>65</v>
      </c>
      <c r="C29" s="42" t="s">
        <v>63</v>
      </c>
      <c r="D29" s="71"/>
      <c r="E29" s="39"/>
      <c r="F29" s="39"/>
      <c r="G29" s="72"/>
      <c r="H29" s="73"/>
      <c r="I29" s="74"/>
      <c r="J29" s="39"/>
      <c r="K29" s="39"/>
      <c r="L29" s="72"/>
      <c r="M29" s="73"/>
    </row>
    <row r="30" s="2" customFormat="1" ht="18" customHeight="1" spans="1:14">
      <c r="A30" s="51" t="s">
        <v>66</v>
      </c>
      <c r="B30" s="41" t="s">
        <v>67</v>
      </c>
      <c r="C30" s="75" t="s">
        <v>68</v>
      </c>
      <c r="D30" s="76" t="e">
        <f>D8/(D12*29.308)</f>
        <v>#DIV/0!</v>
      </c>
      <c r="E30" s="76" t="e">
        <f>E8/(E12*29.308)</f>
        <v>#DIV/0!</v>
      </c>
      <c r="F30" s="76" t="e">
        <f>F8/(F12*29.308)</f>
        <v>#DIV/0!</v>
      </c>
      <c r="G30" s="76" t="e">
        <f>(G8-G36)/(G12*29.308)</f>
        <v>#DIV/0!</v>
      </c>
      <c r="H30" s="77" t="e">
        <f t="shared" ref="H30:M30" si="3">H8/(H12*29.308)</f>
        <v>#DIV/0!</v>
      </c>
      <c r="I30" s="78">
        <f t="shared" si="3"/>
        <v>0.916938868875932</v>
      </c>
      <c r="J30" s="76">
        <f t="shared" si="3"/>
        <v>0.700001011385589</v>
      </c>
      <c r="K30" s="76" t="e">
        <f t="shared" si="3"/>
        <v>#DIV/0!</v>
      </c>
      <c r="L30" s="76">
        <f t="shared" si="3"/>
        <v>24.2523358534603</v>
      </c>
      <c r="M30" s="77">
        <f t="shared" si="3"/>
        <v>1.76969775397059</v>
      </c>
    </row>
    <row r="31" s="2" customFormat="1" ht="18" customHeight="1" spans="1:14">
      <c r="A31" s="51" t="s">
        <v>69</v>
      </c>
      <c r="B31" s="41" t="s">
        <v>70</v>
      </c>
      <c r="C31" s="75" t="s">
        <v>68</v>
      </c>
      <c r="D31" s="79">
        <f>D8/3.6/D3/(DAY(DATE(2026,8,0))*24)</f>
        <v>0</v>
      </c>
      <c r="E31" s="79">
        <f>E8/3.6/E3/(DAY(DATE(2026,8,0))*24)</f>
        <v>0</v>
      </c>
      <c r="F31" s="79" t="e">
        <f>F8/3.6/F3/(DAY(DATE(2026,8,0))*24)</f>
        <v>#DIV/0!</v>
      </c>
      <c r="G31" s="79">
        <f>(G8-G36)/3.6/G3/(DAY(DATE(2026,8,0))*24)</f>
        <v>0</v>
      </c>
      <c r="H31" s="80">
        <f>H8/3.6/H3/(DAY(DATE(2026,8,0))*24)</f>
        <v>0</v>
      </c>
      <c r="I31" s="81">
        <f>I8/3.6/I3/(DATEDIF(DATE(2026,1,1),DATE(2026,8,1),"D")*24)</f>
        <v>0.183277822457569</v>
      </c>
      <c r="J31" s="79">
        <f>J8/3.6/J3/(DATEDIF(DATE(2026,1,1),DATE(2026,8,1),"D")*24)</f>
        <v>0.0901352912729109</v>
      </c>
      <c r="K31" s="79" t="e">
        <f>K8/3.6/K3/(DATEDIF(DATE(2026,1,1),DATE(2026,8,1),"D")*24)</f>
        <v>#DIV/0!</v>
      </c>
      <c r="L31" s="79">
        <f>(L8-L36)/3.6/L3/(DATEDIF(DATE(2026,1,1),DATE(2026,8,1),"D")*24)</f>
        <v>0.0425351455306798</v>
      </c>
      <c r="M31" s="80">
        <f>M8/3.6/M3/(DATEDIF(DATE(2026,1,1),DATE(2026,8,1),"D")*24)</f>
        <v>0.219727463705571</v>
      </c>
    </row>
    <row r="32" s="2" customFormat="1" ht="18" customHeight="1" spans="1:14">
      <c r="A32" s="51" t="s">
        <v>71</v>
      </c>
      <c r="B32" s="41" t="s">
        <v>72</v>
      </c>
      <c r="C32" s="42" t="s">
        <v>73</v>
      </c>
      <c r="D32" s="82"/>
      <c r="E32" s="83" t="e">
        <f>E8/E6</f>
        <v>#DIV/0!</v>
      </c>
      <c r="F32" s="83" t="e">
        <f>F8/F6</f>
        <v>#DIV/0!</v>
      </c>
      <c r="G32" s="83" t="e">
        <f>G8/G6</f>
        <v>#DIV/0!</v>
      </c>
      <c r="H32" s="83" t="e">
        <f>H8/H6</f>
        <v>#DIV/0!</v>
      </c>
      <c r="I32" s="84"/>
      <c r="J32" s="83" t="e">
        <f>J8/J6</f>
        <v>#DIV/0!</v>
      </c>
      <c r="K32" s="83" t="e">
        <f>K8/K6</f>
        <v>#DIV/0!</v>
      </c>
      <c r="L32" s="83" t="e">
        <f>L8/L6</f>
        <v>#DIV/0!</v>
      </c>
      <c r="M32" s="85" t="e">
        <f>M8/M6</f>
        <v>#DIV/0!</v>
      </c>
    </row>
    <row r="33" s="2" customFormat="1" ht="18" customHeight="1" spans="1:13">
      <c r="A33" s="51" t="s">
        <v>74</v>
      </c>
      <c r="B33" s="41" t="s">
        <v>75</v>
      </c>
      <c r="C33" s="42" t="s">
        <v>76</v>
      </c>
      <c r="D33" s="86"/>
      <c r="E33" s="87" t="e">
        <f>E12*1000/E6</f>
        <v>#DIV/0!</v>
      </c>
      <c r="F33" s="87" t="e">
        <f>F12*1000/F6</f>
        <v>#DIV/0!</v>
      </c>
      <c r="G33" s="87" t="e">
        <f>G12*1000/G6</f>
        <v>#DIV/0!</v>
      </c>
      <c r="H33" s="88" t="e">
        <f>H12*1000/H6</f>
        <v>#DIV/0!</v>
      </c>
      <c r="I33" s="89"/>
      <c r="J33" s="87" t="e">
        <f>J12*1000/J6</f>
        <v>#DIV/0!</v>
      </c>
      <c r="K33" s="87" t="e">
        <f>K12*1000/K6</f>
        <v>#DIV/0!</v>
      </c>
      <c r="L33" s="87" t="e">
        <f>L12*1000/L6</f>
        <v>#DIV/0!</v>
      </c>
      <c r="M33" s="88" t="e">
        <f>M12*1000/M6</f>
        <v>#DIV/0!</v>
      </c>
    </row>
    <row r="34" s="2" customFormat="1" ht="18" customHeight="1" spans="1:13">
      <c r="A34" s="51" t="s">
        <v>77</v>
      </c>
      <c r="B34" s="41" t="s">
        <v>78</v>
      </c>
      <c r="C34" s="42" t="s">
        <v>79</v>
      </c>
      <c r="D34" s="90"/>
      <c r="E34" s="87" t="e">
        <f>E17/E6</f>
        <v>#DIV/0!</v>
      </c>
      <c r="F34" s="87" t="e">
        <f>F17/F6</f>
        <v>#DIV/0!</v>
      </c>
      <c r="G34" s="87" t="e">
        <f>G17/G6</f>
        <v>#DIV/0!</v>
      </c>
      <c r="H34" s="88" t="e">
        <f>H17/H6</f>
        <v>#DIV/0!</v>
      </c>
      <c r="I34" s="91"/>
      <c r="J34" s="87" t="e">
        <f>J17/J6</f>
        <v>#DIV/0!</v>
      </c>
      <c r="K34" s="87" t="e">
        <f>K17/K6</f>
        <v>#DIV/0!</v>
      </c>
      <c r="L34" s="87" t="e">
        <f>L17/L6</f>
        <v>#DIV/0!</v>
      </c>
      <c r="M34" s="88" t="e">
        <f>M17/M6</f>
        <v>#DIV/0!</v>
      </c>
    </row>
    <row r="35" s="2" customFormat="1" ht="18" customHeight="1" spans="1:13">
      <c r="A35" s="92" t="s">
        <v>80</v>
      </c>
      <c r="B35" s="93" t="s">
        <v>81</v>
      </c>
      <c r="C35" s="94" t="s">
        <v>76</v>
      </c>
      <c r="D35" s="95"/>
      <c r="E35" s="96" t="e">
        <f>E15*1000/E6</f>
        <v>#DIV/0!</v>
      </c>
      <c r="F35" s="96" t="e">
        <f>F15*1000/F6</f>
        <v>#DIV/0!</v>
      </c>
      <c r="G35" s="96" t="e">
        <f>G15*1000/G6</f>
        <v>#DIV/0!</v>
      </c>
      <c r="H35" s="97" t="e">
        <f>H15*1000/H6</f>
        <v>#DIV/0!</v>
      </c>
      <c r="I35" s="98"/>
      <c r="J35" s="96" t="e">
        <f>J15*1000/J6</f>
        <v>#DIV/0!</v>
      </c>
      <c r="K35" s="96" t="e">
        <f>K15*1000/K6</f>
        <v>#DIV/0!</v>
      </c>
      <c r="L35" s="96" t="e">
        <f>L15*1000/L6</f>
        <v>#DIV/0!</v>
      </c>
      <c r="M35" s="97" t="e">
        <f>M15*1000/M6</f>
        <v>#DIV/0!</v>
      </c>
    </row>
    <row r="36" s="2" customFormat="1" ht="21" customHeight="1" spans="1:13">
      <c r="A36" s="99"/>
      <c r="B36" s="100" t="s">
        <v>82</v>
      </c>
      <c r="C36" s="101" t="s">
        <v>26</v>
      </c>
      <c r="D36" s="102"/>
      <c r="E36" s="102"/>
      <c r="F36" s="102"/>
      <c r="G36" s="102"/>
      <c r="H36" s="102"/>
      <c r="I36" s="102"/>
      <c r="J36" s="102"/>
      <c r="K36" s="102"/>
      <c r="L36" s="185">
        <f>G36+'26.6'!L36</f>
        <v>429980</v>
      </c>
      <c r="M36" s="102"/>
    </row>
    <row r="37" s="1" customFormat="1" ht="29.25" customHeight="1" spans="1:13">
      <c r="A37" s="103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3">
      <c r="A38" s="104" t="s">
        <v>0</v>
      </c>
      <c r="B38" s="105" t="s">
        <v>85</v>
      </c>
      <c r="C38" s="105" t="s">
        <v>2</v>
      </c>
      <c r="D38" s="106" t="s">
        <v>86</v>
      </c>
      <c r="E38" s="107" t="s">
        <v>87</v>
      </c>
      <c r="F38" s="2"/>
      <c r="G38" s="2"/>
      <c r="H38" s="2"/>
    </row>
    <row r="39" s="1" customFormat="1" ht="27.95" customHeight="1" spans="1:13">
      <c r="A39" s="27" t="s">
        <v>11</v>
      </c>
      <c r="B39" s="28" t="s">
        <v>12</v>
      </c>
      <c r="C39" s="29" t="s">
        <v>13</v>
      </c>
      <c r="D39" s="108">
        <v>0.55</v>
      </c>
      <c r="E39" s="109">
        <v>0.55</v>
      </c>
      <c r="F39" s="2"/>
      <c r="G39" s="2"/>
      <c r="H39" s="2"/>
    </row>
    <row r="40" s="1" customFormat="1" ht="27.95" customHeight="1" spans="1:13">
      <c r="A40" s="27" t="s">
        <v>14</v>
      </c>
      <c r="B40" s="28" t="s">
        <v>88</v>
      </c>
      <c r="C40" s="29" t="s">
        <v>16</v>
      </c>
      <c r="D40" s="110"/>
      <c r="E40" s="111">
        <f>D40</f>
        <v>0</v>
      </c>
      <c r="F40" s="2"/>
      <c r="G40" s="2"/>
      <c r="H40" s="2"/>
    </row>
    <row r="41" s="1" customFormat="1" ht="27.95" customHeight="1" spans="1:13">
      <c r="A41" s="27" t="s">
        <v>19</v>
      </c>
      <c r="B41" s="28" t="s">
        <v>89</v>
      </c>
      <c r="C41" s="29" t="s">
        <v>16</v>
      </c>
      <c r="D41" s="112"/>
      <c r="E41" s="113">
        <f>D41</f>
        <v>0</v>
      </c>
      <c r="F41" s="2"/>
      <c r="G41" s="2"/>
      <c r="H41" s="2"/>
    </row>
    <row r="42" s="1" customFormat="1" ht="27.95" customHeight="1" spans="1:13">
      <c r="A42" s="27" t="s">
        <v>21</v>
      </c>
      <c r="B42" s="41" t="s">
        <v>25</v>
      </c>
      <c r="C42" s="42" t="s">
        <v>26</v>
      </c>
      <c r="D42" s="114"/>
      <c r="E42" s="188">
        <f>D42+'26.6'!E42</f>
        <v>889</v>
      </c>
      <c r="F42" s="2"/>
      <c r="G42" s="2"/>
      <c r="H42" s="2"/>
    </row>
    <row r="43" s="1" customFormat="1" ht="27.95" customHeight="1" spans="1:13">
      <c r="A43" s="27" t="s">
        <v>24</v>
      </c>
      <c r="B43" s="41" t="s">
        <v>38</v>
      </c>
      <c r="C43" s="42" t="s">
        <v>23</v>
      </c>
      <c r="D43" s="110"/>
      <c r="E43" s="188">
        <f>D43+'26.6'!E43</f>
        <v>10</v>
      </c>
      <c r="F43" s="2"/>
      <c r="G43" s="2"/>
      <c r="H43" s="2"/>
    </row>
    <row r="44" s="1" customFormat="1" ht="27.95" customHeight="1" spans="1:13">
      <c r="A44" s="27" t="s">
        <v>27</v>
      </c>
      <c r="B44" s="41" t="s">
        <v>41</v>
      </c>
      <c r="C44" s="42" t="s">
        <v>42</v>
      </c>
      <c r="D44" s="110"/>
      <c r="E44" s="188">
        <f>D44+'26.6'!E44</f>
        <v>267664</v>
      </c>
      <c r="F44" s="2"/>
      <c r="G44" s="2"/>
      <c r="H44" s="2"/>
    </row>
    <row r="45" s="1" customFormat="1" ht="27.95" customHeight="1" spans="1:13">
      <c r="A45" s="27"/>
      <c r="B45" s="41" t="s">
        <v>90</v>
      </c>
      <c r="C45" s="42" t="s">
        <v>42</v>
      </c>
      <c r="D45" s="110">
        <f>D44</f>
        <v>0</v>
      </c>
      <c r="E45" s="188">
        <f>D45+'26.6'!E45</f>
        <v>267664</v>
      </c>
      <c r="F45" s="2"/>
      <c r="G45" s="2"/>
      <c r="H45" s="2"/>
    </row>
    <row r="46" s="1" customFormat="1" ht="27.95" customHeight="1" spans="1:13">
      <c r="A46" s="27" t="s">
        <v>29</v>
      </c>
      <c r="B46" s="41" t="s">
        <v>52</v>
      </c>
      <c r="C46" s="42" t="s">
        <v>53</v>
      </c>
      <c r="D46" s="116" t="e">
        <f>D44/D42</f>
        <v>#DIV/0!</v>
      </c>
      <c r="E46" s="117">
        <f>E44/E42</f>
        <v>301.084364454443</v>
      </c>
      <c r="F46" s="2"/>
      <c r="G46" s="2"/>
      <c r="H46" s="2"/>
    </row>
    <row r="47" s="1" customFormat="1" ht="27.95" customHeight="1" spans="1:13">
      <c r="A47" s="27" t="s">
        <v>31</v>
      </c>
      <c r="B47" s="41" t="s">
        <v>70</v>
      </c>
      <c r="C47" s="75" t="s">
        <v>68</v>
      </c>
      <c r="D47" s="118">
        <f>D42/3.6/D39/(DAY(DATE(2026,8,0))*24)</f>
        <v>0</v>
      </c>
      <c r="E47" s="119">
        <f>E42/3.6/E39/(DATEDIF(DATE(2026,1,1),DATE(2026,8,1),"D")*24)</f>
        <v>0.0882448700844927</v>
      </c>
      <c r="F47" s="2"/>
      <c r="G47" s="2"/>
      <c r="H47" s="2"/>
    </row>
    <row r="48" s="1" customFormat="1" ht="27.95" customHeight="1" spans="1:13">
      <c r="A48" s="27" t="s">
        <v>33</v>
      </c>
      <c r="B48" s="41" t="s">
        <v>72</v>
      </c>
      <c r="C48" s="42" t="s">
        <v>73</v>
      </c>
      <c r="D48" s="120" t="e">
        <f>D42/D41</f>
        <v>#DIV/0!</v>
      </c>
      <c r="E48" s="121" t="e">
        <f>E42/E41</f>
        <v>#DIV/0!</v>
      </c>
      <c r="F48" s="2"/>
      <c r="G48" s="2"/>
      <c r="H48" s="2"/>
    </row>
    <row r="49" s="1" customFormat="1" ht="27.95" customHeight="1" spans="1:10">
      <c r="A49" s="27" t="s">
        <v>37</v>
      </c>
      <c r="B49" s="41" t="s">
        <v>78</v>
      </c>
      <c r="C49" s="42" t="s">
        <v>79</v>
      </c>
      <c r="D49" s="122" t="e">
        <f>D44/D41</f>
        <v>#DIV/0!</v>
      </c>
      <c r="E49" s="123" t="e">
        <f>E44/E41</f>
        <v>#DIV/0!</v>
      </c>
      <c r="F49" s="2"/>
      <c r="G49" s="2"/>
      <c r="H49" s="2"/>
    </row>
    <row r="50" s="1" customFormat="1" ht="27.95" customHeight="1" spans="1:10">
      <c r="A50" s="124" t="s">
        <v>40</v>
      </c>
      <c r="B50" s="93" t="s">
        <v>81</v>
      </c>
      <c r="C50" s="94" t="s">
        <v>76</v>
      </c>
      <c r="D50" s="125" t="e">
        <f>D43*1000/D41</f>
        <v>#DIV/0!</v>
      </c>
      <c r="E50" s="125" t="e">
        <f>E43*1000/E41</f>
        <v>#DIV/0!</v>
      </c>
      <c r="F50" s="2"/>
      <c r="G50" s="2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3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26" t="s">
        <v>0</v>
      </c>
      <c r="B53" s="127" t="s">
        <v>85</v>
      </c>
      <c r="C53" s="127" t="s">
        <v>2</v>
      </c>
      <c r="D53" s="106" t="s">
        <v>86</v>
      </c>
      <c r="E53" s="9"/>
      <c r="F53" s="10"/>
      <c r="G53" s="128" t="s">
        <v>87</v>
      </c>
      <c r="H53" s="9"/>
      <c r="I53" s="9"/>
    </row>
    <row r="54" s="1" customFormat="1" ht="31.5" customHeight="1" spans="1:10">
      <c r="A54" s="12"/>
      <c r="B54" s="13"/>
      <c r="C54" s="13"/>
      <c r="D54" s="129" t="s">
        <v>92</v>
      </c>
      <c r="E54" s="129" t="s">
        <v>93</v>
      </c>
      <c r="F54" s="130" t="s">
        <v>9</v>
      </c>
      <c r="G54" s="131" t="s">
        <v>92</v>
      </c>
      <c r="H54" s="129" t="s">
        <v>93</v>
      </c>
      <c r="I54" s="132" t="s">
        <v>9</v>
      </c>
    </row>
    <row r="55" s="1" customFormat="1" ht="27.95" customHeight="1" spans="1:10">
      <c r="A55" s="27" t="s">
        <v>11</v>
      </c>
      <c r="B55" s="28" t="s">
        <v>12</v>
      </c>
      <c r="C55" s="29" t="s">
        <v>13</v>
      </c>
      <c r="D55" s="133">
        <v>6</v>
      </c>
      <c r="E55" s="133">
        <v>6.4</v>
      </c>
      <c r="F55" s="134">
        <f t="shared" ref="F55:F61" si="4">SUM(D55:E55)</f>
        <v>12.4</v>
      </c>
      <c r="G55" s="135">
        <f>D55</f>
        <v>6</v>
      </c>
      <c r="H55" s="136">
        <f>E55</f>
        <v>6.4</v>
      </c>
      <c r="I55" s="136">
        <f t="shared" ref="I55:I61" si="5">SUM(G55:H55)</f>
        <v>12.4</v>
      </c>
    </row>
    <row r="56" s="1" customFormat="1" ht="27.95" customHeight="1" spans="1:10">
      <c r="A56" s="27" t="s">
        <v>14</v>
      </c>
      <c r="B56" s="28" t="s">
        <v>88</v>
      </c>
      <c r="C56" s="29" t="s">
        <v>16</v>
      </c>
      <c r="D56" s="72"/>
      <c r="E56" s="72"/>
      <c r="F56" s="112">
        <f t="shared" si="4"/>
        <v>0</v>
      </c>
      <c r="G56" s="113">
        <f>D56</f>
        <v>0</v>
      </c>
      <c r="H56" s="113">
        <f>E56</f>
        <v>0</v>
      </c>
      <c r="I56" s="68">
        <f t="shared" si="5"/>
        <v>0</v>
      </c>
    </row>
    <row r="57" s="1" customFormat="1" ht="27.95" customHeight="1" spans="1:10">
      <c r="A57" s="27" t="s">
        <v>19</v>
      </c>
      <c r="B57" s="28" t="s">
        <v>89</v>
      </c>
      <c r="C57" s="29" t="s">
        <v>16</v>
      </c>
      <c r="D57" s="68"/>
      <c r="E57" s="68"/>
      <c r="F57" s="112">
        <f t="shared" si="4"/>
        <v>0</v>
      </c>
      <c r="G57" s="113">
        <f>D57</f>
        <v>0</v>
      </c>
      <c r="H57" s="113">
        <f>E57</f>
        <v>0</v>
      </c>
      <c r="I57" s="68">
        <f t="shared" si="5"/>
        <v>0</v>
      </c>
    </row>
    <row r="58" s="1" customFormat="1" ht="27.95" customHeight="1" spans="1:10">
      <c r="A58" s="27" t="s">
        <v>21</v>
      </c>
      <c r="B58" s="41" t="s">
        <v>25</v>
      </c>
      <c r="C58" s="42" t="s">
        <v>26</v>
      </c>
      <c r="D58" s="72"/>
      <c r="E58" s="137"/>
      <c r="F58" s="112">
        <f t="shared" si="4"/>
        <v>0</v>
      </c>
      <c r="G58" s="189">
        <f>D58+'26.6'!G58</f>
        <v>3813.3</v>
      </c>
      <c r="H58" s="189">
        <f>E58+'26.6'!H58</f>
        <v>6695.80000000001</v>
      </c>
      <c r="I58" s="68">
        <f t="shared" si="5"/>
        <v>10509.1</v>
      </c>
    </row>
    <row r="59" s="1" customFormat="1" ht="27.95" customHeight="1" spans="1:10">
      <c r="A59" s="27" t="s">
        <v>24</v>
      </c>
      <c r="B59" s="41" t="s">
        <v>38</v>
      </c>
      <c r="C59" s="42" t="s">
        <v>23</v>
      </c>
      <c r="D59" s="72"/>
      <c r="E59" s="72"/>
      <c r="F59" s="112">
        <f t="shared" si="4"/>
        <v>0</v>
      </c>
      <c r="G59" s="189">
        <f>D59+'26.6'!G59</f>
        <v>564.9</v>
      </c>
      <c r="H59" s="189">
        <f>E59+'26.6'!H59</f>
        <v>165.9</v>
      </c>
      <c r="I59" s="68">
        <f t="shared" si="5"/>
        <v>730.8</v>
      </c>
    </row>
    <row r="60" s="1" customFormat="1" ht="27.95" customHeight="1" spans="1:10">
      <c r="A60" s="27" t="s">
        <v>27</v>
      </c>
      <c r="B60" s="41" t="s">
        <v>41</v>
      </c>
      <c r="C60" s="42" t="s">
        <v>42</v>
      </c>
      <c r="D60" s="72"/>
      <c r="E60" s="72"/>
      <c r="F60" s="112">
        <f t="shared" si="4"/>
        <v>0</v>
      </c>
      <c r="G60" s="189">
        <f>D60+'26.6'!G60</f>
        <v>1184440</v>
      </c>
      <c r="H60" s="189">
        <f>E60+'26.6'!H60</f>
        <v>1991120</v>
      </c>
      <c r="I60" s="68">
        <f t="shared" si="5"/>
        <v>3175560</v>
      </c>
    </row>
    <row r="61" s="1" customFormat="1" ht="27.95" customHeight="1" spans="1:10">
      <c r="A61" s="27"/>
      <c r="B61" s="41" t="s">
        <v>90</v>
      </c>
      <c r="C61" s="42" t="s">
        <v>42</v>
      </c>
      <c r="D61" s="72"/>
      <c r="E61" s="72"/>
      <c r="F61" s="112">
        <f t="shared" si="4"/>
        <v>0</v>
      </c>
      <c r="G61" s="189">
        <f>D61+'26.6'!G61</f>
        <v>1184440</v>
      </c>
      <c r="H61" s="189">
        <f>E61+'26.6'!H61</f>
        <v>1991120</v>
      </c>
      <c r="I61" s="68">
        <f t="shared" si="5"/>
        <v>3175560</v>
      </c>
    </row>
    <row r="62" s="1" customFormat="1" ht="27.95" customHeight="1" spans="1:10">
      <c r="A62" s="27" t="s">
        <v>29</v>
      </c>
      <c r="B62" s="41" t="s">
        <v>52</v>
      </c>
      <c r="C62" s="42" t="s">
        <v>53</v>
      </c>
      <c r="D62" s="139" t="e">
        <f t="shared" ref="D62:I62" si="6">D60/D58</f>
        <v>#DIV/0!</v>
      </c>
      <c r="E62" s="139" t="e">
        <f t="shared" si="6"/>
        <v>#DIV/0!</v>
      </c>
      <c r="F62" s="116" t="e">
        <f t="shared" si="6"/>
        <v>#DIV/0!</v>
      </c>
      <c r="G62" s="140">
        <f t="shared" si="6"/>
        <v>310.607610206383</v>
      </c>
      <c r="H62" s="57">
        <f t="shared" si="6"/>
        <v>297.368499656501</v>
      </c>
      <c r="I62" s="58">
        <f t="shared" si="6"/>
        <v>302.172402965049</v>
      </c>
    </row>
    <row r="63" s="1" customFormat="1" ht="27.95" customHeight="1" spans="1:10">
      <c r="A63" s="27" t="s">
        <v>31</v>
      </c>
      <c r="B63" s="41" t="s">
        <v>70</v>
      </c>
      <c r="C63" s="75" t="s">
        <v>68</v>
      </c>
      <c r="D63" s="79">
        <f>D58/3.6/D55/(DAY(DATE(2026,8,0))*24)</f>
        <v>0</v>
      </c>
      <c r="E63" s="79">
        <f>E58/3.6/E55/(DAY(DATE(2026,8,0))*24)</f>
        <v>0</v>
      </c>
      <c r="F63" s="118">
        <f>F58/3.6/F55/(DAY(DATE(2026,8,0))*24)</f>
        <v>0</v>
      </c>
      <c r="G63" s="81">
        <f>G58/3.6/G55/(DATEDIF(DATE(2026,1,1),DATE(2026,8,1),"D")*24)</f>
        <v>0.0346976546121593</v>
      </c>
      <c r="H63" s="79">
        <f>H58/3.6/H55/(DATEDIF(DATE(2026,1,1),DATE(2026,8,1),"D")*24)</f>
        <v>0.0571179873121943</v>
      </c>
      <c r="I63" s="80">
        <f>I58/3.6/I55/(DATEDIF(DATE(2026,1,1),DATE(2026,8,1),"D")*24)</f>
        <v>0.0462694392315322</v>
      </c>
    </row>
    <row r="64" s="1" customFormat="1" ht="27.95" customHeight="1" spans="1:10">
      <c r="A64" s="27" t="s">
        <v>33</v>
      </c>
      <c r="B64" s="41" t="s">
        <v>72</v>
      </c>
      <c r="C64" s="42" t="s">
        <v>73</v>
      </c>
      <c r="D64" s="83" t="e">
        <f t="shared" ref="D64:I64" si="7">D58/D57</f>
        <v>#DIV/0!</v>
      </c>
      <c r="E64" s="83" t="e">
        <f t="shared" si="7"/>
        <v>#DIV/0!</v>
      </c>
      <c r="F64" s="85" t="e">
        <f t="shared" si="7"/>
        <v>#DIV/0!</v>
      </c>
      <c r="G64" s="141" t="e">
        <f t="shared" si="7"/>
        <v>#DIV/0!</v>
      </c>
      <c r="H64" s="83" t="e">
        <f t="shared" si="7"/>
        <v>#DIV/0!</v>
      </c>
      <c r="I64" s="85" t="e">
        <f t="shared" si="7"/>
        <v>#DIV/0!</v>
      </c>
    </row>
    <row r="65" s="1" customFormat="1" ht="27.95" customHeight="1" spans="1:9">
      <c r="A65" s="27" t="s">
        <v>37</v>
      </c>
      <c r="B65" s="41" t="s">
        <v>78</v>
      </c>
      <c r="C65" s="42" t="s">
        <v>79</v>
      </c>
      <c r="D65" s="87" t="e">
        <f t="shared" ref="D65:I65" si="8">D60/D57</f>
        <v>#DIV/0!</v>
      </c>
      <c r="E65" s="87" t="e">
        <f t="shared" si="8"/>
        <v>#DIV/0!</v>
      </c>
      <c r="F65" s="88" t="e">
        <f t="shared" si="8"/>
        <v>#DIV/0!</v>
      </c>
      <c r="G65" s="142" t="e">
        <f t="shared" si="8"/>
        <v>#DIV/0!</v>
      </c>
      <c r="H65" s="87" t="e">
        <f t="shared" si="8"/>
        <v>#DIV/0!</v>
      </c>
      <c r="I65" s="88" t="e">
        <f t="shared" si="8"/>
        <v>#DIV/0!</v>
      </c>
    </row>
    <row r="66" s="1" customFormat="1" ht="27.95" customHeight="1" spans="1:9">
      <c r="A66" s="124" t="s">
        <v>40</v>
      </c>
      <c r="B66" s="93" t="s">
        <v>81</v>
      </c>
      <c r="C66" s="94" t="s">
        <v>76</v>
      </c>
      <c r="D66" s="96" t="e">
        <f t="shared" ref="D66:I66" si="9">D59*1000/D57</f>
        <v>#DIV/0!</v>
      </c>
      <c r="E66" s="96" t="e">
        <f t="shared" si="9"/>
        <v>#DIV/0!</v>
      </c>
      <c r="F66" s="97" t="e">
        <f t="shared" si="9"/>
        <v>#DIV/0!</v>
      </c>
      <c r="G66" s="143" t="e">
        <f t="shared" si="9"/>
        <v>#DIV/0!</v>
      </c>
      <c r="H66" s="96" t="e">
        <f t="shared" si="9"/>
        <v>#DIV/0!</v>
      </c>
      <c r="I66" s="97" t="e">
        <f t="shared" si="9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3" t="s">
        <v>94</v>
      </c>
      <c r="C68" s="4"/>
      <c r="D68" s="5"/>
    </row>
    <row r="69" s="1" customFormat="1" ht="30" customHeight="1" spans="1:9">
      <c r="A69" s="126" t="s">
        <v>0</v>
      </c>
      <c r="B69" s="7" t="s">
        <v>1</v>
      </c>
      <c r="C69" s="7" t="s">
        <v>2</v>
      </c>
      <c r="D69" s="106" t="s">
        <v>86</v>
      </c>
      <c r="E69" s="10"/>
      <c r="F69" s="144" t="s">
        <v>87</v>
      </c>
      <c r="G69" s="9"/>
    </row>
    <row r="70" s="1" customFormat="1" ht="30" customHeight="1" spans="1:9">
      <c r="A70" s="12"/>
      <c r="B70" s="13"/>
      <c r="C70" s="13"/>
      <c r="D70" s="129" t="s">
        <v>95</v>
      </c>
      <c r="E70" s="145" t="s">
        <v>96</v>
      </c>
      <c r="F70" s="131" t="s">
        <v>95</v>
      </c>
      <c r="G70" s="132" t="s">
        <v>96</v>
      </c>
    </row>
    <row r="71" s="1" customFormat="1" ht="27.95" customHeight="1" spans="1:9">
      <c r="A71" s="18" t="s">
        <v>11</v>
      </c>
      <c r="B71" s="19" t="s">
        <v>12</v>
      </c>
      <c r="C71" s="20" t="s">
        <v>13</v>
      </c>
      <c r="D71" s="23">
        <v>217</v>
      </c>
      <c r="E71" s="146">
        <v>1.4</v>
      </c>
      <c r="F71" s="147">
        <f>D71</f>
        <v>217</v>
      </c>
      <c r="G71" s="26">
        <f>E71</f>
        <v>1.4</v>
      </c>
    </row>
    <row r="72" s="1" customFormat="1" ht="27.95" customHeight="1" spans="1:9">
      <c r="A72" s="27" t="s">
        <v>14</v>
      </c>
      <c r="B72" s="41" t="s">
        <v>22</v>
      </c>
      <c r="C72" s="42" t="s">
        <v>23</v>
      </c>
      <c r="D72" s="72"/>
      <c r="E72" s="110"/>
      <c r="F72" s="148">
        <f>D72</f>
        <v>0</v>
      </c>
      <c r="G72" s="149">
        <f>E72</f>
        <v>0</v>
      </c>
    </row>
    <row r="73" s="1" customFormat="1" ht="27.95" customHeight="1" spans="1:9">
      <c r="A73" s="27" t="s">
        <v>19</v>
      </c>
      <c r="B73" s="41" t="s">
        <v>25</v>
      </c>
      <c r="C73" s="42" t="s">
        <v>26</v>
      </c>
      <c r="D73" s="68">
        <f>D72*2.951694</f>
        <v>0</v>
      </c>
      <c r="E73" s="150">
        <f>E72*2.732</f>
        <v>0</v>
      </c>
      <c r="F73" s="188">
        <f>D73+'26.6'!F73</f>
        <v>0</v>
      </c>
      <c r="G73" s="188">
        <f>E73+'26.6'!G73</f>
        <v>0</v>
      </c>
    </row>
    <row r="74" s="1" customFormat="1" ht="27.95" customHeight="1" spans="1:9">
      <c r="A74" s="27" t="s">
        <v>21</v>
      </c>
      <c r="B74" s="41" t="s">
        <v>97</v>
      </c>
      <c r="C74" s="42" t="s">
        <v>98</v>
      </c>
      <c r="D74" s="72"/>
      <c r="E74" s="110"/>
      <c r="F74" s="188">
        <f>D74+'26.6'!F74</f>
        <v>0</v>
      </c>
      <c r="G74" s="188">
        <f>E74+'26.6'!G74</f>
        <v>0</v>
      </c>
    </row>
    <row r="75" s="1" customFormat="1" ht="27.95" customHeight="1" spans="1:9">
      <c r="A75" s="27" t="s">
        <v>24</v>
      </c>
      <c r="B75" s="41" t="s">
        <v>34</v>
      </c>
      <c r="C75" s="42" t="s">
        <v>23</v>
      </c>
      <c r="D75" s="68">
        <f>D74*D80/29308/1000</f>
        <v>0</v>
      </c>
      <c r="E75" s="112">
        <f>E74*E80/29308/1000</f>
        <v>0</v>
      </c>
      <c r="F75" s="188">
        <f>D75+'26.6'!F75</f>
        <v>0</v>
      </c>
      <c r="G75" s="188">
        <f>E75+'26.6'!G75</f>
        <v>0</v>
      </c>
    </row>
    <row r="76" s="1" customFormat="1" ht="27.95" customHeight="1" spans="1:9">
      <c r="A76" s="27" t="s">
        <v>27</v>
      </c>
      <c r="B76" s="41" t="s">
        <v>38</v>
      </c>
      <c r="C76" s="42" t="s">
        <v>23</v>
      </c>
      <c r="D76" s="72"/>
      <c r="E76" s="151"/>
      <c r="F76" s="188">
        <f>D76+'26.6'!F76</f>
        <v>0</v>
      </c>
      <c r="G76" s="188">
        <f>E76+'26.6'!G76</f>
        <v>0</v>
      </c>
    </row>
    <row r="77" s="1" customFormat="1" ht="27.95" customHeight="1" spans="1:9">
      <c r="A77" s="27" t="s">
        <v>29</v>
      </c>
      <c r="B77" s="41" t="s">
        <v>41</v>
      </c>
      <c r="C77" s="42" t="s">
        <v>42</v>
      </c>
      <c r="D77" s="72"/>
      <c r="E77" s="151"/>
      <c r="F77" s="188">
        <f>D77+'26.6'!F77</f>
        <v>0</v>
      </c>
      <c r="G77" s="188">
        <f>E77+'26.6'!G77</f>
        <v>0</v>
      </c>
    </row>
    <row r="78" s="1" customFormat="1" ht="27.95" customHeight="1" spans="1:9">
      <c r="A78" s="27" t="s">
        <v>31</v>
      </c>
      <c r="B78" s="41" t="s">
        <v>52</v>
      </c>
      <c r="C78" s="42" t="s">
        <v>53</v>
      </c>
      <c r="D78" s="152" t="e">
        <f>D77/D73</f>
        <v>#DIV/0!</v>
      </c>
      <c r="E78" s="153"/>
      <c r="F78" s="154" t="e">
        <f>F77/F73</f>
        <v>#DIV/0!</v>
      </c>
      <c r="G78" s="155"/>
    </row>
    <row r="79" s="1" customFormat="1" ht="27.95" customHeight="1" spans="1:9">
      <c r="A79" s="27" t="s">
        <v>33</v>
      </c>
      <c r="B79" s="41" t="s">
        <v>55</v>
      </c>
      <c r="C79" s="42" t="s">
        <v>56</v>
      </c>
      <c r="D79" s="57" t="e">
        <f>D75*1000/D73</f>
        <v>#DIV/0!</v>
      </c>
      <c r="E79" s="156" t="e">
        <f>E75*1000/E73</f>
        <v>#DIV/0!</v>
      </c>
      <c r="F79" s="157" t="e">
        <f>F75*1000/F73</f>
        <v>#DIV/0!</v>
      </c>
      <c r="G79" s="58" t="e">
        <f>G75*1000/G73</f>
        <v>#DIV/0!</v>
      </c>
    </row>
    <row r="80" s="1" customFormat="1" ht="27.95" customHeight="1" spans="1:9">
      <c r="A80" s="27" t="s">
        <v>37</v>
      </c>
      <c r="B80" s="41" t="s">
        <v>99</v>
      </c>
      <c r="C80" s="42" t="s">
        <v>100</v>
      </c>
      <c r="D80" s="33"/>
      <c r="E80" s="158"/>
      <c r="F80" s="159" t="e">
        <f>F75*29308*1000/F74</f>
        <v>#DIV/0!</v>
      </c>
      <c r="G80" s="68" t="e">
        <f>G75*29308*1000/G74</f>
        <v>#DIV/0!</v>
      </c>
    </row>
    <row r="81" s="1" customFormat="1" ht="27.95" customHeight="1" spans="1:11">
      <c r="A81" s="27" t="s">
        <v>40</v>
      </c>
      <c r="B81" s="41" t="s">
        <v>67</v>
      </c>
      <c r="C81" s="75" t="s">
        <v>68</v>
      </c>
      <c r="D81" s="76" t="e">
        <f>D73/(D75*29.308)</f>
        <v>#DIV/0!</v>
      </c>
      <c r="E81" s="160" t="e">
        <f>E73/(E75*29.308)</f>
        <v>#DIV/0!</v>
      </c>
      <c r="F81" s="161" t="e">
        <f>F73/(F75*29.308)</f>
        <v>#DIV/0!</v>
      </c>
      <c r="G81" s="77" t="e">
        <f>G73/(G75*29.308)</f>
        <v>#DIV/0!</v>
      </c>
    </row>
    <row r="82" s="1" customFormat="1" ht="27.95" customHeight="1" spans="1:11">
      <c r="A82" s="124" t="s">
        <v>47</v>
      </c>
      <c r="B82" s="162" t="s">
        <v>70</v>
      </c>
      <c r="C82" s="163" t="s">
        <v>68</v>
      </c>
      <c r="D82" s="164">
        <f>D73/3.6/D71/(DAY(DATE(2026,8,0))*24)</f>
        <v>0</v>
      </c>
      <c r="E82" s="165">
        <f>E73/3.6/E71/(DAY(DATE(2026,8,0))*24)</f>
        <v>0</v>
      </c>
      <c r="F82" s="166">
        <f>F73/3.6/F71/(DATEDIF(DATE(2026,1,1),DATE(2026,8,1),"D")*24)</f>
        <v>0</v>
      </c>
      <c r="G82" s="167">
        <f>G73/3.6/G71/(DATEDIF(DATE(2026,1,1),DATE(2026,8,1),"D")*24)</f>
        <v>0</v>
      </c>
    </row>
    <row r="83" s="1" customFormat="1" ht="18" customHeight="1" spans="1:11">
      <c r="B83" s="168"/>
      <c r="C83" s="168"/>
      <c r="D83" s="5"/>
    </row>
    <row r="84" s="1" customFormat="1" ht="16.25" spans="1:11">
      <c r="A84" s="103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ht="14" spans="1:11">
      <c r="A85" s="126" t="s">
        <v>0</v>
      </c>
      <c r="B85" s="127" t="s">
        <v>85</v>
      </c>
      <c r="C85" s="127" t="s">
        <v>2</v>
      </c>
      <c r="D85" s="169" t="s">
        <v>86</v>
      </c>
      <c r="E85" s="129" t="s">
        <v>87</v>
      </c>
      <c r="F85" s="169" t="s">
        <v>102</v>
      </c>
      <c r="G85" s="169" t="s">
        <v>103</v>
      </c>
      <c r="H85" s="170"/>
      <c r="I85" s="170"/>
    </row>
    <row r="86" s="1" customFormat="1" ht="14" spans="1:11">
      <c r="A86" s="12"/>
      <c r="B86" s="13"/>
      <c r="C86" s="13"/>
      <c r="D86" s="169" t="s">
        <v>104</v>
      </c>
      <c r="E86" s="169" t="s">
        <v>104</v>
      </c>
      <c r="F86" s="13"/>
      <c r="G86" s="13"/>
      <c r="H86" s="170"/>
      <c r="I86" s="103"/>
    </row>
    <row r="87" s="1" customFormat="1" ht="14" spans="1:11">
      <c r="A87" s="27" t="s">
        <v>11</v>
      </c>
      <c r="B87" s="28" t="s">
        <v>12</v>
      </c>
      <c r="C87" s="29" t="s">
        <v>13</v>
      </c>
      <c r="D87" s="171">
        <v>0.7888</v>
      </c>
      <c r="E87" s="172">
        <f>D87</f>
        <v>0.7888</v>
      </c>
      <c r="F87" s="173">
        <f>F55+D87</f>
        <v>13.1888</v>
      </c>
      <c r="G87" s="173">
        <f>E87+I55</f>
        <v>13.1888</v>
      </c>
      <c r="H87" s="135"/>
      <c r="I87" s="135"/>
    </row>
    <row r="88" s="1" customFormat="1" ht="14" spans="1:11">
      <c r="A88" s="27" t="s">
        <v>14</v>
      </c>
      <c r="B88" s="28" t="s">
        <v>88</v>
      </c>
      <c r="C88" s="29" t="s">
        <v>16</v>
      </c>
      <c r="D88" s="174"/>
      <c r="E88" s="175">
        <f>D88</f>
        <v>0</v>
      </c>
      <c r="F88" s="176">
        <v>83197.81</v>
      </c>
      <c r="G88" s="176">
        <v>83197.81</v>
      </c>
      <c r="H88" s="111"/>
      <c r="I88" s="111"/>
    </row>
    <row r="89" s="1" customFormat="1" ht="14" spans="1:11">
      <c r="A89" s="27" t="s">
        <v>19</v>
      </c>
      <c r="B89" s="28" t="s">
        <v>89</v>
      </c>
      <c r="C89" s="29" t="s">
        <v>16</v>
      </c>
      <c r="D89" s="174"/>
      <c r="E89" s="175">
        <f>D89</f>
        <v>0</v>
      </c>
      <c r="F89" s="176">
        <v>83197.81</v>
      </c>
      <c r="G89" s="176">
        <v>83197.81</v>
      </c>
      <c r="H89" s="111"/>
      <c r="I89" s="111"/>
    </row>
    <row r="90" s="1" customFormat="1" ht="14" spans="1:11">
      <c r="A90" s="27" t="s">
        <v>21</v>
      </c>
      <c r="B90" s="41" t="s">
        <v>25</v>
      </c>
      <c r="C90" s="42" t="s">
        <v>26</v>
      </c>
      <c r="D90" s="174"/>
      <c r="E90" s="190">
        <f>D90+'26.6'!E90</f>
        <v>6355.62400900001</v>
      </c>
      <c r="F90" s="178">
        <f>F58+D90</f>
        <v>0</v>
      </c>
      <c r="G90" s="178">
        <f>E90+I58</f>
        <v>16864.724009</v>
      </c>
      <c r="H90" s="111"/>
      <c r="I90" s="111"/>
    </row>
    <row r="91" s="1" customFormat="1" ht="14" spans="1:11">
      <c r="A91" s="27" t="s">
        <v>24</v>
      </c>
      <c r="B91" s="41" t="s">
        <v>38</v>
      </c>
      <c r="C91" s="42" t="s">
        <v>23</v>
      </c>
      <c r="D91" s="174"/>
      <c r="E91" s="190">
        <f>D91+'26.6'!E91</f>
        <v>86.5</v>
      </c>
      <c r="F91" s="178">
        <f>F59+D91</f>
        <v>0</v>
      </c>
      <c r="G91" s="178">
        <f>E91+I59</f>
        <v>817.3</v>
      </c>
      <c r="H91" s="111"/>
      <c r="I91" s="111"/>
    </row>
    <row r="92" s="1" customFormat="1" ht="14" spans="1:11">
      <c r="A92" s="27" t="s">
        <v>27</v>
      </c>
      <c r="B92" s="41" t="s">
        <v>41</v>
      </c>
      <c r="C92" s="42" t="s">
        <v>42</v>
      </c>
      <c r="D92" s="174"/>
      <c r="E92" s="190">
        <f>D92+'26.6'!E92</f>
        <v>780380.88</v>
      </c>
      <c r="F92" s="178">
        <f>F60+D92</f>
        <v>0</v>
      </c>
      <c r="G92" s="178">
        <f>E92+I60</f>
        <v>3955940.88</v>
      </c>
      <c r="H92" s="111"/>
      <c r="I92" s="111"/>
    </row>
    <row r="93" s="1" customFormat="1" ht="14" spans="1:11">
      <c r="A93" s="27"/>
      <c r="B93" s="41" t="s">
        <v>90</v>
      </c>
      <c r="C93" s="42" t="s">
        <v>42</v>
      </c>
      <c r="D93" s="174"/>
      <c r="E93" s="190">
        <f>D93+'26.6'!E93</f>
        <v>0</v>
      </c>
      <c r="F93" s="178">
        <f>F61+D93</f>
        <v>0</v>
      </c>
      <c r="G93" s="178">
        <f>E93+I61</f>
        <v>3175560</v>
      </c>
      <c r="H93" s="111"/>
      <c r="I93" s="111"/>
    </row>
    <row r="94" s="1" customFormat="1" ht="14" spans="1:11">
      <c r="A94" s="27" t="s">
        <v>29</v>
      </c>
      <c r="B94" s="41" t="s">
        <v>52</v>
      </c>
      <c r="C94" s="42" t="s">
        <v>53</v>
      </c>
      <c r="D94" s="179" t="e">
        <f>D92/D90</f>
        <v>#DIV/0!</v>
      </c>
      <c r="E94" s="179">
        <f>E92/E90</f>
        <v>122.785878915261</v>
      </c>
      <c r="F94" s="179" t="e">
        <f>F92/F90</f>
        <v>#DIV/0!</v>
      </c>
      <c r="G94" s="179">
        <f>G92/G90</f>
        <v>234.568966434842</v>
      </c>
      <c r="H94" s="117"/>
      <c r="I94" s="117"/>
    </row>
    <row r="95" s="1" customFormat="1" ht="14" spans="1:11">
      <c r="A95" s="27" t="s">
        <v>31</v>
      </c>
      <c r="B95" s="41" t="s">
        <v>105</v>
      </c>
      <c r="C95" s="75" t="s">
        <v>68</v>
      </c>
      <c r="D95" s="180">
        <f>D90/3.6/D87/(DAY(DATE(2026,8,0))*24)</f>
        <v>0</v>
      </c>
      <c r="E95" s="80">
        <f>E90/3.6/E87/(DATEDIF(DATE(2026,1,1),DATE(2026,8,1),"D")*24)</f>
        <v>0.439887571443187</v>
      </c>
      <c r="F95" s="180">
        <f>F90/3.6/F87/(DAY(DATE(2026,8,0))*24)</f>
        <v>0</v>
      </c>
      <c r="G95" s="80">
        <f>G90/3.6/G87/(DATEDIF(DATE(2026,1,1),DATE(2026,8,1),"D")*24)</f>
        <v>0.0698110793116421</v>
      </c>
      <c r="H95" s="181"/>
      <c r="I95" s="181"/>
      <c r="K95" s="182"/>
    </row>
    <row r="96" s="1" customFormat="1" ht="14" spans="1:11">
      <c r="A96" s="27" t="s">
        <v>33</v>
      </c>
      <c r="B96" s="41" t="s">
        <v>72</v>
      </c>
      <c r="C96" s="42" t="s">
        <v>73</v>
      </c>
      <c r="D96" s="183" t="e">
        <f>D90/D89</f>
        <v>#DIV/0!</v>
      </c>
      <c r="E96" s="183" t="e">
        <f>E90/E89</f>
        <v>#DIV/0!</v>
      </c>
      <c r="F96" s="183">
        <f>F90/F89</f>
        <v>0</v>
      </c>
      <c r="G96" s="183">
        <f>G90/G89</f>
        <v>0.20270634538337</v>
      </c>
      <c r="H96" s="121"/>
      <c r="I96" s="121"/>
    </row>
    <row r="97" s="1" customFormat="1" ht="14" spans="1:9">
      <c r="A97" s="27" t="s">
        <v>37</v>
      </c>
      <c r="B97" s="41" t="s">
        <v>78</v>
      </c>
      <c r="C97" s="42" t="s">
        <v>79</v>
      </c>
      <c r="D97" s="184" t="e">
        <f>D92/D89</f>
        <v>#DIV/0!</v>
      </c>
      <c r="E97" s="184" t="e">
        <f>E92/E89</f>
        <v>#DIV/0!</v>
      </c>
      <c r="F97" s="184">
        <f>F92/F89</f>
        <v>0</v>
      </c>
      <c r="G97" s="184">
        <f>G92/G89</f>
        <v>47.5486179263613</v>
      </c>
      <c r="H97" s="123"/>
      <c r="I97" s="123"/>
    </row>
    <row r="98" s="1" customFormat="1" ht="14.75" spans="1:9">
      <c r="A98" s="124" t="s">
        <v>40</v>
      </c>
      <c r="B98" s="93" t="s">
        <v>81</v>
      </c>
      <c r="C98" s="94" t="s">
        <v>76</v>
      </c>
      <c r="D98" s="184" t="e">
        <f>D91*1000/D89</f>
        <v>#DIV/0!</v>
      </c>
      <c r="E98" s="184" t="e">
        <f>E91*1000/E89</f>
        <v>#DIV/0!</v>
      </c>
      <c r="F98" s="184">
        <f>F91*1000/F89</f>
        <v>0</v>
      </c>
      <c r="G98" s="184">
        <f>G91*1000/G89</f>
        <v>9.82357588499024</v>
      </c>
      <c r="H98" s="123"/>
      <c r="I98" s="123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&amp;C&amp;20 2022年7月份集团各锅炉站生产报表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 customWidth="1"/>
    <col min="15" max="16384" width="8.625" style="1" customWidth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</row>
    <row r="2" s="1" customFormat="1" ht="39.95" customHeight="1" spans="1:14">
      <c r="A2" s="12"/>
      <c r="B2" s="13"/>
      <c r="C2" s="13"/>
      <c r="D2" s="14" t="s">
        <v>5</v>
      </c>
      <c r="E2" s="14" t="s">
        <v>6</v>
      </c>
      <c r="F2" s="14" t="s">
        <v>7</v>
      </c>
      <c r="G2" s="15" t="s">
        <v>8</v>
      </c>
      <c r="H2" s="16" t="s">
        <v>9</v>
      </c>
      <c r="I2" s="17" t="s">
        <v>5</v>
      </c>
      <c r="J2" s="14" t="s">
        <v>6</v>
      </c>
      <c r="K2" s="14" t="s">
        <v>7</v>
      </c>
      <c r="L2" s="15" t="s">
        <v>10</v>
      </c>
      <c r="M2" s="16" t="s">
        <v>9</v>
      </c>
    </row>
    <row r="3" s="1" customFormat="1" ht="18" customHeight="1" spans="1:14">
      <c r="A3" s="18" t="s">
        <v>11</v>
      </c>
      <c r="B3" s="19" t="s">
        <v>12</v>
      </c>
      <c r="C3" s="20" t="s">
        <v>13</v>
      </c>
      <c r="D3" s="21">
        <v>348</v>
      </c>
      <c r="E3" s="22">
        <v>162</v>
      </c>
      <c r="F3" s="22"/>
      <c r="G3" s="23">
        <v>14</v>
      </c>
      <c r="H3" s="24">
        <f>E3+F3+G3</f>
        <v>176</v>
      </c>
      <c r="I3" s="25">
        <f>D3</f>
        <v>348</v>
      </c>
      <c r="J3" s="21">
        <f>E3</f>
        <v>162</v>
      </c>
      <c r="K3" s="21">
        <f>F3</f>
        <v>0</v>
      </c>
      <c r="L3" s="26">
        <f>G3</f>
        <v>14</v>
      </c>
      <c r="M3" s="24">
        <f t="shared" ref="M3:M12" si="0">J3+K3+L3</f>
        <v>176</v>
      </c>
    </row>
    <row r="4" s="1" customFormat="1" ht="18" customHeight="1" spans="1:14">
      <c r="A4" s="27" t="s">
        <v>14</v>
      </c>
      <c r="B4" s="28" t="s">
        <v>15</v>
      </c>
      <c r="C4" s="29" t="s">
        <v>16</v>
      </c>
      <c r="D4" s="30" t="s">
        <v>17</v>
      </c>
      <c r="E4" s="31"/>
      <c r="F4" s="32"/>
      <c r="G4" s="33"/>
      <c r="H4" s="34"/>
      <c r="I4" s="35" t="str">
        <f>D4</f>
        <v> -   </v>
      </c>
      <c r="J4" s="31">
        <f>E4</f>
        <v>0</v>
      </c>
      <c r="K4" s="36">
        <f>F4</f>
        <v>0</v>
      </c>
      <c r="L4" s="37">
        <f>G4</f>
        <v>0</v>
      </c>
      <c r="M4" s="34">
        <f t="shared" si="0"/>
        <v>0</v>
      </c>
    </row>
    <row r="5" s="1" customFormat="1" ht="18" customHeight="1" spans="1:14">
      <c r="A5" s="27"/>
      <c r="B5" s="28" t="s">
        <v>18</v>
      </c>
      <c r="C5" s="29" t="s">
        <v>16</v>
      </c>
      <c r="D5" s="30" t="s">
        <v>17</v>
      </c>
      <c r="E5" s="32">
        <v>55000</v>
      </c>
      <c r="F5" s="38">
        <v>0</v>
      </c>
      <c r="G5" s="39">
        <v>0</v>
      </c>
      <c r="H5" s="34">
        <f>E5+F5+G5</f>
        <v>55000</v>
      </c>
      <c r="I5" s="35" t="str">
        <f>D5</f>
        <v> -   </v>
      </c>
      <c r="J5" s="31">
        <f>E5</f>
        <v>55000</v>
      </c>
      <c r="K5" s="36">
        <f>F5</f>
        <v>0</v>
      </c>
      <c r="L5" s="37">
        <f>G5</f>
        <v>0</v>
      </c>
      <c r="M5" s="34">
        <f t="shared" si="0"/>
        <v>55000</v>
      </c>
    </row>
    <row r="6" s="1" customFormat="1" ht="18" customHeight="1" spans="1:14">
      <c r="A6" s="27" t="s">
        <v>19</v>
      </c>
      <c r="B6" s="28" t="s">
        <v>20</v>
      </c>
      <c r="C6" s="29" t="s">
        <v>16</v>
      </c>
      <c r="D6" s="30" t="s">
        <v>17</v>
      </c>
      <c r="E6" s="33">
        <f>E4</f>
        <v>0</v>
      </c>
      <c r="F6" s="33">
        <f>F4</f>
        <v>0</v>
      </c>
      <c r="G6" s="33">
        <f>G4</f>
        <v>0</v>
      </c>
      <c r="H6" s="34">
        <f>E6+F6+G6</f>
        <v>0</v>
      </c>
      <c r="I6" s="35" t="str">
        <f>D6</f>
        <v> -   </v>
      </c>
      <c r="J6" s="40">
        <f>E6</f>
        <v>0</v>
      </c>
      <c r="K6" s="40">
        <f>F6</f>
        <v>0</v>
      </c>
      <c r="L6" s="40">
        <f>G6</f>
        <v>0</v>
      </c>
      <c r="M6" s="34">
        <f t="shared" si="0"/>
        <v>0</v>
      </c>
    </row>
    <row r="7" s="2" customFormat="1" ht="18" customHeight="1" spans="1:14">
      <c r="A7" s="27" t="s">
        <v>21</v>
      </c>
      <c r="B7" s="41" t="s">
        <v>22</v>
      </c>
      <c r="C7" s="42" t="s">
        <v>23</v>
      </c>
      <c r="D7" s="39">
        <v>0</v>
      </c>
      <c r="E7" s="39">
        <v>0</v>
      </c>
      <c r="F7" s="39">
        <v>0</v>
      </c>
      <c r="G7" s="39"/>
      <c r="H7" s="34">
        <f>E7+F7+G7</f>
        <v>0</v>
      </c>
      <c r="I7" s="43">
        <f>D7+'26.7'!I7</f>
        <v>0</v>
      </c>
      <c r="J7" s="43">
        <f>E7+'26.7'!J7</f>
        <v>0</v>
      </c>
      <c r="K7" s="43">
        <f>F7+'26.7'!K7</f>
        <v>0</v>
      </c>
      <c r="L7" s="43">
        <f>G7+'26.7'!L7</f>
        <v>0</v>
      </c>
      <c r="M7" s="34">
        <f t="shared" si="0"/>
        <v>0</v>
      </c>
    </row>
    <row r="8" s="2" customFormat="1" ht="18" customHeight="1" spans="1:14">
      <c r="A8" s="27" t="s">
        <v>24</v>
      </c>
      <c r="B8" s="41" t="s">
        <v>25</v>
      </c>
      <c r="C8" s="42" t="s">
        <v>26</v>
      </c>
      <c r="D8" s="44"/>
      <c r="E8" s="39"/>
      <c r="F8" s="38"/>
      <c r="G8" s="33"/>
      <c r="H8" s="34"/>
      <c r="I8" s="43">
        <f>D8+'26.7'!I8</f>
        <v>1168258</v>
      </c>
      <c r="J8" s="43">
        <f>E8+'26.7'!J8</f>
        <v>267460.3967164</v>
      </c>
      <c r="K8" s="43">
        <f>F8+'26.7'!K8</f>
        <v>0</v>
      </c>
      <c r="L8" s="43">
        <f>G8+'26.7'!L8</f>
        <v>440887.508551189</v>
      </c>
      <c r="M8" s="34">
        <f t="shared" si="0"/>
        <v>708347.905267589</v>
      </c>
      <c r="N8" s="45"/>
    </row>
    <row r="9" s="2" customFormat="1" ht="18" customHeight="1" spans="1:14">
      <c r="A9" s="27" t="s">
        <v>27</v>
      </c>
      <c r="B9" s="41" t="s">
        <v>28</v>
      </c>
      <c r="C9" s="42" t="s">
        <v>26</v>
      </c>
      <c r="D9" s="39">
        <v>0</v>
      </c>
      <c r="E9" s="46">
        <f>[1]售热量!$Q$25</f>
        <v>0</v>
      </c>
      <c r="F9" s="38"/>
      <c r="G9" s="38"/>
      <c r="H9" s="34">
        <f>E9+F9+G9</f>
        <v>0</v>
      </c>
      <c r="I9" s="43">
        <f>D9+'26.7'!I9</f>
        <v>0</v>
      </c>
      <c r="J9" s="43">
        <f>E9+'26.7'!J9</f>
        <v>8828</v>
      </c>
      <c r="K9" s="43">
        <f>F9+'26.7'!K9</f>
        <v>0</v>
      </c>
      <c r="L9" s="43">
        <f>G9+'26.7'!L9</f>
        <v>0</v>
      </c>
      <c r="M9" s="34">
        <f t="shared" si="0"/>
        <v>8828</v>
      </c>
    </row>
    <row r="10" s="2" customFormat="1" ht="18" customHeight="1" spans="1:14">
      <c r="A10" s="27" t="s">
        <v>29</v>
      </c>
      <c r="B10" s="41" t="s">
        <v>30</v>
      </c>
      <c r="C10" s="42" t="s">
        <v>23</v>
      </c>
      <c r="D10" s="39"/>
      <c r="E10" s="32"/>
      <c r="F10" s="38"/>
      <c r="G10" s="33"/>
      <c r="H10" s="34">
        <f>E10+F10+G10</f>
        <v>0</v>
      </c>
      <c r="I10" s="43">
        <f>D10+'26.7'!I10</f>
        <v>66226</v>
      </c>
      <c r="J10" s="43">
        <f>E10+'26.7'!J10</f>
        <v>21656</v>
      </c>
      <c r="K10" s="43">
        <f>F10+'26.7'!K10</f>
        <v>0</v>
      </c>
      <c r="L10" s="43">
        <f>G10+'26.7'!L10</f>
        <v>931</v>
      </c>
      <c r="M10" s="34">
        <f t="shared" si="0"/>
        <v>22587</v>
      </c>
    </row>
    <row r="11" s="2" customFormat="1" ht="18" customHeight="1" spans="1:14">
      <c r="A11" s="27" t="s">
        <v>31</v>
      </c>
      <c r="B11" s="41" t="s">
        <v>32</v>
      </c>
      <c r="C11" s="42" t="s">
        <v>23</v>
      </c>
      <c r="D11" s="39"/>
      <c r="E11" s="39">
        <v>0</v>
      </c>
      <c r="F11" s="39"/>
      <c r="G11" s="39"/>
      <c r="H11" s="34">
        <f>E11+F11+G11</f>
        <v>0</v>
      </c>
      <c r="I11" s="43">
        <f>D11+'26.7'!I11</f>
        <v>16.2</v>
      </c>
      <c r="J11" s="43">
        <f>E11+'26.7'!J11</f>
        <v>0</v>
      </c>
      <c r="K11" s="43">
        <f>F11+'26.7'!K11</f>
        <v>0</v>
      </c>
      <c r="L11" s="43">
        <f>G11+'26.7'!L11</f>
        <v>0</v>
      </c>
      <c r="M11" s="34">
        <f t="shared" si="0"/>
        <v>0</v>
      </c>
    </row>
    <row r="12" s="2" customFormat="1" ht="18" customHeight="1" spans="1:14">
      <c r="A12" s="27" t="s">
        <v>33</v>
      </c>
      <c r="B12" s="41" t="s">
        <v>34</v>
      </c>
      <c r="C12" s="42" t="s">
        <v>23</v>
      </c>
      <c r="D12" s="44">
        <f>D13+D14</f>
        <v>0</v>
      </c>
      <c r="E12" s="44">
        <f>E13+E14</f>
        <v>0</v>
      </c>
      <c r="F12" s="44">
        <f>F13+F14</f>
        <v>0</v>
      </c>
      <c r="G12" s="44">
        <f>G13+G14</f>
        <v>0</v>
      </c>
      <c r="H12" s="34">
        <f>E12+F12+G12</f>
        <v>0</v>
      </c>
      <c r="I12" s="43">
        <f>D12+'26.7'!I12</f>
        <v>43472.2579475284</v>
      </c>
      <c r="J12" s="43">
        <f>E12+'26.7'!J12</f>
        <v>13036.909</v>
      </c>
      <c r="K12" s="43">
        <f>F12+'26.7'!K12</f>
        <v>0</v>
      </c>
      <c r="L12" s="43">
        <f>G12+'26.7'!L12</f>
        <v>620.280370522607</v>
      </c>
      <c r="M12" s="34">
        <f t="shared" si="0"/>
        <v>13657.1893705226</v>
      </c>
    </row>
    <row r="13" s="2" customFormat="1" ht="18" customHeight="1" spans="1:14">
      <c r="A13" s="27"/>
      <c r="B13" s="41" t="s">
        <v>35</v>
      </c>
      <c r="C13" s="42" t="s">
        <v>23</v>
      </c>
      <c r="D13" s="39"/>
      <c r="E13" s="39"/>
      <c r="F13" s="39"/>
      <c r="G13" s="44"/>
      <c r="H13" s="47"/>
      <c r="I13" s="43">
        <f>D13+'26.7'!I13</f>
        <v>43448.6529275284</v>
      </c>
      <c r="J13" s="43">
        <f>E13+'26.7'!J13</f>
        <v>13036.909</v>
      </c>
      <c r="K13" s="43">
        <f>F13+'26.7'!K13</f>
        <v>0</v>
      </c>
      <c r="L13" s="43">
        <f>G13+'26.7'!L13</f>
        <v>620.280370522607</v>
      </c>
      <c r="M13" s="47"/>
    </row>
    <row r="14" s="2" customFormat="1" ht="18" customHeight="1" spans="1:14">
      <c r="A14" s="27"/>
      <c r="B14" s="41" t="s">
        <v>36</v>
      </c>
      <c r="C14" s="42" t="s">
        <v>23</v>
      </c>
      <c r="D14" s="44"/>
      <c r="E14" s="39"/>
      <c r="F14" s="39"/>
      <c r="G14" s="39"/>
      <c r="H14" s="47"/>
      <c r="I14" s="43">
        <f>D14+'26.7'!I14</f>
        <v>23.60502</v>
      </c>
      <c r="J14" s="43">
        <f>E14+'26.7'!J14</f>
        <v>0</v>
      </c>
      <c r="K14" s="43">
        <f>F14+'26.7'!K14</f>
        <v>0</v>
      </c>
      <c r="L14" s="43">
        <f>G14+'26.7'!L14</f>
        <v>0</v>
      </c>
      <c r="M14" s="47"/>
    </row>
    <row r="15" s="2" customFormat="1" ht="18" customHeight="1" spans="1:14">
      <c r="A15" s="27" t="s">
        <v>37</v>
      </c>
      <c r="B15" s="41" t="s">
        <v>38</v>
      </c>
      <c r="C15" s="42" t="s">
        <v>23</v>
      </c>
      <c r="D15" s="39"/>
      <c r="E15" s="48"/>
      <c r="F15" s="38"/>
      <c r="G15" s="33"/>
      <c r="H15" s="34"/>
      <c r="I15" s="43">
        <f>D15+'26.7'!I15</f>
        <v>23540</v>
      </c>
      <c r="J15" s="43">
        <f>E15+'26.7'!J15</f>
        <v>43463</v>
      </c>
      <c r="K15" s="43">
        <f>F15+'26.7'!K15</f>
        <v>0</v>
      </c>
      <c r="L15" s="43">
        <f>G15+'26.7'!L15</f>
        <v>97382</v>
      </c>
      <c r="M15" s="34">
        <f>J15+K15+L15</f>
        <v>140845</v>
      </c>
    </row>
    <row r="16" s="2" customFormat="1" ht="18" customHeight="1" spans="1:14">
      <c r="A16" s="27"/>
      <c r="B16" s="41" t="s">
        <v>39</v>
      </c>
      <c r="C16" s="42" t="s">
        <v>23</v>
      </c>
      <c r="D16" s="39"/>
      <c r="E16" s="48"/>
      <c r="F16" s="38"/>
      <c r="G16" s="38"/>
      <c r="H16" s="34"/>
      <c r="I16" s="43">
        <f>D16+'26.7'!I16</f>
        <v>2975</v>
      </c>
      <c r="J16" s="43">
        <f>E16+'26.7'!J16</f>
        <v>0</v>
      </c>
      <c r="K16" s="43">
        <f>F16+'26.7'!K16</f>
        <v>0</v>
      </c>
      <c r="L16" s="43">
        <f>G16+'26.7'!L16</f>
        <v>0</v>
      </c>
      <c r="M16" s="34">
        <f>J16+K16+L16</f>
        <v>0</v>
      </c>
    </row>
    <row r="17" s="2" customFormat="1" ht="18" customHeight="1" spans="1:14">
      <c r="A17" s="27" t="s">
        <v>40</v>
      </c>
      <c r="B17" s="41" t="s">
        <v>41</v>
      </c>
      <c r="C17" s="42" t="s">
        <v>42</v>
      </c>
      <c r="D17" s="44"/>
      <c r="E17" s="48"/>
      <c r="F17" s="38"/>
      <c r="G17" s="33"/>
      <c r="H17" s="34"/>
      <c r="I17" s="43">
        <f>D17+'26.7'!I17</f>
        <v>8122792</v>
      </c>
      <c r="J17" s="43">
        <f>E17+'26.7'!J17</f>
        <v>3287588</v>
      </c>
      <c r="K17" s="49"/>
      <c r="L17" s="43">
        <f>G17+'26.7'!L17</f>
        <v>2263757.5</v>
      </c>
      <c r="M17" s="34">
        <f>J17+K17+L17</f>
        <v>5551345.5</v>
      </c>
    </row>
    <row r="18" s="2" customFormat="1" ht="18" customHeight="1" spans="1:14">
      <c r="A18" s="27"/>
      <c r="B18" s="41" t="s">
        <v>43</v>
      </c>
      <c r="C18" s="42" t="s">
        <v>42</v>
      </c>
      <c r="D18" s="39"/>
      <c r="E18" s="48"/>
      <c r="F18" s="38"/>
      <c r="G18" s="38"/>
      <c r="H18" s="47"/>
      <c r="I18" s="43">
        <f>D18+'26.7'!I18</f>
        <v>8122792</v>
      </c>
      <c r="J18" s="43">
        <f>E18+'26.7'!J18</f>
        <v>0</v>
      </c>
      <c r="K18" s="43">
        <f>F18+'26.7'!K18</f>
        <v>0</v>
      </c>
      <c r="L18" s="43">
        <f>G18+'26.7'!L18</f>
        <v>0</v>
      </c>
      <c r="M18" s="47"/>
    </row>
    <row r="19" s="2" customFormat="1" ht="18" customHeight="1" spans="1:14">
      <c r="A19" s="27"/>
      <c r="B19" s="41" t="s">
        <v>44</v>
      </c>
      <c r="C19" s="42" t="s">
        <v>42</v>
      </c>
      <c r="D19" s="39"/>
      <c r="E19" s="48"/>
      <c r="F19" s="33"/>
      <c r="G19" s="33"/>
      <c r="H19" s="47"/>
      <c r="I19" s="43">
        <f>D19+'26.7'!I19</f>
        <v>0</v>
      </c>
      <c r="J19" s="50"/>
      <c r="K19" s="43">
        <f>F19+'26.7'!K19</f>
        <v>0</v>
      </c>
      <c r="L19" s="43">
        <f>G19+'26.7'!L19</f>
        <v>2263757.5</v>
      </c>
      <c r="M19" s="47"/>
    </row>
    <row r="20" s="2" customFormat="1" ht="18" customHeight="1" spans="1:14">
      <c r="A20" s="27"/>
      <c r="B20" s="41" t="s">
        <v>45</v>
      </c>
      <c r="C20" s="42" t="s">
        <v>23</v>
      </c>
      <c r="D20" s="39"/>
      <c r="E20" s="48"/>
      <c r="F20" s="38"/>
      <c r="G20" s="38"/>
      <c r="H20" s="47"/>
      <c r="I20" s="43">
        <f>D20+'26.7'!I20</f>
        <v>21425</v>
      </c>
      <c r="J20" s="43">
        <f>E20+'26.7'!J20</f>
        <v>0</v>
      </c>
      <c r="K20" s="43">
        <f>F20+'26.7'!K20</f>
        <v>0</v>
      </c>
      <c r="L20" s="43">
        <f>G20+'26.7'!L20</f>
        <v>0</v>
      </c>
      <c r="M20" s="47"/>
    </row>
    <row r="21" s="2" customFormat="1" ht="18" customHeight="1" spans="1:14">
      <c r="A21" s="27"/>
      <c r="B21" s="41" t="s">
        <v>46</v>
      </c>
      <c r="C21" s="42" t="s">
        <v>42</v>
      </c>
      <c r="D21" s="39"/>
      <c r="E21" s="48"/>
      <c r="F21" s="38"/>
      <c r="G21" s="38"/>
      <c r="H21" s="47"/>
      <c r="I21" s="43">
        <f>D21+'26.7'!I21</f>
        <v>929610.099999999</v>
      </c>
      <c r="J21" s="43">
        <f>E21+'26.7'!J21</f>
        <v>0</v>
      </c>
      <c r="K21" s="43">
        <f>F21+'26.7'!K21</f>
        <v>0</v>
      </c>
      <c r="L21" s="43">
        <f>G21+'26.7'!L21</f>
        <v>0</v>
      </c>
      <c r="M21" s="47"/>
    </row>
    <row r="22" s="2" customFormat="1" ht="14" spans="1:14">
      <c r="A22" s="51" t="s">
        <v>47</v>
      </c>
      <c r="B22" s="52" t="s">
        <v>48</v>
      </c>
      <c r="C22" s="53" t="s">
        <v>23</v>
      </c>
      <c r="D22" s="33"/>
      <c r="E22" s="54"/>
      <c r="F22" s="54"/>
      <c r="G22" s="54"/>
      <c r="H22" s="55"/>
      <c r="I22" s="43">
        <f>D22+'26.7'!I22</f>
        <v>1071.51</v>
      </c>
      <c r="J22" s="43">
        <f>E22+'26.7'!J22</f>
        <v>69.155</v>
      </c>
      <c r="K22" s="43">
        <f>F22+'26.7'!K22</f>
        <v>0</v>
      </c>
      <c r="L22" s="43">
        <f>G22+'26.7'!L22</f>
        <v>13.375</v>
      </c>
      <c r="M22" s="56">
        <f>J22+K22+L22</f>
        <v>82.53</v>
      </c>
      <c r="N22" s="1"/>
    </row>
    <row r="23" s="2" customFormat="1" ht="21" customHeight="1" spans="1:14">
      <c r="A23" s="51" t="s">
        <v>49</v>
      </c>
      <c r="B23" s="52" t="s">
        <v>50</v>
      </c>
      <c r="C23" s="53" t="s">
        <v>23</v>
      </c>
      <c r="D23" s="33"/>
      <c r="E23" s="54"/>
      <c r="F23" s="54"/>
      <c r="G23" s="54"/>
      <c r="H23" s="55"/>
      <c r="I23" s="43">
        <f>D23+'26.7'!I23</f>
        <v>371.77</v>
      </c>
      <c r="J23" s="43">
        <f>E23+'26.7'!J23</f>
        <v>49.29</v>
      </c>
      <c r="K23" s="43">
        <f>F23+'26.7'!K23</f>
        <v>0</v>
      </c>
      <c r="L23" s="43">
        <f>G23+'26.7'!L23</f>
        <v>4.025</v>
      </c>
      <c r="M23" s="56">
        <f>J23+K23+L23</f>
        <v>53.315</v>
      </c>
      <c r="N23" s="1"/>
    </row>
    <row r="24" s="2" customFormat="1" ht="18" customHeight="1" spans="1:14">
      <c r="A24" s="51" t="s">
        <v>51</v>
      </c>
      <c r="B24" s="41" t="s">
        <v>52</v>
      </c>
      <c r="C24" s="42" t="s">
        <v>53</v>
      </c>
      <c r="D24" s="57" t="e">
        <f t="shared" ref="D24:M24" si="1">D17/D8</f>
        <v>#DIV/0!</v>
      </c>
      <c r="E24" s="57" t="e">
        <f t="shared" si="1"/>
        <v>#DIV/0!</v>
      </c>
      <c r="F24" s="57" t="e">
        <f t="shared" si="1"/>
        <v>#DIV/0!</v>
      </c>
      <c r="G24" s="57" t="e">
        <f t="shared" si="1"/>
        <v>#DIV/0!</v>
      </c>
      <c r="H24" s="58" t="e">
        <f t="shared" si="1"/>
        <v>#DIV/0!</v>
      </c>
      <c r="I24" s="59">
        <f t="shared" si="1"/>
        <v>6.95290937447036</v>
      </c>
      <c r="J24" s="57">
        <f t="shared" si="1"/>
        <v>12.2918684050483</v>
      </c>
      <c r="K24" s="57" t="e">
        <f t="shared" si="1"/>
        <v>#DIV/0!</v>
      </c>
      <c r="L24" s="57">
        <f t="shared" si="1"/>
        <v>5.13454669523069</v>
      </c>
      <c r="M24" s="58">
        <f t="shared" si="1"/>
        <v>7.83703242251122</v>
      </c>
    </row>
    <row r="25" s="2" customFormat="1" ht="18" customHeight="1" spans="1:14">
      <c r="A25" s="51" t="s">
        <v>54</v>
      </c>
      <c r="B25" s="41" t="s">
        <v>55</v>
      </c>
      <c r="C25" s="42" t="s">
        <v>56</v>
      </c>
      <c r="D25" s="57" t="e">
        <f t="shared" ref="D25:M25" si="2">D12*1000/D8</f>
        <v>#DIV/0!</v>
      </c>
      <c r="E25" s="57" t="e">
        <f t="shared" si="2"/>
        <v>#DIV/0!</v>
      </c>
      <c r="F25" s="57" t="e">
        <f t="shared" si="2"/>
        <v>#DIV/0!</v>
      </c>
      <c r="G25" s="57" t="e">
        <f t="shared" si="2"/>
        <v>#DIV/0!</v>
      </c>
      <c r="H25" s="58" t="e">
        <f t="shared" si="2"/>
        <v>#DIV/0!</v>
      </c>
      <c r="I25" s="59">
        <f t="shared" si="2"/>
        <v>37.2111793349829</v>
      </c>
      <c r="J25" s="57">
        <f t="shared" si="2"/>
        <v>48.7433248438034</v>
      </c>
      <c r="K25" s="57" t="e">
        <f t="shared" si="2"/>
        <v>#DIV/0!</v>
      </c>
      <c r="L25" s="57">
        <f t="shared" si="2"/>
        <v>1.40689032574528</v>
      </c>
      <c r="M25" s="58">
        <f t="shared" si="2"/>
        <v>19.2803412969272</v>
      </c>
    </row>
    <row r="26" s="3" customFormat="1" ht="18" customHeight="1" spans="1:14">
      <c r="A26" s="51" t="s">
        <v>57</v>
      </c>
      <c r="B26" s="41" t="s">
        <v>58</v>
      </c>
      <c r="C26" s="60" t="s">
        <v>23</v>
      </c>
      <c r="D26" s="33"/>
      <c r="E26" s="61"/>
      <c r="F26" s="62"/>
      <c r="G26" s="33"/>
      <c r="H26" s="63"/>
      <c r="I26" s="43">
        <f>D26+'26.7'!I26</f>
        <v>23988</v>
      </c>
      <c r="J26" s="43">
        <f>E26+'26.7'!J26</f>
        <v>13379</v>
      </c>
      <c r="K26" s="43">
        <f>F26+'26.7'!K26</f>
        <v>0</v>
      </c>
      <c r="L26" s="43">
        <f>G26+'26.7'!L26</f>
        <v>119</v>
      </c>
      <c r="M26" s="63">
        <f>J26+K26+L26</f>
        <v>13498</v>
      </c>
    </row>
    <row r="27" s="3" customFormat="1" ht="18" customHeight="1" spans="1:14">
      <c r="A27" s="51" t="s">
        <v>59</v>
      </c>
      <c r="B27" s="41" t="s">
        <v>60</v>
      </c>
      <c r="C27" s="60" t="s">
        <v>23</v>
      </c>
      <c r="D27" s="48"/>
      <c r="E27" s="64">
        <f>J27</f>
        <v>4292.7</v>
      </c>
      <c r="F27" s="64"/>
      <c r="G27" s="64">
        <f>L27</f>
        <v>296.500000000023</v>
      </c>
      <c r="H27" s="65"/>
      <c r="I27" s="66"/>
      <c r="J27" s="67">
        <f>'26.7'!J27+E26-E10</f>
        <v>4292.7</v>
      </c>
      <c r="K27" s="67">
        <f>'26.7'!K27+F26-F10</f>
        <v>0</v>
      </c>
      <c r="L27" s="67">
        <f>'26.7'!L27+G26-G10</f>
        <v>296.500000000023</v>
      </c>
      <c r="M27" s="68">
        <f>J27+K27+L27</f>
        <v>4589.20000000002</v>
      </c>
    </row>
    <row r="28" s="2" customFormat="1" ht="18" customHeight="1" spans="1:14">
      <c r="A28" s="51" t="s">
        <v>61</v>
      </c>
      <c r="B28" s="41" t="s">
        <v>62</v>
      </c>
      <c r="C28" s="42" t="s">
        <v>63</v>
      </c>
      <c r="D28" s="69" t="e">
        <f>D13*29308/D10</f>
        <v>#DIV/0!</v>
      </c>
      <c r="E28" s="69" t="e">
        <f>E12*29308/E10</f>
        <v>#DIV/0!</v>
      </c>
      <c r="F28" s="69" t="e">
        <f>F12*29308/F10</f>
        <v>#DIV/0!</v>
      </c>
      <c r="G28" s="69" t="e">
        <f>G12*29308/G10</f>
        <v>#DIV/0!</v>
      </c>
      <c r="H28" s="69" t="e">
        <f>H12*29308/H10</f>
        <v>#DIV/0!</v>
      </c>
      <c r="I28" s="70">
        <f>I13*29308/I10</f>
        <v>19227.9938392777</v>
      </c>
      <c r="J28" s="44">
        <f>J12*29308/J10</f>
        <v>17643.4119399704</v>
      </c>
      <c r="K28" s="44" t="e">
        <f>K12*29308/K10</f>
        <v>#DIV/0!</v>
      </c>
      <c r="L28" s="44">
        <f>L12*29308/L10</f>
        <v>19526.5060142605</v>
      </c>
      <c r="M28" s="69">
        <f>M12*29308/M10</f>
        <v>17721.0300646955</v>
      </c>
    </row>
    <row r="29" s="2" customFormat="1" ht="18" customHeight="1" spans="1:14">
      <c r="A29" s="51" t="s">
        <v>64</v>
      </c>
      <c r="B29" s="41" t="s">
        <v>65</v>
      </c>
      <c r="C29" s="42" t="s">
        <v>63</v>
      </c>
      <c r="D29" s="71"/>
      <c r="E29" s="39"/>
      <c r="F29" s="39"/>
      <c r="G29" s="72"/>
      <c r="H29" s="73"/>
      <c r="I29" s="74"/>
      <c r="J29" s="39"/>
      <c r="K29" s="39"/>
      <c r="L29" s="72"/>
      <c r="M29" s="73"/>
    </row>
    <row r="30" s="2" customFormat="1" ht="18" customHeight="1" spans="1:14">
      <c r="A30" s="51" t="s">
        <v>66</v>
      </c>
      <c r="B30" s="41" t="s">
        <v>67</v>
      </c>
      <c r="C30" s="75" t="s">
        <v>68</v>
      </c>
      <c r="D30" s="76" t="e">
        <f>D8/(D12*29.308)</f>
        <v>#DIV/0!</v>
      </c>
      <c r="E30" s="76" t="e">
        <f>E8/(E12*29.308)</f>
        <v>#DIV/0!</v>
      </c>
      <c r="F30" s="76" t="e">
        <f>F8/(F12*29.308)</f>
        <v>#DIV/0!</v>
      </c>
      <c r="G30" s="76" t="e">
        <f>(G8-G36)/(G12*29.308)</f>
        <v>#DIV/0!</v>
      </c>
      <c r="H30" s="77" t="e">
        <f t="shared" ref="H30:M30" si="3">H8/(H12*29.308)</f>
        <v>#DIV/0!</v>
      </c>
      <c r="I30" s="78">
        <f t="shared" si="3"/>
        <v>0.916938868875932</v>
      </c>
      <c r="J30" s="76">
        <f t="shared" si="3"/>
        <v>0.700001011385589</v>
      </c>
      <c r="K30" s="76" t="e">
        <f t="shared" si="3"/>
        <v>#DIV/0!</v>
      </c>
      <c r="L30" s="76">
        <f t="shared" si="3"/>
        <v>24.2523358534603</v>
      </c>
      <c r="M30" s="77">
        <f t="shared" si="3"/>
        <v>1.76969775397059</v>
      </c>
    </row>
    <row r="31" s="2" customFormat="1" ht="18" customHeight="1" spans="1:14">
      <c r="A31" s="51" t="s">
        <v>69</v>
      </c>
      <c r="B31" s="41" t="s">
        <v>70</v>
      </c>
      <c r="C31" s="75" t="s">
        <v>68</v>
      </c>
      <c r="D31" s="79">
        <f>D8/3.6/D3/(DAY(DATE(2026,9,0))*24)</f>
        <v>0</v>
      </c>
      <c r="E31" s="79">
        <f>E8/3.6/E3/(DAY(DATE(2026,9,0))*24)</f>
        <v>0</v>
      </c>
      <c r="F31" s="79" t="e">
        <f>F8/3.6/F3/(DAY(DATE(2026,9,0))*24)</f>
        <v>#DIV/0!</v>
      </c>
      <c r="G31" s="79">
        <f>(G8-G36)/3.6/G3/(DAY(DATE(2026,9,0))*24)</f>
        <v>0</v>
      </c>
      <c r="H31" s="80">
        <f>H8/3.6/H3/(DAY(DATE(2026,9,0))*24)</f>
        <v>0</v>
      </c>
      <c r="I31" s="81">
        <f>I8/3.6/I3/(DATEDIF(DATE(2026,1,1),DATE(2026,9,1),"D")*24)</f>
        <v>0.159896701074093</v>
      </c>
      <c r="J31" s="79">
        <f>J8/3.6/J3/(DATEDIF(DATE(2026,1,1),DATE(2026,9,1),"D")*24)</f>
        <v>0.0786365504109346</v>
      </c>
      <c r="K31" s="79" t="e">
        <f>K8/3.6/K3/(DATEDIF(DATE(2026,1,1),DATE(2026,9,1),"D")*24)</f>
        <v>#DIV/0!</v>
      </c>
      <c r="L31" s="79">
        <f>(L8-L36)/3.6/L3/(DATEDIF(DATE(2026,1,1),DATE(2026,9,1),"D")*24)</f>
        <v>0.0371088512448729</v>
      </c>
      <c r="M31" s="80">
        <f>M8/3.6/M3/(DATEDIF(DATE(2026,1,1),DATE(2026,9,1),"D")*24)</f>
        <v>0.191696388088811</v>
      </c>
    </row>
    <row r="32" s="2" customFormat="1" ht="18" customHeight="1" spans="1:14">
      <c r="A32" s="51" t="s">
        <v>71</v>
      </c>
      <c r="B32" s="41" t="s">
        <v>72</v>
      </c>
      <c r="C32" s="42" t="s">
        <v>73</v>
      </c>
      <c r="D32" s="82"/>
      <c r="E32" s="83" t="e">
        <f>E8/E6</f>
        <v>#DIV/0!</v>
      </c>
      <c r="F32" s="83" t="e">
        <f>F8/F6</f>
        <v>#DIV/0!</v>
      </c>
      <c r="G32" s="83" t="e">
        <f>G8/G6</f>
        <v>#DIV/0!</v>
      </c>
      <c r="H32" s="83" t="e">
        <f>H8/H6</f>
        <v>#DIV/0!</v>
      </c>
      <c r="I32" s="84"/>
      <c r="J32" s="83" t="e">
        <f>J8/J6</f>
        <v>#DIV/0!</v>
      </c>
      <c r="K32" s="83" t="e">
        <f>K8/K6</f>
        <v>#DIV/0!</v>
      </c>
      <c r="L32" s="83" t="e">
        <f>L8/L6</f>
        <v>#DIV/0!</v>
      </c>
      <c r="M32" s="85" t="e">
        <f>M8/M6</f>
        <v>#DIV/0!</v>
      </c>
    </row>
    <row r="33" s="2" customFormat="1" ht="18" customHeight="1" spans="1:13">
      <c r="A33" s="51" t="s">
        <v>74</v>
      </c>
      <c r="B33" s="41" t="s">
        <v>75</v>
      </c>
      <c r="C33" s="42" t="s">
        <v>76</v>
      </c>
      <c r="D33" s="86"/>
      <c r="E33" s="87" t="e">
        <f>E12*1000/E6</f>
        <v>#DIV/0!</v>
      </c>
      <c r="F33" s="87" t="e">
        <f>F12*1000/F6</f>
        <v>#DIV/0!</v>
      </c>
      <c r="G33" s="87" t="e">
        <f>G12*1000/G6</f>
        <v>#DIV/0!</v>
      </c>
      <c r="H33" s="88" t="e">
        <f>H12*1000/H6</f>
        <v>#DIV/0!</v>
      </c>
      <c r="I33" s="89"/>
      <c r="J33" s="87" t="e">
        <f>J12*1000/J6</f>
        <v>#DIV/0!</v>
      </c>
      <c r="K33" s="87" t="e">
        <f>K12*1000/K6</f>
        <v>#DIV/0!</v>
      </c>
      <c r="L33" s="87" t="e">
        <f>L12*1000/L6</f>
        <v>#DIV/0!</v>
      </c>
      <c r="M33" s="88" t="e">
        <f>M12*1000/M6</f>
        <v>#DIV/0!</v>
      </c>
    </row>
    <row r="34" s="2" customFormat="1" ht="18" customHeight="1" spans="1:13">
      <c r="A34" s="51" t="s">
        <v>77</v>
      </c>
      <c r="B34" s="41" t="s">
        <v>78</v>
      </c>
      <c r="C34" s="42" t="s">
        <v>79</v>
      </c>
      <c r="D34" s="90"/>
      <c r="E34" s="87" t="e">
        <f>E17/E6</f>
        <v>#DIV/0!</v>
      </c>
      <c r="F34" s="87" t="e">
        <f>F17/F6</f>
        <v>#DIV/0!</v>
      </c>
      <c r="G34" s="87" t="e">
        <f>G17/G6</f>
        <v>#DIV/0!</v>
      </c>
      <c r="H34" s="88" t="e">
        <f>H17/H6</f>
        <v>#DIV/0!</v>
      </c>
      <c r="I34" s="91"/>
      <c r="J34" s="87" t="e">
        <f>J17/J6</f>
        <v>#DIV/0!</v>
      </c>
      <c r="K34" s="87" t="e">
        <f>K17/K6</f>
        <v>#DIV/0!</v>
      </c>
      <c r="L34" s="87" t="e">
        <f>L17/L6</f>
        <v>#DIV/0!</v>
      </c>
      <c r="M34" s="88" t="e">
        <f>M17/M6</f>
        <v>#DIV/0!</v>
      </c>
    </row>
    <row r="35" s="2" customFormat="1" ht="18" customHeight="1" spans="1:13">
      <c r="A35" s="92" t="s">
        <v>80</v>
      </c>
      <c r="B35" s="93" t="s">
        <v>81</v>
      </c>
      <c r="C35" s="94" t="s">
        <v>76</v>
      </c>
      <c r="D35" s="95"/>
      <c r="E35" s="96" t="e">
        <f>E15*1000/E6</f>
        <v>#DIV/0!</v>
      </c>
      <c r="F35" s="96" t="e">
        <f>F15*1000/F6</f>
        <v>#DIV/0!</v>
      </c>
      <c r="G35" s="96" t="e">
        <f>G15*1000/G6</f>
        <v>#DIV/0!</v>
      </c>
      <c r="H35" s="97" t="e">
        <f>H15*1000/H6</f>
        <v>#DIV/0!</v>
      </c>
      <c r="I35" s="98"/>
      <c r="J35" s="96" t="e">
        <f>J15*1000/J6</f>
        <v>#DIV/0!</v>
      </c>
      <c r="K35" s="96" t="e">
        <f>K15*1000/K6</f>
        <v>#DIV/0!</v>
      </c>
      <c r="L35" s="96" t="e">
        <f>L15*1000/L6</f>
        <v>#DIV/0!</v>
      </c>
      <c r="M35" s="97" t="e">
        <f>M15*1000/M6</f>
        <v>#DIV/0!</v>
      </c>
    </row>
    <row r="36" s="2" customFormat="1" ht="21" customHeight="1" spans="1:13">
      <c r="A36" s="99"/>
      <c r="B36" s="100" t="s">
        <v>82</v>
      </c>
      <c r="C36" s="101" t="s">
        <v>26</v>
      </c>
      <c r="D36" s="102"/>
      <c r="E36" s="102"/>
      <c r="F36" s="102"/>
      <c r="G36" s="102"/>
      <c r="H36" s="102"/>
      <c r="I36" s="102"/>
      <c r="J36" s="102"/>
      <c r="K36" s="102"/>
      <c r="L36" s="43">
        <f>G36+'26.7'!L36</f>
        <v>429980</v>
      </c>
      <c r="M36" s="102"/>
    </row>
    <row r="37" s="1" customFormat="1" ht="29.25" customHeight="1" spans="1:13">
      <c r="A37" s="103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3">
      <c r="A38" s="104" t="s">
        <v>0</v>
      </c>
      <c r="B38" s="105" t="s">
        <v>85</v>
      </c>
      <c r="C38" s="105" t="s">
        <v>2</v>
      </c>
      <c r="D38" s="106" t="s">
        <v>86</v>
      </c>
      <c r="E38" s="107" t="s">
        <v>87</v>
      </c>
      <c r="F38" s="2"/>
      <c r="G38" s="2"/>
      <c r="H38" s="2"/>
    </row>
    <row r="39" s="1" customFormat="1" ht="27.95" customHeight="1" spans="1:13">
      <c r="A39" s="27" t="s">
        <v>11</v>
      </c>
      <c r="B39" s="28" t="s">
        <v>12</v>
      </c>
      <c r="C39" s="29" t="s">
        <v>13</v>
      </c>
      <c r="D39" s="108">
        <v>0.55</v>
      </c>
      <c r="E39" s="109">
        <v>0.55</v>
      </c>
      <c r="F39" s="2"/>
      <c r="G39" s="2"/>
      <c r="H39" s="2"/>
    </row>
    <row r="40" s="1" customFormat="1" ht="27.95" customHeight="1" spans="1:13">
      <c r="A40" s="27" t="s">
        <v>14</v>
      </c>
      <c r="B40" s="28" t="s">
        <v>88</v>
      </c>
      <c r="C40" s="29" t="s">
        <v>16</v>
      </c>
      <c r="D40" s="110"/>
      <c r="E40" s="111">
        <f>D40</f>
        <v>0</v>
      </c>
      <c r="F40" s="2"/>
      <c r="G40" s="2"/>
      <c r="H40" s="2"/>
    </row>
    <row r="41" s="1" customFormat="1" ht="27.95" customHeight="1" spans="1:13">
      <c r="A41" s="27" t="s">
        <v>19</v>
      </c>
      <c r="B41" s="28" t="s">
        <v>89</v>
      </c>
      <c r="C41" s="29" t="s">
        <v>16</v>
      </c>
      <c r="D41" s="112"/>
      <c r="E41" s="113">
        <f>D41</f>
        <v>0</v>
      </c>
      <c r="F41" s="2"/>
      <c r="G41" s="2"/>
      <c r="H41" s="2"/>
    </row>
    <row r="42" s="1" customFormat="1" ht="27.95" customHeight="1" spans="1:13">
      <c r="A42" s="27" t="s">
        <v>21</v>
      </c>
      <c r="B42" s="41" t="s">
        <v>25</v>
      </c>
      <c r="C42" s="42" t="s">
        <v>26</v>
      </c>
      <c r="D42" s="114"/>
      <c r="E42" s="115">
        <f>D42+'26.7'!E42</f>
        <v>889</v>
      </c>
      <c r="F42" s="2"/>
      <c r="G42" s="2"/>
      <c r="H42" s="2"/>
    </row>
    <row r="43" s="1" customFormat="1" ht="27.95" customHeight="1" spans="1:13">
      <c r="A43" s="27" t="s">
        <v>24</v>
      </c>
      <c r="B43" s="41" t="s">
        <v>38</v>
      </c>
      <c r="C43" s="42" t="s">
        <v>23</v>
      </c>
      <c r="D43" s="110"/>
      <c r="E43" s="115">
        <f>D43+'26.7'!E43</f>
        <v>10</v>
      </c>
      <c r="F43" s="2"/>
      <c r="G43" s="2"/>
      <c r="H43" s="2"/>
    </row>
    <row r="44" s="1" customFormat="1" ht="27.95" customHeight="1" spans="1:13">
      <c r="A44" s="27" t="s">
        <v>27</v>
      </c>
      <c r="B44" s="41" t="s">
        <v>41</v>
      </c>
      <c r="C44" s="42" t="s">
        <v>42</v>
      </c>
      <c r="D44" s="110"/>
      <c r="E44" s="115">
        <f>D44+'26.7'!E44</f>
        <v>267664</v>
      </c>
      <c r="F44" s="2"/>
      <c r="G44" s="2"/>
      <c r="H44" s="2"/>
    </row>
    <row r="45" s="1" customFormat="1" ht="27.95" customHeight="1" spans="1:13">
      <c r="A45" s="27"/>
      <c r="B45" s="41" t="s">
        <v>90</v>
      </c>
      <c r="C45" s="42" t="s">
        <v>42</v>
      </c>
      <c r="D45" s="110">
        <f>D44</f>
        <v>0</v>
      </c>
      <c r="E45" s="115">
        <f>D45+'26.7'!E45</f>
        <v>267664</v>
      </c>
      <c r="F45" s="2"/>
      <c r="G45" s="2"/>
      <c r="H45" s="2"/>
    </row>
    <row r="46" s="1" customFormat="1" ht="27.95" customHeight="1" spans="1:13">
      <c r="A46" s="27" t="s">
        <v>29</v>
      </c>
      <c r="B46" s="41" t="s">
        <v>52</v>
      </c>
      <c r="C46" s="42" t="s">
        <v>53</v>
      </c>
      <c r="D46" s="116" t="e">
        <f>D44/D42</f>
        <v>#DIV/0!</v>
      </c>
      <c r="E46" s="117">
        <f>E44/E42</f>
        <v>301.084364454443</v>
      </c>
      <c r="F46" s="2"/>
      <c r="G46" s="2"/>
      <c r="H46" s="2"/>
    </row>
    <row r="47" s="1" customFormat="1" ht="27.95" customHeight="1" spans="1:13">
      <c r="A47" s="27" t="s">
        <v>31</v>
      </c>
      <c r="B47" s="41" t="s">
        <v>70</v>
      </c>
      <c r="C47" s="75" t="s">
        <v>68</v>
      </c>
      <c r="D47" s="118">
        <f>D42/3.6/D39/(DAY(DATE(2026,9,0))*24)</f>
        <v>0</v>
      </c>
      <c r="E47" s="119">
        <f>E42/3.6/E39/(DATEDIF(DATE(2026,1,1),DATE(2026,9,1),"D")*24)</f>
        <v>0.0769872940654834</v>
      </c>
      <c r="F47" s="2"/>
      <c r="G47" s="2"/>
      <c r="H47" s="2"/>
    </row>
    <row r="48" s="1" customFormat="1" ht="27.95" customHeight="1" spans="1:13">
      <c r="A48" s="27" t="s">
        <v>33</v>
      </c>
      <c r="B48" s="41" t="s">
        <v>72</v>
      </c>
      <c r="C48" s="42" t="s">
        <v>73</v>
      </c>
      <c r="D48" s="120" t="e">
        <f>D42/D41</f>
        <v>#DIV/0!</v>
      </c>
      <c r="E48" s="121" t="e">
        <f>E42/E41</f>
        <v>#DIV/0!</v>
      </c>
      <c r="F48" s="2"/>
      <c r="G48" s="2"/>
      <c r="H48" s="2"/>
    </row>
    <row r="49" s="1" customFormat="1" ht="27.95" customHeight="1" spans="1:10">
      <c r="A49" s="27" t="s">
        <v>37</v>
      </c>
      <c r="B49" s="41" t="s">
        <v>78</v>
      </c>
      <c r="C49" s="42" t="s">
        <v>79</v>
      </c>
      <c r="D49" s="122" t="e">
        <f>D44/D41</f>
        <v>#DIV/0!</v>
      </c>
      <c r="E49" s="123" t="e">
        <f>E44/E41</f>
        <v>#DIV/0!</v>
      </c>
      <c r="F49" s="2"/>
      <c r="G49" s="2"/>
      <c r="H49" s="2"/>
    </row>
    <row r="50" s="1" customFormat="1" ht="27.95" customHeight="1" spans="1:10">
      <c r="A50" s="124" t="s">
        <v>40</v>
      </c>
      <c r="B50" s="93" t="s">
        <v>81</v>
      </c>
      <c r="C50" s="94" t="s">
        <v>76</v>
      </c>
      <c r="D50" s="125" t="e">
        <f>D43*1000/D41</f>
        <v>#DIV/0!</v>
      </c>
      <c r="E50" s="125" t="e">
        <f>E43*1000/E41</f>
        <v>#DIV/0!</v>
      </c>
      <c r="F50" s="2"/>
      <c r="G50" s="2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3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26" t="s">
        <v>0</v>
      </c>
      <c r="B53" s="127" t="s">
        <v>85</v>
      </c>
      <c r="C53" s="127" t="s">
        <v>2</v>
      </c>
      <c r="D53" s="106" t="s">
        <v>86</v>
      </c>
      <c r="E53" s="9"/>
      <c r="F53" s="10"/>
      <c r="G53" s="128" t="s">
        <v>87</v>
      </c>
      <c r="H53" s="9"/>
      <c r="I53" s="9"/>
    </row>
    <row r="54" s="1" customFormat="1" ht="31.5" customHeight="1" spans="1:10">
      <c r="A54" s="12"/>
      <c r="B54" s="13"/>
      <c r="C54" s="13"/>
      <c r="D54" s="129" t="s">
        <v>92</v>
      </c>
      <c r="E54" s="129" t="s">
        <v>93</v>
      </c>
      <c r="F54" s="130" t="s">
        <v>9</v>
      </c>
      <c r="G54" s="131" t="s">
        <v>92</v>
      </c>
      <c r="H54" s="129" t="s">
        <v>93</v>
      </c>
      <c r="I54" s="132" t="s">
        <v>9</v>
      </c>
    </row>
    <row r="55" s="1" customFormat="1" ht="27.95" customHeight="1" spans="1:10">
      <c r="A55" s="27" t="s">
        <v>11</v>
      </c>
      <c r="B55" s="28" t="s">
        <v>12</v>
      </c>
      <c r="C55" s="29" t="s">
        <v>13</v>
      </c>
      <c r="D55" s="133">
        <v>6</v>
      </c>
      <c r="E55" s="133">
        <v>6.4</v>
      </c>
      <c r="F55" s="134">
        <f t="shared" ref="F55:F61" si="4">SUM(D55:E55)</f>
        <v>12.4</v>
      </c>
      <c r="G55" s="135">
        <f>D55</f>
        <v>6</v>
      </c>
      <c r="H55" s="136">
        <f>E55</f>
        <v>6.4</v>
      </c>
      <c r="I55" s="136">
        <f t="shared" ref="I55:I61" si="5">SUM(G55:H55)</f>
        <v>12.4</v>
      </c>
    </row>
    <row r="56" s="1" customFormat="1" ht="27.95" customHeight="1" spans="1:10">
      <c r="A56" s="27" t="s">
        <v>14</v>
      </c>
      <c r="B56" s="28" t="s">
        <v>88</v>
      </c>
      <c r="C56" s="29" t="s">
        <v>16</v>
      </c>
      <c r="D56" s="72"/>
      <c r="E56" s="72"/>
      <c r="F56" s="112">
        <f t="shared" si="4"/>
        <v>0</v>
      </c>
      <c r="G56" s="113">
        <f>D56</f>
        <v>0</v>
      </c>
      <c r="H56" s="113">
        <f>E56</f>
        <v>0</v>
      </c>
      <c r="I56" s="68">
        <f t="shared" si="5"/>
        <v>0</v>
      </c>
    </row>
    <row r="57" s="1" customFormat="1" ht="27.95" customHeight="1" spans="1:10">
      <c r="A57" s="27" t="s">
        <v>19</v>
      </c>
      <c r="B57" s="28" t="s">
        <v>89</v>
      </c>
      <c r="C57" s="29" t="s">
        <v>16</v>
      </c>
      <c r="D57" s="68"/>
      <c r="E57" s="68"/>
      <c r="F57" s="112">
        <f t="shared" si="4"/>
        <v>0</v>
      </c>
      <c r="G57" s="113">
        <f>D57</f>
        <v>0</v>
      </c>
      <c r="H57" s="113">
        <f>E57</f>
        <v>0</v>
      </c>
      <c r="I57" s="68">
        <f t="shared" si="5"/>
        <v>0</v>
      </c>
    </row>
    <row r="58" s="1" customFormat="1" ht="27.95" customHeight="1" spans="1:10">
      <c r="A58" s="27" t="s">
        <v>21</v>
      </c>
      <c r="B58" s="41" t="s">
        <v>25</v>
      </c>
      <c r="C58" s="42" t="s">
        <v>26</v>
      </c>
      <c r="D58" s="72"/>
      <c r="E58" s="137"/>
      <c r="F58" s="112">
        <f t="shared" si="4"/>
        <v>0</v>
      </c>
      <c r="G58" s="138">
        <f>D58+'26.7'!G58</f>
        <v>3813.3</v>
      </c>
      <c r="H58" s="138">
        <f>E58+'26.7'!H58</f>
        <v>6695.80000000001</v>
      </c>
      <c r="I58" s="68">
        <f t="shared" si="5"/>
        <v>10509.1</v>
      </c>
    </row>
    <row r="59" s="1" customFormat="1" ht="27.95" customHeight="1" spans="1:10">
      <c r="A59" s="27" t="s">
        <v>24</v>
      </c>
      <c r="B59" s="41" t="s">
        <v>38</v>
      </c>
      <c r="C59" s="42" t="s">
        <v>23</v>
      </c>
      <c r="D59" s="72"/>
      <c r="E59" s="72"/>
      <c r="F59" s="112">
        <f t="shared" si="4"/>
        <v>0</v>
      </c>
      <c r="G59" s="138">
        <f>D59+'26.7'!G59</f>
        <v>564.9</v>
      </c>
      <c r="H59" s="138">
        <f>E59+'26.7'!H59</f>
        <v>165.9</v>
      </c>
      <c r="I59" s="68">
        <f t="shared" si="5"/>
        <v>730.8</v>
      </c>
    </row>
    <row r="60" s="1" customFormat="1" ht="27.95" customHeight="1" spans="1:10">
      <c r="A60" s="27" t="s">
        <v>27</v>
      </c>
      <c r="B60" s="41" t="s">
        <v>41</v>
      </c>
      <c r="C60" s="42" t="s">
        <v>42</v>
      </c>
      <c r="D60" s="72"/>
      <c r="E60" s="72"/>
      <c r="F60" s="112">
        <f t="shared" si="4"/>
        <v>0</v>
      </c>
      <c r="G60" s="138">
        <f>D60+'26.7'!G60</f>
        <v>1184440</v>
      </c>
      <c r="H60" s="138">
        <f>E60+'26.7'!H60</f>
        <v>1991120</v>
      </c>
      <c r="I60" s="68">
        <f t="shared" si="5"/>
        <v>3175560</v>
      </c>
    </row>
    <row r="61" s="1" customFormat="1" ht="27.95" customHeight="1" spans="1:10">
      <c r="A61" s="27"/>
      <c r="B61" s="41" t="s">
        <v>90</v>
      </c>
      <c r="C61" s="42" t="s">
        <v>42</v>
      </c>
      <c r="D61" s="72"/>
      <c r="E61" s="72"/>
      <c r="F61" s="112">
        <f t="shared" si="4"/>
        <v>0</v>
      </c>
      <c r="G61" s="138">
        <f>D61+'26.7'!G61</f>
        <v>1184440</v>
      </c>
      <c r="H61" s="138">
        <f>E61+'26.7'!H61</f>
        <v>1991120</v>
      </c>
      <c r="I61" s="68">
        <f t="shared" si="5"/>
        <v>3175560</v>
      </c>
    </row>
    <row r="62" s="1" customFormat="1" ht="27.95" customHeight="1" spans="1:10">
      <c r="A62" s="27" t="s">
        <v>29</v>
      </c>
      <c r="B62" s="41" t="s">
        <v>52</v>
      </c>
      <c r="C62" s="42" t="s">
        <v>53</v>
      </c>
      <c r="D62" s="139" t="e">
        <f t="shared" ref="D62:I62" si="6">D60/D58</f>
        <v>#DIV/0!</v>
      </c>
      <c r="E62" s="139" t="e">
        <f t="shared" si="6"/>
        <v>#DIV/0!</v>
      </c>
      <c r="F62" s="116" t="e">
        <f t="shared" si="6"/>
        <v>#DIV/0!</v>
      </c>
      <c r="G62" s="140">
        <f t="shared" si="6"/>
        <v>310.607610206383</v>
      </c>
      <c r="H62" s="57">
        <f t="shared" si="6"/>
        <v>297.368499656501</v>
      </c>
      <c r="I62" s="58">
        <f t="shared" si="6"/>
        <v>302.172402965049</v>
      </c>
    </row>
    <row r="63" s="1" customFormat="1" ht="27.95" customHeight="1" spans="1:10">
      <c r="A63" s="27" t="s">
        <v>31</v>
      </c>
      <c r="B63" s="41" t="s">
        <v>70</v>
      </c>
      <c r="C63" s="75" t="s">
        <v>68</v>
      </c>
      <c r="D63" s="79">
        <f>D58/3.6/D55/(DAY(DATE(2026,9,0))*24)</f>
        <v>0</v>
      </c>
      <c r="E63" s="79">
        <f>E58/3.6/E55/(DAY(DATE(2026,9,0))*24)</f>
        <v>0</v>
      </c>
      <c r="F63" s="118">
        <f>F58/3.6/F55/(DAY(DATE(2026,9,0))*24)</f>
        <v>0</v>
      </c>
      <c r="G63" s="81">
        <f>G58/3.6/G55/(DATEDIF(DATE(2026,1,1),DATE(2026,9,1),"D")*24)</f>
        <v>0.0302712048468221</v>
      </c>
      <c r="H63" s="79">
        <f>H58/3.6/H55/(DATEDIF(DATE(2026,1,1),DATE(2026,9,1),"D")*24)</f>
        <v>0.0498313304945893</v>
      </c>
      <c r="I63" s="80">
        <f>I58/3.6/I55/(DATEDIF(DATE(2026,1,1),DATE(2026,9,1),"D")*24)</f>
        <v>0.0403667535682503</v>
      </c>
    </row>
    <row r="64" s="1" customFormat="1" ht="27.95" customHeight="1" spans="1:10">
      <c r="A64" s="27" t="s">
        <v>33</v>
      </c>
      <c r="B64" s="41" t="s">
        <v>72</v>
      </c>
      <c r="C64" s="42" t="s">
        <v>73</v>
      </c>
      <c r="D64" s="83" t="e">
        <f t="shared" ref="D64:I64" si="7">D58/D57</f>
        <v>#DIV/0!</v>
      </c>
      <c r="E64" s="83" t="e">
        <f t="shared" si="7"/>
        <v>#DIV/0!</v>
      </c>
      <c r="F64" s="85" t="e">
        <f t="shared" si="7"/>
        <v>#DIV/0!</v>
      </c>
      <c r="G64" s="141" t="e">
        <f t="shared" si="7"/>
        <v>#DIV/0!</v>
      </c>
      <c r="H64" s="83" t="e">
        <f t="shared" si="7"/>
        <v>#DIV/0!</v>
      </c>
      <c r="I64" s="85" t="e">
        <f t="shared" si="7"/>
        <v>#DIV/0!</v>
      </c>
    </row>
    <row r="65" s="1" customFormat="1" ht="27.95" customHeight="1" spans="1:9">
      <c r="A65" s="27" t="s">
        <v>37</v>
      </c>
      <c r="B65" s="41" t="s">
        <v>78</v>
      </c>
      <c r="C65" s="42" t="s">
        <v>79</v>
      </c>
      <c r="D65" s="87" t="e">
        <f t="shared" ref="D65:I65" si="8">D60/D57</f>
        <v>#DIV/0!</v>
      </c>
      <c r="E65" s="87" t="e">
        <f t="shared" si="8"/>
        <v>#DIV/0!</v>
      </c>
      <c r="F65" s="88" t="e">
        <f t="shared" si="8"/>
        <v>#DIV/0!</v>
      </c>
      <c r="G65" s="142" t="e">
        <f t="shared" si="8"/>
        <v>#DIV/0!</v>
      </c>
      <c r="H65" s="87" t="e">
        <f t="shared" si="8"/>
        <v>#DIV/0!</v>
      </c>
      <c r="I65" s="88" t="e">
        <f t="shared" si="8"/>
        <v>#DIV/0!</v>
      </c>
    </row>
    <row r="66" s="1" customFormat="1" ht="27.95" customHeight="1" spans="1:9">
      <c r="A66" s="124" t="s">
        <v>40</v>
      </c>
      <c r="B66" s="93" t="s">
        <v>81</v>
      </c>
      <c r="C66" s="94" t="s">
        <v>76</v>
      </c>
      <c r="D66" s="96" t="e">
        <f t="shared" ref="D66:I66" si="9">D59*1000/D57</f>
        <v>#DIV/0!</v>
      </c>
      <c r="E66" s="96" t="e">
        <f t="shared" si="9"/>
        <v>#DIV/0!</v>
      </c>
      <c r="F66" s="97" t="e">
        <f t="shared" si="9"/>
        <v>#DIV/0!</v>
      </c>
      <c r="G66" s="143" t="e">
        <f t="shared" si="9"/>
        <v>#DIV/0!</v>
      </c>
      <c r="H66" s="96" t="e">
        <f t="shared" si="9"/>
        <v>#DIV/0!</v>
      </c>
      <c r="I66" s="97" t="e">
        <f t="shared" si="9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3" t="s">
        <v>94</v>
      </c>
      <c r="C68" s="4"/>
      <c r="D68" s="5"/>
    </row>
    <row r="69" s="1" customFormat="1" ht="30" customHeight="1" spans="1:9">
      <c r="A69" s="126" t="s">
        <v>0</v>
      </c>
      <c r="B69" s="7" t="s">
        <v>1</v>
      </c>
      <c r="C69" s="7" t="s">
        <v>2</v>
      </c>
      <c r="D69" s="106" t="s">
        <v>86</v>
      </c>
      <c r="E69" s="10"/>
      <c r="F69" s="144" t="s">
        <v>87</v>
      </c>
      <c r="G69" s="9"/>
    </row>
    <row r="70" s="1" customFormat="1" ht="30" customHeight="1" spans="1:9">
      <c r="A70" s="12"/>
      <c r="B70" s="13"/>
      <c r="C70" s="13"/>
      <c r="D70" s="129" t="s">
        <v>95</v>
      </c>
      <c r="E70" s="145" t="s">
        <v>96</v>
      </c>
      <c r="F70" s="131" t="s">
        <v>95</v>
      </c>
      <c r="G70" s="132" t="s">
        <v>96</v>
      </c>
    </row>
    <row r="71" s="1" customFormat="1" ht="27.95" customHeight="1" spans="1:9">
      <c r="A71" s="18" t="s">
        <v>11</v>
      </c>
      <c r="B71" s="19" t="s">
        <v>12</v>
      </c>
      <c r="C71" s="20" t="s">
        <v>13</v>
      </c>
      <c r="D71" s="23">
        <v>217</v>
      </c>
      <c r="E71" s="146">
        <v>1.4</v>
      </c>
      <c r="F71" s="147">
        <f>D71</f>
        <v>217</v>
      </c>
      <c r="G71" s="26">
        <f>E71</f>
        <v>1.4</v>
      </c>
    </row>
    <row r="72" s="1" customFormat="1" ht="27.95" customHeight="1" spans="1:9">
      <c r="A72" s="27" t="s">
        <v>14</v>
      </c>
      <c r="B72" s="41" t="s">
        <v>22</v>
      </c>
      <c r="C72" s="42" t="s">
        <v>23</v>
      </c>
      <c r="D72" s="72"/>
      <c r="E72" s="110"/>
      <c r="F72" s="148">
        <f>D72</f>
        <v>0</v>
      </c>
      <c r="G72" s="149">
        <f>E72</f>
        <v>0</v>
      </c>
    </row>
    <row r="73" s="1" customFormat="1" ht="27.95" customHeight="1" spans="1:9">
      <c r="A73" s="27" t="s">
        <v>19</v>
      </c>
      <c r="B73" s="41" t="s">
        <v>25</v>
      </c>
      <c r="C73" s="42" t="s">
        <v>26</v>
      </c>
      <c r="D73" s="68">
        <f>D72*2.951694</f>
        <v>0</v>
      </c>
      <c r="E73" s="150">
        <f>E72*2.732</f>
        <v>0</v>
      </c>
      <c r="F73" s="115">
        <f>D73+'26.7'!F73</f>
        <v>0</v>
      </c>
      <c r="G73" s="115">
        <f>E73+'26.7'!G73</f>
        <v>0</v>
      </c>
    </row>
    <row r="74" s="1" customFormat="1" ht="27.95" customHeight="1" spans="1:9">
      <c r="A74" s="27" t="s">
        <v>21</v>
      </c>
      <c r="B74" s="41" t="s">
        <v>97</v>
      </c>
      <c r="C74" s="42" t="s">
        <v>98</v>
      </c>
      <c r="D74" s="72"/>
      <c r="E74" s="110"/>
      <c r="F74" s="115">
        <f>D74+'26.7'!F74</f>
        <v>0</v>
      </c>
      <c r="G74" s="115">
        <f>E74+'26.7'!G74</f>
        <v>0</v>
      </c>
    </row>
    <row r="75" s="1" customFormat="1" ht="27.95" customHeight="1" spans="1:9">
      <c r="A75" s="27" t="s">
        <v>24</v>
      </c>
      <c r="B75" s="41" t="s">
        <v>34</v>
      </c>
      <c r="C75" s="42" t="s">
        <v>23</v>
      </c>
      <c r="D75" s="68">
        <f>D74*D80/29308/1000</f>
        <v>0</v>
      </c>
      <c r="E75" s="112">
        <f>E74*E80/29308/1000</f>
        <v>0</v>
      </c>
      <c r="F75" s="115">
        <f>D75+'26.7'!F75</f>
        <v>0</v>
      </c>
      <c r="G75" s="115">
        <f>E75+'26.7'!G75</f>
        <v>0</v>
      </c>
    </row>
    <row r="76" s="1" customFormat="1" ht="27.95" customHeight="1" spans="1:9">
      <c r="A76" s="27" t="s">
        <v>27</v>
      </c>
      <c r="B76" s="41" t="s">
        <v>38</v>
      </c>
      <c r="C76" s="42" t="s">
        <v>23</v>
      </c>
      <c r="D76" s="72"/>
      <c r="E76" s="151"/>
      <c r="F76" s="115">
        <f>D76+'26.7'!F76</f>
        <v>0</v>
      </c>
      <c r="G76" s="115">
        <f>E76+'26.7'!G76</f>
        <v>0</v>
      </c>
    </row>
    <row r="77" s="1" customFormat="1" ht="27.95" customHeight="1" spans="1:9">
      <c r="A77" s="27" t="s">
        <v>29</v>
      </c>
      <c r="B77" s="41" t="s">
        <v>41</v>
      </c>
      <c r="C77" s="42" t="s">
        <v>42</v>
      </c>
      <c r="D77" s="72"/>
      <c r="E77" s="151"/>
      <c r="F77" s="115">
        <f>D77+'26.7'!F77</f>
        <v>0</v>
      </c>
      <c r="G77" s="115">
        <f>E77+'26.7'!G77</f>
        <v>0</v>
      </c>
    </row>
    <row r="78" s="1" customFormat="1" ht="27.95" customHeight="1" spans="1:9">
      <c r="A78" s="27" t="s">
        <v>31</v>
      </c>
      <c r="B78" s="41" t="s">
        <v>52</v>
      </c>
      <c r="C78" s="42" t="s">
        <v>53</v>
      </c>
      <c r="D78" s="152" t="e">
        <f>D77/D73</f>
        <v>#DIV/0!</v>
      </c>
      <c r="E78" s="153"/>
      <c r="F78" s="154" t="e">
        <f>F77/F73</f>
        <v>#DIV/0!</v>
      </c>
      <c r="G78" s="155"/>
    </row>
    <row r="79" s="1" customFormat="1" ht="27.95" customHeight="1" spans="1:9">
      <c r="A79" s="27" t="s">
        <v>33</v>
      </c>
      <c r="B79" s="41" t="s">
        <v>55</v>
      </c>
      <c r="C79" s="42" t="s">
        <v>56</v>
      </c>
      <c r="D79" s="57" t="e">
        <f>D75*1000/D73</f>
        <v>#DIV/0!</v>
      </c>
      <c r="E79" s="156" t="e">
        <f>E75*1000/E73</f>
        <v>#DIV/0!</v>
      </c>
      <c r="F79" s="157" t="e">
        <f>F75*1000/F73</f>
        <v>#DIV/0!</v>
      </c>
      <c r="G79" s="58" t="e">
        <f>G75*1000/G73</f>
        <v>#DIV/0!</v>
      </c>
    </row>
    <row r="80" s="1" customFormat="1" ht="27.95" customHeight="1" spans="1:9">
      <c r="A80" s="27" t="s">
        <v>37</v>
      </c>
      <c r="B80" s="41" t="s">
        <v>99</v>
      </c>
      <c r="C80" s="42" t="s">
        <v>100</v>
      </c>
      <c r="D80" s="33"/>
      <c r="E80" s="158"/>
      <c r="F80" s="159" t="e">
        <f>F75*29308*1000/F74</f>
        <v>#DIV/0!</v>
      </c>
      <c r="G80" s="68" t="e">
        <f>G75*29308*1000/G74</f>
        <v>#DIV/0!</v>
      </c>
    </row>
    <row r="81" s="1" customFormat="1" ht="27.95" customHeight="1" spans="1:11">
      <c r="A81" s="27" t="s">
        <v>40</v>
      </c>
      <c r="B81" s="41" t="s">
        <v>67</v>
      </c>
      <c r="C81" s="75" t="s">
        <v>68</v>
      </c>
      <c r="D81" s="76" t="e">
        <f>D73/(D75*29.308)</f>
        <v>#DIV/0!</v>
      </c>
      <c r="E81" s="160" t="e">
        <f>E73/(E75*29.308)</f>
        <v>#DIV/0!</v>
      </c>
      <c r="F81" s="161" t="e">
        <f>F73/(F75*29.308)</f>
        <v>#DIV/0!</v>
      </c>
      <c r="G81" s="77" t="e">
        <f>G73/(G75*29.308)</f>
        <v>#DIV/0!</v>
      </c>
    </row>
    <row r="82" s="1" customFormat="1" ht="27.95" customHeight="1" spans="1:11">
      <c r="A82" s="124" t="s">
        <v>47</v>
      </c>
      <c r="B82" s="162" t="s">
        <v>70</v>
      </c>
      <c r="C82" s="163" t="s">
        <v>68</v>
      </c>
      <c r="D82" s="164">
        <f>D73/3.6/D71/(DAY(DATE(2026,9,0))*24)</f>
        <v>0</v>
      </c>
      <c r="E82" s="165">
        <f>E73/3.6/E71/(DAY(DATE(2026,9,0))*24)</f>
        <v>0</v>
      </c>
      <c r="F82" s="166">
        <f>F73/3.6/F71/(DATEDIF(DATE(2026,1,1),DATE(2026,9,1),"D")*24)</f>
        <v>0</v>
      </c>
      <c r="G82" s="167">
        <f>G73/3.6/G71/(DATEDIF(DATE(2026,1,1),DATE(2026,9,1),"D")*24)</f>
        <v>0</v>
      </c>
    </row>
    <row r="83" s="1" customFormat="1" ht="18" customHeight="1" spans="1:11">
      <c r="B83" s="168"/>
      <c r="C83" s="168"/>
      <c r="D83" s="5"/>
    </row>
    <row r="84" s="1" customFormat="1" ht="16.25" spans="1:11">
      <c r="A84" s="103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ht="14" spans="1:11">
      <c r="A85" s="126" t="s">
        <v>0</v>
      </c>
      <c r="B85" s="127" t="s">
        <v>85</v>
      </c>
      <c r="C85" s="127" t="s">
        <v>2</v>
      </c>
      <c r="D85" s="169" t="s">
        <v>86</v>
      </c>
      <c r="E85" s="129" t="s">
        <v>87</v>
      </c>
      <c r="F85" s="169" t="s">
        <v>102</v>
      </c>
      <c r="G85" s="169" t="s">
        <v>103</v>
      </c>
      <c r="H85" s="170"/>
      <c r="I85" s="170"/>
    </row>
    <row r="86" s="1" customFormat="1" ht="14" spans="1:11">
      <c r="A86" s="12"/>
      <c r="B86" s="13"/>
      <c r="C86" s="13"/>
      <c r="D86" s="169" t="s">
        <v>104</v>
      </c>
      <c r="E86" s="169" t="s">
        <v>104</v>
      </c>
      <c r="F86" s="13"/>
      <c r="G86" s="13"/>
      <c r="H86" s="170"/>
      <c r="I86" s="103"/>
    </row>
    <row r="87" s="1" customFormat="1" ht="14" spans="1:11">
      <c r="A87" s="27" t="s">
        <v>11</v>
      </c>
      <c r="B87" s="28" t="s">
        <v>12</v>
      </c>
      <c r="C87" s="29" t="s">
        <v>13</v>
      </c>
      <c r="D87" s="171">
        <v>0.7888</v>
      </c>
      <c r="E87" s="172">
        <f>D87</f>
        <v>0.7888</v>
      </c>
      <c r="F87" s="173">
        <f>F55+D87</f>
        <v>13.1888</v>
      </c>
      <c r="G87" s="173">
        <f>E87+I55</f>
        <v>13.1888</v>
      </c>
      <c r="H87" s="135"/>
      <c r="I87" s="135"/>
    </row>
    <row r="88" s="1" customFormat="1" ht="14" spans="1:11">
      <c r="A88" s="27" t="s">
        <v>14</v>
      </c>
      <c r="B88" s="28" t="s">
        <v>88</v>
      </c>
      <c r="C88" s="29" t="s">
        <v>16</v>
      </c>
      <c r="D88" s="174"/>
      <c r="E88" s="175">
        <f>D88</f>
        <v>0</v>
      </c>
      <c r="F88" s="176">
        <v>83197.81</v>
      </c>
      <c r="G88" s="176">
        <v>83197.81</v>
      </c>
      <c r="H88" s="111"/>
      <c r="I88" s="111"/>
    </row>
    <row r="89" s="1" customFormat="1" ht="14" spans="1:11">
      <c r="A89" s="27" t="s">
        <v>19</v>
      </c>
      <c r="B89" s="28" t="s">
        <v>89</v>
      </c>
      <c r="C89" s="29" t="s">
        <v>16</v>
      </c>
      <c r="D89" s="174"/>
      <c r="E89" s="175">
        <f>D89</f>
        <v>0</v>
      </c>
      <c r="F89" s="176">
        <v>83197.81</v>
      </c>
      <c r="G89" s="176">
        <v>83197.81</v>
      </c>
      <c r="H89" s="111"/>
      <c r="I89" s="111"/>
    </row>
    <row r="90" s="1" customFormat="1" ht="14" spans="1:11">
      <c r="A90" s="27" t="s">
        <v>21</v>
      </c>
      <c r="B90" s="41" t="s">
        <v>25</v>
      </c>
      <c r="C90" s="42" t="s">
        <v>26</v>
      </c>
      <c r="D90" s="174"/>
      <c r="E90" s="177">
        <f>D90+'26.7'!E90</f>
        <v>6355.62400900001</v>
      </c>
      <c r="F90" s="178">
        <f>F58+D90</f>
        <v>0</v>
      </c>
      <c r="G90" s="178">
        <f>E90+I58</f>
        <v>16864.724009</v>
      </c>
      <c r="H90" s="111"/>
      <c r="I90" s="111"/>
    </row>
    <row r="91" s="1" customFormat="1" ht="14" spans="1:11">
      <c r="A91" s="27" t="s">
        <v>24</v>
      </c>
      <c r="B91" s="41" t="s">
        <v>38</v>
      </c>
      <c r="C91" s="42" t="s">
        <v>23</v>
      </c>
      <c r="D91" s="174"/>
      <c r="E91" s="177">
        <f>D91+'26.7'!E91</f>
        <v>86.5</v>
      </c>
      <c r="F91" s="178">
        <f>F59+D91</f>
        <v>0</v>
      </c>
      <c r="G91" s="178">
        <f>E91+I59</f>
        <v>817.3</v>
      </c>
      <c r="H91" s="111"/>
      <c r="I91" s="111"/>
    </row>
    <row r="92" s="1" customFormat="1" ht="14" spans="1:11">
      <c r="A92" s="27" t="s">
        <v>27</v>
      </c>
      <c r="B92" s="41" t="s">
        <v>41</v>
      </c>
      <c r="C92" s="42" t="s">
        <v>42</v>
      </c>
      <c r="D92" s="174"/>
      <c r="E92" s="177">
        <f>D92+'26.7'!E92</f>
        <v>780380.88</v>
      </c>
      <c r="F92" s="178">
        <f>F60+D92</f>
        <v>0</v>
      </c>
      <c r="G92" s="178">
        <f>E92+I60</f>
        <v>3955940.88</v>
      </c>
      <c r="H92" s="111"/>
      <c r="I92" s="111"/>
    </row>
    <row r="93" s="1" customFormat="1" ht="14" spans="1:11">
      <c r="A93" s="27"/>
      <c r="B93" s="41" t="s">
        <v>90</v>
      </c>
      <c r="C93" s="42" t="s">
        <v>42</v>
      </c>
      <c r="D93" s="174"/>
      <c r="E93" s="177">
        <f>D93+'26.7'!E93</f>
        <v>0</v>
      </c>
      <c r="F93" s="178">
        <f>F61+D93</f>
        <v>0</v>
      </c>
      <c r="G93" s="178">
        <f>E93+I61</f>
        <v>3175560</v>
      </c>
      <c r="H93" s="111"/>
      <c r="I93" s="111"/>
    </row>
    <row r="94" s="1" customFormat="1" ht="14" spans="1:11">
      <c r="A94" s="27" t="s">
        <v>29</v>
      </c>
      <c r="B94" s="41" t="s">
        <v>52</v>
      </c>
      <c r="C94" s="42" t="s">
        <v>53</v>
      </c>
      <c r="D94" s="179" t="e">
        <f>D92/D90</f>
        <v>#DIV/0!</v>
      </c>
      <c r="E94" s="179">
        <f>E92/E90</f>
        <v>122.785878915261</v>
      </c>
      <c r="F94" s="179" t="e">
        <f>F92/F90</f>
        <v>#DIV/0!</v>
      </c>
      <c r="G94" s="179">
        <f>G92/G90</f>
        <v>234.568966434842</v>
      </c>
      <c r="H94" s="117"/>
      <c r="I94" s="117"/>
    </row>
    <row r="95" s="1" customFormat="1" ht="14" spans="1:11">
      <c r="A95" s="27" t="s">
        <v>31</v>
      </c>
      <c r="B95" s="41" t="s">
        <v>105</v>
      </c>
      <c r="C95" s="75" t="s">
        <v>68</v>
      </c>
      <c r="D95" s="180">
        <f>D90/3.6/D87/(DAY(DATE(2026,9,0))*24)</f>
        <v>0</v>
      </c>
      <c r="E95" s="80">
        <f>E90/3.6/E87/(DATEDIF(DATE(2026,1,1),DATE(2026,9,1),"D")*24)</f>
        <v>0.383770226938089</v>
      </c>
      <c r="F95" s="180">
        <f>F90/3.6/F87/(DAY(DATE(2026,9,0))*24)</f>
        <v>0</v>
      </c>
      <c r="G95" s="80">
        <f>G90/3.6/G87/(DATEDIF(DATE(2026,1,1),DATE(2026,9,1),"D")*24)</f>
        <v>0.0609051391525437</v>
      </c>
      <c r="H95" s="181"/>
      <c r="I95" s="181"/>
      <c r="K95" s="182"/>
    </row>
    <row r="96" s="1" customFormat="1" ht="14" spans="1:11">
      <c r="A96" s="27" t="s">
        <v>33</v>
      </c>
      <c r="B96" s="41" t="s">
        <v>72</v>
      </c>
      <c r="C96" s="42" t="s">
        <v>73</v>
      </c>
      <c r="D96" s="183" t="e">
        <f>D90/D89</f>
        <v>#DIV/0!</v>
      </c>
      <c r="E96" s="183" t="e">
        <f>E90/E89</f>
        <v>#DIV/0!</v>
      </c>
      <c r="F96" s="183">
        <f>F90/F89</f>
        <v>0</v>
      </c>
      <c r="G96" s="183">
        <f>G90/G89</f>
        <v>0.20270634538337</v>
      </c>
      <c r="H96" s="121"/>
      <c r="I96" s="121"/>
    </row>
    <row r="97" s="1" customFormat="1" ht="14" spans="1:9">
      <c r="A97" s="27" t="s">
        <v>37</v>
      </c>
      <c r="B97" s="41" t="s">
        <v>78</v>
      </c>
      <c r="C97" s="42" t="s">
        <v>79</v>
      </c>
      <c r="D97" s="184" t="e">
        <f>D92/D89</f>
        <v>#DIV/0!</v>
      </c>
      <c r="E97" s="184" t="e">
        <f>E92/E89</f>
        <v>#DIV/0!</v>
      </c>
      <c r="F97" s="184">
        <f>F92/F89</f>
        <v>0</v>
      </c>
      <c r="G97" s="184">
        <f>G92/G89</f>
        <v>47.5486179263613</v>
      </c>
      <c r="H97" s="123"/>
      <c r="I97" s="123"/>
    </row>
    <row r="98" s="1" customFormat="1" ht="14.75" spans="1:9">
      <c r="A98" s="124" t="s">
        <v>40</v>
      </c>
      <c r="B98" s="93" t="s">
        <v>81</v>
      </c>
      <c r="C98" s="94" t="s">
        <v>76</v>
      </c>
      <c r="D98" s="184" t="e">
        <f>D91*1000/D89</f>
        <v>#DIV/0!</v>
      </c>
      <c r="E98" s="184" t="e">
        <f>E91*1000/E89</f>
        <v>#DIV/0!</v>
      </c>
      <c r="F98" s="184">
        <f>F91*1000/F89</f>
        <v>0</v>
      </c>
      <c r="G98" s="184">
        <f>G91*1000/G89</f>
        <v>9.82357588499024</v>
      </c>
      <c r="H98" s="123"/>
      <c r="I98" s="123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&amp;C&amp;20 2022年8月份集团各锅炉站生产报表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 customWidth="1"/>
    <col min="15" max="16384" width="8.625" style="1" customWidth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</row>
    <row r="2" s="1" customFormat="1" ht="39.95" customHeight="1" spans="1:14">
      <c r="A2" s="12"/>
      <c r="B2" s="13"/>
      <c r="C2" s="13"/>
      <c r="D2" s="14" t="s">
        <v>5</v>
      </c>
      <c r="E2" s="14" t="s">
        <v>6</v>
      </c>
      <c r="F2" s="14" t="s">
        <v>7</v>
      </c>
      <c r="G2" s="15" t="s">
        <v>8</v>
      </c>
      <c r="H2" s="16" t="s">
        <v>9</v>
      </c>
      <c r="I2" s="17" t="s">
        <v>5</v>
      </c>
      <c r="J2" s="14" t="s">
        <v>6</v>
      </c>
      <c r="K2" s="14" t="s">
        <v>7</v>
      </c>
      <c r="L2" s="15" t="s">
        <v>10</v>
      </c>
      <c r="M2" s="16" t="s">
        <v>9</v>
      </c>
    </row>
    <row r="3" s="1" customFormat="1" ht="18" customHeight="1" spans="1:14">
      <c r="A3" s="18" t="s">
        <v>11</v>
      </c>
      <c r="B3" s="19" t="s">
        <v>12</v>
      </c>
      <c r="C3" s="20" t="s">
        <v>13</v>
      </c>
      <c r="D3" s="21">
        <v>348</v>
      </c>
      <c r="E3" s="22">
        <v>162</v>
      </c>
      <c r="F3" s="22"/>
      <c r="G3" s="23">
        <v>14</v>
      </c>
      <c r="H3" s="24">
        <f>E3+F3+G3</f>
        <v>176</v>
      </c>
      <c r="I3" s="25">
        <f>D3</f>
        <v>348</v>
      </c>
      <c r="J3" s="21">
        <f>E3</f>
        <v>162</v>
      </c>
      <c r="K3" s="21">
        <f>F3</f>
        <v>0</v>
      </c>
      <c r="L3" s="26">
        <f>G3</f>
        <v>14</v>
      </c>
      <c r="M3" s="24">
        <f t="shared" ref="M3:M12" si="0">J3+K3+L3</f>
        <v>176</v>
      </c>
    </row>
    <row r="4" s="1" customFormat="1" ht="18" customHeight="1" spans="1:14">
      <c r="A4" s="27" t="s">
        <v>14</v>
      </c>
      <c r="B4" s="28" t="s">
        <v>15</v>
      </c>
      <c r="C4" s="29" t="s">
        <v>16</v>
      </c>
      <c r="D4" s="30" t="s">
        <v>17</v>
      </c>
      <c r="E4" s="31"/>
      <c r="F4" s="32"/>
      <c r="G4" s="33"/>
      <c r="H4" s="34"/>
      <c r="I4" s="35" t="str">
        <f>D4</f>
        <v> -   </v>
      </c>
      <c r="J4" s="31">
        <f>E4</f>
        <v>0</v>
      </c>
      <c r="K4" s="36">
        <f>F4</f>
        <v>0</v>
      </c>
      <c r="L4" s="37">
        <f>G4</f>
        <v>0</v>
      </c>
      <c r="M4" s="34">
        <f t="shared" si="0"/>
        <v>0</v>
      </c>
    </row>
    <row r="5" s="1" customFormat="1" ht="18" customHeight="1" spans="1:14">
      <c r="A5" s="27"/>
      <c r="B5" s="28" t="s">
        <v>18</v>
      </c>
      <c r="C5" s="29" t="s">
        <v>16</v>
      </c>
      <c r="D5" s="30" t="s">
        <v>17</v>
      </c>
      <c r="E5" s="32">
        <v>55000</v>
      </c>
      <c r="F5" s="38">
        <v>0</v>
      </c>
      <c r="G5" s="39">
        <v>0</v>
      </c>
      <c r="H5" s="34">
        <f>E5+F5+G5</f>
        <v>55000</v>
      </c>
      <c r="I5" s="35" t="str">
        <f>D5</f>
        <v> -   </v>
      </c>
      <c r="J5" s="31">
        <f>E5</f>
        <v>55000</v>
      </c>
      <c r="K5" s="36">
        <f>F5</f>
        <v>0</v>
      </c>
      <c r="L5" s="37">
        <f>G5</f>
        <v>0</v>
      </c>
      <c r="M5" s="34">
        <f t="shared" si="0"/>
        <v>55000</v>
      </c>
    </row>
    <row r="6" s="1" customFormat="1" ht="18" customHeight="1" spans="1:14">
      <c r="A6" s="27" t="s">
        <v>19</v>
      </c>
      <c r="B6" s="28" t="s">
        <v>20</v>
      </c>
      <c r="C6" s="29" t="s">
        <v>16</v>
      </c>
      <c r="D6" s="30" t="s">
        <v>17</v>
      </c>
      <c r="E6" s="33">
        <f>E4</f>
        <v>0</v>
      </c>
      <c r="F6" s="33">
        <f>F4</f>
        <v>0</v>
      </c>
      <c r="G6" s="33">
        <f>G4</f>
        <v>0</v>
      </c>
      <c r="H6" s="34">
        <f>E6+F6+G6</f>
        <v>0</v>
      </c>
      <c r="I6" s="35" t="str">
        <f>D6</f>
        <v> -   </v>
      </c>
      <c r="J6" s="40">
        <f>E6</f>
        <v>0</v>
      </c>
      <c r="K6" s="40">
        <f>F6</f>
        <v>0</v>
      </c>
      <c r="L6" s="40">
        <f>G6</f>
        <v>0</v>
      </c>
      <c r="M6" s="34">
        <f t="shared" si="0"/>
        <v>0</v>
      </c>
    </row>
    <row r="7" s="2" customFormat="1" ht="18" customHeight="1" spans="1:14">
      <c r="A7" s="27" t="s">
        <v>21</v>
      </c>
      <c r="B7" s="41" t="s">
        <v>22</v>
      </c>
      <c r="C7" s="42" t="s">
        <v>23</v>
      </c>
      <c r="D7" s="39">
        <v>0</v>
      </c>
      <c r="E7" s="39">
        <v>0</v>
      </c>
      <c r="F7" s="39">
        <v>0</v>
      </c>
      <c r="G7" s="39"/>
      <c r="H7" s="34">
        <f>E7+F7+G7</f>
        <v>0</v>
      </c>
      <c r="I7" s="185">
        <f>D7+'26.8'!I7</f>
        <v>0</v>
      </c>
      <c r="J7" s="185">
        <f>E7+'26.8'!J7</f>
        <v>0</v>
      </c>
      <c r="K7" s="185">
        <f>F7+'26.8'!K7</f>
        <v>0</v>
      </c>
      <c r="L7" s="185">
        <f>G7+'26.8'!L7</f>
        <v>0</v>
      </c>
      <c r="M7" s="34">
        <f t="shared" si="0"/>
        <v>0</v>
      </c>
    </row>
    <row r="8" s="2" customFormat="1" ht="18" customHeight="1" spans="1:14">
      <c r="A8" s="27" t="s">
        <v>24</v>
      </c>
      <c r="B8" s="41" t="s">
        <v>25</v>
      </c>
      <c r="C8" s="42" t="s">
        <v>26</v>
      </c>
      <c r="D8" s="44"/>
      <c r="E8" s="39"/>
      <c r="F8" s="38"/>
      <c r="G8" s="33"/>
      <c r="H8" s="34"/>
      <c r="I8" s="185">
        <f>D8+'26.8'!I8</f>
        <v>1168258</v>
      </c>
      <c r="J8" s="185">
        <f>E8+'26.8'!J8</f>
        <v>267460.3967164</v>
      </c>
      <c r="K8" s="185">
        <f>F8+'26.8'!K8</f>
        <v>0</v>
      </c>
      <c r="L8" s="185">
        <f>G8+'26.8'!L8</f>
        <v>440887.508551189</v>
      </c>
      <c r="M8" s="34">
        <f t="shared" si="0"/>
        <v>708347.905267589</v>
      </c>
      <c r="N8" s="45"/>
    </row>
    <row r="9" s="2" customFormat="1" ht="18" customHeight="1" spans="1:14">
      <c r="A9" s="27" t="s">
        <v>27</v>
      </c>
      <c r="B9" s="41" t="s">
        <v>28</v>
      </c>
      <c r="C9" s="42" t="s">
        <v>26</v>
      </c>
      <c r="D9" s="39">
        <v>0</v>
      </c>
      <c r="E9" s="186">
        <f>[1]售热量!$S$25</f>
        <v>0</v>
      </c>
      <c r="F9" s="38"/>
      <c r="G9" s="38"/>
      <c r="H9" s="34">
        <f>E9+F9+G9</f>
        <v>0</v>
      </c>
      <c r="I9" s="185">
        <f>D9+'26.8'!I9</f>
        <v>0</v>
      </c>
      <c r="J9" s="185">
        <f>E9+'26.8'!J9</f>
        <v>8828</v>
      </c>
      <c r="K9" s="185">
        <f>F9+'26.8'!K9</f>
        <v>0</v>
      </c>
      <c r="L9" s="185">
        <f>G9+'26.8'!L9</f>
        <v>0</v>
      </c>
      <c r="M9" s="34">
        <f t="shared" si="0"/>
        <v>8828</v>
      </c>
    </row>
    <row r="10" s="2" customFormat="1" ht="18" customHeight="1" spans="1:14">
      <c r="A10" s="27" t="s">
        <v>29</v>
      </c>
      <c r="B10" s="41" t="s">
        <v>30</v>
      </c>
      <c r="C10" s="42" t="s">
        <v>23</v>
      </c>
      <c r="D10" s="39"/>
      <c r="E10" s="32"/>
      <c r="F10" s="38"/>
      <c r="G10" s="33"/>
      <c r="H10" s="34">
        <f>E10+F10+G10</f>
        <v>0</v>
      </c>
      <c r="I10" s="185">
        <f>D10+'26.8'!I10</f>
        <v>66226</v>
      </c>
      <c r="J10" s="185">
        <f>E10+'26.8'!J10</f>
        <v>21656</v>
      </c>
      <c r="K10" s="185">
        <f>F10+'26.8'!K10</f>
        <v>0</v>
      </c>
      <c r="L10" s="185">
        <f>G10+'26.8'!L10</f>
        <v>931</v>
      </c>
      <c r="M10" s="34">
        <f t="shared" si="0"/>
        <v>22587</v>
      </c>
    </row>
    <row r="11" s="2" customFormat="1" ht="18" customHeight="1" spans="1:14">
      <c r="A11" s="27" t="s">
        <v>31</v>
      </c>
      <c r="B11" s="41" t="s">
        <v>32</v>
      </c>
      <c r="C11" s="42" t="s">
        <v>23</v>
      </c>
      <c r="D11" s="39"/>
      <c r="E11" s="39">
        <v>0</v>
      </c>
      <c r="F11" s="39"/>
      <c r="G11" s="39"/>
      <c r="H11" s="34">
        <f>E11+F11+G11</f>
        <v>0</v>
      </c>
      <c r="I11" s="185">
        <f>D11+'26.8'!I11</f>
        <v>16.2</v>
      </c>
      <c r="J11" s="185">
        <f>E11+'26.8'!J11</f>
        <v>0</v>
      </c>
      <c r="K11" s="185">
        <f>F11+'26.8'!K11</f>
        <v>0</v>
      </c>
      <c r="L11" s="185">
        <f>G11+'26.8'!L11</f>
        <v>0</v>
      </c>
      <c r="M11" s="34">
        <f t="shared" si="0"/>
        <v>0</v>
      </c>
    </row>
    <row r="12" s="2" customFormat="1" ht="18" customHeight="1" spans="1:14">
      <c r="A12" s="27" t="s">
        <v>33</v>
      </c>
      <c r="B12" s="41" t="s">
        <v>34</v>
      </c>
      <c r="C12" s="42" t="s">
        <v>23</v>
      </c>
      <c r="D12" s="44">
        <f>D13+D14</f>
        <v>0</v>
      </c>
      <c r="E12" s="44">
        <f>E13+E14</f>
        <v>0</v>
      </c>
      <c r="F12" s="44">
        <f>F13+F14</f>
        <v>0</v>
      </c>
      <c r="G12" s="44">
        <f>G13+G14</f>
        <v>0</v>
      </c>
      <c r="H12" s="34">
        <f>E12+F12+G12</f>
        <v>0</v>
      </c>
      <c r="I12" s="185">
        <f>D12+'26.8'!I12</f>
        <v>43472.2579475284</v>
      </c>
      <c r="J12" s="185">
        <f>E12+'26.8'!J12</f>
        <v>13036.909</v>
      </c>
      <c r="K12" s="185">
        <f>F12+'26.8'!K12</f>
        <v>0</v>
      </c>
      <c r="L12" s="185">
        <f>G12+'26.8'!L12</f>
        <v>620.280370522607</v>
      </c>
      <c r="M12" s="34">
        <f t="shared" si="0"/>
        <v>13657.1893705226</v>
      </c>
    </row>
    <row r="13" s="2" customFormat="1" ht="18" customHeight="1" spans="1:14">
      <c r="A13" s="27"/>
      <c r="B13" s="41" t="s">
        <v>35</v>
      </c>
      <c r="C13" s="42" t="s">
        <v>23</v>
      </c>
      <c r="D13" s="39"/>
      <c r="E13" s="39"/>
      <c r="F13" s="39"/>
      <c r="G13" s="44"/>
      <c r="H13" s="47"/>
      <c r="I13" s="185">
        <f>D13+'26.8'!I13</f>
        <v>43448.6529275284</v>
      </c>
      <c r="J13" s="185">
        <f>E13+'26.8'!J13</f>
        <v>13036.909</v>
      </c>
      <c r="K13" s="185">
        <f>F13+'26.8'!K13</f>
        <v>0</v>
      </c>
      <c r="L13" s="185">
        <f>G13+'26.8'!L13</f>
        <v>620.280370522607</v>
      </c>
      <c r="M13" s="47"/>
    </row>
    <row r="14" s="2" customFormat="1" ht="18" customHeight="1" spans="1:14">
      <c r="A14" s="27"/>
      <c r="B14" s="41" t="s">
        <v>36</v>
      </c>
      <c r="C14" s="42" t="s">
        <v>23</v>
      </c>
      <c r="D14" s="44"/>
      <c r="E14" s="39"/>
      <c r="F14" s="39"/>
      <c r="G14" s="39"/>
      <c r="H14" s="47"/>
      <c r="I14" s="185">
        <f>D14+'26.8'!I14</f>
        <v>23.60502</v>
      </c>
      <c r="J14" s="185">
        <f>E14+'26.8'!J14</f>
        <v>0</v>
      </c>
      <c r="K14" s="185">
        <f>F14+'26.8'!K14</f>
        <v>0</v>
      </c>
      <c r="L14" s="185">
        <f>G14+'26.8'!L14</f>
        <v>0</v>
      </c>
      <c r="M14" s="47"/>
    </row>
    <row r="15" s="2" customFormat="1" ht="18" customHeight="1" spans="1:14">
      <c r="A15" s="27" t="s">
        <v>37</v>
      </c>
      <c r="B15" s="41" t="s">
        <v>38</v>
      </c>
      <c r="C15" s="42" t="s">
        <v>23</v>
      </c>
      <c r="D15" s="39"/>
      <c r="E15" s="48"/>
      <c r="F15" s="38"/>
      <c r="G15" s="33"/>
      <c r="H15" s="34"/>
      <c r="I15" s="185">
        <f>D15+'26.8'!I15</f>
        <v>23540</v>
      </c>
      <c r="J15" s="185">
        <f>E15+'26.8'!J15</f>
        <v>43463</v>
      </c>
      <c r="K15" s="185">
        <f>F15+'26.8'!K15</f>
        <v>0</v>
      </c>
      <c r="L15" s="185">
        <f>G15+'26.8'!L15</f>
        <v>97382</v>
      </c>
      <c r="M15" s="34">
        <f>J15+K15+L15</f>
        <v>140845</v>
      </c>
    </row>
    <row r="16" s="2" customFormat="1" ht="18" customHeight="1" spans="1:14">
      <c r="A16" s="27"/>
      <c r="B16" s="41" t="s">
        <v>39</v>
      </c>
      <c r="C16" s="42" t="s">
        <v>23</v>
      </c>
      <c r="D16" s="39"/>
      <c r="E16" s="48"/>
      <c r="F16" s="38"/>
      <c r="G16" s="38"/>
      <c r="H16" s="34"/>
      <c r="I16" s="185">
        <f>D16+'26.8'!I16</f>
        <v>2975</v>
      </c>
      <c r="J16" s="185">
        <f>E16+'26.8'!J16</f>
        <v>0</v>
      </c>
      <c r="K16" s="185">
        <f>F16+'26.8'!K16</f>
        <v>0</v>
      </c>
      <c r="L16" s="185">
        <f>G16+'26.8'!L16</f>
        <v>0</v>
      </c>
      <c r="M16" s="34">
        <f>J16+K16+L16</f>
        <v>0</v>
      </c>
    </row>
    <row r="17" s="2" customFormat="1" ht="18" customHeight="1" spans="1:14">
      <c r="A17" s="27" t="s">
        <v>40</v>
      </c>
      <c r="B17" s="41" t="s">
        <v>41</v>
      </c>
      <c r="C17" s="42" t="s">
        <v>42</v>
      </c>
      <c r="D17" s="44"/>
      <c r="E17" s="48"/>
      <c r="F17" s="38"/>
      <c r="G17" s="33"/>
      <c r="H17" s="34"/>
      <c r="I17" s="185">
        <f>D17+'26.8'!I17</f>
        <v>8122792</v>
      </c>
      <c r="J17" s="185">
        <f>E17+'26.8'!J17</f>
        <v>3287588</v>
      </c>
      <c r="K17" s="49"/>
      <c r="L17" s="185">
        <f>G17+'26.8'!L17</f>
        <v>2263757.5</v>
      </c>
      <c r="M17" s="34">
        <f>J17+K17+L17</f>
        <v>5551345.5</v>
      </c>
    </row>
    <row r="18" s="2" customFormat="1" ht="18" customHeight="1" spans="1:14">
      <c r="A18" s="27"/>
      <c r="B18" s="41" t="s">
        <v>43</v>
      </c>
      <c r="C18" s="42" t="s">
        <v>42</v>
      </c>
      <c r="D18" s="39"/>
      <c r="E18" s="48"/>
      <c r="F18" s="38"/>
      <c r="G18" s="38"/>
      <c r="H18" s="47"/>
      <c r="I18" s="185">
        <f>D18+'26.8'!I18</f>
        <v>8122792</v>
      </c>
      <c r="J18" s="185">
        <f>E18+'26.8'!J18</f>
        <v>0</v>
      </c>
      <c r="K18" s="185">
        <f>F18+'26.8'!K18</f>
        <v>0</v>
      </c>
      <c r="L18" s="185">
        <f>G18+'26.8'!L18</f>
        <v>0</v>
      </c>
      <c r="M18" s="47"/>
    </row>
    <row r="19" s="2" customFormat="1" ht="18" customHeight="1" spans="1:14">
      <c r="A19" s="27"/>
      <c r="B19" s="41" t="s">
        <v>44</v>
      </c>
      <c r="C19" s="42" t="s">
        <v>42</v>
      </c>
      <c r="D19" s="39"/>
      <c r="E19" s="48"/>
      <c r="F19" s="33"/>
      <c r="G19" s="33"/>
      <c r="H19" s="47"/>
      <c r="I19" s="185">
        <f>D19+'26.8'!I19</f>
        <v>0</v>
      </c>
      <c r="J19" s="50"/>
      <c r="K19" s="185">
        <f>F19+'26.8'!K19</f>
        <v>0</v>
      </c>
      <c r="L19" s="185">
        <f>G19+'26.8'!L19</f>
        <v>2263757.5</v>
      </c>
      <c r="M19" s="47"/>
    </row>
    <row r="20" s="2" customFormat="1" ht="18" customHeight="1" spans="1:14">
      <c r="A20" s="27"/>
      <c r="B20" s="41" t="s">
        <v>45</v>
      </c>
      <c r="C20" s="42" t="s">
        <v>23</v>
      </c>
      <c r="D20" s="39"/>
      <c r="E20" s="48"/>
      <c r="F20" s="38"/>
      <c r="G20" s="38"/>
      <c r="H20" s="47"/>
      <c r="I20" s="185">
        <f>D20+'26.8'!I20</f>
        <v>21425</v>
      </c>
      <c r="J20" s="185">
        <f>E20+'26.8'!J20</f>
        <v>0</v>
      </c>
      <c r="K20" s="185">
        <f>F20+'26.8'!K20</f>
        <v>0</v>
      </c>
      <c r="L20" s="185">
        <f>G20+'26.8'!L20</f>
        <v>0</v>
      </c>
      <c r="M20" s="47"/>
    </row>
    <row r="21" s="2" customFormat="1" ht="18" customHeight="1" spans="1:14">
      <c r="A21" s="27"/>
      <c r="B21" s="41" t="s">
        <v>46</v>
      </c>
      <c r="C21" s="42" t="s">
        <v>42</v>
      </c>
      <c r="D21" s="39"/>
      <c r="E21" s="48"/>
      <c r="F21" s="38"/>
      <c r="G21" s="38"/>
      <c r="H21" s="47"/>
      <c r="I21" s="185">
        <f>D21+'26.8'!I21</f>
        <v>929610.099999999</v>
      </c>
      <c r="J21" s="185">
        <f>E21+'26.8'!J21</f>
        <v>0</v>
      </c>
      <c r="K21" s="185">
        <f>F21+'26.8'!K21</f>
        <v>0</v>
      </c>
      <c r="L21" s="185">
        <f>G21+'26.8'!L21</f>
        <v>0</v>
      </c>
      <c r="M21" s="47"/>
    </row>
    <row r="22" s="2" customFormat="1" ht="14" spans="1:14">
      <c r="A22" s="51" t="s">
        <v>47</v>
      </c>
      <c r="B22" s="52" t="s">
        <v>48</v>
      </c>
      <c r="C22" s="53" t="s">
        <v>23</v>
      </c>
      <c r="D22" s="33"/>
      <c r="E22" s="54"/>
      <c r="F22" s="54"/>
      <c r="G22" s="54"/>
      <c r="H22" s="55"/>
      <c r="I22" s="185">
        <f>D22+'26.8'!I22</f>
        <v>1071.51</v>
      </c>
      <c r="J22" s="185">
        <f>E22+'26.8'!J22</f>
        <v>69.155</v>
      </c>
      <c r="K22" s="185">
        <f>F22+'26.8'!K22</f>
        <v>0</v>
      </c>
      <c r="L22" s="185">
        <f>G22+'26.8'!L22</f>
        <v>13.375</v>
      </c>
      <c r="M22" s="56">
        <f>J22+K22+L22</f>
        <v>82.53</v>
      </c>
      <c r="N22" s="1"/>
    </row>
    <row r="23" s="2" customFormat="1" ht="21" customHeight="1" spans="1:14">
      <c r="A23" s="51" t="s">
        <v>49</v>
      </c>
      <c r="B23" s="52" t="s">
        <v>50</v>
      </c>
      <c r="C23" s="53" t="s">
        <v>23</v>
      </c>
      <c r="D23" s="33"/>
      <c r="E23" s="54"/>
      <c r="F23" s="54"/>
      <c r="G23" s="54"/>
      <c r="H23" s="55"/>
      <c r="I23" s="185">
        <f>D23+'26.8'!I23</f>
        <v>371.77</v>
      </c>
      <c r="J23" s="185">
        <f>E23+'26.8'!J23</f>
        <v>49.29</v>
      </c>
      <c r="K23" s="185">
        <f>F23+'26.8'!K23</f>
        <v>0</v>
      </c>
      <c r="L23" s="185">
        <f>G23+'26.8'!L23</f>
        <v>4.025</v>
      </c>
      <c r="M23" s="56">
        <f>J23+K23+L23</f>
        <v>53.315</v>
      </c>
      <c r="N23" s="1"/>
    </row>
    <row r="24" s="2" customFormat="1" ht="18" customHeight="1" spans="1:14">
      <c r="A24" s="51" t="s">
        <v>51</v>
      </c>
      <c r="B24" s="41" t="s">
        <v>52</v>
      </c>
      <c r="C24" s="42" t="s">
        <v>53</v>
      </c>
      <c r="D24" s="57" t="e">
        <f t="shared" ref="D24:M24" si="1">D17/D8</f>
        <v>#DIV/0!</v>
      </c>
      <c r="E24" s="57" t="e">
        <f t="shared" si="1"/>
        <v>#DIV/0!</v>
      </c>
      <c r="F24" s="57" t="e">
        <f t="shared" si="1"/>
        <v>#DIV/0!</v>
      </c>
      <c r="G24" s="57" t="e">
        <f t="shared" si="1"/>
        <v>#DIV/0!</v>
      </c>
      <c r="H24" s="58" t="e">
        <f t="shared" si="1"/>
        <v>#DIV/0!</v>
      </c>
      <c r="I24" s="59">
        <f t="shared" si="1"/>
        <v>6.95290937447036</v>
      </c>
      <c r="J24" s="57">
        <f t="shared" si="1"/>
        <v>12.2918684050483</v>
      </c>
      <c r="K24" s="57" t="e">
        <f t="shared" si="1"/>
        <v>#DIV/0!</v>
      </c>
      <c r="L24" s="57">
        <f t="shared" si="1"/>
        <v>5.13454669523069</v>
      </c>
      <c r="M24" s="58">
        <f t="shared" si="1"/>
        <v>7.83703242251122</v>
      </c>
    </row>
    <row r="25" s="2" customFormat="1" ht="18" customHeight="1" spans="1:14">
      <c r="A25" s="51" t="s">
        <v>54</v>
      </c>
      <c r="B25" s="41" t="s">
        <v>55</v>
      </c>
      <c r="C25" s="42" t="s">
        <v>56</v>
      </c>
      <c r="D25" s="57" t="e">
        <f t="shared" ref="D25:M25" si="2">D12*1000/D8</f>
        <v>#DIV/0!</v>
      </c>
      <c r="E25" s="57" t="e">
        <f t="shared" si="2"/>
        <v>#DIV/0!</v>
      </c>
      <c r="F25" s="57" t="e">
        <f t="shared" si="2"/>
        <v>#DIV/0!</v>
      </c>
      <c r="G25" s="57" t="e">
        <f t="shared" si="2"/>
        <v>#DIV/0!</v>
      </c>
      <c r="H25" s="58" t="e">
        <f t="shared" si="2"/>
        <v>#DIV/0!</v>
      </c>
      <c r="I25" s="59">
        <f t="shared" si="2"/>
        <v>37.2111793349829</v>
      </c>
      <c r="J25" s="57">
        <f t="shared" si="2"/>
        <v>48.7433248438034</v>
      </c>
      <c r="K25" s="57" t="e">
        <f t="shared" si="2"/>
        <v>#DIV/0!</v>
      </c>
      <c r="L25" s="57">
        <f t="shared" si="2"/>
        <v>1.40689032574528</v>
      </c>
      <c r="M25" s="58">
        <f t="shared" si="2"/>
        <v>19.2803412969272</v>
      </c>
    </row>
    <row r="26" s="3" customFormat="1" ht="18" customHeight="1" spans="1:14">
      <c r="A26" s="51" t="s">
        <v>57</v>
      </c>
      <c r="B26" s="41" t="s">
        <v>58</v>
      </c>
      <c r="C26" s="60" t="s">
        <v>23</v>
      </c>
      <c r="D26" s="33"/>
      <c r="E26" s="61"/>
      <c r="F26" s="62"/>
      <c r="G26" s="33"/>
      <c r="H26" s="63"/>
      <c r="I26" s="185">
        <f>D26+'26.8'!I26</f>
        <v>23988</v>
      </c>
      <c r="J26" s="185">
        <f>E26+'26.8'!J26</f>
        <v>13379</v>
      </c>
      <c r="K26" s="185">
        <f>F26+'26.8'!K26</f>
        <v>0</v>
      </c>
      <c r="L26" s="185">
        <f>G26+'26.8'!L26</f>
        <v>119</v>
      </c>
      <c r="M26" s="63">
        <f>J26+K26+L26</f>
        <v>13498</v>
      </c>
    </row>
    <row r="27" s="3" customFormat="1" ht="18" customHeight="1" spans="1:14">
      <c r="A27" s="51" t="s">
        <v>59</v>
      </c>
      <c r="B27" s="41" t="s">
        <v>60</v>
      </c>
      <c r="C27" s="60" t="s">
        <v>23</v>
      </c>
      <c r="D27" s="48"/>
      <c r="E27" s="64">
        <f>J27</f>
        <v>4292.7</v>
      </c>
      <c r="F27" s="64"/>
      <c r="G27" s="64">
        <f>L27</f>
        <v>296.500000000023</v>
      </c>
      <c r="H27" s="65"/>
      <c r="I27" s="66"/>
      <c r="J27" s="187">
        <f>'26.8'!J27+E26-E10</f>
        <v>4292.7</v>
      </c>
      <c r="K27" s="187">
        <f>'26.8'!K27+F26-F10</f>
        <v>0</v>
      </c>
      <c r="L27" s="187">
        <f>'26.8'!L27+G26-G10</f>
        <v>296.500000000023</v>
      </c>
      <c r="M27" s="68">
        <f>J27+K27+L27</f>
        <v>4589.20000000002</v>
      </c>
    </row>
    <row r="28" s="2" customFormat="1" ht="18" customHeight="1" spans="1:14">
      <c r="A28" s="51" t="s">
        <v>61</v>
      </c>
      <c r="B28" s="41" t="s">
        <v>62</v>
      </c>
      <c r="C28" s="42" t="s">
        <v>63</v>
      </c>
      <c r="D28" s="69" t="e">
        <f>D13*29308/D10</f>
        <v>#DIV/0!</v>
      </c>
      <c r="E28" s="69" t="e">
        <f>E12*29308/E10</f>
        <v>#DIV/0!</v>
      </c>
      <c r="F28" s="69" t="e">
        <f>F12*29308/F10</f>
        <v>#DIV/0!</v>
      </c>
      <c r="G28" s="69" t="e">
        <f>G12*29308/G10</f>
        <v>#DIV/0!</v>
      </c>
      <c r="H28" s="69" t="e">
        <f>H12*29308/H10</f>
        <v>#DIV/0!</v>
      </c>
      <c r="I28" s="70">
        <f>I13*29308/I10</f>
        <v>19227.9938392777</v>
      </c>
      <c r="J28" s="44">
        <f>J12*29308/J10</f>
        <v>17643.4119399704</v>
      </c>
      <c r="K28" s="44" t="e">
        <f>K12*29308/K10</f>
        <v>#DIV/0!</v>
      </c>
      <c r="L28" s="44">
        <f>L12*29308/L10</f>
        <v>19526.5060142605</v>
      </c>
      <c r="M28" s="69">
        <f>M12*29308/M10</f>
        <v>17721.0300646955</v>
      </c>
    </row>
    <row r="29" s="2" customFormat="1" ht="18" customHeight="1" spans="1:14">
      <c r="A29" s="51" t="s">
        <v>64</v>
      </c>
      <c r="B29" s="41" t="s">
        <v>65</v>
      </c>
      <c r="C29" s="42" t="s">
        <v>63</v>
      </c>
      <c r="D29" s="71"/>
      <c r="E29" s="39"/>
      <c r="F29" s="39"/>
      <c r="G29" s="72"/>
      <c r="H29" s="73"/>
      <c r="I29" s="74"/>
      <c r="J29" s="39"/>
      <c r="K29" s="39"/>
      <c r="L29" s="72"/>
      <c r="M29" s="73"/>
    </row>
    <row r="30" s="2" customFormat="1" ht="18" customHeight="1" spans="1:14">
      <c r="A30" s="51" t="s">
        <v>66</v>
      </c>
      <c r="B30" s="41" t="s">
        <v>67</v>
      </c>
      <c r="C30" s="75" t="s">
        <v>68</v>
      </c>
      <c r="D30" s="76" t="e">
        <f>D8/(D12*29.308)</f>
        <v>#DIV/0!</v>
      </c>
      <c r="E30" s="76" t="e">
        <f>E8/(E12*29.308)</f>
        <v>#DIV/0!</v>
      </c>
      <c r="F30" s="76" t="e">
        <f>F8/(F12*29.308)</f>
        <v>#DIV/0!</v>
      </c>
      <c r="G30" s="76" t="e">
        <f>(G8-G36)/(G12*29.308)</f>
        <v>#DIV/0!</v>
      </c>
      <c r="H30" s="77" t="e">
        <f t="shared" ref="H30:M30" si="3">H8/(H12*29.308)</f>
        <v>#DIV/0!</v>
      </c>
      <c r="I30" s="78">
        <f t="shared" si="3"/>
        <v>0.916938868875932</v>
      </c>
      <c r="J30" s="76">
        <f t="shared" si="3"/>
        <v>0.700001011385589</v>
      </c>
      <c r="K30" s="76" t="e">
        <f t="shared" si="3"/>
        <v>#DIV/0!</v>
      </c>
      <c r="L30" s="76">
        <f t="shared" si="3"/>
        <v>24.2523358534603</v>
      </c>
      <c r="M30" s="77">
        <f t="shared" si="3"/>
        <v>1.76969775397059</v>
      </c>
    </row>
    <row r="31" s="2" customFormat="1" ht="18" customHeight="1" spans="1:14">
      <c r="A31" s="51" t="s">
        <v>69</v>
      </c>
      <c r="B31" s="41" t="s">
        <v>70</v>
      </c>
      <c r="C31" s="75" t="s">
        <v>68</v>
      </c>
      <c r="D31" s="79">
        <f>D8/3.6/D3/(DAY(DATE(2026,10,0))*24)</f>
        <v>0</v>
      </c>
      <c r="E31" s="79">
        <f>E8/3.6/E3/(DAY(DATE(2026,10,0))*24)</f>
        <v>0</v>
      </c>
      <c r="F31" s="79" t="e">
        <f>F8/3.6/F3/(DAY(DATE(2026,10,0))*24)</f>
        <v>#DIV/0!</v>
      </c>
      <c r="G31" s="79">
        <f>(G8-G36)/3.6/G3/(DAY(DATE(2026,10,0))*24)</f>
        <v>0</v>
      </c>
      <c r="H31" s="80">
        <f>H8/3.6/H3/(DAY(DATE(2026,10,0))*24)</f>
        <v>0</v>
      </c>
      <c r="I31" s="81">
        <f>I8/3.6/I3/(DATEDIF(DATE(2026,1,1),DATE(2026,10,1),"D")*24)</f>
        <v>0.142325635021995</v>
      </c>
      <c r="J31" s="79">
        <f>J8/3.6/J3/(DATEDIF(DATE(2026,1,1),DATE(2026,10,1),"D")*24)</f>
        <v>0.0699951712448978</v>
      </c>
      <c r="K31" s="79" t="e">
        <f>K8/3.6/K3/(DATEDIF(DATE(2026,1,1),DATE(2026,10,1),"D")*24)</f>
        <v>#DIV/0!</v>
      </c>
      <c r="L31" s="79">
        <f>(L8-L36)/3.6/L3/(DATEDIF(DATE(2026,1,1),DATE(2026,10,1),"D")*24)</f>
        <v>0.0330309555036781</v>
      </c>
      <c r="M31" s="80">
        <f>M8/3.6/M3/(DATEDIF(DATE(2026,1,1),DATE(2026,10,1),"D")*24)</f>
        <v>0.170630850936195</v>
      </c>
    </row>
    <row r="32" s="2" customFormat="1" ht="18" customHeight="1" spans="1:14">
      <c r="A32" s="51" t="s">
        <v>71</v>
      </c>
      <c r="B32" s="41" t="s">
        <v>72</v>
      </c>
      <c r="C32" s="42" t="s">
        <v>73</v>
      </c>
      <c r="D32" s="82"/>
      <c r="E32" s="83" t="e">
        <f>E8/E6</f>
        <v>#DIV/0!</v>
      </c>
      <c r="F32" s="83" t="e">
        <f>F8/F6</f>
        <v>#DIV/0!</v>
      </c>
      <c r="G32" s="83" t="e">
        <f>G8/G6</f>
        <v>#DIV/0!</v>
      </c>
      <c r="H32" s="83" t="e">
        <f>H8/H6</f>
        <v>#DIV/0!</v>
      </c>
      <c r="I32" s="84"/>
      <c r="J32" s="83" t="e">
        <f>J8/J6</f>
        <v>#DIV/0!</v>
      </c>
      <c r="K32" s="83" t="e">
        <f>K8/K6</f>
        <v>#DIV/0!</v>
      </c>
      <c r="L32" s="83" t="e">
        <f>L8/L6</f>
        <v>#DIV/0!</v>
      </c>
      <c r="M32" s="85" t="e">
        <f>M8/M6</f>
        <v>#DIV/0!</v>
      </c>
    </row>
    <row r="33" s="2" customFormat="1" ht="18" customHeight="1" spans="1:13">
      <c r="A33" s="51" t="s">
        <v>74</v>
      </c>
      <c r="B33" s="41" t="s">
        <v>75</v>
      </c>
      <c r="C33" s="42" t="s">
        <v>76</v>
      </c>
      <c r="D33" s="86"/>
      <c r="E33" s="87" t="e">
        <f>E12*1000/E6</f>
        <v>#DIV/0!</v>
      </c>
      <c r="F33" s="87" t="e">
        <f>F12*1000/F6</f>
        <v>#DIV/0!</v>
      </c>
      <c r="G33" s="87" t="e">
        <f>G12*1000/G6</f>
        <v>#DIV/0!</v>
      </c>
      <c r="H33" s="88" t="e">
        <f>H12*1000/H6</f>
        <v>#DIV/0!</v>
      </c>
      <c r="I33" s="89"/>
      <c r="J33" s="87" t="e">
        <f>J12*1000/J6</f>
        <v>#DIV/0!</v>
      </c>
      <c r="K33" s="87" t="e">
        <f>K12*1000/K6</f>
        <v>#DIV/0!</v>
      </c>
      <c r="L33" s="87" t="e">
        <f>L12*1000/L6</f>
        <v>#DIV/0!</v>
      </c>
      <c r="M33" s="88" t="e">
        <f>M12*1000/M6</f>
        <v>#DIV/0!</v>
      </c>
    </row>
    <row r="34" s="2" customFormat="1" ht="18" customHeight="1" spans="1:13">
      <c r="A34" s="51" t="s">
        <v>77</v>
      </c>
      <c r="B34" s="41" t="s">
        <v>78</v>
      </c>
      <c r="C34" s="42" t="s">
        <v>79</v>
      </c>
      <c r="D34" s="90"/>
      <c r="E34" s="87" t="e">
        <f>E17/E6</f>
        <v>#DIV/0!</v>
      </c>
      <c r="F34" s="87" t="e">
        <f>F17/F6</f>
        <v>#DIV/0!</v>
      </c>
      <c r="G34" s="87" t="e">
        <f>G17/G6</f>
        <v>#DIV/0!</v>
      </c>
      <c r="H34" s="88" t="e">
        <f>H17/H6</f>
        <v>#DIV/0!</v>
      </c>
      <c r="I34" s="91"/>
      <c r="J34" s="87" t="e">
        <f>J17/J6</f>
        <v>#DIV/0!</v>
      </c>
      <c r="K34" s="87" t="e">
        <f>K17/K6</f>
        <v>#DIV/0!</v>
      </c>
      <c r="L34" s="87" t="e">
        <f>L17/L6</f>
        <v>#DIV/0!</v>
      </c>
      <c r="M34" s="88" t="e">
        <f>M17/M6</f>
        <v>#DIV/0!</v>
      </c>
    </row>
    <row r="35" s="2" customFormat="1" ht="18" customHeight="1" spans="1:13">
      <c r="A35" s="92" t="s">
        <v>80</v>
      </c>
      <c r="B35" s="93" t="s">
        <v>81</v>
      </c>
      <c r="C35" s="94" t="s">
        <v>76</v>
      </c>
      <c r="D35" s="95"/>
      <c r="E35" s="96" t="e">
        <f>E15*1000/E6</f>
        <v>#DIV/0!</v>
      </c>
      <c r="F35" s="96" t="e">
        <f>F15*1000/F6</f>
        <v>#DIV/0!</v>
      </c>
      <c r="G35" s="96" t="e">
        <f>G15*1000/G6</f>
        <v>#DIV/0!</v>
      </c>
      <c r="H35" s="97" t="e">
        <f>H15*1000/H6</f>
        <v>#DIV/0!</v>
      </c>
      <c r="I35" s="98"/>
      <c r="J35" s="96" t="e">
        <f>J15*1000/J6</f>
        <v>#DIV/0!</v>
      </c>
      <c r="K35" s="96" t="e">
        <f>K15*1000/K6</f>
        <v>#DIV/0!</v>
      </c>
      <c r="L35" s="96" t="e">
        <f>L15*1000/L6</f>
        <v>#DIV/0!</v>
      </c>
      <c r="M35" s="97" t="e">
        <f>M15*1000/M6</f>
        <v>#DIV/0!</v>
      </c>
    </row>
    <row r="36" s="2" customFormat="1" ht="21" customHeight="1" spans="1:13">
      <c r="A36" s="99"/>
      <c r="B36" s="100" t="s">
        <v>82</v>
      </c>
      <c r="C36" s="101" t="s">
        <v>26</v>
      </c>
      <c r="D36" s="102"/>
      <c r="E36" s="102"/>
      <c r="F36" s="102"/>
      <c r="G36" s="102"/>
      <c r="H36" s="102"/>
      <c r="I36" s="102"/>
      <c r="J36" s="102"/>
      <c r="K36" s="102"/>
      <c r="L36" s="185">
        <f>G36+'26.8'!L36</f>
        <v>429980</v>
      </c>
      <c r="M36" s="102"/>
    </row>
    <row r="37" s="1" customFormat="1" ht="29.25" customHeight="1" spans="1:13">
      <c r="A37" s="103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3">
      <c r="A38" s="104" t="s">
        <v>0</v>
      </c>
      <c r="B38" s="105" t="s">
        <v>85</v>
      </c>
      <c r="C38" s="105" t="s">
        <v>2</v>
      </c>
      <c r="D38" s="106" t="s">
        <v>86</v>
      </c>
      <c r="E38" s="107" t="s">
        <v>87</v>
      </c>
      <c r="F38" s="2"/>
      <c r="G38" s="2"/>
      <c r="H38" s="2"/>
    </row>
    <row r="39" s="1" customFormat="1" ht="27.95" customHeight="1" spans="1:13">
      <c r="A39" s="27" t="s">
        <v>11</v>
      </c>
      <c r="B39" s="28" t="s">
        <v>12</v>
      </c>
      <c r="C39" s="29" t="s">
        <v>13</v>
      </c>
      <c r="D39" s="108">
        <v>0.55</v>
      </c>
      <c r="E39" s="109">
        <v>0.55</v>
      </c>
      <c r="F39" s="2"/>
      <c r="G39" s="2"/>
      <c r="H39" s="2"/>
    </row>
    <row r="40" s="1" customFormat="1" ht="27.95" customHeight="1" spans="1:13">
      <c r="A40" s="27" t="s">
        <v>14</v>
      </c>
      <c r="B40" s="28" t="s">
        <v>88</v>
      </c>
      <c r="C40" s="29" t="s">
        <v>16</v>
      </c>
      <c r="D40" s="110"/>
      <c r="E40" s="111">
        <f>D40</f>
        <v>0</v>
      </c>
      <c r="F40" s="2"/>
      <c r="G40" s="2"/>
      <c r="H40" s="2"/>
    </row>
    <row r="41" s="1" customFormat="1" ht="27.95" customHeight="1" spans="1:13">
      <c r="A41" s="27" t="s">
        <v>19</v>
      </c>
      <c r="B41" s="28" t="s">
        <v>89</v>
      </c>
      <c r="C41" s="29" t="s">
        <v>16</v>
      </c>
      <c r="D41" s="112"/>
      <c r="E41" s="113">
        <f>D41</f>
        <v>0</v>
      </c>
      <c r="F41" s="2"/>
      <c r="G41" s="2"/>
      <c r="H41" s="2"/>
    </row>
    <row r="42" s="1" customFormat="1" ht="27.95" customHeight="1" spans="1:13">
      <c r="A42" s="27" t="s">
        <v>21</v>
      </c>
      <c r="B42" s="41" t="s">
        <v>25</v>
      </c>
      <c r="C42" s="42" t="s">
        <v>26</v>
      </c>
      <c r="D42" s="114">
        <v>0</v>
      </c>
      <c r="E42" s="188">
        <f>D42+'26.8'!E42</f>
        <v>889</v>
      </c>
      <c r="F42" s="2"/>
      <c r="G42" s="2"/>
      <c r="H42" s="2"/>
    </row>
    <row r="43" s="1" customFormat="1" ht="27.95" customHeight="1" spans="1:13">
      <c r="A43" s="27" t="s">
        <v>24</v>
      </c>
      <c r="B43" s="41" t="s">
        <v>38</v>
      </c>
      <c r="C43" s="42" t="s">
        <v>23</v>
      </c>
      <c r="D43" s="110"/>
      <c r="E43" s="188">
        <f>D43+'26.8'!E43</f>
        <v>10</v>
      </c>
      <c r="F43" s="2"/>
      <c r="G43" s="2"/>
      <c r="H43" s="2"/>
    </row>
    <row r="44" s="1" customFormat="1" ht="27.95" customHeight="1" spans="1:13">
      <c r="A44" s="27" t="s">
        <v>27</v>
      </c>
      <c r="B44" s="41" t="s">
        <v>41</v>
      </c>
      <c r="C44" s="42" t="s">
        <v>42</v>
      </c>
      <c r="D44" s="110"/>
      <c r="E44" s="188">
        <f>D44+'26.8'!E44</f>
        <v>267664</v>
      </c>
      <c r="F44" s="2"/>
      <c r="G44" s="2"/>
      <c r="H44" s="2"/>
    </row>
    <row r="45" s="1" customFormat="1" ht="27.95" customHeight="1" spans="1:13">
      <c r="A45" s="27"/>
      <c r="B45" s="41" t="s">
        <v>90</v>
      </c>
      <c r="C45" s="42" t="s">
        <v>42</v>
      </c>
      <c r="D45" s="110"/>
      <c r="E45" s="188">
        <f>D45+'26.8'!E45</f>
        <v>267664</v>
      </c>
      <c r="F45" s="2"/>
      <c r="G45" s="2"/>
      <c r="H45" s="2"/>
    </row>
    <row r="46" s="1" customFormat="1" ht="27.95" customHeight="1" spans="1:13">
      <c r="A46" s="27" t="s">
        <v>29</v>
      </c>
      <c r="B46" s="41" t="s">
        <v>52</v>
      </c>
      <c r="C46" s="42" t="s">
        <v>53</v>
      </c>
      <c r="D46" s="116" t="e">
        <f>D44/D42</f>
        <v>#DIV/0!</v>
      </c>
      <c r="E46" s="117">
        <f>E44/E42</f>
        <v>301.084364454443</v>
      </c>
      <c r="F46" s="2"/>
      <c r="G46" s="2"/>
      <c r="H46" s="2"/>
    </row>
    <row r="47" s="1" customFormat="1" ht="27.95" customHeight="1" spans="1:13">
      <c r="A47" s="27" t="s">
        <v>31</v>
      </c>
      <c r="B47" s="41" t="s">
        <v>70</v>
      </c>
      <c r="C47" s="75" t="s">
        <v>68</v>
      </c>
      <c r="D47" s="118">
        <f>D42/3.6/D39/(DAY(DATE(2026,10,0))*24)</f>
        <v>0</v>
      </c>
      <c r="E47" s="119">
        <f>E42/3.6/E39/(DATEDIF(DATE(2026,1,1),DATE(2026,10,1),"D")*24)</f>
        <v>0.0685271518604852</v>
      </c>
      <c r="F47" s="2"/>
      <c r="G47" s="2"/>
      <c r="H47" s="2"/>
    </row>
    <row r="48" s="1" customFormat="1" ht="27.95" customHeight="1" spans="1:13">
      <c r="A48" s="27" t="s">
        <v>33</v>
      </c>
      <c r="B48" s="41" t="s">
        <v>72</v>
      </c>
      <c r="C48" s="42" t="s">
        <v>73</v>
      </c>
      <c r="D48" s="120" t="e">
        <f>D42/D41</f>
        <v>#DIV/0!</v>
      </c>
      <c r="E48" s="121" t="e">
        <f>E42/E41</f>
        <v>#DIV/0!</v>
      </c>
      <c r="F48" s="2"/>
      <c r="G48" s="2"/>
      <c r="H48" s="2"/>
    </row>
    <row r="49" s="1" customFormat="1" ht="27.95" customHeight="1" spans="1:10">
      <c r="A49" s="27" t="s">
        <v>37</v>
      </c>
      <c r="B49" s="41" t="s">
        <v>78</v>
      </c>
      <c r="C49" s="42" t="s">
        <v>79</v>
      </c>
      <c r="D49" s="122" t="e">
        <f>D44/D41</f>
        <v>#DIV/0!</v>
      </c>
      <c r="E49" s="123" t="e">
        <f>E44/E41</f>
        <v>#DIV/0!</v>
      </c>
      <c r="F49" s="2"/>
      <c r="G49" s="2"/>
      <c r="H49" s="2"/>
    </row>
    <row r="50" s="1" customFormat="1" ht="27.95" customHeight="1" spans="1:10">
      <c r="A50" s="124" t="s">
        <v>40</v>
      </c>
      <c r="B50" s="93" t="s">
        <v>81</v>
      </c>
      <c r="C50" s="94" t="s">
        <v>76</v>
      </c>
      <c r="D50" s="125" t="e">
        <f>D43*1000/D41</f>
        <v>#DIV/0!</v>
      </c>
      <c r="E50" s="125" t="e">
        <f>E43*1000/E41</f>
        <v>#DIV/0!</v>
      </c>
      <c r="F50" s="2"/>
      <c r="G50" s="2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3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26" t="s">
        <v>0</v>
      </c>
      <c r="B53" s="127" t="s">
        <v>85</v>
      </c>
      <c r="C53" s="127" t="s">
        <v>2</v>
      </c>
      <c r="D53" s="106" t="s">
        <v>86</v>
      </c>
      <c r="E53" s="9"/>
      <c r="F53" s="10"/>
      <c r="G53" s="128" t="s">
        <v>87</v>
      </c>
      <c r="H53" s="9"/>
      <c r="I53" s="9"/>
    </row>
    <row r="54" s="1" customFormat="1" ht="31.5" customHeight="1" spans="1:10">
      <c r="A54" s="12"/>
      <c r="B54" s="13"/>
      <c r="C54" s="13"/>
      <c r="D54" s="129" t="s">
        <v>92</v>
      </c>
      <c r="E54" s="129" t="s">
        <v>93</v>
      </c>
      <c r="F54" s="130" t="s">
        <v>9</v>
      </c>
      <c r="G54" s="131" t="s">
        <v>92</v>
      </c>
      <c r="H54" s="129" t="s">
        <v>93</v>
      </c>
      <c r="I54" s="132" t="s">
        <v>9</v>
      </c>
    </row>
    <row r="55" s="1" customFormat="1" ht="27.95" customHeight="1" spans="1:10">
      <c r="A55" s="27" t="s">
        <v>11</v>
      </c>
      <c r="B55" s="28" t="s">
        <v>12</v>
      </c>
      <c r="C55" s="29" t="s">
        <v>13</v>
      </c>
      <c r="D55" s="133">
        <v>6</v>
      </c>
      <c r="E55" s="133">
        <v>6.4</v>
      </c>
      <c r="F55" s="134">
        <f t="shared" ref="F55:F61" si="4">SUM(D55:E55)</f>
        <v>12.4</v>
      </c>
      <c r="G55" s="135">
        <f>D55</f>
        <v>6</v>
      </c>
      <c r="H55" s="136">
        <f>E55</f>
        <v>6.4</v>
      </c>
      <c r="I55" s="136">
        <f t="shared" ref="I55:I61" si="5">SUM(G55:H55)</f>
        <v>12.4</v>
      </c>
    </row>
    <row r="56" s="1" customFormat="1" ht="27.95" customHeight="1" spans="1:10">
      <c r="A56" s="27" t="s">
        <v>14</v>
      </c>
      <c r="B56" s="28" t="s">
        <v>88</v>
      </c>
      <c r="C56" s="29" t="s">
        <v>16</v>
      </c>
      <c r="D56" s="72"/>
      <c r="E56" s="72"/>
      <c r="F56" s="112">
        <f t="shared" si="4"/>
        <v>0</v>
      </c>
      <c r="G56" s="113">
        <f>D56</f>
        <v>0</v>
      </c>
      <c r="H56" s="113">
        <f>E56</f>
        <v>0</v>
      </c>
      <c r="I56" s="68">
        <f t="shared" si="5"/>
        <v>0</v>
      </c>
    </row>
    <row r="57" s="1" customFormat="1" ht="27.95" customHeight="1" spans="1:10">
      <c r="A57" s="27" t="s">
        <v>19</v>
      </c>
      <c r="B57" s="28" t="s">
        <v>89</v>
      </c>
      <c r="C57" s="29" t="s">
        <v>16</v>
      </c>
      <c r="D57" s="68"/>
      <c r="E57" s="68"/>
      <c r="F57" s="112">
        <f t="shared" si="4"/>
        <v>0</v>
      </c>
      <c r="G57" s="113">
        <f>D57</f>
        <v>0</v>
      </c>
      <c r="H57" s="113">
        <f>E57</f>
        <v>0</v>
      </c>
      <c r="I57" s="68">
        <f t="shared" si="5"/>
        <v>0</v>
      </c>
    </row>
    <row r="58" s="1" customFormat="1" ht="27.95" customHeight="1" spans="1:10">
      <c r="A58" s="27" t="s">
        <v>21</v>
      </c>
      <c r="B58" s="41" t="s">
        <v>25</v>
      </c>
      <c r="C58" s="42" t="s">
        <v>26</v>
      </c>
      <c r="D58" s="72"/>
      <c r="E58" s="137"/>
      <c r="F58" s="112">
        <f t="shared" si="4"/>
        <v>0</v>
      </c>
      <c r="G58" s="189">
        <f>D58+'26.8'!G58</f>
        <v>3813.3</v>
      </c>
      <c r="H58" s="189">
        <f>E58+'26.8'!H58</f>
        <v>6695.80000000001</v>
      </c>
      <c r="I58" s="68">
        <f t="shared" si="5"/>
        <v>10509.1</v>
      </c>
    </row>
    <row r="59" s="1" customFormat="1" ht="27.95" customHeight="1" spans="1:10">
      <c r="A59" s="27" t="s">
        <v>24</v>
      </c>
      <c r="B59" s="41" t="s">
        <v>38</v>
      </c>
      <c r="C59" s="42" t="s">
        <v>23</v>
      </c>
      <c r="D59" s="72"/>
      <c r="E59" s="72"/>
      <c r="F59" s="112">
        <f t="shared" si="4"/>
        <v>0</v>
      </c>
      <c r="G59" s="189">
        <f>D59+'26.8'!G59</f>
        <v>564.9</v>
      </c>
      <c r="H59" s="189">
        <f>E59+'26.8'!H59</f>
        <v>165.9</v>
      </c>
      <c r="I59" s="68">
        <f t="shared" si="5"/>
        <v>730.8</v>
      </c>
    </row>
    <row r="60" s="1" customFormat="1" ht="27.95" customHeight="1" spans="1:10">
      <c r="A60" s="27" t="s">
        <v>27</v>
      </c>
      <c r="B60" s="41" t="s">
        <v>41</v>
      </c>
      <c r="C60" s="42" t="s">
        <v>42</v>
      </c>
      <c r="D60" s="72"/>
      <c r="E60" s="72"/>
      <c r="F60" s="112">
        <f t="shared" si="4"/>
        <v>0</v>
      </c>
      <c r="G60" s="189">
        <f>D60+'26.8'!G60</f>
        <v>1184440</v>
      </c>
      <c r="H60" s="189">
        <f>E60+'26.8'!H60</f>
        <v>1991120</v>
      </c>
      <c r="I60" s="68">
        <f t="shared" si="5"/>
        <v>3175560</v>
      </c>
    </row>
    <row r="61" s="1" customFormat="1" ht="27.95" customHeight="1" spans="1:10">
      <c r="A61" s="27"/>
      <c r="B61" s="41" t="s">
        <v>90</v>
      </c>
      <c r="C61" s="42" t="s">
        <v>42</v>
      </c>
      <c r="D61" s="72"/>
      <c r="E61" s="72"/>
      <c r="F61" s="112">
        <f t="shared" si="4"/>
        <v>0</v>
      </c>
      <c r="G61" s="189">
        <f>D61+'26.8'!G61</f>
        <v>1184440</v>
      </c>
      <c r="H61" s="189">
        <f>E61+'26.8'!H61</f>
        <v>1991120</v>
      </c>
      <c r="I61" s="68">
        <f t="shared" si="5"/>
        <v>3175560</v>
      </c>
    </row>
    <row r="62" s="1" customFormat="1" ht="27.95" customHeight="1" spans="1:10">
      <c r="A62" s="27" t="s">
        <v>29</v>
      </c>
      <c r="B62" s="41" t="s">
        <v>52</v>
      </c>
      <c r="C62" s="42" t="s">
        <v>53</v>
      </c>
      <c r="D62" s="139" t="e">
        <f t="shared" ref="D62:I62" si="6">D60/D58</f>
        <v>#DIV/0!</v>
      </c>
      <c r="E62" s="139" t="e">
        <f t="shared" si="6"/>
        <v>#DIV/0!</v>
      </c>
      <c r="F62" s="116" t="e">
        <f t="shared" si="6"/>
        <v>#DIV/0!</v>
      </c>
      <c r="G62" s="140">
        <f t="shared" si="6"/>
        <v>310.607610206383</v>
      </c>
      <c r="H62" s="57">
        <f t="shared" si="6"/>
        <v>297.368499656501</v>
      </c>
      <c r="I62" s="58">
        <f t="shared" si="6"/>
        <v>302.172402965049</v>
      </c>
    </row>
    <row r="63" s="1" customFormat="1" ht="27.95" customHeight="1" spans="1:10">
      <c r="A63" s="27" t="s">
        <v>31</v>
      </c>
      <c r="B63" s="41" t="s">
        <v>70</v>
      </c>
      <c r="C63" s="75" t="s">
        <v>68</v>
      </c>
      <c r="D63" s="79">
        <f>D58/3.6/D55/(DAY(DATE(2026,10,0))*24)</f>
        <v>0</v>
      </c>
      <c r="E63" s="79">
        <f>E58/3.6/E55/(DAY(DATE(2026,10,0))*24)</f>
        <v>0</v>
      </c>
      <c r="F63" s="118">
        <f>F58/3.6/F55/(DAY(DATE(2026,10,0))*24)</f>
        <v>0</v>
      </c>
      <c r="G63" s="81">
        <f>G58/3.6/G55/(DATEDIF(DATE(2026,1,1),DATE(2026,10,1),"D")*24)</f>
        <v>0.0269446988196988</v>
      </c>
      <c r="H63" s="79">
        <f>H58/3.6/H55/(DATEDIF(DATE(2026,1,1),DATE(2026,10,1),"D")*24)</f>
        <v>0.0443553601105685</v>
      </c>
      <c r="I63" s="80">
        <f>I58/3.6/I55/(DATEDIF(DATE(2026,1,1),DATE(2026,10,1),"D")*24)</f>
        <v>0.0359308465827283</v>
      </c>
    </row>
    <row r="64" s="1" customFormat="1" ht="27.95" customHeight="1" spans="1:10">
      <c r="A64" s="27" t="s">
        <v>33</v>
      </c>
      <c r="B64" s="41" t="s">
        <v>72</v>
      </c>
      <c r="C64" s="42" t="s">
        <v>73</v>
      </c>
      <c r="D64" s="83" t="e">
        <f t="shared" ref="D64:I64" si="7">D58/D57</f>
        <v>#DIV/0!</v>
      </c>
      <c r="E64" s="83" t="e">
        <f t="shared" si="7"/>
        <v>#DIV/0!</v>
      </c>
      <c r="F64" s="85" t="e">
        <f t="shared" si="7"/>
        <v>#DIV/0!</v>
      </c>
      <c r="G64" s="141" t="e">
        <f t="shared" si="7"/>
        <v>#DIV/0!</v>
      </c>
      <c r="H64" s="83" t="e">
        <f t="shared" si="7"/>
        <v>#DIV/0!</v>
      </c>
      <c r="I64" s="85" t="e">
        <f t="shared" si="7"/>
        <v>#DIV/0!</v>
      </c>
    </row>
    <row r="65" s="1" customFormat="1" ht="27.95" customHeight="1" spans="1:9">
      <c r="A65" s="27" t="s">
        <v>37</v>
      </c>
      <c r="B65" s="41" t="s">
        <v>78</v>
      </c>
      <c r="C65" s="42" t="s">
        <v>79</v>
      </c>
      <c r="D65" s="87" t="e">
        <f t="shared" ref="D65:I65" si="8">D60/D57</f>
        <v>#DIV/0!</v>
      </c>
      <c r="E65" s="87" t="e">
        <f t="shared" si="8"/>
        <v>#DIV/0!</v>
      </c>
      <c r="F65" s="88" t="e">
        <f t="shared" si="8"/>
        <v>#DIV/0!</v>
      </c>
      <c r="G65" s="142" t="e">
        <f t="shared" si="8"/>
        <v>#DIV/0!</v>
      </c>
      <c r="H65" s="87" t="e">
        <f t="shared" si="8"/>
        <v>#DIV/0!</v>
      </c>
      <c r="I65" s="88" t="e">
        <f t="shared" si="8"/>
        <v>#DIV/0!</v>
      </c>
    </row>
    <row r="66" s="1" customFormat="1" ht="27.95" customHeight="1" spans="1:9">
      <c r="A66" s="124" t="s">
        <v>40</v>
      </c>
      <c r="B66" s="93" t="s">
        <v>81</v>
      </c>
      <c r="C66" s="94" t="s">
        <v>76</v>
      </c>
      <c r="D66" s="96" t="e">
        <f t="shared" ref="D66:I66" si="9">D59*1000/D57</f>
        <v>#DIV/0!</v>
      </c>
      <c r="E66" s="96" t="e">
        <f t="shared" si="9"/>
        <v>#DIV/0!</v>
      </c>
      <c r="F66" s="97" t="e">
        <f t="shared" si="9"/>
        <v>#DIV/0!</v>
      </c>
      <c r="G66" s="143" t="e">
        <f t="shared" si="9"/>
        <v>#DIV/0!</v>
      </c>
      <c r="H66" s="96" t="e">
        <f t="shared" si="9"/>
        <v>#DIV/0!</v>
      </c>
      <c r="I66" s="97" t="e">
        <f t="shared" si="9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3" t="s">
        <v>94</v>
      </c>
      <c r="C68" s="4"/>
      <c r="D68" s="5"/>
    </row>
    <row r="69" s="1" customFormat="1" ht="30" customHeight="1" spans="1:9">
      <c r="A69" s="126" t="s">
        <v>0</v>
      </c>
      <c r="B69" s="7" t="s">
        <v>1</v>
      </c>
      <c r="C69" s="7" t="s">
        <v>2</v>
      </c>
      <c r="D69" s="106" t="s">
        <v>86</v>
      </c>
      <c r="E69" s="10"/>
      <c r="F69" s="144" t="s">
        <v>87</v>
      </c>
      <c r="G69" s="9"/>
    </row>
    <row r="70" s="1" customFormat="1" ht="30" customHeight="1" spans="1:9">
      <c r="A70" s="12"/>
      <c r="B70" s="13"/>
      <c r="C70" s="13"/>
      <c r="D70" s="129" t="s">
        <v>95</v>
      </c>
      <c r="E70" s="145" t="s">
        <v>96</v>
      </c>
      <c r="F70" s="131" t="s">
        <v>95</v>
      </c>
      <c r="G70" s="132" t="s">
        <v>96</v>
      </c>
    </row>
    <row r="71" s="1" customFormat="1" ht="27.95" customHeight="1" spans="1:9">
      <c r="A71" s="18" t="s">
        <v>11</v>
      </c>
      <c r="B71" s="19" t="s">
        <v>12</v>
      </c>
      <c r="C71" s="20" t="s">
        <v>13</v>
      </c>
      <c r="D71" s="23">
        <v>217</v>
      </c>
      <c r="E71" s="146">
        <v>1.4</v>
      </c>
      <c r="F71" s="147">
        <f>D71</f>
        <v>217</v>
      </c>
      <c r="G71" s="26">
        <f>E71</f>
        <v>1.4</v>
      </c>
    </row>
    <row r="72" s="1" customFormat="1" ht="27.95" customHeight="1" spans="1:9">
      <c r="A72" s="27" t="s">
        <v>14</v>
      </c>
      <c r="B72" s="41" t="s">
        <v>22</v>
      </c>
      <c r="C72" s="42" t="s">
        <v>23</v>
      </c>
      <c r="D72" s="72"/>
      <c r="E72" s="110"/>
      <c r="F72" s="148">
        <f>D72</f>
        <v>0</v>
      </c>
      <c r="G72" s="149">
        <f>E72</f>
        <v>0</v>
      </c>
    </row>
    <row r="73" s="1" customFormat="1" ht="27.95" customHeight="1" spans="1:9">
      <c r="A73" s="27" t="s">
        <v>19</v>
      </c>
      <c r="B73" s="41" t="s">
        <v>25</v>
      </c>
      <c r="C73" s="42" t="s">
        <v>26</v>
      </c>
      <c r="D73" s="68">
        <f>D72*2.951694</f>
        <v>0</v>
      </c>
      <c r="E73" s="150">
        <f>E72*2.732</f>
        <v>0</v>
      </c>
      <c r="F73" s="188">
        <f>D73+'26.8'!F73</f>
        <v>0</v>
      </c>
      <c r="G73" s="188">
        <f>E73+'26.8'!G73</f>
        <v>0</v>
      </c>
    </row>
    <row r="74" s="1" customFormat="1" ht="27.95" customHeight="1" spans="1:9">
      <c r="A74" s="27" t="s">
        <v>21</v>
      </c>
      <c r="B74" s="41" t="s">
        <v>97</v>
      </c>
      <c r="C74" s="42" t="s">
        <v>98</v>
      </c>
      <c r="D74" s="72"/>
      <c r="E74" s="110"/>
      <c r="F74" s="188">
        <f>D74+'26.8'!F74</f>
        <v>0</v>
      </c>
      <c r="G74" s="188">
        <f>E74+'26.8'!G74</f>
        <v>0</v>
      </c>
    </row>
    <row r="75" s="1" customFormat="1" ht="27.95" customHeight="1" spans="1:9">
      <c r="A75" s="27" t="s">
        <v>24</v>
      </c>
      <c r="B75" s="41" t="s">
        <v>34</v>
      </c>
      <c r="C75" s="42" t="s">
        <v>23</v>
      </c>
      <c r="D75" s="68">
        <f>D74*D80/29308/1000</f>
        <v>0</v>
      </c>
      <c r="E75" s="112">
        <f>E74*E80/29308/1000</f>
        <v>0</v>
      </c>
      <c r="F75" s="188">
        <f>D75+'26.8'!F75</f>
        <v>0</v>
      </c>
      <c r="G75" s="188">
        <f>E75+'26.8'!G75</f>
        <v>0</v>
      </c>
    </row>
    <row r="76" s="1" customFormat="1" ht="27.95" customHeight="1" spans="1:9">
      <c r="A76" s="27" t="s">
        <v>27</v>
      </c>
      <c r="B76" s="41" t="s">
        <v>38</v>
      </c>
      <c r="C76" s="42" t="s">
        <v>23</v>
      </c>
      <c r="D76" s="72"/>
      <c r="E76" s="151"/>
      <c r="F76" s="188">
        <f>D76+'26.8'!F76</f>
        <v>0</v>
      </c>
      <c r="G76" s="188">
        <f>E76+'26.8'!G76</f>
        <v>0</v>
      </c>
    </row>
    <row r="77" s="1" customFormat="1" ht="27.95" customHeight="1" spans="1:9">
      <c r="A77" s="27" t="s">
        <v>29</v>
      </c>
      <c r="B77" s="41" t="s">
        <v>41</v>
      </c>
      <c r="C77" s="42" t="s">
        <v>42</v>
      </c>
      <c r="D77" s="72"/>
      <c r="E77" s="151"/>
      <c r="F77" s="188">
        <f>D77+'26.8'!F77</f>
        <v>0</v>
      </c>
      <c r="G77" s="188">
        <f>E77+'26.8'!G77</f>
        <v>0</v>
      </c>
    </row>
    <row r="78" s="1" customFormat="1" ht="27.95" customHeight="1" spans="1:9">
      <c r="A78" s="27" t="s">
        <v>31</v>
      </c>
      <c r="B78" s="41" t="s">
        <v>52</v>
      </c>
      <c r="C78" s="42" t="s">
        <v>53</v>
      </c>
      <c r="D78" s="152" t="e">
        <f>D77/D73</f>
        <v>#DIV/0!</v>
      </c>
      <c r="E78" s="153"/>
      <c r="F78" s="154" t="e">
        <f>F77/F73</f>
        <v>#DIV/0!</v>
      </c>
      <c r="G78" s="155"/>
    </row>
    <row r="79" s="1" customFormat="1" ht="27.95" customHeight="1" spans="1:9">
      <c r="A79" s="27" t="s">
        <v>33</v>
      </c>
      <c r="B79" s="41" t="s">
        <v>55</v>
      </c>
      <c r="C79" s="42" t="s">
        <v>56</v>
      </c>
      <c r="D79" s="57" t="e">
        <f>D75*1000/D73</f>
        <v>#DIV/0!</v>
      </c>
      <c r="E79" s="156" t="e">
        <f>E75*1000/E73</f>
        <v>#DIV/0!</v>
      </c>
      <c r="F79" s="157" t="e">
        <f>F75*1000/F73</f>
        <v>#DIV/0!</v>
      </c>
      <c r="G79" s="58" t="e">
        <f>G75*1000/G73</f>
        <v>#DIV/0!</v>
      </c>
    </row>
    <row r="80" s="1" customFormat="1" ht="27.95" customHeight="1" spans="1:9">
      <c r="A80" s="27" t="s">
        <v>37</v>
      </c>
      <c r="B80" s="41" t="s">
        <v>99</v>
      </c>
      <c r="C80" s="42" t="s">
        <v>100</v>
      </c>
      <c r="D80" s="33"/>
      <c r="E80" s="158"/>
      <c r="F80" s="159" t="e">
        <f>F75*29308*1000/F74</f>
        <v>#DIV/0!</v>
      </c>
      <c r="G80" s="68" t="e">
        <f>G75*29308*1000/G74</f>
        <v>#DIV/0!</v>
      </c>
    </row>
    <row r="81" s="1" customFormat="1" ht="27.95" customHeight="1" spans="1:11">
      <c r="A81" s="27" t="s">
        <v>40</v>
      </c>
      <c r="B81" s="41" t="s">
        <v>67</v>
      </c>
      <c r="C81" s="75" t="s">
        <v>68</v>
      </c>
      <c r="D81" s="76" t="e">
        <f>D73/(D75*29.308)</f>
        <v>#DIV/0!</v>
      </c>
      <c r="E81" s="160" t="e">
        <f>E73/(E75*29.308)</f>
        <v>#DIV/0!</v>
      </c>
      <c r="F81" s="161" t="e">
        <f>F73/(F75*29.308)</f>
        <v>#DIV/0!</v>
      </c>
      <c r="G81" s="77" t="e">
        <f>G73/(G75*29.308)</f>
        <v>#DIV/0!</v>
      </c>
    </row>
    <row r="82" s="1" customFormat="1" ht="27.95" customHeight="1" spans="1:11">
      <c r="A82" s="124" t="s">
        <v>47</v>
      </c>
      <c r="B82" s="162" t="s">
        <v>70</v>
      </c>
      <c r="C82" s="163" t="s">
        <v>68</v>
      </c>
      <c r="D82" s="164">
        <f>D73/3.6/D71/(DAY(DATE(2026,10,0))*24)</f>
        <v>0</v>
      </c>
      <c r="E82" s="165">
        <f>E73/3.6/E71/(DAY(DATE(2026,10,0))*24)</f>
        <v>0</v>
      </c>
      <c r="F82" s="166">
        <f>F73/3.6/F71/(DATEDIF(DATE(2026,1,1),DATE(2026,10,1),"D")*24)</f>
        <v>0</v>
      </c>
      <c r="G82" s="167">
        <f>G73/3.6/G71/(DATEDIF(DATE(2026,1,1),DATE(2026,10,1),"D")*24)</f>
        <v>0</v>
      </c>
    </row>
    <row r="83" s="1" customFormat="1" ht="18" customHeight="1" spans="1:11">
      <c r="B83" s="168"/>
      <c r="C83" s="168"/>
      <c r="D83" s="5"/>
    </row>
    <row r="84" s="1" customFormat="1" ht="16.25" spans="1:11">
      <c r="A84" s="103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ht="14" spans="1:11">
      <c r="A85" s="126" t="s">
        <v>0</v>
      </c>
      <c r="B85" s="127" t="s">
        <v>85</v>
      </c>
      <c r="C85" s="127" t="s">
        <v>2</v>
      </c>
      <c r="D85" s="169" t="s">
        <v>86</v>
      </c>
      <c r="E85" s="129" t="s">
        <v>87</v>
      </c>
      <c r="F85" s="169" t="s">
        <v>102</v>
      </c>
      <c r="G85" s="169" t="s">
        <v>103</v>
      </c>
      <c r="H85" s="170"/>
      <c r="I85" s="170"/>
    </row>
    <row r="86" s="1" customFormat="1" ht="14" spans="1:11">
      <c r="A86" s="12"/>
      <c r="B86" s="13"/>
      <c r="C86" s="13"/>
      <c r="D86" s="169" t="s">
        <v>104</v>
      </c>
      <c r="E86" s="169" t="s">
        <v>104</v>
      </c>
      <c r="F86" s="13"/>
      <c r="G86" s="13"/>
      <c r="H86" s="170"/>
      <c r="I86" s="103"/>
    </row>
    <row r="87" s="1" customFormat="1" ht="14" spans="1:11">
      <c r="A87" s="27" t="s">
        <v>11</v>
      </c>
      <c r="B87" s="28" t="s">
        <v>12</v>
      </c>
      <c r="C87" s="29" t="s">
        <v>13</v>
      </c>
      <c r="D87" s="171">
        <v>0.7888</v>
      </c>
      <c r="E87" s="172">
        <f>D87</f>
        <v>0.7888</v>
      </c>
      <c r="F87" s="173">
        <f>F55+D87</f>
        <v>13.1888</v>
      </c>
      <c r="G87" s="173">
        <f>E87+I55</f>
        <v>13.1888</v>
      </c>
      <c r="H87" s="135"/>
      <c r="I87" s="135"/>
    </row>
    <row r="88" s="1" customFormat="1" ht="14" spans="1:11">
      <c r="A88" s="27" t="s">
        <v>14</v>
      </c>
      <c r="B88" s="28" t="s">
        <v>88</v>
      </c>
      <c r="C88" s="29" t="s">
        <v>16</v>
      </c>
      <c r="D88" s="174"/>
      <c r="E88" s="175">
        <f>D88</f>
        <v>0</v>
      </c>
      <c r="F88" s="176">
        <v>83197.81</v>
      </c>
      <c r="G88" s="176">
        <v>83197.81</v>
      </c>
      <c r="H88" s="111"/>
      <c r="I88" s="111"/>
    </row>
    <row r="89" s="1" customFormat="1" ht="14" spans="1:11">
      <c r="A89" s="27" t="s">
        <v>19</v>
      </c>
      <c r="B89" s="28" t="s">
        <v>89</v>
      </c>
      <c r="C89" s="29" t="s">
        <v>16</v>
      </c>
      <c r="D89" s="174"/>
      <c r="E89" s="175">
        <f>D89</f>
        <v>0</v>
      </c>
      <c r="F89" s="176">
        <v>83197.81</v>
      </c>
      <c r="G89" s="176">
        <v>83197.81</v>
      </c>
      <c r="H89" s="111"/>
      <c r="I89" s="111"/>
    </row>
    <row r="90" s="1" customFormat="1" ht="14" spans="1:11">
      <c r="A90" s="27" t="s">
        <v>21</v>
      </c>
      <c r="B90" s="41" t="s">
        <v>25</v>
      </c>
      <c r="C90" s="42" t="s">
        <v>26</v>
      </c>
      <c r="D90" s="174"/>
      <c r="E90" s="190">
        <f>D90+'26.8'!E90</f>
        <v>6355.62400900001</v>
      </c>
      <c r="F90" s="178">
        <f>F58+D90</f>
        <v>0</v>
      </c>
      <c r="G90" s="178">
        <f>E90+I58</f>
        <v>16864.724009</v>
      </c>
      <c r="H90" s="111"/>
      <c r="I90" s="111"/>
    </row>
    <row r="91" s="1" customFormat="1" ht="14" spans="1:11">
      <c r="A91" s="27" t="s">
        <v>24</v>
      </c>
      <c r="B91" s="41" t="s">
        <v>38</v>
      </c>
      <c r="C91" s="42" t="s">
        <v>23</v>
      </c>
      <c r="D91" s="174"/>
      <c r="E91" s="190">
        <f>D91+'26.8'!E91</f>
        <v>86.5</v>
      </c>
      <c r="F91" s="178">
        <f>F59+D91</f>
        <v>0</v>
      </c>
      <c r="G91" s="178">
        <f>E91+I59</f>
        <v>817.3</v>
      </c>
      <c r="H91" s="111"/>
      <c r="I91" s="111"/>
    </row>
    <row r="92" s="1" customFormat="1" ht="14" spans="1:11">
      <c r="A92" s="27" t="s">
        <v>27</v>
      </c>
      <c r="B92" s="41" t="s">
        <v>41</v>
      </c>
      <c r="C92" s="42" t="s">
        <v>42</v>
      </c>
      <c r="D92" s="174"/>
      <c r="E92" s="190">
        <f>D92+'26.8'!E92</f>
        <v>780380.88</v>
      </c>
      <c r="F92" s="178">
        <f>F60+D92</f>
        <v>0</v>
      </c>
      <c r="G92" s="178">
        <f>E92+I60</f>
        <v>3955940.88</v>
      </c>
      <c r="H92" s="111"/>
      <c r="I92" s="111"/>
    </row>
    <row r="93" s="1" customFormat="1" ht="14" spans="1:11">
      <c r="A93" s="27"/>
      <c r="B93" s="41" t="s">
        <v>90</v>
      </c>
      <c r="C93" s="42" t="s">
        <v>42</v>
      </c>
      <c r="D93" s="174"/>
      <c r="E93" s="190">
        <f>D93+'26.8'!E93</f>
        <v>0</v>
      </c>
      <c r="F93" s="178">
        <f>F61+D93</f>
        <v>0</v>
      </c>
      <c r="G93" s="178">
        <f>E93+I61</f>
        <v>3175560</v>
      </c>
      <c r="H93" s="111"/>
      <c r="I93" s="111"/>
    </row>
    <row r="94" s="1" customFormat="1" ht="14" spans="1:11">
      <c r="A94" s="27" t="s">
        <v>29</v>
      </c>
      <c r="B94" s="41" t="s">
        <v>52</v>
      </c>
      <c r="C94" s="42" t="s">
        <v>53</v>
      </c>
      <c r="D94" s="179" t="e">
        <f>D92/D90</f>
        <v>#DIV/0!</v>
      </c>
      <c r="E94" s="179">
        <f>E92/E90</f>
        <v>122.785878915261</v>
      </c>
      <c r="F94" s="179" t="e">
        <f>F92/F90</f>
        <v>#DIV/0!</v>
      </c>
      <c r="G94" s="179">
        <f>G92/G90</f>
        <v>234.568966434842</v>
      </c>
      <c r="H94" s="117"/>
      <c r="I94" s="117"/>
    </row>
    <row r="95" s="1" customFormat="1" ht="14" spans="1:11">
      <c r="A95" s="27" t="s">
        <v>31</v>
      </c>
      <c r="B95" s="41" t="s">
        <v>105</v>
      </c>
      <c r="C95" s="75" t="s">
        <v>68</v>
      </c>
      <c r="D95" s="180">
        <f>D90/3.6/D87/(DAY(DATE(2026,10,0))*24)</f>
        <v>0</v>
      </c>
      <c r="E95" s="80">
        <f>E90/3.6/E87/(DATEDIF(DATE(2026,1,1),DATE(2026,10,1),"D")*24)</f>
        <v>0.34159767452731</v>
      </c>
      <c r="F95" s="180">
        <f>F90/3.6/F87/(DAY(DATE(2026,10,0))*24)</f>
        <v>0</v>
      </c>
      <c r="G95" s="80">
        <f>G90/3.6/G87/(DATEDIF(DATE(2026,1,1),DATE(2026,10,1),"D")*24)</f>
        <v>0.0542122667181983</v>
      </c>
      <c r="H95" s="181"/>
      <c r="I95" s="181"/>
      <c r="K95" s="182"/>
    </row>
    <row r="96" s="1" customFormat="1" ht="14" spans="1:11">
      <c r="A96" s="27" t="s">
        <v>33</v>
      </c>
      <c r="B96" s="41" t="s">
        <v>72</v>
      </c>
      <c r="C96" s="42" t="s">
        <v>73</v>
      </c>
      <c r="D96" s="183" t="e">
        <f>D90/D89</f>
        <v>#DIV/0!</v>
      </c>
      <c r="E96" s="183" t="e">
        <f>E90/E89</f>
        <v>#DIV/0!</v>
      </c>
      <c r="F96" s="183">
        <f>F90/F89</f>
        <v>0</v>
      </c>
      <c r="G96" s="183">
        <f>G90/G89</f>
        <v>0.20270634538337</v>
      </c>
      <c r="H96" s="121"/>
      <c r="I96" s="121"/>
    </row>
    <row r="97" s="1" customFormat="1" ht="14" spans="1:9">
      <c r="A97" s="27" t="s">
        <v>37</v>
      </c>
      <c r="B97" s="41" t="s">
        <v>78</v>
      </c>
      <c r="C97" s="42" t="s">
        <v>79</v>
      </c>
      <c r="D97" s="184" t="e">
        <f>D92/D89</f>
        <v>#DIV/0!</v>
      </c>
      <c r="E97" s="184" t="e">
        <f>E92/E89</f>
        <v>#DIV/0!</v>
      </c>
      <c r="F97" s="184">
        <f>F92/F89</f>
        <v>0</v>
      </c>
      <c r="G97" s="184">
        <f>G92/G89</f>
        <v>47.5486179263613</v>
      </c>
      <c r="H97" s="123"/>
      <c r="I97" s="123"/>
    </row>
    <row r="98" s="1" customFormat="1" ht="14.75" spans="1:9">
      <c r="A98" s="124" t="s">
        <v>40</v>
      </c>
      <c r="B98" s="93" t="s">
        <v>81</v>
      </c>
      <c r="C98" s="94" t="s">
        <v>76</v>
      </c>
      <c r="D98" s="184" t="e">
        <f>D91*1000/D89</f>
        <v>#DIV/0!</v>
      </c>
      <c r="E98" s="184" t="e">
        <f>E91*1000/E89</f>
        <v>#DIV/0!</v>
      </c>
      <c r="F98" s="184">
        <f>F91*1000/F89</f>
        <v>0</v>
      </c>
      <c r="G98" s="184">
        <f>G91*1000/G89</f>
        <v>9.82357588499024</v>
      </c>
      <c r="H98" s="123"/>
      <c r="I98" s="123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&amp;C&amp;20 2022年9月份集团各锅炉站生产报表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 customWidth="1"/>
    <col min="15" max="16384" width="8.625" style="1" customWidth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</row>
    <row r="2" s="1" customFormat="1" ht="39.95" customHeight="1" spans="1:14">
      <c r="A2" s="12"/>
      <c r="B2" s="13"/>
      <c r="C2" s="13"/>
      <c r="D2" s="14" t="s">
        <v>5</v>
      </c>
      <c r="E2" s="14" t="s">
        <v>6</v>
      </c>
      <c r="F2" s="14" t="s">
        <v>7</v>
      </c>
      <c r="G2" s="15" t="s">
        <v>8</v>
      </c>
      <c r="H2" s="16" t="s">
        <v>9</v>
      </c>
      <c r="I2" s="17" t="s">
        <v>5</v>
      </c>
      <c r="J2" s="14" t="s">
        <v>6</v>
      </c>
      <c r="K2" s="14" t="s">
        <v>7</v>
      </c>
      <c r="L2" s="15" t="s">
        <v>10</v>
      </c>
      <c r="M2" s="16" t="s">
        <v>9</v>
      </c>
    </row>
    <row r="3" s="1" customFormat="1" ht="18" customHeight="1" spans="1:14">
      <c r="A3" s="18" t="s">
        <v>11</v>
      </c>
      <c r="B3" s="19" t="s">
        <v>12</v>
      </c>
      <c r="C3" s="20" t="s">
        <v>13</v>
      </c>
      <c r="D3" s="21">
        <v>348</v>
      </c>
      <c r="E3" s="22">
        <v>162</v>
      </c>
      <c r="F3" s="22"/>
      <c r="G3" s="23">
        <v>14</v>
      </c>
      <c r="H3" s="24">
        <f>E3+F3+G3</f>
        <v>176</v>
      </c>
      <c r="I3" s="25">
        <f>D3</f>
        <v>348</v>
      </c>
      <c r="J3" s="21">
        <f>E3</f>
        <v>162</v>
      </c>
      <c r="K3" s="21">
        <f>F3</f>
        <v>0</v>
      </c>
      <c r="L3" s="26">
        <f>G3</f>
        <v>14</v>
      </c>
      <c r="M3" s="24">
        <f t="shared" ref="M3:M12" si="0">J3+K3+L3</f>
        <v>176</v>
      </c>
    </row>
    <row r="4" s="1" customFormat="1" ht="18" customHeight="1" spans="1:14">
      <c r="A4" s="27" t="s">
        <v>14</v>
      </c>
      <c r="B4" s="28" t="s">
        <v>15</v>
      </c>
      <c r="C4" s="29" t="s">
        <v>16</v>
      </c>
      <c r="D4" s="30" t="s">
        <v>17</v>
      </c>
      <c r="E4" s="31"/>
      <c r="F4" s="32"/>
      <c r="G4" s="33"/>
      <c r="H4" s="34"/>
      <c r="I4" s="35" t="str">
        <f>D4</f>
        <v> -   </v>
      </c>
      <c r="J4" s="31">
        <f>E4</f>
        <v>0</v>
      </c>
      <c r="K4" s="36">
        <f>F4</f>
        <v>0</v>
      </c>
      <c r="L4" s="37">
        <f>G4</f>
        <v>0</v>
      </c>
      <c r="M4" s="34">
        <f t="shared" si="0"/>
        <v>0</v>
      </c>
    </row>
    <row r="5" s="1" customFormat="1" ht="18" customHeight="1" spans="1:14">
      <c r="A5" s="27"/>
      <c r="B5" s="28" t="s">
        <v>18</v>
      </c>
      <c r="C5" s="29" t="s">
        <v>16</v>
      </c>
      <c r="D5" s="30" t="s">
        <v>17</v>
      </c>
      <c r="E5" s="32">
        <v>55000</v>
      </c>
      <c r="F5" s="38">
        <v>0</v>
      </c>
      <c r="G5" s="39">
        <v>0</v>
      </c>
      <c r="H5" s="34">
        <f>E5+F5+G5</f>
        <v>55000</v>
      </c>
      <c r="I5" s="35" t="str">
        <f>D5</f>
        <v> -   </v>
      </c>
      <c r="J5" s="31">
        <f>E5</f>
        <v>55000</v>
      </c>
      <c r="K5" s="36">
        <f>F5</f>
        <v>0</v>
      </c>
      <c r="L5" s="37">
        <f>G5</f>
        <v>0</v>
      </c>
      <c r="M5" s="34">
        <f t="shared" si="0"/>
        <v>55000</v>
      </c>
    </row>
    <row r="6" s="1" customFormat="1" ht="18" customHeight="1" spans="1:14">
      <c r="A6" s="27" t="s">
        <v>19</v>
      </c>
      <c r="B6" s="28" t="s">
        <v>20</v>
      </c>
      <c r="C6" s="29" t="s">
        <v>16</v>
      </c>
      <c r="D6" s="30" t="s">
        <v>17</v>
      </c>
      <c r="E6" s="33">
        <f>E4</f>
        <v>0</v>
      </c>
      <c r="F6" s="33">
        <f>F4</f>
        <v>0</v>
      </c>
      <c r="G6" s="33">
        <f>G4</f>
        <v>0</v>
      </c>
      <c r="H6" s="34">
        <f>E6+F6+G6</f>
        <v>0</v>
      </c>
      <c r="I6" s="35" t="str">
        <f>D6</f>
        <v> -   </v>
      </c>
      <c r="J6" s="40">
        <f>E6</f>
        <v>0</v>
      </c>
      <c r="K6" s="40">
        <f>F6</f>
        <v>0</v>
      </c>
      <c r="L6" s="40">
        <f>G6</f>
        <v>0</v>
      </c>
      <c r="M6" s="34">
        <f t="shared" si="0"/>
        <v>0</v>
      </c>
    </row>
    <row r="7" s="2" customFormat="1" ht="18" customHeight="1" spans="1:14">
      <c r="A7" s="27" t="s">
        <v>21</v>
      </c>
      <c r="B7" s="41" t="s">
        <v>22</v>
      </c>
      <c r="C7" s="42" t="s">
        <v>23</v>
      </c>
      <c r="D7" s="39">
        <v>0</v>
      </c>
      <c r="E7" s="39">
        <v>0</v>
      </c>
      <c r="F7" s="39">
        <v>0</v>
      </c>
      <c r="G7" s="39"/>
      <c r="H7" s="34">
        <f>E7+F7+G7</f>
        <v>0</v>
      </c>
      <c r="I7" s="43">
        <f>D7+'26.9'!I7</f>
        <v>0</v>
      </c>
      <c r="J7" s="43">
        <f>E7+'26.9'!J7</f>
        <v>0</v>
      </c>
      <c r="K7" s="43">
        <f>F7+'26.9'!K7</f>
        <v>0</v>
      </c>
      <c r="L7" s="43">
        <f>G7+'26.9'!L7</f>
        <v>0</v>
      </c>
      <c r="M7" s="34">
        <f t="shared" si="0"/>
        <v>0</v>
      </c>
    </row>
    <row r="8" s="2" customFormat="1" ht="18" customHeight="1" spans="1:14">
      <c r="A8" s="27" t="s">
        <v>24</v>
      </c>
      <c r="B8" s="41" t="s">
        <v>25</v>
      </c>
      <c r="C8" s="42" t="s">
        <v>26</v>
      </c>
      <c r="D8" s="44"/>
      <c r="E8" s="39"/>
      <c r="F8" s="38"/>
      <c r="G8" s="33"/>
      <c r="H8" s="34"/>
      <c r="I8" s="43">
        <f>D8+'26.9'!I8</f>
        <v>1168258</v>
      </c>
      <c r="J8" s="43">
        <f>E8+'26.9'!J8</f>
        <v>267460.3967164</v>
      </c>
      <c r="K8" s="43">
        <f>F8+'26.9'!K8</f>
        <v>0</v>
      </c>
      <c r="L8" s="43">
        <f>G8+'26.9'!L8</f>
        <v>440887.508551189</v>
      </c>
      <c r="M8" s="34">
        <f t="shared" si="0"/>
        <v>708347.905267589</v>
      </c>
      <c r="N8" s="45"/>
    </row>
    <row r="9" s="2" customFormat="1" ht="18" customHeight="1" spans="1:14">
      <c r="A9" s="27" t="s">
        <v>27</v>
      </c>
      <c r="B9" s="41" t="s">
        <v>28</v>
      </c>
      <c r="C9" s="42" t="s">
        <v>26</v>
      </c>
      <c r="D9" s="39">
        <v>0</v>
      </c>
      <c r="E9" s="46">
        <f>[1]售热量!$U$25</f>
        <v>0</v>
      </c>
      <c r="F9" s="38"/>
      <c r="G9" s="38"/>
      <c r="H9" s="34">
        <f>E9+F9+G9</f>
        <v>0</v>
      </c>
      <c r="I9" s="43">
        <f>D9+'26.9'!I9</f>
        <v>0</v>
      </c>
      <c r="J9" s="43">
        <f>E9+'26.9'!J9</f>
        <v>8828</v>
      </c>
      <c r="K9" s="43">
        <f>F9+'26.9'!K9</f>
        <v>0</v>
      </c>
      <c r="L9" s="43">
        <f>G9+'26.9'!L9</f>
        <v>0</v>
      </c>
      <c r="M9" s="34">
        <f t="shared" si="0"/>
        <v>8828</v>
      </c>
    </row>
    <row r="10" s="2" customFormat="1" ht="18" customHeight="1" spans="1:14">
      <c r="A10" s="27" t="s">
        <v>29</v>
      </c>
      <c r="B10" s="41" t="s">
        <v>30</v>
      </c>
      <c r="C10" s="42" t="s">
        <v>23</v>
      </c>
      <c r="D10" s="39"/>
      <c r="E10" s="32"/>
      <c r="F10" s="38"/>
      <c r="G10" s="33"/>
      <c r="H10" s="34">
        <f>E10+F10+G10</f>
        <v>0</v>
      </c>
      <c r="I10" s="43">
        <f>D10+'26.9'!I10</f>
        <v>66226</v>
      </c>
      <c r="J10" s="43">
        <f>E10+'26.9'!J10</f>
        <v>21656</v>
      </c>
      <c r="K10" s="43">
        <f>F10+'26.9'!K10</f>
        <v>0</v>
      </c>
      <c r="L10" s="43">
        <f>G10+'26.9'!L10</f>
        <v>931</v>
      </c>
      <c r="M10" s="34">
        <f t="shared" si="0"/>
        <v>22587</v>
      </c>
    </row>
    <row r="11" s="2" customFormat="1" ht="18" customHeight="1" spans="1:14">
      <c r="A11" s="27" t="s">
        <v>31</v>
      </c>
      <c r="B11" s="41" t="s">
        <v>32</v>
      </c>
      <c r="C11" s="42" t="s">
        <v>23</v>
      </c>
      <c r="D11" s="39"/>
      <c r="E11" s="39">
        <v>0</v>
      </c>
      <c r="F11" s="39"/>
      <c r="G11" s="39"/>
      <c r="H11" s="34">
        <f>E11+F11+G11</f>
        <v>0</v>
      </c>
      <c r="I11" s="43">
        <f>D11+'26.9'!I11</f>
        <v>16.2</v>
      </c>
      <c r="J11" s="43">
        <f>E11+'26.9'!J11</f>
        <v>0</v>
      </c>
      <c r="K11" s="43">
        <f>F11+'26.9'!K11</f>
        <v>0</v>
      </c>
      <c r="L11" s="43">
        <f>G11+'26.9'!L11</f>
        <v>0</v>
      </c>
      <c r="M11" s="34">
        <f t="shared" si="0"/>
        <v>0</v>
      </c>
    </row>
    <row r="12" s="2" customFormat="1" ht="18" customHeight="1" spans="1:14">
      <c r="A12" s="27" t="s">
        <v>33</v>
      </c>
      <c r="B12" s="41" t="s">
        <v>34</v>
      </c>
      <c r="C12" s="42" t="s">
        <v>23</v>
      </c>
      <c r="D12" s="44">
        <f>D13+D14</f>
        <v>0</v>
      </c>
      <c r="E12" s="44">
        <f>E13+E14</f>
        <v>0</v>
      </c>
      <c r="F12" s="44">
        <f>F13+F14</f>
        <v>0</v>
      </c>
      <c r="G12" s="44">
        <f>G13+G14</f>
        <v>0</v>
      </c>
      <c r="H12" s="34">
        <f>E12+F12+G12</f>
        <v>0</v>
      </c>
      <c r="I12" s="43">
        <f>D12+'26.9'!I12</f>
        <v>43472.2579475284</v>
      </c>
      <c r="J12" s="43">
        <f>E12+'26.9'!J12</f>
        <v>13036.909</v>
      </c>
      <c r="K12" s="43">
        <f>F12+'26.9'!K12</f>
        <v>0</v>
      </c>
      <c r="L12" s="43">
        <f>G12+'26.9'!L12</f>
        <v>620.280370522607</v>
      </c>
      <c r="M12" s="34">
        <f t="shared" si="0"/>
        <v>13657.1893705226</v>
      </c>
    </row>
    <row r="13" s="2" customFormat="1" ht="18" customHeight="1" spans="1:14">
      <c r="A13" s="27"/>
      <c r="B13" s="41" t="s">
        <v>35</v>
      </c>
      <c r="C13" s="42" t="s">
        <v>23</v>
      </c>
      <c r="D13" s="39"/>
      <c r="E13" s="39"/>
      <c r="F13" s="39"/>
      <c r="G13" s="44"/>
      <c r="H13" s="47"/>
      <c r="I13" s="43">
        <f>D13+'26.9'!I13</f>
        <v>43448.6529275284</v>
      </c>
      <c r="J13" s="43">
        <f>E13+'26.9'!J13</f>
        <v>13036.909</v>
      </c>
      <c r="K13" s="43">
        <f>F13+'26.9'!K13</f>
        <v>0</v>
      </c>
      <c r="L13" s="43">
        <f>G13+'26.9'!L13</f>
        <v>620.280370522607</v>
      </c>
      <c r="M13" s="47"/>
    </row>
    <row r="14" s="2" customFormat="1" ht="18" customHeight="1" spans="1:14">
      <c r="A14" s="27"/>
      <c r="B14" s="41" t="s">
        <v>36</v>
      </c>
      <c r="C14" s="42" t="s">
        <v>23</v>
      </c>
      <c r="D14" s="44"/>
      <c r="E14" s="39"/>
      <c r="F14" s="39"/>
      <c r="G14" s="39"/>
      <c r="H14" s="47"/>
      <c r="I14" s="43">
        <f>D14+'26.9'!I14</f>
        <v>23.60502</v>
      </c>
      <c r="J14" s="43">
        <f>E14+'26.9'!J14</f>
        <v>0</v>
      </c>
      <c r="K14" s="43">
        <f>F14+'26.9'!K14</f>
        <v>0</v>
      </c>
      <c r="L14" s="43">
        <f>G14+'26.9'!L14</f>
        <v>0</v>
      </c>
      <c r="M14" s="47"/>
    </row>
    <row r="15" s="2" customFormat="1" ht="18" customHeight="1" spans="1:14">
      <c r="A15" s="27" t="s">
        <v>37</v>
      </c>
      <c r="B15" s="41" t="s">
        <v>38</v>
      </c>
      <c r="C15" s="42" t="s">
        <v>23</v>
      </c>
      <c r="D15" s="39"/>
      <c r="E15" s="48"/>
      <c r="F15" s="38"/>
      <c r="G15" s="33"/>
      <c r="H15" s="34"/>
      <c r="I15" s="43">
        <f>D15+'26.9'!I15</f>
        <v>23540</v>
      </c>
      <c r="J15" s="43">
        <f>E15+'26.9'!J15</f>
        <v>43463</v>
      </c>
      <c r="K15" s="43">
        <f>F15+'26.9'!K15</f>
        <v>0</v>
      </c>
      <c r="L15" s="43">
        <f>G15+'26.9'!L15</f>
        <v>97382</v>
      </c>
      <c r="M15" s="34">
        <f>J15+K15+L15</f>
        <v>140845</v>
      </c>
    </row>
    <row r="16" s="2" customFormat="1" ht="18" customHeight="1" spans="1:14">
      <c r="A16" s="27"/>
      <c r="B16" s="41" t="s">
        <v>39</v>
      </c>
      <c r="C16" s="42" t="s">
        <v>23</v>
      </c>
      <c r="D16" s="39"/>
      <c r="E16" s="48"/>
      <c r="F16" s="38"/>
      <c r="G16" s="38"/>
      <c r="H16" s="34"/>
      <c r="I16" s="43">
        <f>D16+'26.9'!I16</f>
        <v>2975</v>
      </c>
      <c r="J16" s="43">
        <f>E16+'26.9'!J16</f>
        <v>0</v>
      </c>
      <c r="K16" s="43">
        <f>F16+'26.9'!K16</f>
        <v>0</v>
      </c>
      <c r="L16" s="43">
        <f>G16+'26.9'!L16</f>
        <v>0</v>
      </c>
      <c r="M16" s="34">
        <f>J16+K16+L16</f>
        <v>0</v>
      </c>
    </row>
    <row r="17" s="2" customFormat="1" ht="18" customHeight="1" spans="1:14">
      <c r="A17" s="27" t="s">
        <v>40</v>
      </c>
      <c r="B17" s="41" t="s">
        <v>41</v>
      </c>
      <c r="C17" s="42" t="s">
        <v>42</v>
      </c>
      <c r="D17" s="44"/>
      <c r="E17" s="48"/>
      <c r="F17" s="38"/>
      <c r="G17" s="33"/>
      <c r="H17" s="34"/>
      <c r="I17" s="43">
        <f>D17+'26.9'!I17</f>
        <v>8122792</v>
      </c>
      <c r="J17" s="43">
        <f>E17+'26.9'!J17</f>
        <v>3287588</v>
      </c>
      <c r="K17" s="49"/>
      <c r="L17" s="43">
        <f>G17+'26.9'!L17</f>
        <v>2263757.5</v>
      </c>
      <c r="M17" s="34">
        <f>J17+K17+L17</f>
        <v>5551345.5</v>
      </c>
    </row>
    <row r="18" s="2" customFormat="1" ht="18" customHeight="1" spans="1:14">
      <c r="A18" s="27"/>
      <c r="B18" s="41" t="s">
        <v>43</v>
      </c>
      <c r="C18" s="42" t="s">
        <v>42</v>
      </c>
      <c r="D18" s="39"/>
      <c r="E18" s="48"/>
      <c r="F18" s="38"/>
      <c r="G18" s="38"/>
      <c r="H18" s="47"/>
      <c r="I18" s="43">
        <f>D18+'26.9'!I18</f>
        <v>8122792</v>
      </c>
      <c r="J18" s="43">
        <f>E18+'26.9'!J18</f>
        <v>0</v>
      </c>
      <c r="K18" s="43">
        <f>F18+'26.9'!K18</f>
        <v>0</v>
      </c>
      <c r="L18" s="43">
        <f>G18+'26.9'!L18</f>
        <v>0</v>
      </c>
      <c r="M18" s="47"/>
    </row>
    <row r="19" s="2" customFormat="1" ht="18" customHeight="1" spans="1:14">
      <c r="A19" s="27"/>
      <c r="B19" s="41" t="s">
        <v>44</v>
      </c>
      <c r="C19" s="42" t="s">
        <v>42</v>
      </c>
      <c r="D19" s="39"/>
      <c r="E19" s="48"/>
      <c r="F19" s="33"/>
      <c r="G19" s="33"/>
      <c r="H19" s="47"/>
      <c r="I19" s="43">
        <f>D19+'26.9'!I19</f>
        <v>0</v>
      </c>
      <c r="J19" s="50"/>
      <c r="K19" s="43">
        <f>F19+'26.9'!K19</f>
        <v>0</v>
      </c>
      <c r="L19" s="43">
        <f>G19+'26.9'!L19</f>
        <v>2263757.5</v>
      </c>
      <c r="M19" s="47"/>
    </row>
    <row r="20" s="2" customFormat="1" ht="18" customHeight="1" spans="1:14">
      <c r="A20" s="27"/>
      <c r="B20" s="41" t="s">
        <v>45</v>
      </c>
      <c r="C20" s="42" t="s">
        <v>23</v>
      </c>
      <c r="D20" s="39"/>
      <c r="E20" s="48"/>
      <c r="F20" s="38"/>
      <c r="G20" s="38"/>
      <c r="H20" s="47"/>
      <c r="I20" s="43">
        <f>D20+'26.9'!I20</f>
        <v>21425</v>
      </c>
      <c r="J20" s="43">
        <f>E20+'26.9'!J20</f>
        <v>0</v>
      </c>
      <c r="K20" s="43">
        <f>F20+'26.9'!K20</f>
        <v>0</v>
      </c>
      <c r="L20" s="43">
        <f>G20+'26.9'!L20</f>
        <v>0</v>
      </c>
      <c r="M20" s="47"/>
    </row>
    <row r="21" s="2" customFormat="1" ht="18" customHeight="1" spans="1:14">
      <c r="A21" s="27"/>
      <c r="B21" s="41" t="s">
        <v>46</v>
      </c>
      <c r="C21" s="42" t="s">
        <v>42</v>
      </c>
      <c r="D21" s="39"/>
      <c r="E21" s="48"/>
      <c r="F21" s="38"/>
      <c r="G21" s="38"/>
      <c r="H21" s="47"/>
      <c r="I21" s="43">
        <f>D21+'26.9'!I21</f>
        <v>929610.099999999</v>
      </c>
      <c r="J21" s="43">
        <f>E21+'26.9'!J21</f>
        <v>0</v>
      </c>
      <c r="K21" s="43">
        <f>F21+'26.9'!K21</f>
        <v>0</v>
      </c>
      <c r="L21" s="43">
        <f>G21+'26.9'!L21</f>
        <v>0</v>
      </c>
      <c r="M21" s="47"/>
    </row>
    <row r="22" s="2" customFormat="1" ht="14" spans="1:14">
      <c r="A22" s="51" t="s">
        <v>47</v>
      </c>
      <c r="B22" s="52" t="s">
        <v>48</v>
      </c>
      <c r="C22" s="53" t="s">
        <v>23</v>
      </c>
      <c r="D22" s="33"/>
      <c r="E22" s="54"/>
      <c r="F22" s="54"/>
      <c r="G22" s="54"/>
      <c r="H22" s="55"/>
      <c r="I22" s="43">
        <f>D22+'26.9'!I22</f>
        <v>1071.51</v>
      </c>
      <c r="J22" s="43">
        <f>E22+'26.9'!J22</f>
        <v>69.155</v>
      </c>
      <c r="K22" s="43">
        <f>F22+'26.9'!K22</f>
        <v>0</v>
      </c>
      <c r="L22" s="43">
        <f>G22+'26.9'!L22</f>
        <v>13.375</v>
      </c>
      <c r="M22" s="56">
        <f>J22+K22+L22</f>
        <v>82.53</v>
      </c>
      <c r="N22" s="1"/>
    </row>
    <row r="23" s="2" customFormat="1" ht="21" customHeight="1" spans="1:14">
      <c r="A23" s="51" t="s">
        <v>49</v>
      </c>
      <c r="B23" s="52" t="s">
        <v>50</v>
      </c>
      <c r="C23" s="53" t="s">
        <v>23</v>
      </c>
      <c r="D23" s="33"/>
      <c r="E23" s="54"/>
      <c r="F23" s="54"/>
      <c r="G23" s="54"/>
      <c r="H23" s="55"/>
      <c r="I23" s="43">
        <f>D23+'26.9'!I23</f>
        <v>371.77</v>
      </c>
      <c r="J23" s="43">
        <f>E23+'26.9'!J23</f>
        <v>49.29</v>
      </c>
      <c r="K23" s="43">
        <f>F23+'26.9'!K23</f>
        <v>0</v>
      </c>
      <c r="L23" s="43">
        <f>G23+'26.9'!L23</f>
        <v>4.025</v>
      </c>
      <c r="M23" s="56">
        <f>J23+K23+L23</f>
        <v>53.315</v>
      </c>
      <c r="N23" s="1"/>
    </row>
    <row r="24" s="2" customFormat="1" ht="18" customHeight="1" spans="1:14">
      <c r="A24" s="51" t="s">
        <v>51</v>
      </c>
      <c r="B24" s="41" t="s">
        <v>52</v>
      </c>
      <c r="C24" s="42" t="s">
        <v>53</v>
      </c>
      <c r="D24" s="57" t="e">
        <f t="shared" ref="D24:M24" si="1">D17/D8</f>
        <v>#DIV/0!</v>
      </c>
      <c r="E24" s="57" t="e">
        <f t="shared" si="1"/>
        <v>#DIV/0!</v>
      </c>
      <c r="F24" s="57" t="e">
        <f t="shared" si="1"/>
        <v>#DIV/0!</v>
      </c>
      <c r="G24" s="57" t="e">
        <f t="shared" si="1"/>
        <v>#DIV/0!</v>
      </c>
      <c r="H24" s="58" t="e">
        <f t="shared" si="1"/>
        <v>#DIV/0!</v>
      </c>
      <c r="I24" s="59">
        <f t="shared" si="1"/>
        <v>6.95290937447036</v>
      </c>
      <c r="J24" s="57">
        <f t="shared" si="1"/>
        <v>12.2918684050483</v>
      </c>
      <c r="K24" s="57" t="e">
        <f t="shared" si="1"/>
        <v>#DIV/0!</v>
      </c>
      <c r="L24" s="57">
        <f t="shared" si="1"/>
        <v>5.13454669523069</v>
      </c>
      <c r="M24" s="58">
        <f t="shared" si="1"/>
        <v>7.83703242251122</v>
      </c>
    </row>
    <row r="25" s="2" customFormat="1" ht="18" customHeight="1" spans="1:14">
      <c r="A25" s="51" t="s">
        <v>54</v>
      </c>
      <c r="B25" s="41" t="s">
        <v>55</v>
      </c>
      <c r="C25" s="42" t="s">
        <v>56</v>
      </c>
      <c r="D25" s="57" t="e">
        <f t="shared" ref="D25:M25" si="2">D12*1000/D8</f>
        <v>#DIV/0!</v>
      </c>
      <c r="E25" s="57" t="e">
        <f t="shared" si="2"/>
        <v>#DIV/0!</v>
      </c>
      <c r="F25" s="57" t="e">
        <f t="shared" si="2"/>
        <v>#DIV/0!</v>
      </c>
      <c r="G25" s="57" t="e">
        <f t="shared" si="2"/>
        <v>#DIV/0!</v>
      </c>
      <c r="H25" s="58" t="e">
        <f t="shared" si="2"/>
        <v>#DIV/0!</v>
      </c>
      <c r="I25" s="59">
        <f t="shared" si="2"/>
        <v>37.2111793349829</v>
      </c>
      <c r="J25" s="57">
        <f t="shared" si="2"/>
        <v>48.7433248438034</v>
      </c>
      <c r="K25" s="57" t="e">
        <f t="shared" si="2"/>
        <v>#DIV/0!</v>
      </c>
      <c r="L25" s="57">
        <f t="shared" si="2"/>
        <v>1.40689032574528</v>
      </c>
      <c r="M25" s="58">
        <f t="shared" si="2"/>
        <v>19.2803412969272</v>
      </c>
    </row>
    <row r="26" s="3" customFormat="1" ht="18" customHeight="1" spans="1:14">
      <c r="A26" s="51" t="s">
        <v>57</v>
      </c>
      <c r="B26" s="41" t="s">
        <v>58</v>
      </c>
      <c r="C26" s="60" t="s">
        <v>23</v>
      </c>
      <c r="D26" s="33"/>
      <c r="E26" s="61"/>
      <c r="F26" s="62"/>
      <c r="G26" s="33"/>
      <c r="H26" s="63"/>
      <c r="I26" s="43">
        <f>D26+'26.9'!I26</f>
        <v>23988</v>
      </c>
      <c r="J26" s="43">
        <f>E26+'26.9'!J26</f>
        <v>13379</v>
      </c>
      <c r="K26" s="43">
        <f>F26+'26.9'!K26</f>
        <v>0</v>
      </c>
      <c r="L26" s="43">
        <f>G26+'26.9'!L26</f>
        <v>119</v>
      </c>
      <c r="M26" s="63">
        <f>J26+K26+L26</f>
        <v>13498</v>
      </c>
    </row>
    <row r="27" s="3" customFormat="1" ht="18" customHeight="1" spans="1:14">
      <c r="A27" s="51" t="s">
        <v>59</v>
      </c>
      <c r="B27" s="41" t="s">
        <v>60</v>
      </c>
      <c r="C27" s="60" t="s">
        <v>23</v>
      </c>
      <c r="D27" s="48"/>
      <c r="E27" s="64">
        <f>J27</f>
        <v>4292.7</v>
      </c>
      <c r="F27" s="64"/>
      <c r="G27" s="64">
        <f>L27</f>
        <v>296.500000000023</v>
      </c>
      <c r="H27" s="65"/>
      <c r="I27" s="66">
        <v>76403</v>
      </c>
      <c r="J27" s="67">
        <f>'26.9'!J27+E26-E10</f>
        <v>4292.7</v>
      </c>
      <c r="K27" s="67">
        <f>'26.9'!K27+F26-F10</f>
        <v>0</v>
      </c>
      <c r="L27" s="67">
        <f>'26.9'!L27+G26-G10</f>
        <v>296.500000000023</v>
      </c>
      <c r="M27" s="68">
        <f>J27+K27+L27</f>
        <v>4589.20000000002</v>
      </c>
    </row>
    <row r="28" s="2" customFormat="1" ht="18" customHeight="1" spans="1:14">
      <c r="A28" s="51" t="s">
        <v>61</v>
      </c>
      <c r="B28" s="41" t="s">
        <v>62</v>
      </c>
      <c r="C28" s="42" t="s">
        <v>63</v>
      </c>
      <c r="D28" s="69" t="e">
        <f>D13*29308/D10</f>
        <v>#DIV/0!</v>
      </c>
      <c r="E28" s="69" t="e">
        <f>E12*29308/E10</f>
        <v>#DIV/0!</v>
      </c>
      <c r="F28" s="69" t="e">
        <f>F12*29308/F10</f>
        <v>#DIV/0!</v>
      </c>
      <c r="G28" s="69" t="e">
        <f>G12*29308/G10</f>
        <v>#DIV/0!</v>
      </c>
      <c r="H28" s="69" t="e">
        <f>H12*29308/H10</f>
        <v>#DIV/0!</v>
      </c>
      <c r="I28" s="70">
        <f>I13*29308/I10</f>
        <v>19227.9938392777</v>
      </c>
      <c r="J28" s="44">
        <f>J12*29308/J10</f>
        <v>17643.4119399704</v>
      </c>
      <c r="K28" s="44" t="e">
        <f>K12*29308/K10</f>
        <v>#DIV/0!</v>
      </c>
      <c r="L28" s="44">
        <f>L12*29308/L10</f>
        <v>19526.5060142605</v>
      </c>
      <c r="M28" s="69">
        <f>M12*29308/M10</f>
        <v>17721.0300646955</v>
      </c>
    </row>
    <row r="29" s="2" customFormat="1" ht="18" customHeight="1" spans="1:14">
      <c r="A29" s="51" t="s">
        <v>64</v>
      </c>
      <c r="B29" s="41" t="s">
        <v>65</v>
      </c>
      <c r="C29" s="42" t="s">
        <v>63</v>
      </c>
      <c r="D29" s="71"/>
      <c r="E29" s="39"/>
      <c r="F29" s="39"/>
      <c r="G29" s="72"/>
      <c r="H29" s="73"/>
      <c r="I29" s="74"/>
      <c r="J29" s="39"/>
      <c r="K29" s="39"/>
      <c r="L29" s="72"/>
      <c r="M29" s="73"/>
    </row>
    <row r="30" s="2" customFormat="1" ht="18" customHeight="1" spans="1:14">
      <c r="A30" s="51" t="s">
        <v>66</v>
      </c>
      <c r="B30" s="41" t="s">
        <v>67</v>
      </c>
      <c r="C30" s="75" t="s">
        <v>68</v>
      </c>
      <c r="D30" s="76" t="e">
        <f>D8/(D12*29.308)</f>
        <v>#DIV/0!</v>
      </c>
      <c r="E30" s="76" t="e">
        <f>E8/(E12*29.308)</f>
        <v>#DIV/0!</v>
      </c>
      <c r="F30" s="76" t="e">
        <f>F8/(F12*29.308)</f>
        <v>#DIV/0!</v>
      </c>
      <c r="G30" s="76" t="e">
        <f>(G8-G36)/(G12*29.308)</f>
        <v>#DIV/0!</v>
      </c>
      <c r="H30" s="77" t="e">
        <f t="shared" ref="H30:M30" si="3">H8/(H12*29.308)</f>
        <v>#DIV/0!</v>
      </c>
      <c r="I30" s="78">
        <f t="shared" si="3"/>
        <v>0.916938868875932</v>
      </c>
      <c r="J30" s="76">
        <f t="shared" si="3"/>
        <v>0.700001011385589</v>
      </c>
      <c r="K30" s="76" t="e">
        <f t="shared" si="3"/>
        <v>#DIV/0!</v>
      </c>
      <c r="L30" s="76">
        <f t="shared" si="3"/>
        <v>24.2523358534603</v>
      </c>
      <c r="M30" s="77">
        <f t="shared" si="3"/>
        <v>1.76969775397059</v>
      </c>
    </row>
    <row r="31" s="2" customFormat="1" ht="18" customHeight="1" spans="1:14">
      <c r="A31" s="51" t="s">
        <v>69</v>
      </c>
      <c r="B31" s="41" t="s">
        <v>70</v>
      </c>
      <c r="C31" s="75" t="s">
        <v>68</v>
      </c>
      <c r="D31" s="79">
        <f>D8/3.6/D3/(DAY(DATE(2026,11,0))*24)</f>
        <v>0</v>
      </c>
      <c r="E31" s="79">
        <f>E8/3.6/E3/(DAY(DATE(2026,11,0))*24)</f>
        <v>0</v>
      </c>
      <c r="F31" s="79" t="e">
        <f>F8/3.6/F3/(DAY(DATE(2026,11,0))*24)</f>
        <v>#DIV/0!</v>
      </c>
      <c r="G31" s="79">
        <f>(G8-G36)/3.6/G3/(DAY(DATE(2026,11,0))*24)</f>
        <v>0</v>
      </c>
      <c r="H31" s="80">
        <f>H8/3.6/H3/(DAY(DATE(2026,11,0))*24)</f>
        <v>0</v>
      </c>
      <c r="I31" s="81">
        <f>I8/3.6/I3/(DATEDIF(DATE(2026,1,1),DATE(2026,11,1),"D")*24)</f>
        <v>0.1278121656612</v>
      </c>
      <c r="J31" s="79">
        <f>J8/3.6/J3/(DATEDIF(DATE(2026,1,1),DATE(2026,11,1),"D")*24)</f>
        <v>0.0628575057561089</v>
      </c>
      <c r="K31" s="79" t="e">
        <f>K8/3.6/K3/(DATEDIF(DATE(2026,1,1),DATE(2026,11,1),"D")*24)</f>
        <v>#DIV/0!</v>
      </c>
      <c r="L31" s="79">
        <f>(L8-L36)/3.6/L3/(DATEDIF(DATE(2026,1,1),DATE(2026,11,1),"D")*24)</f>
        <v>0.0296626672779741</v>
      </c>
      <c r="M31" s="80">
        <f>M8/3.6/M3/(DATEDIF(DATE(2026,1,1),DATE(2026,11,1),"D")*24)</f>
        <v>0.153230994426254</v>
      </c>
    </row>
    <row r="32" s="2" customFormat="1" ht="18" customHeight="1" spans="1:14">
      <c r="A32" s="51" t="s">
        <v>71</v>
      </c>
      <c r="B32" s="41" t="s">
        <v>72</v>
      </c>
      <c r="C32" s="42" t="s">
        <v>73</v>
      </c>
      <c r="D32" s="82"/>
      <c r="E32" s="83" t="e">
        <f>E8/E6</f>
        <v>#DIV/0!</v>
      </c>
      <c r="F32" s="83" t="e">
        <f>F8/F6</f>
        <v>#DIV/0!</v>
      </c>
      <c r="G32" s="83" t="e">
        <f>G8/G6</f>
        <v>#DIV/0!</v>
      </c>
      <c r="H32" s="83" t="e">
        <f>H8/H6</f>
        <v>#DIV/0!</v>
      </c>
      <c r="I32" s="84"/>
      <c r="J32" s="83" t="e">
        <f>J8/J6</f>
        <v>#DIV/0!</v>
      </c>
      <c r="K32" s="83" t="e">
        <f>K8/K6</f>
        <v>#DIV/0!</v>
      </c>
      <c r="L32" s="83" t="e">
        <f>L8/L6</f>
        <v>#DIV/0!</v>
      </c>
      <c r="M32" s="85" t="e">
        <f>M8/M6</f>
        <v>#DIV/0!</v>
      </c>
    </row>
    <row r="33" s="2" customFormat="1" ht="18" customHeight="1" spans="1:13">
      <c r="A33" s="51" t="s">
        <v>74</v>
      </c>
      <c r="B33" s="41" t="s">
        <v>75</v>
      </c>
      <c r="C33" s="42" t="s">
        <v>76</v>
      </c>
      <c r="D33" s="86"/>
      <c r="E33" s="87" t="e">
        <f>E12*1000/E6</f>
        <v>#DIV/0!</v>
      </c>
      <c r="F33" s="87" t="e">
        <f>F12*1000/F6</f>
        <v>#DIV/0!</v>
      </c>
      <c r="G33" s="87" t="e">
        <f>G12*1000/G6</f>
        <v>#DIV/0!</v>
      </c>
      <c r="H33" s="88" t="e">
        <f>H12*1000/H6</f>
        <v>#DIV/0!</v>
      </c>
      <c r="I33" s="89"/>
      <c r="J33" s="87" t="e">
        <f>J12*1000/J6</f>
        <v>#DIV/0!</v>
      </c>
      <c r="K33" s="87" t="e">
        <f>K12*1000/K6</f>
        <v>#DIV/0!</v>
      </c>
      <c r="L33" s="87" t="e">
        <f>L12*1000/L6</f>
        <v>#DIV/0!</v>
      </c>
      <c r="M33" s="88" t="e">
        <f>M12*1000/M6</f>
        <v>#DIV/0!</v>
      </c>
    </row>
    <row r="34" s="2" customFormat="1" ht="18" customHeight="1" spans="1:13">
      <c r="A34" s="51" t="s">
        <v>77</v>
      </c>
      <c r="B34" s="41" t="s">
        <v>78</v>
      </c>
      <c r="C34" s="42" t="s">
        <v>79</v>
      </c>
      <c r="D34" s="90"/>
      <c r="E34" s="87" t="e">
        <f>E17/E6</f>
        <v>#DIV/0!</v>
      </c>
      <c r="F34" s="87" t="e">
        <f>F17/F6</f>
        <v>#DIV/0!</v>
      </c>
      <c r="G34" s="87" t="e">
        <f>G17/G6</f>
        <v>#DIV/0!</v>
      </c>
      <c r="H34" s="88" t="e">
        <f>H17/H6</f>
        <v>#DIV/0!</v>
      </c>
      <c r="I34" s="91"/>
      <c r="J34" s="87" t="e">
        <f>J17/J6</f>
        <v>#DIV/0!</v>
      </c>
      <c r="K34" s="87" t="e">
        <f>K17/K6</f>
        <v>#DIV/0!</v>
      </c>
      <c r="L34" s="87" t="e">
        <f>L17/L6</f>
        <v>#DIV/0!</v>
      </c>
      <c r="M34" s="88" t="e">
        <f>M17/M6</f>
        <v>#DIV/0!</v>
      </c>
    </row>
    <row r="35" s="2" customFormat="1" ht="18" customHeight="1" spans="1:13">
      <c r="A35" s="92" t="s">
        <v>80</v>
      </c>
      <c r="B35" s="93" t="s">
        <v>81</v>
      </c>
      <c r="C35" s="94" t="s">
        <v>76</v>
      </c>
      <c r="D35" s="95"/>
      <c r="E35" s="96" t="e">
        <f>E15*1000/E6</f>
        <v>#DIV/0!</v>
      </c>
      <c r="F35" s="96" t="e">
        <f>F15*1000/F6</f>
        <v>#DIV/0!</v>
      </c>
      <c r="G35" s="96" t="e">
        <f>G15*1000/G6</f>
        <v>#DIV/0!</v>
      </c>
      <c r="H35" s="97" t="e">
        <f>H15*1000/H6</f>
        <v>#DIV/0!</v>
      </c>
      <c r="I35" s="98"/>
      <c r="J35" s="96" t="e">
        <f>J15*1000/J6</f>
        <v>#DIV/0!</v>
      </c>
      <c r="K35" s="96" t="e">
        <f>K15*1000/K6</f>
        <v>#DIV/0!</v>
      </c>
      <c r="L35" s="96" t="e">
        <f>L15*1000/L6</f>
        <v>#DIV/0!</v>
      </c>
      <c r="M35" s="97" t="e">
        <f>M15*1000/M6</f>
        <v>#DIV/0!</v>
      </c>
    </row>
    <row r="36" s="2" customFormat="1" ht="21" customHeight="1" spans="1:13">
      <c r="A36" s="99"/>
      <c r="B36" s="100" t="s">
        <v>82</v>
      </c>
      <c r="C36" s="101" t="s">
        <v>26</v>
      </c>
      <c r="D36" s="102"/>
      <c r="E36" s="102"/>
      <c r="F36" s="102"/>
      <c r="G36" s="102"/>
      <c r="H36" s="102"/>
      <c r="I36" s="102"/>
      <c r="J36" s="102"/>
      <c r="K36" s="102"/>
      <c r="L36" s="43">
        <f>G36+'26.9'!L36</f>
        <v>429980</v>
      </c>
      <c r="M36" s="102"/>
    </row>
    <row r="37" s="1" customFormat="1" ht="29.25" customHeight="1" spans="1:13">
      <c r="A37" s="103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3">
      <c r="A38" s="104" t="s">
        <v>0</v>
      </c>
      <c r="B38" s="105" t="s">
        <v>85</v>
      </c>
      <c r="C38" s="105" t="s">
        <v>2</v>
      </c>
      <c r="D38" s="106" t="s">
        <v>86</v>
      </c>
      <c r="E38" s="107" t="s">
        <v>87</v>
      </c>
      <c r="F38" s="2"/>
      <c r="G38" s="2"/>
      <c r="H38" s="2"/>
    </row>
    <row r="39" s="1" customFormat="1" ht="27.95" customHeight="1" spans="1:13">
      <c r="A39" s="27" t="s">
        <v>11</v>
      </c>
      <c r="B39" s="28" t="s">
        <v>12</v>
      </c>
      <c r="C39" s="29" t="s">
        <v>13</v>
      </c>
      <c r="D39" s="108">
        <v>0.55</v>
      </c>
      <c r="E39" s="109">
        <v>0.55</v>
      </c>
      <c r="F39" s="2"/>
      <c r="G39" s="2"/>
      <c r="H39" s="2"/>
    </row>
    <row r="40" s="1" customFormat="1" ht="27.95" customHeight="1" spans="1:13">
      <c r="A40" s="27" t="s">
        <v>14</v>
      </c>
      <c r="B40" s="28" t="s">
        <v>88</v>
      </c>
      <c r="C40" s="29" t="s">
        <v>16</v>
      </c>
      <c r="D40" s="110"/>
      <c r="E40" s="111">
        <f>D40</f>
        <v>0</v>
      </c>
      <c r="F40" s="2"/>
      <c r="G40" s="2"/>
      <c r="H40" s="2"/>
    </row>
    <row r="41" s="1" customFormat="1" ht="27.95" customHeight="1" spans="1:13">
      <c r="A41" s="27" t="s">
        <v>19</v>
      </c>
      <c r="B41" s="28" t="s">
        <v>89</v>
      </c>
      <c r="C41" s="29" t="s">
        <v>16</v>
      </c>
      <c r="D41" s="112"/>
      <c r="E41" s="113">
        <f>D41</f>
        <v>0</v>
      </c>
      <c r="F41" s="2"/>
      <c r="G41" s="2"/>
      <c r="H41" s="2"/>
    </row>
    <row r="42" s="1" customFormat="1" ht="27.95" customHeight="1" spans="1:13">
      <c r="A42" s="27" t="s">
        <v>21</v>
      </c>
      <c r="B42" s="41" t="s">
        <v>25</v>
      </c>
      <c r="C42" s="42" t="s">
        <v>26</v>
      </c>
      <c r="D42" s="114"/>
      <c r="E42" s="115">
        <f>D42+'26.9'!E42</f>
        <v>889</v>
      </c>
      <c r="F42" s="2"/>
      <c r="G42" s="2"/>
      <c r="H42" s="2"/>
    </row>
    <row r="43" s="1" customFormat="1" ht="27.95" customHeight="1" spans="1:13">
      <c r="A43" s="27" t="s">
        <v>24</v>
      </c>
      <c r="B43" s="41" t="s">
        <v>38</v>
      </c>
      <c r="C43" s="42" t="s">
        <v>23</v>
      </c>
      <c r="D43" s="110"/>
      <c r="E43" s="115">
        <f>D43+'26.9'!E43</f>
        <v>10</v>
      </c>
      <c r="F43" s="2"/>
      <c r="G43" s="2"/>
      <c r="H43" s="2"/>
    </row>
    <row r="44" s="1" customFormat="1" ht="27.95" customHeight="1" spans="1:13">
      <c r="A44" s="27" t="s">
        <v>27</v>
      </c>
      <c r="B44" s="41" t="s">
        <v>41</v>
      </c>
      <c r="C44" s="42" t="s">
        <v>42</v>
      </c>
      <c r="D44" s="110"/>
      <c r="E44" s="115">
        <f>D44+'26.9'!E44</f>
        <v>267664</v>
      </c>
      <c r="F44" s="2"/>
      <c r="G44" s="2"/>
      <c r="H44" s="2"/>
    </row>
    <row r="45" s="1" customFormat="1" ht="27.95" customHeight="1" spans="1:13">
      <c r="A45" s="27"/>
      <c r="B45" s="41" t="s">
        <v>90</v>
      </c>
      <c r="C45" s="42" t="s">
        <v>42</v>
      </c>
      <c r="D45" s="110">
        <f>D44</f>
        <v>0</v>
      </c>
      <c r="E45" s="115">
        <f>D45+'26.9'!E45</f>
        <v>267664</v>
      </c>
      <c r="F45" s="2"/>
      <c r="G45" s="2"/>
      <c r="H45" s="2"/>
    </row>
    <row r="46" s="1" customFormat="1" ht="27.95" customHeight="1" spans="1:13">
      <c r="A46" s="27" t="s">
        <v>29</v>
      </c>
      <c r="B46" s="41" t="s">
        <v>52</v>
      </c>
      <c r="C46" s="42" t="s">
        <v>53</v>
      </c>
      <c r="D46" s="116" t="e">
        <f>D44/D42</f>
        <v>#DIV/0!</v>
      </c>
      <c r="E46" s="117">
        <f>E44/E42</f>
        <v>301.084364454443</v>
      </c>
      <c r="F46" s="2"/>
      <c r="G46" s="2"/>
      <c r="H46" s="2"/>
    </row>
    <row r="47" s="1" customFormat="1" ht="27.95" customHeight="1" spans="1:13">
      <c r="A47" s="27" t="s">
        <v>31</v>
      </c>
      <c r="B47" s="41" t="s">
        <v>70</v>
      </c>
      <c r="C47" s="75" t="s">
        <v>68</v>
      </c>
      <c r="D47" s="118">
        <f>D42/3.6/D39/(DAY(DATE(2026,11,0))*24)</f>
        <v>0</v>
      </c>
      <c r="E47" s="119">
        <f>E42/3.6/E39/(DATEDIF(DATE(2026,1,1),DATE(2026,11,1),"D")*24)</f>
        <v>0.0615391857168173</v>
      </c>
      <c r="F47" s="2"/>
      <c r="G47" s="2"/>
      <c r="H47" s="2"/>
    </row>
    <row r="48" s="1" customFormat="1" ht="27.95" customHeight="1" spans="1:13">
      <c r="A48" s="27" t="s">
        <v>33</v>
      </c>
      <c r="B48" s="41" t="s">
        <v>72</v>
      </c>
      <c r="C48" s="42" t="s">
        <v>73</v>
      </c>
      <c r="D48" s="120" t="e">
        <f>D42/D41</f>
        <v>#DIV/0!</v>
      </c>
      <c r="E48" s="121" t="e">
        <f>E42/E41</f>
        <v>#DIV/0!</v>
      </c>
      <c r="F48" s="2"/>
      <c r="G48" s="2"/>
      <c r="H48" s="2"/>
    </row>
    <row r="49" s="1" customFormat="1" ht="27.95" customHeight="1" spans="1:10">
      <c r="A49" s="27" t="s">
        <v>37</v>
      </c>
      <c r="B49" s="41" t="s">
        <v>78</v>
      </c>
      <c r="C49" s="42" t="s">
        <v>79</v>
      </c>
      <c r="D49" s="122" t="e">
        <f>D44/D41</f>
        <v>#DIV/0!</v>
      </c>
      <c r="E49" s="123" t="e">
        <f>E44/E41</f>
        <v>#DIV/0!</v>
      </c>
      <c r="F49" s="2"/>
      <c r="G49" s="2"/>
      <c r="H49" s="2"/>
    </row>
    <row r="50" s="1" customFormat="1" ht="27.95" customHeight="1" spans="1:10">
      <c r="A50" s="124" t="s">
        <v>40</v>
      </c>
      <c r="B50" s="93" t="s">
        <v>81</v>
      </c>
      <c r="C50" s="94" t="s">
        <v>76</v>
      </c>
      <c r="D50" s="125" t="e">
        <f>D43*1000/D41</f>
        <v>#DIV/0!</v>
      </c>
      <c r="E50" s="125" t="e">
        <f>E43*1000/E41</f>
        <v>#DIV/0!</v>
      </c>
      <c r="F50" s="2"/>
      <c r="G50" s="2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3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26" t="s">
        <v>0</v>
      </c>
      <c r="B53" s="127" t="s">
        <v>85</v>
      </c>
      <c r="C53" s="127" t="s">
        <v>2</v>
      </c>
      <c r="D53" s="106" t="s">
        <v>86</v>
      </c>
      <c r="E53" s="9"/>
      <c r="F53" s="10"/>
      <c r="G53" s="128" t="s">
        <v>87</v>
      </c>
      <c r="H53" s="9"/>
      <c r="I53" s="9"/>
    </row>
    <row r="54" s="1" customFormat="1" ht="31.5" customHeight="1" spans="1:10">
      <c r="A54" s="12"/>
      <c r="B54" s="13"/>
      <c r="C54" s="13"/>
      <c r="D54" s="129" t="s">
        <v>92</v>
      </c>
      <c r="E54" s="129" t="s">
        <v>93</v>
      </c>
      <c r="F54" s="130" t="s">
        <v>9</v>
      </c>
      <c r="G54" s="131" t="s">
        <v>92</v>
      </c>
      <c r="H54" s="129" t="s">
        <v>93</v>
      </c>
      <c r="I54" s="132" t="s">
        <v>9</v>
      </c>
    </row>
    <row r="55" s="1" customFormat="1" ht="27.95" customHeight="1" spans="1:10">
      <c r="A55" s="27" t="s">
        <v>11</v>
      </c>
      <c r="B55" s="28" t="s">
        <v>12</v>
      </c>
      <c r="C55" s="29" t="s">
        <v>13</v>
      </c>
      <c r="D55" s="133">
        <v>6</v>
      </c>
      <c r="E55" s="133">
        <v>6.4</v>
      </c>
      <c r="F55" s="134">
        <f t="shared" ref="F55:F61" si="4">SUM(D55:E55)</f>
        <v>12.4</v>
      </c>
      <c r="G55" s="135">
        <f>D55</f>
        <v>6</v>
      </c>
      <c r="H55" s="136">
        <f>E55</f>
        <v>6.4</v>
      </c>
      <c r="I55" s="136">
        <f t="shared" ref="I55:I61" si="5">SUM(G55:H55)</f>
        <v>12.4</v>
      </c>
    </row>
    <row r="56" s="1" customFormat="1" ht="27.95" customHeight="1" spans="1:10">
      <c r="A56" s="27" t="s">
        <v>14</v>
      </c>
      <c r="B56" s="28" t="s">
        <v>88</v>
      </c>
      <c r="C56" s="29" t="s">
        <v>16</v>
      </c>
      <c r="D56" s="72"/>
      <c r="E56" s="72"/>
      <c r="F56" s="112">
        <f t="shared" si="4"/>
        <v>0</v>
      </c>
      <c r="G56" s="113">
        <f>D56</f>
        <v>0</v>
      </c>
      <c r="H56" s="113">
        <f>E56</f>
        <v>0</v>
      </c>
      <c r="I56" s="68">
        <f t="shared" si="5"/>
        <v>0</v>
      </c>
    </row>
    <row r="57" s="1" customFormat="1" ht="27.95" customHeight="1" spans="1:10">
      <c r="A57" s="27" t="s">
        <v>19</v>
      </c>
      <c r="B57" s="28" t="s">
        <v>89</v>
      </c>
      <c r="C57" s="29" t="s">
        <v>16</v>
      </c>
      <c r="D57" s="68"/>
      <c r="E57" s="68"/>
      <c r="F57" s="112">
        <f t="shared" si="4"/>
        <v>0</v>
      </c>
      <c r="G57" s="113">
        <f>D57</f>
        <v>0</v>
      </c>
      <c r="H57" s="113">
        <f>E57</f>
        <v>0</v>
      </c>
      <c r="I57" s="68">
        <f t="shared" si="5"/>
        <v>0</v>
      </c>
    </row>
    <row r="58" s="1" customFormat="1" ht="27.95" customHeight="1" spans="1:10">
      <c r="A58" s="27" t="s">
        <v>21</v>
      </c>
      <c r="B58" s="41" t="s">
        <v>25</v>
      </c>
      <c r="C58" s="42" t="s">
        <v>26</v>
      </c>
      <c r="D58" s="72"/>
      <c r="E58" s="137"/>
      <c r="F58" s="112">
        <f t="shared" si="4"/>
        <v>0</v>
      </c>
      <c r="G58" s="138">
        <f>D58+'26.9'!G58</f>
        <v>3813.3</v>
      </c>
      <c r="H58" s="138">
        <f>E58+'26.9'!H58</f>
        <v>6695.80000000001</v>
      </c>
      <c r="I58" s="68">
        <f t="shared" si="5"/>
        <v>10509.1</v>
      </c>
    </row>
    <row r="59" s="1" customFormat="1" ht="27.95" customHeight="1" spans="1:10">
      <c r="A59" s="27" t="s">
        <v>24</v>
      </c>
      <c r="B59" s="41" t="s">
        <v>38</v>
      </c>
      <c r="C59" s="42" t="s">
        <v>23</v>
      </c>
      <c r="D59" s="72"/>
      <c r="E59" s="72"/>
      <c r="F59" s="112">
        <f t="shared" si="4"/>
        <v>0</v>
      </c>
      <c r="G59" s="138">
        <f>D59+'26.9'!G59</f>
        <v>564.9</v>
      </c>
      <c r="H59" s="138">
        <f>E59+'26.9'!H59</f>
        <v>165.9</v>
      </c>
      <c r="I59" s="68">
        <f t="shared" si="5"/>
        <v>730.8</v>
      </c>
    </row>
    <row r="60" s="1" customFormat="1" ht="27.95" customHeight="1" spans="1:10">
      <c r="A60" s="27" t="s">
        <v>27</v>
      </c>
      <c r="B60" s="41" t="s">
        <v>41</v>
      </c>
      <c r="C60" s="42" t="s">
        <v>42</v>
      </c>
      <c r="D60" s="72"/>
      <c r="E60" s="72"/>
      <c r="F60" s="112">
        <f t="shared" si="4"/>
        <v>0</v>
      </c>
      <c r="G60" s="138">
        <f>D60+'26.9'!G60</f>
        <v>1184440</v>
      </c>
      <c r="H60" s="138">
        <f>E60+'26.9'!H60</f>
        <v>1991120</v>
      </c>
      <c r="I60" s="68">
        <f t="shared" si="5"/>
        <v>3175560</v>
      </c>
    </row>
    <row r="61" s="1" customFormat="1" ht="27.95" customHeight="1" spans="1:10">
      <c r="A61" s="27"/>
      <c r="B61" s="41" t="s">
        <v>90</v>
      </c>
      <c r="C61" s="42" t="s">
        <v>42</v>
      </c>
      <c r="D61" s="72"/>
      <c r="E61" s="72"/>
      <c r="F61" s="112">
        <f t="shared" si="4"/>
        <v>0</v>
      </c>
      <c r="G61" s="138">
        <f>D61+'26.9'!G61</f>
        <v>1184440</v>
      </c>
      <c r="H61" s="138">
        <f>E61+'26.9'!H61</f>
        <v>1991120</v>
      </c>
      <c r="I61" s="68">
        <f t="shared" si="5"/>
        <v>3175560</v>
      </c>
    </row>
    <row r="62" s="1" customFormat="1" ht="27.95" customHeight="1" spans="1:10">
      <c r="A62" s="27" t="s">
        <v>29</v>
      </c>
      <c r="B62" s="41" t="s">
        <v>52</v>
      </c>
      <c r="C62" s="42" t="s">
        <v>53</v>
      </c>
      <c r="D62" s="139" t="e">
        <f t="shared" ref="D62:I62" si="6">D60/D58</f>
        <v>#DIV/0!</v>
      </c>
      <c r="E62" s="139" t="e">
        <f t="shared" si="6"/>
        <v>#DIV/0!</v>
      </c>
      <c r="F62" s="116" t="e">
        <f t="shared" si="6"/>
        <v>#DIV/0!</v>
      </c>
      <c r="G62" s="140">
        <f t="shared" si="6"/>
        <v>310.607610206383</v>
      </c>
      <c r="H62" s="57">
        <f t="shared" si="6"/>
        <v>297.368499656501</v>
      </c>
      <c r="I62" s="58">
        <f t="shared" si="6"/>
        <v>302.172402965049</v>
      </c>
    </row>
    <row r="63" s="1" customFormat="1" ht="27.95" customHeight="1" spans="1:10">
      <c r="A63" s="27" t="s">
        <v>31</v>
      </c>
      <c r="B63" s="41" t="s">
        <v>70</v>
      </c>
      <c r="C63" s="75" t="s">
        <v>68</v>
      </c>
      <c r="D63" s="79">
        <f>D58/3.6/D55/(DAY(DATE(2026,11,0))*24)</f>
        <v>0</v>
      </c>
      <c r="E63" s="79">
        <f>E58/3.6/E55/(DAY(DATE(2026,11,0))*24)</f>
        <v>0</v>
      </c>
      <c r="F63" s="118">
        <f>F58/3.6/F55/(DAY(DATE(2026,11,0))*24)</f>
        <v>0</v>
      </c>
      <c r="G63" s="81">
        <f>G58/3.6/G55/(DATEDIF(DATE(2026,1,1),DATE(2026,11,1),"D")*24)</f>
        <v>0.0241970486111111</v>
      </c>
      <c r="H63" s="79">
        <f>H58/3.6/H55/(DATEDIF(DATE(2026,1,1),DATE(2026,11,1),"D")*24)</f>
        <v>0.0398322806256092</v>
      </c>
      <c r="I63" s="80">
        <f>I58/3.6/I55/(DATEDIF(DATE(2026,1,1),DATE(2026,11,1),"D")*24)</f>
        <v>0.0322668457798843</v>
      </c>
    </row>
    <row r="64" s="1" customFormat="1" ht="27.95" customHeight="1" spans="1:10">
      <c r="A64" s="27" t="s">
        <v>33</v>
      </c>
      <c r="B64" s="41" t="s">
        <v>72</v>
      </c>
      <c r="C64" s="42" t="s">
        <v>73</v>
      </c>
      <c r="D64" s="83" t="e">
        <f t="shared" ref="D64:I64" si="7">D58/D57</f>
        <v>#DIV/0!</v>
      </c>
      <c r="E64" s="83" t="e">
        <f t="shared" si="7"/>
        <v>#DIV/0!</v>
      </c>
      <c r="F64" s="85" t="e">
        <f t="shared" si="7"/>
        <v>#DIV/0!</v>
      </c>
      <c r="G64" s="141" t="e">
        <f t="shared" si="7"/>
        <v>#DIV/0!</v>
      </c>
      <c r="H64" s="83" t="e">
        <f t="shared" si="7"/>
        <v>#DIV/0!</v>
      </c>
      <c r="I64" s="85" t="e">
        <f t="shared" si="7"/>
        <v>#DIV/0!</v>
      </c>
    </row>
    <row r="65" s="1" customFormat="1" ht="27.95" customHeight="1" spans="1:9">
      <c r="A65" s="27" t="s">
        <v>37</v>
      </c>
      <c r="B65" s="41" t="s">
        <v>78</v>
      </c>
      <c r="C65" s="42" t="s">
        <v>79</v>
      </c>
      <c r="D65" s="87" t="e">
        <f t="shared" ref="D65:I65" si="8">D60/D57</f>
        <v>#DIV/0!</v>
      </c>
      <c r="E65" s="87" t="e">
        <f t="shared" si="8"/>
        <v>#DIV/0!</v>
      </c>
      <c r="F65" s="88" t="e">
        <f t="shared" si="8"/>
        <v>#DIV/0!</v>
      </c>
      <c r="G65" s="142" t="e">
        <f t="shared" si="8"/>
        <v>#DIV/0!</v>
      </c>
      <c r="H65" s="87" t="e">
        <f t="shared" si="8"/>
        <v>#DIV/0!</v>
      </c>
      <c r="I65" s="88" t="e">
        <f t="shared" si="8"/>
        <v>#DIV/0!</v>
      </c>
    </row>
    <row r="66" s="1" customFormat="1" ht="27.95" customHeight="1" spans="1:9">
      <c r="A66" s="124" t="s">
        <v>40</v>
      </c>
      <c r="B66" s="93" t="s">
        <v>81</v>
      </c>
      <c r="C66" s="94" t="s">
        <v>76</v>
      </c>
      <c r="D66" s="96" t="e">
        <f t="shared" ref="D66:I66" si="9">D59*1000/D57</f>
        <v>#DIV/0!</v>
      </c>
      <c r="E66" s="96" t="e">
        <f t="shared" si="9"/>
        <v>#DIV/0!</v>
      </c>
      <c r="F66" s="97" t="e">
        <f t="shared" si="9"/>
        <v>#DIV/0!</v>
      </c>
      <c r="G66" s="143" t="e">
        <f t="shared" si="9"/>
        <v>#DIV/0!</v>
      </c>
      <c r="H66" s="96" t="e">
        <f t="shared" si="9"/>
        <v>#DIV/0!</v>
      </c>
      <c r="I66" s="97" t="e">
        <f t="shared" si="9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3" t="s">
        <v>94</v>
      </c>
      <c r="C68" s="4"/>
      <c r="D68" s="5"/>
    </row>
    <row r="69" s="1" customFormat="1" ht="30" customHeight="1" spans="1:9">
      <c r="A69" s="126" t="s">
        <v>0</v>
      </c>
      <c r="B69" s="7" t="s">
        <v>1</v>
      </c>
      <c r="C69" s="7" t="s">
        <v>2</v>
      </c>
      <c r="D69" s="106" t="s">
        <v>86</v>
      </c>
      <c r="E69" s="10"/>
      <c r="F69" s="144" t="s">
        <v>87</v>
      </c>
      <c r="G69" s="9"/>
    </row>
    <row r="70" s="1" customFormat="1" ht="30" customHeight="1" spans="1:9">
      <c r="A70" s="12"/>
      <c r="B70" s="13"/>
      <c r="C70" s="13"/>
      <c r="D70" s="129" t="s">
        <v>95</v>
      </c>
      <c r="E70" s="145" t="s">
        <v>96</v>
      </c>
      <c r="F70" s="131" t="s">
        <v>95</v>
      </c>
      <c r="G70" s="132" t="s">
        <v>96</v>
      </c>
    </row>
    <row r="71" s="1" customFormat="1" ht="27.95" customHeight="1" spans="1:9">
      <c r="A71" s="18" t="s">
        <v>11</v>
      </c>
      <c r="B71" s="19" t="s">
        <v>12</v>
      </c>
      <c r="C71" s="20" t="s">
        <v>13</v>
      </c>
      <c r="D71" s="23">
        <v>217</v>
      </c>
      <c r="E71" s="146">
        <v>1.4</v>
      </c>
      <c r="F71" s="147">
        <f>D71</f>
        <v>217</v>
      </c>
      <c r="G71" s="26">
        <f>E71</f>
        <v>1.4</v>
      </c>
    </row>
    <row r="72" s="1" customFormat="1" ht="27.95" customHeight="1" spans="1:9">
      <c r="A72" s="27" t="s">
        <v>14</v>
      </c>
      <c r="B72" s="41" t="s">
        <v>22</v>
      </c>
      <c r="C72" s="42" t="s">
        <v>23</v>
      </c>
      <c r="D72" s="72"/>
      <c r="E72" s="110"/>
      <c r="F72" s="148">
        <f>D72</f>
        <v>0</v>
      </c>
      <c r="G72" s="149">
        <f>E72</f>
        <v>0</v>
      </c>
    </row>
    <row r="73" s="1" customFormat="1" ht="27.95" customHeight="1" spans="1:9">
      <c r="A73" s="27" t="s">
        <v>19</v>
      </c>
      <c r="B73" s="41" t="s">
        <v>25</v>
      </c>
      <c r="C73" s="42" t="s">
        <v>26</v>
      </c>
      <c r="D73" s="68">
        <f>D72*2.951694</f>
        <v>0</v>
      </c>
      <c r="E73" s="150">
        <f>E72*2.732</f>
        <v>0</v>
      </c>
      <c r="F73" s="115">
        <f>D73+'26.9'!F73</f>
        <v>0</v>
      </c>
      <c r="G73" s="115">
        <f>E73+'26.9'!G73</f>
        <v>0</v>
      </c>
    </row>
    <row r="74" s="1" customFormat="1" ht="27.95" customHeight="1" spans="1:9">
      <c r="A74" s="27" t="s">
        <v>21</v>
      </c>
      <c r="B74" s="41" t="s">
        <v>97</v>
      </c>
      <c r="C74" s="42" t="s">
        <v>98</v>
      </c>
      <c r="D74" s="72"/>
      <c r="E74" s="110"/>
      <c r="F74" s="115">
        <f>D74+'26.9'!F74</f>
        <v>0</v>
      </c>
      <c r="G74" s="115">
        <f>E74+'26.9'!G74</f>
        <v>0</v>
      </c>
    </row>
    <row r="75" s="1" customFormat="1" ht="27.95" customHeight="1" spans="1:9">
      <c r="A75" s="27" t="s">
        <v>24</v>
      </c>
      <c r="B75" s="41" t="s">
        <v>34</v>
      </c>
      <c r="C75" s="42" t="s">
        <v>23</v>
      </c>
      <c r="D75" s="68">
        <f>D74*D80/29308/1000</f>
        <v>0</v>
      </c>
      <c r="E75" s="112">
        <f>E74*E80/29308/1000</f>
        <v>0</v>
      </c>
      <c r="F75" s="115">
        <f>D75+'26.9'!F75</f>
        <v>0</v>
      </c>
      <c r="G75" s="115">
        <f>E75+'26.9'!G75</f>
        <v>0</v>
      </c>
    </row>
    <row r="76" s="1" customFormat="1" ht="27.95" customHeight="1" spans="1:9">
      <c r="A76" s="27" t="s">
        <v>27</v>
      </c>
      <c r="B76" s="41" t="s">
        <v>38</v>
      </c>
      <c r="C76" s="42" t="s">
        <v>23</v>
      </c>
      <c r="D76" s="72"/>
      <c r="E76" s="151"/>
      <c r="F76" s="115">
        <f>D76+'26.9'!F76</f>
        <v>0</v>
      </c>
      <c r="G76" s="115">
        <f>E76+'26.9'!G76</f>
        <v>0</v>
      </c>
    </row>
    <row r="77" s="1" customFormat="1" ht="27.95" customHeight="1" spans="1:9">
      <c r="A77" s="27" t="s">
        <v>29</v>
      </c>
      <c r="B77" s="41" t="s">
        <v>41</v>
      </c>
      <c r="C77" s="42" t="s">
        <v>42</v>
      </c>
      <c r="D77" s="72"/>
      <c r="E77" s="151"/>
      <c r="F77" s="115">
        <f>D77+'26.9'!F77</f>
        <v>0</v>
      </c>
      <c r="G77" s="115">
        <f>E77+'26.9'!G77</f>
        <v>0</v>
      </c>
    </row>
    <row r="78" s="1" customFormat="1" ht="27.95" customHeight="1" spans="1:9">
      <c r="A78" s="27" t="s">
        <v>31</v>
      </c>
      <c r="B78" s="41" t="s">
        <v>52</v>
      </c>
      <c r="C78" s="42" t="s">
        <v>53</v>
      </c>
      <c r="D78" s="152" t="e">
        <f>D77/D73</f>
        <v>#DIV/0!</v>
      </c>
      <c r="E78" s="153"/>
      <c r="F78" s="154" t="e">
        <f>F77/F73</f>
        <v>#DIV/0!</v>
      </c>
      <c r="G78" s="155"/>
    </row>
    <row r="79" s="1" customFormat="1" ht="27.95" customHeight="1" spans="1:9">
      <c r="A79" s="27" t="s">
        <v>33</v>
      </c>
      <c r="B79" s="41" t="s">
        <v>55</v>
      </c>
      <c r="C79" s="42" t="s">
        <v>56</v>
      </c>
      <c r="D79" s="57" t="e">
        <f>D75*1000/D73</f>
        <v>#DIV/0!</v>
      </c>
      <c r="E79" s="156" t="e">
        <f>E75*1000/E73</f>
        <v>#DIV/0!</v>
      </c>
      <c r="F79" s="157" t="e">
        <f>F75*1000/F73</f>
        <v>#DIV/0!</v>
      </c>
      <c r="G79" s="58" t="e">
        <f>G75*1000/G73</f>
        <v>#DIV/0!</v>
      </c>
    </row>
    <row r="80" s="1" customFormat="1" ht="27.95" customHeight="1" spans="1:9">
      <c r="A80" s="27" t="s">
        <v>37</v>
      </c>
      <c r="B80" s="41" t="s">
        <v>99</v>
      </c>
      <c r="C80" s="42" t="s">
        <v>100</v>
      </c>
      <c r="D80" s="33"/>
      <c r="E80" s="158"/>
      <c r="F80" s="159" t="e">
        <f>F75*29308*1000/F74</f>
        <v>#DIV/0!</v>
      </c>
      <c r="G80" s="68" t="e">
        <f>G75*29308*1000/G74</f>
        <v>#DIV/0!</v>
      </c>
    </row>
    <row r="81" s="1" customFormat="1" ht="27.95" customHeight="1" spans="1:11">
      <c r="A81" s="27" t="s">
        <v>40</v>
      </c>
      <c r="B81" s="41" t="s">
        <v>67</v>
      </c>
      <c r="C81" s="75" t="s">
        <v>68</v>
      </c>
      <c r="D81" s="76" t="e">
        <f>D73/(D75*29.308)</f>
        <v>#DIV/0!</v>
      </c>
      <c r="E81" s="160" t="e">
        <f>E73/(E75*29.308)</f>
        <v>#DIV/0!</v>
      </c>
      <c r="F81" s="161" t="e">
        <f>F73/(F75*29.308)</f>
        <v>#DIV/0!</v>
      </c>
      <c r="G81" s="77" t="e">
        <f>G73/(G75*29.308)</f>
        <v>#DIV/0!</v>
      </c>
    </row>
    <row r="82" s="1" customFormat="1" ht="27.95" customHeight="1" spans="1:11">
      <c r="A82" s="124" t="s">
        <v>47</v>
      </c>
      <c r="B82" s="162" t="s">
        <v>70</v>
      </c>
      <c r="C82" s="163" t="s">
        <v>68</v>
      </c>
      <c r="D82" s="164">
        <f>D73/3.6/D71/(DAY(DATE(2026,11,0))*24)</f>
        <v>0</v>
      </c>
      <c r="E82" s="165">
        <f>E73/3.6/E71/(DAY(DATE(2026,11,0))*24)</f>
        <v>0</v>
      </c>
      <c r="F82" s="166">
        <f>F73/3.6/F71/(DATEDIF(DATE(2026,1,1),DATE(2026,11,1),"D")*24)</f>
        <v>0</v>
      </c>
      <c r="G82" s="167">
        <f>G73/3.6/G71/(DATEDIF(DATE(2026,1,1),DATE(2026,11,1),"D")*24)</f>
        <v>0</v>
      </c>
    </row>
    <row r="83" s="1" customFormat="1" ht="18" customHeight="1" spans="1:11">
      <c r="B83" s="168"/>
      <c r="C83" s="168"/>
      <c r="D83" s="5"/>
    </row>
    <row r="84" s="1" customFormat="1" ht="16.25" spans="1:11">
      <c r="A84" s="103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ht="14" spans="1:11">
      <c r="A85" s="126" t="s">
        <v>0</v>
      </c>
      <c r="B85" s="127" t="s">
        <v>85</v>
      </c>
      <c r="C85" s="127" t="s">
        <v>2</v>
      </c>
      <c r="D85" s="169" t="s">
        <v>86</v>
      </c>
      <c r="E85" s="129" t="s">
        <v>87</v>
      </c>
      <c r="F85" s="169" t="s">
        <v>102</v>
      </c>
      <c r="G85" s="169" t="s">
        <v>103</v>
      </c>
      <c r="H85" s="170"/>
      <c r="I85" s="170"/>
    </row>
    <row r="86" s="1" customFormat="1" ht="14" spans="1:11">
      <c r="A86" s="12"/>
      <c r="B86" s="13"/>
      <c r="C86" s="13"/>
      <c r="D86" s="169" t="s">
        <v>104</v>
      </c>
      <c r="E86" s="169" t="s">
        <v>104</v>
      </c>
      <c r="F86" s="13"/>
      <c r="G86" s="13"/>
      <c r="H86" s="170"/>
      <c r="I86" s="103"/>
    </row>
    <row r="87" s="1" customFormat="1" ht="14" spans="1:11">
      <c r="A87" s="27" t="s">
        <v>11</v>
      </c>
      <c r="B87" s="28" t="s">
        <v>12</v>
      </c>
      <c r="C87" s="29" t="s">
        <v>13</v>
      </c>
      <c r="D87" s="171">
        <v>0.7888</v>
      </c>
      <c r="E87" s="172">
        <f>D87</f>
        <v>0.7888</v>
      </c>
      <c r="F87" s="173">
        <f>F55+D87</f>
        <v>13.1888</v>
      </c>
      <c r="G87" s="173">
        <f>E87+I55</f>
        <v>13.1888</v>
      </c>
      <c r="H87" s="135"/>
      <c r="I87" s="135"/>
    </row>
    <row r="88" s="1" customFormat="1" ht="14" spans="1:11">
      <c r="A88" s="27" t="s">
        <v>14</v>
      </c>
      <c r="B88" s="28" t="s">
        <v>88</v>
      </c>
      <c r="C88" s="29" t="s">
        <v>16</v>
      </c>
      <c r="D88" s="174"/>
      <c r="E88" s="175">
        <f>D88</f>
        <v>0</v>
      </c>
      <c r="F88" s="176">
        <v>83197.81</v>
      </c>
      <c r="G88" s="176">
        <v>83197.81</v>
      </c>
      <c r="H88" s="111"/>
      <c r="I88" s="111"/>
    </row>
    <row r="89" s="1" customFormat="1" ht="14" spans="1:11">
      <c r="A89" s="27" t="s">
        <v>19</v>
      </c>
      <c r="B89" s="28" t="s">
        <v>89</v>
      </c>
      <c r="C89" s="29" t="s">
        <v>16</v>
      </c>
      <c r="D89" s="174"/>
      <c r="E89" s="175">
        <f>D89</f>
        <v>0</v>
      </c>
      <c r="F89" s="176">
        <v>83197.81</v>
      </c>
      <c r="G89" s="176">
        <v>83197.81</v>
      </c>
      <c r="H89" s="111"/>
      <c r="I89" s="111"/>
    </row>
    <row r="90" s="1" customFormat="1" ht="14" spans="1:11">
      <c r="A90" s="27" t="s">
        <v>21</v>
      </c>
      <c r="B90" s="41" t="s">
        <v>25</v>
      </c>
      <c r="C90" s="42" t="s">
        <v>26</v>
      </c>
      <c r="D90" s="174"/>
      <c r="E90" s="177">
        <f>D90+'26.9'!E90</f>
        <v>6355.62400900001</v>
      </c>
      <c r="F90" s="178">
        <f>F58+D90</f>
        <v>0</v>
      </c>
      <c r="G90" s="178">
        <f>E90+I58</f>
        <v>16864.724009</v>
      </c>
      <c r="H90" s="111"/>
      <c r="I90" s="111"/>
    </row>
    <row r="91" s="1" customFormat="1" ht="14" spans="1:11">
      <c r="A91" s="27" t="s">
        <v>24</v>
      </c>
      <c r="B91" s="41" t="s">
        <v>38</v>
      </c>
      <c r="C91" s="42" t="s">
        <v>23</v>
      </c>
      <c r="D91" s="174"/>
      <c r="E91" s="177">
        <f>D91+'26.9'!E91</f>
        <v>86.5</v>
      </c>
      <c r="F91" s="178">
        <f>F59+D91</f>
        <v>0</v>
      </c>
      <c r="G91" s="178">
        <f>E91+I59</f>
        <v>817.3</v>
      </c>
      <c r="H91" s="111"/>
      <c r="I91" s="111"/>
    </row>
    <row r="92" s="1" customFormat="1" ht="14" spans="1:11">
      <c r="A92" s="27" t="s">
        <v>27</v>
      </c>
      <c r="B92" s="41" t="s">
        <v>41</v>
      </c>
      <c r="C92" s="42" t="s">
        <v>42</v>
      </c>
      <c r="D92" s="174"/>
      <c r="E92" s="177">
        <f>D92+'26.9'!E92</f>
        <v>780380.88</v>
      </c>
      <c r="F92" s="178">
        <f>F60+D92</f>
        <v>0</v>
      </c>
      <c r="G92" s="178">
        <f>E92+I60</f>
        <v>3955940.88</v>
      </c>
      <c r="H92" s="111"/>
      <c r="I92" s="111"/>
    </row>
    <row r="93" s="1" customFormat="1" ht="14" spans="1:11">
      <c r="A93" s="27"/>
      <c r="B93" s="41" t="s">
        <v>90</v>
      </c>
      <c r="C93" s="42" t="s">
        <v>42</v>
      </c>
      <c r="D93" s="174"/>
      <c r="E93" s="177">
        <f>D93+'26.9'!E93</f>
        <v>0</v>
      </c>
      <c r="F93" s="178">
        <f>F61+D93</f>
        <v>0</v>
      </c>
      <c r="G93" s="178">
        <f>E93+I61</f>
        <v>3175560</v>
      </c>
      <c r="H93" s="111"/>
      <c r="I93" s="111"/>
    </row>
    <row r="94" s="1" customFormat="1" ht="14" spans="1:11">
      <c r="A94" s="27" t="s">
        <v>29</v>
      </c>
      <c r="B94" s="41" t="s">
        <v>52</v>
      </c>
      <c r="C94" s="42" t="s">
        <v>53</v>
      </c>
      <c r="D94" s="179" t="e">
        <f>D92/D90</f>
        <v>#DIV/0!</v>
      </c>
      <c r="E94" s="179">
        <f>E92/E90</f>
        <v>122.785878915261</v>
      </c>
      <c r="F94" s="179" t="e">
        <f>F92/F90</f>
        <v>#DIV/0!</v>
      </c>
      <c r="G94" s="179">
        <f>G92/G90</f>
        <v>234.568966434842</v>
      </c>
      <c r="H94" s="117"/>
      <c r="I94" s="117"/>
    </row>
    <row r="95" s="1" customFormat="1" ht="14" spans="1:11">
      <c r="A95" s="27" t="s">
        <v>31</v>
      </c>
      <c r="B95" s="41" t="s">
        <v>105</v>
      </c>
      <c r="C95" s="75" t="s">
        <v>68</v>
      </c>
      <c r="D95" s="180">
        <f>D90/3.6/D87/(DAY(DATE(2026,11,0))*24)</f>
        <v>0</v>
      </c>
      <c r="E95" s="80">
        <f>E90/3.6/E87/(DATEDIF(DATE(2026,1,1),DATE(2026,11,1),"D")*24)</f>
        <v>0.306763701138012</v>
      </c>
      <c r="F95" s="180">
        <f>F90/3.6/F87/(DAY(DATE(2026,11,0))*24)</f>
        <v>0</v>
      </c>
      <c r="G95" s="80">
        <f>G90/3.6/G87/(DATEDIF(DATE(2026,1,1),DATE(2026,11,1),"D")*24)</f>
        <v>0.0486840421515399</v>
      </c>
      <c r="H95" s="181"/>
      <c r="I95" s="181"/>
      <c r="K95" s="182"/>
    </row>
    <row r="96" s="1" customFormat="1" ht="14" spans="1:11">
      <c r="A96" s="27" t="s">
        <v>33</v>
      </c>
      <c r="B96" s="41" t="s">
        <v>72</v>
      </c>
      <c r="C96" s="42" t="s">
        <v>73</v>
      </c>
      <c r="D96" s="183" t="e">
        <f>D90/D89</f>
        <v>#DIV/0!</v>
      </c>
      <c r="E96" s="183" t="e">
        <f>E90/E89</f>
        <v>#DIV/0!</v>
      </c>
      <c r="F96" s="183">
        <f>F90/F89</f>
        <v>0</v>
      </c>
      <c r="G96" s="183">
        <f>G90/G89</f>
        <v>0.20270634538337</v>
      </c>
      <c r="H96" s="121"/>
      <c r="I96" s="121"/>
    </row>
    <row r="97" s="1" customFormat="1" ht="14" spans="1:9">
      <c r="A97" s="27" t="s">
        <v>37</v>
      </c>
      <c r="B97" s="41" t="s">
        <v>78</v>
      </c>
      <c r="C97" s="42" t="s">
        <v>79</v>
      </c>
      <c r="D97" s="184" t="e">
        <f>D92/D89</f>
        <v>#DIV/0!</v>
      </c>
      <c r="E97" s="184" t="e">
        <f>E92/E89</f>
        <v>#DIV/0!</v>
      </c>
      <c r="F97" s="184">
        <f>F92/F89</f>
        <v>0</v>
      </c>
      <c r="G97" s="184">
        <f>G92/G89</f>
        <v>47.5486179263613</v>
      </c>
      <c r="H97" s="123"/>
      <c r="I97" s="123"/>
    </row>
    <row r="98" s="1" customFormat="1" ht="14.75" spans="1:9">
      <c r="A98" s="124" t="s">
        <v>40</v>
      </c>
      <c r="B98" s="93" t="s">
        <v>81</v>
      </c>
      <c r="C98" s="94" t="s">
        <v>76</v>
      </c>
      <c r="D98" s="184" t="e">
        <f>D91*1000/D89</f>
        <v>#DIV/0!</v>
      </c>
      <c r="E98" s="184" t="e">
        <f>E91*1000/E89</f>
        <v>#DIV/0!</v>
      </c>
      <c r="F98" s="184">
        <f>F91*1000/F89</f>
        <v>0</v>
      </c>
      <c r="G98" s="184">
        <f>G91*1000/G89</f>
        <v>9.82357588499024</v>
      </c>
      <c r="H98" s="123"/>
      <c r="I98" s="123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51388888888889" right="0.751388888888889" top="1" bottom="1" header="0.5" footer="0.5"/>
  <pageSetup paperSize="9" orientation="landscape" horizontalDpi="600" verticalDpi="600"/>
  <headerFooter alignWithMargins="0" scaleWithDoc="0">
    <oddHeader>&amp;C&amp;20 2022年10月份集团各锅炉站生产报表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 customWidth="1"/>
    <col min="15" max="16384" width="8.625" style="1" customWidth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</row>
    <row r="2" s="1" customFormat="1" ht="39.95" customHeight="1" spans="1:14">
      <c r="A2" s="12"/>
      <c r="B2" s="13"/>
      <c r="C2" s="13"/>
      <c r="D2" s="14" t="s">
        <v>5</v>
      </c>
      <c r="E2" s="14" t="s">
        <v>6</v>
      </c>
      <c r="F2" s="14" t="s">
        <v>7</v>
      </c>
      <c r="G2" s="15" t="s">
        <v>8</v>
      </c>
      <c r="H2" s="16" t="s">
        <v>9</v>
      </c>
      <c r="I2" s="17" t="s">
        <v>5</v>
      </c>
      <c r="J2" s="14" t="s">
        <v>6</v>
      </c>
      <c r="K2" s="14" t="s">
        <v>7</v>
      </c>
      <c r="L2" s="15" t="s">
        <v>10</v>
      </c>
      <c r="M2" s="16" t="s">
        <v>9</v>
      </c>
    </row>
    <row r="3" s="1" customFormat="1" ht="18" customHeight="1" spans="1:14">
      <c r="A3" s="18" t="s">
        <v>11</v>
      </c>
      <c r="B3" s="19" t="s">
        <v>12</v>
      </c>
      <c r="C3" s="20" t="s">
        <v>13</v>
      </c>
      <c r="D3" s="21">
        <v>348</v>
      </c>
      <c r="E3" s="22">
        <v>162</v>
      </c>
      <c r="F3" s="22"/>
      <c r="G3" s="23">
        <v>14</v>
      </c>
      <c r="H3" s="24">
        <f>E3+F3+G3</f>
        <v>176</v>
      </c>
      <c r="I3" s="25">
        <f>D3</f>
        <v>348</v>
      </c>
      <c r="J3" s="21">
        <f>E3</f>
        <v>162</v>
      </c>
      <c r="K3" s="21">
        <f>F3</f>
        <v>0</v>
      </c>
      <c r="L3" s="26">
        <f>G3</f>
        <v>14</v>
      </c>
      <c r="M3" s="24">
        <f t="shared" ref="M3:M12" si="0">J3+K3+L3</f>
        <v>176</v>
      </c>
    </row>
    <row r="4" s="1" customFormat="1" ht="18" customHeight="1" spans="1:14">
      <c r="A4" s="27" t="s">
        <v>14</v>
      </c>
      <c r="B4" s="28" t="s">
        <v>15</v>
      </c>
      <c r="C4" s="29" t="s">
        <v>16</v>
      </c>
      <c r="D4" s="30" t="s">
        <v>17</v>
      </c>
      <c r="E4" s="31"/>
      <c r="F4" s="32"/>
      <c r="G4" s="33"/>
      <c r="H4" s="34"/>
      <c r="I4" s="35" t="str">
        <f>D4</f>
        <v> -   </v>
      </c>
      <c r="J4" s="31">
        <f>E4</f>
        <v>0</v>
      </c>
      <c r="K4" s="36">
        <f>F4</f>
        <v>0</v>
      </c>
      <c r="L4" s="37">
        <f>G4</f>
        <v>0</v>
      </c>
      <c r="M4" s="34">
        <f t="shared" si="0"/>
        <v>0</v>
      </c>
    </row>
    <row r="5" s="1" customFormat="1" ht="18" customHeight="1" spans="1:14">
      <c r="A5" s="27"/>
      <c r="B5" s="28" t="s">
        <v>18</v>
      </c>
      <c r="C5" s="29" t="s">
        <v>16</v>
      </c>
      <c r="D5" s="30" t="s">
        <v>17</v>
      </c>
      <c r="E5" s="32">
        <v>55000</v>
      </c>
      <c r="F5" s="38">
        <v>0</v>
      </c>
      <c r="G5" s="39">
        <v>0</v>
      </c>
      <c r="H5" s="34">
        <f>E5+F5+G5</f>
        <v>55000</v>
      </c>
      <c r="I5" s="35" t="str">
        <f>D5</f>
        <v> -   </v>
      </c>
      <c r="J5" s="31">
        <f>E5</f>
        <v>55000</v>
      </c>
      <c r="K5" s="36">
        <f>F5</f>
        <v>0</v>
      </c>
      <c r="L5" s="37">
        <f>G5</f>
        <v>0</v>
      </c>
      <c r="M5" s="34">
        <f t="shared" si="0"/>
        <v>55000</v>
      </c>
    </row>
    <row r="6" s="1" customFormat="1" ht="18" customHeight="1" spans="1:14">
      <c r="A6" s="27" t="s">
        <v>19</v>
      </c>
      <c r="B6" s="28" t="s">
        <v>20</v>
      </c>
      <c r="C6" s="29" t="s">
        <v>16</v>
      </c>
      <c r="D6" s="30" t="s">
        <v>17</v>
      </c>
      <c r="E6" s="33">
        <f>E4</f>
        <v>0</v>
      </c>
      <c r="F6" s="33">
        <f>F4</f>
        <v>0</v>
      </c>
      <c r="G6" s="33">
        <f>G4</f>
        <v>0</v>
      </c>
      <c r="H6" s="34">
        <f>E6+F6+G6</f>
        <v>0</v>
      </c>
      <c r="I6" s="35" t="str">
        <f>D6</f>
        <v> -   </v>
      </c>
      <c r="J6" s="40">
        <f>E6</f>
        <v>0</v>
      </c>
      <c r="K6" s="40">
        <f>F6</f>
        <v>0</v>
      </c>
      <c r="L6" s="40">
        <f>G6</f>
        <v>0</v>
      </c>
      <c r="M6" s="34">
        <f t="shared" si="0"/>
        <v>0</v>
      </c>
    </row>
    <row r="7" s="2" customFormat="1" ht="18" customHeight="1" spans="1:14">
      <c r="A7" s="27" t="s">
        <v>21</v>
      </c>
      <c r="B7" s="41" t="s">
        <v>22</v>
      </c>
      <c r="C7" s="42" t="s">
        <v>23</v>
      </c>
      <c r="D7" s="39">
        <v>0</v>
      </c>
      <c r="E7" s="39">
        <v>0</v>
      </c>
      <c r="F7" s="39">
        <v>0</v>
      </c>
      <c r="G7" s="39"/>
      <c r="H7" s="34">
        <f>E7+F7+G7</f>
        <v>0</v>
      </c>
      <c r="I7" s="185">
        <f>D7+'26.10'!I7</f>
        <v>0</v>
      </c>
      <c r="J7" s="185">
        <f>E7+'26.10'!J7</f>
        <v>0</v>
      </c>
      <c r="K7" s="185">
        <f>F7+'26.10'!K7</f>
        <v>0</v>
      </c>
      <c r="L7" s="185">
        <f>G7+'26.10'!L7</f>
        <v>0</v>
      </c>
      <c r="M7" s="34">
        <f t="shared" si="0"/>
        <v>0</v>
      </c>
    </row>
    <row r="8" s="2" customFormat="1" ht="18" customHeight="1" spans="1:14">
      <c r="A8" s="27" t="s">
        <v>24</v>
      </c>
      <c r="B8" s="41" t="s">
        <v>25</v>
      </c>
      <c r="C8" s="42" t="s">
        <v>26</v>
      </c>
      <c r="D8" s="44"/>
      <c r="E8" s="39"/>
      <c r="F8" s="38"/>
      <c r="G8" s="33"/>
      <c r="H8" s="34"/>
      <c r="I8" s="185">
        <f>D8+'26.10'!I8</f>
        <v>1168258</v>
      </c>
      <c r="J8" s="185">
        <f>E8+'26.10'!J8</f>
        <v>267460.3967164</v>
      </c>
      <c r="K8" s="185">
        <f>F8+'26.10'!K8</f>
        <v>0</v>
      </c>
      <c r="L8" s="185">
        <f>G8+'26.10'!L8</f>
        <v>440887.508551189</v>
      </c>
      <c r="M8" s="34">
        <f t="shared" si="0"/>
        <v>708347.905267589</v>
      </c>
      <c r="N8" s="45"/>
    </row>
    <row r="9" s="2" customFormat="1" ht="18" customHeight="1" spans="1:14">
      <c r="A9" s="27" t="s">
        <v>27</v>
      </c>
      <c r="B9" s="41" t="s">
        <v>28</v>
      </c>
      <c r="C9" s="42" t="s">
        <v>26</v>
      </c>
      <c r="D9" s="39">
        <v>0</v>
      </c>
      <c r="E9" s="186">
        <f>[1]售热量!$W$25</f>
        <v>0</v>
      </c>
      <c r="F9" s="38"/>
      <c r="G9" s="38"/>
      <c r="H9" s="34">
        <f>E9+F9+G9</f>
        <v>0</v>
      </c>
      <c r="I9" s="185">
        <f>D9+'26.10'!I9</f>
        <v>0</v>
      </c>
      <c r="J9" s="185">
        <f>E9+'26.10'!J9</f>
        <v>8828</v>
      </c>
      <c r="K9" s="185">
        <f>F9+'26.10'!K9</f>
        <v>0</v>
      </c>
      <c r="L9" s="185">
        <f>G9+'26.10'!L9</f>
        <v>0</v>
      </c>
      <c r="M9" s="34">
        <f t="shared" si="0"/>
        <v>8828</v>
      </c>
    </row>
    <row r="10" s="2" customFormat="1" ht="18" customHeight="1" spans="1:14">
      <c r="A10" s="27" t="s">
        <v>29</v>
      </c>
      <c r="B10" s="41" t="s">
        <v>30</v>
      </c>
      <c r="C10" s="42" t="s">
        <v>23</v>
      </c>
      <c r="D10" s="39"/>
      <c r="E10" s="32"/>
      <c r="F10" s="38"/>
      <c r="G10" s="33"/>
      <c r="H10" s="34">
        <f>E10+F10+G10</f>
        <v>0</v>
      </c>
      <c r="I10" s="185">
        <f>D10+'26.10'!I10</f>
        <v>66226</v>
      </c>
      <c r="J10" s="185">
        <f>E10+'26.10'!J10</f>
        <v>21656</v>
      </c>
      <c r="K10" s="185">
        <f>F10+'26.10'!K10</f>
        <v>0</v>
      </c>
      <c r="L10" s="185">
        <f>G10+'26.10'!L10</f>
        <v>931</v>
      </c>
      <c r="M10" s="34">
        <f t="shared" si="0"/>
        <v>22587</v>
      </c>
    </row>
    <row r="11" s="2" customFormat="1" ht="18" customHeight="1" spans="1:14">
      <c r="A11" s="27" t="s">
        <v>31</v>
      </c>
      <c r="B11" s="41" t="s">
        <v>32</v>
      </c>
      <c r="C11" s="42" t="s">
        <v>23</v>
      </c>
      <c r="D11" s="39"/>
      <c r="E11" s="39"/>
      <c r="F11" s="39"/>
      <c r="G11" s="39"/>
      <c r="H11" s="34">
        <f>E11+F11+G11</f>
        <v>0</v>
      </c>
      <c r="I11" s="185">
        <f>D11+'26.10'!I11</f>
        <v>16.2</v>
      </c>
      <c r="J11" s="185">
        <f>E11+'26.10'!J11</f>
        <v>0</v>
      </c>
      <c r="K11" s="185">
        <f>F11+'26.10'!K11</f>
        <v>0</v>
      </c>
      <c r="L11" s="185">
        <f>G11+'26.10'!L11</f>
        <v>0</v>
      </c>
      <c r="M11" s="34">
        <f t="shared" si="0"/>
        <v>0</v>
      </c>
    </row>
    <row r="12" s="2" customFormat="1" ht="18" customHeight="1" spans="1:14">
      <c r="A12" s="27" t="s">
        <v>33</v>
      </c>
      <c r="B12" s="41" t="s">
        <v>34</v>
      </c>
      <c r="C12" s="42" t="s">
        <v>23</v>
      </c>
      <c r="D12" s="44">
        <f>D13+D14</f>
        <v>0</v>
      </c>
      <c r="E12" s="44">
        <f>E13+E14</f>
        <v>0</v>
      </c>
      <c r="F12" s="44">
        <f>F13+F14</f>
        <v>0</v>
      </c>
      <c r="G12" s="44">
        <f>G13+G14</f>
        <v>0</v>
      </c>
      <c r="H12" s="34">
        <f>E12+F12+G12</f>
        <v>0</v>
      </c>
      <c r="I12" s="185">
        <f>D12+'26.10'!I12</f>
        <v>43472.2579475284</v>
      </c>
      <c r="J12" s="185">
        <f>E12+'26.10'!J12</f>
        <v>13036.909</v>
      </c>
      <c r="K12" s="185">
        <f>F12+'26.10'!K12</f>
        <v>0</v>
      </c>
      <c r="L12" s="185">
        <f>G12+'26.10'!L12</f>
        <v>620.280370522607</v>
      </c>
      <c r="M12" s="34">
        <f t="shared" si="0"/>
        <v>13657.1893705226</v>
      </c>
    </row>
    <row r="13" s="2" customFormat="1" ht="18" customHeight="1" spans="1:14">
      <c r="A13" s="27"/>
      <c r="B13" s="41" t="s">
        <v>35</v>
      </c>
      <c r="C13" s="42" t="s">
        <v>23</v>
      </c>
      <c r="D13" s="39"/>
      <c r="E13" s="39"/>
      <c r="F13" s="39"/>
      <c r="G13" s="44"/>
      <c r="H13" s="47"/>
      <c r="I13" s="185">
        <f>D13+'26.10'!I13</f>
        <v>43448.6529275284</v>
      </c>
      <c r="J13" s="185">
        <f>E13+'26.10'!J13</f>
        <v>13036.909</v>
      </c>
      <c r="K13" s="185">
        <f>F13+'26.10'!K13</f>
        <v>0</v>
      </c>
      <c r="L13" s="185">
        <f>G13+'26.10'!L13</f>
        <v>620.280370522607</v>
      </c>
      <c r="M13" s="47"/>
    </row>
    <row r="14" s="2" customFormat="1" ht="18" customHeight="1" spans="1:14">
      <c r="A14" s="27"/>
      <c r="B14" s="41" t="s">
        <v>36</v>
      </c>
      <c r="C14" s="42" t="s">
        <v>23</v>
      </c>
      <c r="D14" s="44"/>
      <c r="E14" s="39"/>
      <c r="F14" s="39"/>
      <c r="G14" s="39"/>
      <c r="H14" s="47"/>
      <c r="I14" s="185">
        <f>D14+'26.10'!I14</f>
        <v>23.60502</v>
      </c>
      <c r="J14" s="185">
        <f>E14+'26.10'!J14</f>
        <v>0</v>
      </c>
      <c r="K14" s="185">
        <f>F14+'26.10'!K14</f>
        <v>0</v>
      </c>
      <c r="L14" s="185">
        <f>G14+'26.10'!L14</f>
        <v>0</v>
      </c>
      <c r="M14" s="47"/>
    </row>
    <row r="15" s="2" customFormat="1" ht="18" customHeight="1" spans="1:14">
      <c r="A15" s="27" t="s">
        <v>37</v>
      </c>
      <c r="B15" s="41" t="s">
        <v>38</v>
      </c>
      <c r="C15" s="42" t="s">
        <v>23</v>
      </c>
      <c r="D15" s="39"/>
      <c r="E15" s="48"/>
      <c r="F15" s="38"/>
      <c r="G15" s="33"/>
      <c r="H15" s="34"/>
      <c r="I15" s="185">
        <f>D15+'26.10'!I15</f>
        <v>23540</v>
      </c>
      <c r="J15" s="185">
        <f>E15+'26.10'!J15</f>
        <v>43463</v>
      </c>
      <c r="K15" s="185">
        <f>F15+'26.10'!K15</f>
        <v>0</v>
      </c>
      <c r="L15" s="185">
        <f>G15+'26.10'!L15</f>
        <v>97382</v>
      </c>
      <c r="M15" s="34">
        <f>J15+K15+L15</f>
        <v>140845</v>
      </c>
    </row>
    <row r="16" s="2" customFormat="1" ht="18" customHeight="1" spans="1:14">
      <c r="A16" s="27"/>
      <c r="B16" s="41" t="s">
        <v>39</v>
      </c>
      <c r="C16" s="42" t="s">
        <v>23</v>
      </c>
      <c r="D16" s="39"/>
      <c r="E16" s="48"/>
      <c r="F16" s="38"/>
      <c r="G16" s="38"/>
      <c r="H16" s="34"/>
      <c r="I16" s="185">
        <f>D16+'26.10'!I16</f>
        <v>2975</v>
      </c>
      <c r="J16" s="185">
        <f>E16+'26.10'!J16</f>
        <v>0</v>
      </c>
      <c r="K16" s="185">
        <f>F16+'26.10'!K16</f>
        <v>0</v>
      </c>
      <c r="L16" s="185">
        <f>G16+'26.10'!L16</f>
        <v>0</v>
      </c>
      <c r="M16" s="34">
        <f>J16+K16+L16</f>
        <v>0</v>
      </c>
    </row>
    <row r="17" s="2" customFormat="1" ht="18" customHeight="1" spans="1:14">
      <c r="A17" s="27" t="s">
        <v>40</v>
      </c>
      <c r="B17" s="41" t="s">
        <v>41</v>
      </c>
      <c r="C17" s="42" t="s">
        <v>42</v>
      </c>
      <c r="D17" s="44"/>
      <c r="E17" s="48"/>
      <c r="F17" s="38"/>
      <c r="G17" s="33"/>
      <c r="H17" s="34"/>
      <c r="I17" s="185">
        <f>D17+'26.10'!I17</f>
        <v>8122792</v>
      </c>
      <c r="J17" s="185">
        <f>E17+'26.10'!J17</f>
        <v>3287588</v>
      </c>
      <c r="K17" s="49"/>
      <c r="L17" s="185">
        <f>G17+'26.10'!L17</f>
        <v>2263757.5</v>
      </c>
      <c r="M17" s="34">
        <f>J17+K17+L17</f>
        <v>5551345.5</v>
      </c>
    </row>
    <row r="18" s="2" customFormat="1" ht="18" customHeight="1" spans="1:14">
      <c r="A18" s="27"/>
      <c r="B18" s="41" t="s">
        <v>43</v>
      </c>
      <c r="C18" s="42" t="s">
        <v>42</v>
      </c>
      <c r="D18" s="39"/>
      <c r="E18" s="48"/>
      <c r="F18" s="38"/>
      <c r="G18" s="38"/>
      <c r="H18" s="47"/>
      <c r="I18" s="185">
        <f>D18+'26.10'!I18</f>
        <v>8122792</v>
      </c>
      <c r="J18" s="185">
        <f>E18+'26.10'!J18</f>
        <v>0</v>
      </c>
      <c r="K18" s="185">
        <f>F18+'26.10'!K18</f>
        <v>0</v>
      </c>
      <c r="L18" s="185">
        <f>G18+'26.10'!L18</f>
        <v>0</v>
      </c>
      <c r="M18" s="47"/>
    </row>
    <row r="19" s="2" customFormat="1" ht="18" customHeight="1" spans="1:14">
      <c r="A19" s="27"/>
      <c r="B19" s="41" t="s">
        <v>44</v>
      </c>
      <c r="C19" s="42" t="s">
        <v>42</v>
      </c>
      <c r="D19" s="39"/>
      <c r="E19" s="48"/>
      <c r="F19" s="33"/>
      <c r="G19" s="33"/>
      <c r="H19" s="47"/>
      <c r="I19" s="185">
        <f>D19+'26.10'!I19</f>
        <v>0</v>
      </c>
      <c r="J19" s="50"/>
      <c r="K19" s="185">
        <f>F19+'26.10'!K19</f>
        <v>0</v>
      </c>
      <c r="L19" s="185">
        <f>G19+'26.10'!L19</f>
        <v>2263757.5</v>
      </c>
      <c r="M19" s="47"/>
    </row>
    <row r="20" s="2" customFormat="1" ht="18" customHeight="1" spans="1:14">
      <c r="A20" s="27"/>
      <c r="B20" s="41" t="s">
        <v>45</v>
      </c>
      <c r="C20" s="42" t="s">
        <v>23</v>
      </c>
      <c r="D20" s="39"/>
      <c r="E20" s="48"/>
      <c r="F20" s="38"/>
      <c r="G20" s="38"/>
      <c r="H20" s="47"/>
      <c r="I20" s="185">
        <f>D20+'26.10'!I20</f>
        <v>21425</v>
      </c>
      <c r="J20" s="185">
        <f>E20+'26.10'!J20</f>
        <v>0</v>
      </c>
      <c r="K20" s="185">
        <f>F20+'26.10'!K20</f>
        <v>0</v>
      </c>
      <c r="L20" s="185">
        <f>G20+'26.10'!L20</f>
        <v>0</v>
      </c>
      <c r="M20" s="47"/>
    </row>
    <row r="21" s="2" customFormat="1" ht="18" customHeight="1" spans="1:14">
      <c r="A21" s="27"/>
      <c r="B21" s="41" t="s">
        <v>46</v>
      </c>
      <c r="C21" s="42" t="s">
        <v>42</v>
      </c>
      <c r="D21" s="39"/>
      <c r="E21" s="48"/>
      <c r="F21" s="38"/>
      <c r="G21" s="38"/>
      <c r="H21" s="47"/>
      <c r="I21" s="185">
        <f>D21+'26.10'!I21</f>
        <v>929610.099999999</v>
      </c>
      <c r="J21" s="185">
        <f>E21+'26.10'!J21</f>
        <v>0</v>
      </c>
      <c r="K21" s="185">
        <f>F21+'26.10'!K21</f>
        <v>0</v>
      </c>
      <c r="L21" s="185">
        <f>G21+'26.10'!L21</f>
        <v>0</v>
      </c>
      <c r="M21" s="47"/>
    </row>
    <row r="22" s="2" customFormat="1" ht="14" spans="1:14">
      <c r="A22" s="51" t="s">
        <v>47</v>
      </c>
      <c r="B22" s="52" t="s">
        <v>48</v>
      </c>
      <c r="C22" s="53" t="s">
        <v>23</v>
      </c>
      <c r="D22" s="33"/>
      <c r="E22" s="54"/>
      <c r="F22" s="54"/>
      <c r="G22" s="54"/>
      <c r="H22" s="55"/>
      <c r="I22" s="185">
        <f>D22+'26.10'!I22</f>
        <v>1071.51</v>
      </c>
      <c r="J22" s="185">
        <f>E22+'26.10'!J22</f>
        <v>69.155</v>
      </c>
      <c r="K22" s="185">
        <f>F22+'26.10'!K22</f>
        <v>0</v>
      </c>
      <c r="L22" s="185">
        <f>G22+'26.10'!L22</f>
        <v>13.375</v>
      </c>
      <c r="M22" s="56">
        <f>J22+K22+L22</f>
        <v>82.53</v>
      </c>
      <c r="N22" s="1"/>
    </row>
    <row r="23" s="2" customFormat="1" ht="21" customHeight="1" spans="1:14">
      <c r="A23" s="51" t="s">
        <v>49</v>
      </c>
      <c r="B23" s="52" t="s">
        <v>50</v>
      </c>
      <c r="C23" s="53" t="s">
        <v>23</v>
      </c>
      <c r="D23" s="33"/>
      <c r="E23" s="54"/>
      <c r="F23" s="54"/>
      <c r="G23" s="54"/>
      <c r="H23" s="55"/>
      <c r="I23" s="185">
        <f>D23+'26.10'!I23</f>
        <v>371.77</v>
      </c>
      <c r="J23" s="185">
        <f>E23+'26.10'!J23</f>
        <v>49.29</v>
      </c>
      <c r="K23" s="185">
        <f>F23+'26.10'!K23</f>
        <v>0</v>
      </c>
      <c r="L23" s="185">
        <f>G23+'26.10'!L23</f>
        <v>4.025</v>
      </c>
      <c r="M23" s="56">
        <f>J23+K23+L23</f>
        <v>53.315</v>
      </c>
      <c r="N23" s="1"/>
    </row>
    <row r="24" s="2" customFormat="1" ht="18" customHeight="1" spans="1:14">
      <c r="A24" s="51" t="s">
        <v>51</v>
      </c>
      <c r="B24" s="41" t="s">
        <v>52</v>
      </c>
      <c r="C24" s="42" t="s">
        <v>53</v>
      </c>
      <c r="D24" s="57" t="e">
        <f t="shared" ref="D24:M24" si="1">D17/D8</f>
        <v>#DIV/0!</v>
      </c>
      <c r="E24" s="57" t="e">
        <f t="shared" si="1"/>
        <v>#DIV/0!</v>
      </c>
      <c r="F24" s="57" t="e">
        <f t="shared" si="1"/>
        <v>#DIV/0!</v>
      </c>
      <c r="G24" s="57" t="e">
        <f t="shared" si="1"/>
        <v>#DIV/0!</v>
      </c>
      <c r="H24" s="58" t="e">
        <f t="shared" si="1"/>
        <v>#DIV/0!</v>
      </c>
      <c r="I24" s="59">
        <f t="shared" si="1"/>
        <v>6.95290937447036</v>
      </c>
      <c r="J24" s="57">
        <f t="shared" si="1"/>
        <v>12.2918684050483</v>
      </c>
      <c r="K24" s="57" t="e">
        <f t="shared" si="1"/>
        <v>#DIV/0!</v>
      </c>
      <c r="L24" s="57">
        <f t="shared" si="1"/>
        <v>5.13454669523069</v>
      </c>
      <c r="M24" s="58">
        <f t="shared" si="1"/>
        <v>7.83703242251122</v>
      </c>
    </row>
    <row r="25" s="2" customFormat="1" ht="18" customHeight="1" spans="1:14">
      <c r="A25" s="51" t="s">
        <v>54</v>
      </c>
      <c r="B25" s="41" t="s">
        <v>55</v>
      </c>
      <c r="C25" s="42" t="s">
        <v>56</v>
      </c>
      <c r="D25" s="57" t="e">
        <f t="shared" ref="D25:M25" si="2">D12*1000/D8</f>
        <v>#DIV/0!</v>
      </c>
      <c r="E25" s="57" t="e">
        <f t="shared" si="2"/>
        <v>#DIV/0!</v>
      </c>
      <c r="F25" s="57" t="e">
        <f t="shared" si="2"/>
        <v>#DIV/0!</v>
      </c>
      <c r="G25" s="57" t="e">
        <f t="shared" si="2"/>
        <v>#DIV/0!</v>
      </c>
      <c r="H25" s="58" t="e">
        <f t="shared" si="2"/>
        <v>#DIV/0!</v>
      </c>
      <c r="I25" s="59">
        <f t="shared" si="2"/>
        <v>37.2111793349829</v>
      </c>
      <c r="J25" s="57">
        <f t="shared" si="2"/>
        <v>48.7433248438034</v>
      </c>
      <c r="K25" s="57" t="e">
        <f t="shared" si="2"/>
        <v>#DIV/0!</v>
      </c>
      <c r="L25" s="57">
        <f t="shared" si="2"/>
        <v>1.40689032574528</v>
      </c>
      <c r="M25" s="58">
        <f t="shared" si="2"/>
        <v>19.2803412969272</v>
      </c>
    </row>
    <row r="26" s="3" customFormat="1" ht="18" customHeight="1" spans="1:14">
      <c r="A26" s="51" t="s">
        <v>57</v>
      </c>
      <c r="B26" s="41" t="s">
        <v>58</v>
      </c>
      <c r="C26" s="60" t="s">
        <v>23</v>
      </c>
      <c r="D26" s="33"/>
      <c r="E26" s="61"/>
      <c r="F26" s="62"/>
      <c r="G26" s="33"/>
      <c r="H26" s="63"/>
      <c r="I26" s="185">
        <f>D26+'26.10'!I26</f>
        <v>23988</v>
      </c>
      <c r="J26" s="185">
        <f>E26+'26.10'!J26</f>
        <v>13379</v>
      </c>
      <c r="K26" s="185">
        <f>F26+'26.10'!K26</f>
        <v>0</v>
      </c>
      <c r="L26" s="185">
        <f>G26+'26.10'!L26</f>
        <v>119</v>
      </c>
      <c r="M26" s="63">
        <f>J26+K26+L26</f>
        <v>13498</v>
      </c>
    </row>
    <row r="27" s="3" customFormat="1" ht="18" customHeight="1" spans="1:14">
      <c r="A27" s="51" t="s">
        <v>59</v>
      </c>
      <c r="B27" s="41" t="s">
        <v>60</v>
      </c>
      <c r="C27" s="60" t="s">
        <v>23</v>
      </c>
      <c r="D27" s="48"/>
      <c r="E27" s="64">
        <f>J27</f>
        <v>4292.7</v>
      </c>
      <c r="F27" s="64"/>
      <c r="G27" s="64">
        <f>L27</f>
        <v>296.500000000023</v>
      </c>
      <c r="H27" s="65"/>
      <c r="I27" s="66">
        <v>68931.3</v>
      </c>
      <c r="J27" s="187">
        <f>'26.10'!J27+E26-E10</f>
        <v>4292.7</v>
      </c>
      <c r="K27" s="187">
        <f>'26.10'!K27+F26-F10</f>
        <v>0</v>
      </c>
      <c r="L27" s="187">
        <f>'26.10'!L27+G26-G10</f>
        <v>296.500000000023</v>
      </c>
      <c r="M27" s="68">
        <f>J27+K27+L27</f>
        <v>4589.20000000002</v>
      </c>
    </row>
    <row r="28" s="2" customFormat="1" ht="18" customHeight="1" spans="1:14">
      <c r="A28" s="51" t="s">
        <v>61</v>
      </c>
      <c r="B28" s="41" t="s">
        <v>62</v>
      </c>
      <c r="C28" s="42" t="s">
        <v>63</v>
      </c>
      <c r="D28" s="69" t="e">
        <f>D13*29308/D10</f>
        <v>#DIV/0!</v>
      </c>
      <c r="E28" s="69" t="e">
        <f>E12*29308/E10</f>
        <v>#DIV/0!</v>
      </c>
      <c r="F28" s="69" t="e">
        <f>F12*29308/F10</f>
        <v>#DIV/0!</v>
      </c>
      <c r="G28" s="69" t="e">
        <f>G12*29308/G10</f>
        <v>#DIV/0!</v>
      </c>
      <c r="H28" s="69" t="e">
        <f>H12*29308/H10</f>
        <v>#DIV/0!</v>
      </c>
      <c r="I28" s="70">
        <f>I13*29308/I10</f>
        <v>19227.9938392777</v>
      </c>
      <c r="J28" s="44">
        <f>J12*29308/J10</f>
        <v>17643.4119399704</v>
      </c>
      <c r="K28" s="44" t="e">
        <f>K12*29308/K10</f>
        <v>#DIV/0!</v>
      </c>
      <c r="L28" s="44">
        <f>L12*29308/L10</f>
        <v>19526.5060142605</v>
      </c>
      <c r="M28" s="69">
        <f>M12*29308/M10</f>
        <v>17721.0300646955</v>
      </c>
    </row>
    <row r="29" s="2" customFormat="1" ht="18" customHeight="1" spans="1:14">
      <c r="A29" s="51" t="s">
        <v>64</v>
      </c>
      <c r="B29" s="41" t="s">
        <v>65</v>
      </c>
      <c r="C29" s="42" t="s">
        <v>63</v>
      </c>
      <c r="D29" s="71"/>
      <c r="E29" s="39"/>
      <c r="F29" s="39"/>
      <c r="G29" s="72"/>
      <c r="H29" s="73"/>
      <c r="I29" s="74"/>
      <c r="J29" s="39"/>
      <c r="K29" s="39"/>
      <c r="L29" s="72"/>
      <c r="M29" s="73"/>
    </row>
    <row r="30" s="2" customFormat="1" ht="18" customHeight="1" spans="1:14">
      <c r="A30" s="51" t="s">
        <v>66</v>
      </c>
      <c r="B30" s="41" t="s">
        <v>67</v>
      </c>
      <c r="C30" s="75" t="s">
        <v>68</v>
      </c>
      <c r="D30" s="76" t="e">
        <f>D8/(D12*29.308)</f>
        <v>#DIV/0!</v>
      </c>
      <c r="E30" s="76" t="e">
        <f>E8/(E12*29.308)</f>
        <v>#DIV/0!</v>
      </c>
      <c r="F30" s="76" t="e">
        <f>F8/(F12*29.308)</f>
        <v>#DIV/0!</v>
      </c>
      <c r="G30" s="76" t="e">
        <f>(G8-G36)/(G12*29.308)</f>
        <v>#DIV/0!</v>
      </c>
      <c r="H30" s="77" t="e">
        <f t="shared" ref="H30:M30" si="3">H8/(H12*29.308)</f>
        <v>#DIV/0!</v>
      </c>
      <c r="I30" s="78">
        <f t="shared" si="3"/>
        <v>0.916938868875932</v>
      </c>
      <c r="J30" s="76">
        <f t="shared" si="3"/>
        <v>0.700001011385589</v>
      </c>
      <c r="K30" s="76" t="e">
        <f t="shared" si="3"/>
        <v>#DIV/0!</v>
      </c>
      <c r="L30" s="76">
        <f t="shared" si="3"/>
        <v>24.2523358534603</v>
      </c>
      <c r="M30" s="77">
        <f t="shared" si="3"/>
        <v>1.76969775397059</v>
      </c>
    </row>
    <row r="31" s="2" customFormat="1" ht="18" customHeight="1" spans="1:14">
      <c r="A31" s="51" t="s">
        <v>69</v>
      </c>
      <c r="B31" s="41" t="s">
        <v>70</v>
      </c>
      <c r="C31" s="75" t="s">
        <v>68</v>
      </c>
      <c r="D31" s="79">
        <f>D8/3.6/D3/(DAY(DATE(2026,12,0))*24)</f>
        <v>0</v>
      </c>
      <c r="E31" s="79">
        <f>E8/3.6/E3/(DAY(DATE(2026,12,0))*24)</f>
        <v>0</v>
      </c>
      <c r="F31" s="79" t="e">
        <f>F8/3.6/F3/(DAY(DATE(2026,12,0))*24)</f>
        <v>#DIV/0!</v>
      </c>
      <c r="G31" s="79">
        <f>(G8-G36)/3.6/G3/(DAY(DATE(2026,12,0))*24)</f>
        <v>0</v>
      </c>
      <c r="H31" s="80">
        <f>H8/3.6/H3/(DAY(DATE(2026,12,0))*24)</f>
        <v>0</v>
      </c>
      <c r="I31" s="81">
        <f>I8/3.6/I3/(DATEDIF(DATE(2026,1,1),DATE(2026,12,1),"D")*24)</f>
        <v>0.116332031020972</v>
      </c>
      <c r="J31" s="79">
        <f>J8/3.6/J3/(DATEDIF(DATE(2026,1,1),DATE(2026,12,1),"D")*24)</f>
        <v>0.0572116220055602</v>
      </c>
      <c r="K31" s="79" t="e">
        <f>K8/3.6/K3/(DATEDIF(DATE(2026,1,1),DATE(2026,12,1),"D")*24)</f>
        <v>#DIV/0!</v>
      </c>
      <c r="L31" s="79">
        <f>(L8-L36)/3.6/L3/(DATEDIF(DATE(2026,1,1),DATE(2026,12,1),"D")*24)</f>
        <v>0.0269983558458207</v>
      </c>
      <c r="M31" s="80">
        <f>M8/3.6/M3/(DATEDIF(DATE(2026,1,1),DATE(2026,12,1),"D")*24)</f>
        <v>0.139467731453836</v>
      </c>
    </row>
    <row r="32" s="2" customFormat="1" ht="18" customHeight="1" spans="1:14">
      <c r="A32" s="51" t="s">
        <v>71</v>
      </c>
      <c r="B32" s="41" t="s">
        <v>72</v>
      </c>
      <c r="C32" s="42" t="s">
        <v>73</v>
      </c>
      <c r="D32" s="82"/>
      <c r="E32" s="83" t="e">
        <f>E8/E6</f>
        <v>#DIV/0!</v>
      </c>
      <c r="F32" s="83" t="e">
        <f>F8/F6</f>
        <v>#DIV/0!</v>
      </c>
      <c r="G32" s="83" t="e">
        <f>G8/G6</f>
        <v>#DIV/0!</v>
      </c>
      <c r="H32" s="83" t="e">
        <f>H8/H6</f>
        <v>#DIV/0!</v>
      </c>
      <c r="I32" s="84"/>
      <c r="J32" s="83" t="e">
        <f>J8/J6</f>
        <v>#DIV/0!</v>
      </c>
      <c r="K32" s="83" t="e">
        <f>K8/K6</f>
        <v>#DIV/0!</v>
      </c>
      <c r="L32" s="83" t="e">
        <f>L8/L6</f>
        <v>#DIV/0!</v>
      </c>
      <c r="M32" s="85" t="e">
        <f>M8/M6</f>
        <v>#DIV/0!</v>
      </c>
    </row>
    <row r="33" s="2" customFormat="1" ht="18" customHeight="1" spans="1:13">
      <c r="A33" s="51" t="s">
        <v>74</v>
      </c>
      <c r="B33" s="41" t="s">
        <v>75</v>
      </c>
      <c r="C33" s="42" t="s">
        <v>76</v>
      </c>
      <c r="D33" s="86"/>
      <c r="E33" s="87" t="e">
        <f>E12*1000/E6</f>
        <v>#DIV/0!</v>
      </c>
      <c r="F33" s="87" t="e">
        <f>F12*1000/F6</f>
        <v>#DIV/0!</v>
      </c>
      <c r="G33" s="87" t="e">
        <f>G12*1000/G6</f>
        <v>#DIV/0!</v>
      </c>
      <c r="H33" s="88" t="e">
        <f>H12*1000/H6</f>
        <v>#DIV/0!</v>
      </c>
      <c r="I33" s="89"/>
      <c r="J33" s="87" t="e">
        <f>J12*1000/J6</f>
        <v>#DIV/0!</v>
      </c>
      <c r="K33" s="87" t="e">
        <f>K12*1000/K6</f>
        <v>#DIV/0!</v>
      </c>
      <c r="L33" s="87" t="e">
        <f>L12*1000/L6</f>
        <v>#DIV/0!</v>
      </c>
      <c r="M33" s="88" t="e">
        <f>M12*1000/M6</f>
        <v>#DIV/0!</v>
      </c>
    </row>
    <row r="34" s="2" customFormat="1" ht="18" customHeight="1" spans="1:13">
      <c r="A34" s="51" t="s">
        <v>77</v>
      </c>
      <c r="B34" s="41" t="s">
        <v>78</v>
      </c>
      <c r="C34" s="42" t="s">
        <v>79</v>
      </c>
      <c r="D34" s="90"/>
      <c r="E34" s="87" t="e">
        <f>E17/E6</f>
        <v>#DIV/0!</v>
      </c>
      <c r="F34" s="87" t="e">
        <f>F17/F6</f>
        <v>#DIV/0!</v>
      </c>
      <c r="G34" s="87" t="e">
        <f>G17/G6</f>
        <v>#DIV/0!</v>
      </c>
      <c r="H34" s="88" t="e">
        <f>H17/H6</f>
        <v>#DIV/0!</v>
      </c>
      <c r="I34" s="91"/>
      <c r="J34" s="87" t="e">
        <f>J17/J6</f>
        <v>#DIV/0!</v>
      </c>
      <c r="K34" s="87" t="e">
        <f>K17/K6</f>
        <v>#DIV/0!</v>
      </c>
      <c r="L34" s="87" t="e">
        <f>L17/L6</f>
        <v>#DIV/0!</v>
      </c>
      <c r="M34" s="88" t="e">
        <f>M17/M6</f>
        <v>#DIV/0!</v>
      </c>
    </row>
    <row r="35" s="2" customFormat="1" ht="18" customHeight="1" spans="1:13">
      <c r="A35" s="92" t="s">
        <v>80</v>
      </c>
      <c r="B35" s="93" t="s">
        <v>81</v>
      </c>
      <c r="C35" s="94" t="s">
        <v>76</v>
      </c>
      <c r="D35" s="95"/>
      <c r="E35" s="96" t="e">
        <f>E15*1000/E6</f>
        <v>#DIV/0!</v>
      </c>
      <c r="F35" s="96" t="e">
        <f>F15*1000/F6</f>
        <v>#DIV/0!</v>
      </c>
      <c r="G35" s="96" t="e">
        <f>G15*1000/G6</f>
        <v>#DIV/0!</v>
      </c>
      <c r="H35" s="97" t="e">
        <f>H15*1000/H6</f>
        <v>#DIV/0!</v>
      </c>
      <c r="I35" s="98"/>
      <c r="J35" s="96" t="e">
        <f>J15*1000/J6</f>
        <v>#DIV/0!</v>
      </c>
      <c r="K35" s="96" t="e">
        <f>K15*1000/K6</f>
        <v>#DIV/0!</v>
      </c>
      <c r="L35" s="96" t="e">
        <f>L15*1000/L6</f>
        <v>#DIV/0!</v>
      </c>
      <c r="M35" s="97" t="e">
        <f>M15*1000/M6</f>
        <v>#DIV/0!</v>
      </c>
    </row>
    <row r="36" s="2" customFormat="1" ht="21" customHeight="1" spans="1:13">
      <c r="A36" s="99"/>
      <c r="B36" s="100" t="s">
        <v>82</v>
      </c>
      <c r="C36" s="101" t="s">
        <v>26</v>
      </c>
      <c r="D36" s="102"/>
      <c r="E36" s="102"/>
      <c r="F36" s="102"/>
      <c r="G36" s="102"/>
      <c r="H36" s="102"/>
      <c r="I36" s="102"/>
      <c r="J36" s="102"/>
      <c r="K36" s="102"/>
      <c r="L36" s="185">
        <f>G36+'26.10'!L36</f>
        <v>429980</v>
      </c>
      <c r="M36" s="102"/>
    </row>
    <row r="37" s="1" customFormat="1" ht="29.25" customHeight="1" spans="1:13">
      <c r="A37" s="103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3">
      <c r="A38" s="104" t="s">
        <v>0</v>
      </c>
      <c r="B38" s="105" t="s">
        <v>85</v>
      </c>
      <c r="C38" s="105" t="s">
        <v>2</v>
      </c>
      <c r="D38" s="106" t="s">
        <v>86</v>
      </c>
      <c r="E38" s="107" t="s">
        <v>87</v>
      </c>
      <c r="F38" s="2"/>
      <c r="G38" s="2"/>
      <c r="H38" s="2"/>
    </row>
    <row r="39" s="1" customFormat="1" ht="27.95" customHeight="1" spans="1:13">
      <c r="A39" s="27" t="s">
        <v>11</v>
      </c>
      <c r="B39" s="28" t="s">
        <v>12</v>
      </c>
      <c r="C39" s="29" t="s">
        <v>13</v>
      </c>
      <c r="D39" s="108">
        <v>0.55</v>
      </c>
      <c r="E39" s="109">
        <v>0.55</v>
      </c>
      <c r="F39" s="2"/>
      <c r="G39" s="2"/>
      <c r="H39" s="2"/>
    </row>
    <row r="40" s="1" customFormat="1" ht="27.95" customHeight="1" spans="1:13">
      <c r="A40" s="27" t="s">
        <v>14</v>
      </c>
      <c r="B40" s="28" t="s">
        <v>88</v>
      </c>
      <c r="C40" s="29" t="s">
        <v>16</v>
      </c>
      <c r="D40" s="110"/>
      <c r="E40" s="111">
        <f>D40</f>
        <v>0</v>
      </c>
      <c r="F40" s="2"/>
      <c r="G40" s="2"/>
      <c r="H40" s="2"/>
    </row>
    <row r="41" s="1" customFormat="1" ht="27.95" customHeight="1" spans="1:13">
      <c r="A41" s="27" t="s">
        <v>19</v>
      </c>
      <c r="B41" s="28" t="s">
        <v>89</v>
      </c>
      <c r="C41" s="29" t="s">
        <v>16</v>
      </c>
      <c r="D41" s="112"/>
      <c r="E41" s="113">
        <f>D41</f>
        <v>0</v>
      </c>
      <c r="F41" s="2"/>
      <c r="G41" s="2"/>
      <c r="H41" s="2"/>
    </row>
    <row r="42" s="1" customFormat="1" ht="27.95" customHeight="1" spans="1:13">
      <c r="A42" s="27" t="s">
        <v>21</v>
      </c>
      <c r="B42" s="41" t="s">
        <v>25</v>
      </c>
      <c r="C42" s="42" t="s">
        <v>26</v>
      </c>
      <c r="D42" s="114"/>
      <c r="E42" s="188">
        <f>D42+'26.10'!E42</f>
        <v>889</v>
      </c>
      <c r="F42" s="2"/>
      <c r="G42" s="2"/>
      <c r="H42" s="2"/>
    </row>
    <row r="43" s="1" customFormat="1" ht="27.95" customHeight="1" spans="1:13">
      <c r="A43" s="27" t="s">
        <v>24</v>
      </c>
      <c r="B43" s="41" t="s">
        <v>38</v>
      </c>
      <c r="C43" s="42" t="s">
        <v>23</v>
      </c>
      <c r="D43" s="110"/>
      <c r="E43" s="188">
        <f>D43+'26.10'!E43</f>
        <v>10</v>
      </c>
      <c r="F43" s="2"/>
      <c r="G43" s="2"/>
      <c r="H43" s="2"/>
    </row>
    <row r="44" s="1" customFormat="1" ht="27.95" customHeight="1" spans="1:13">
      <c r="A44" s="27" t="s">
        <v>27</v>
      </c>
      <c r="B44" s="41" t="s">
        <v>41</v>
      </c>
      <c r="C44" s="42" t="s">
        <v>42</v>
      </c>
      <c r="D44" s="110"/>
      <c r="E44" s="188">
        <f>D44+'26.10'!E44</f>
        <v>267664</v>
      </c>
      <c r="F44" s="2"/>
      <c r="G44" s="2"/>
      <c r="H44" s="2"/>
    </row>
    <row r="45" s="1" customFormat="1" ht="27.95" customHeight="1" spans="1:13">
      <c r="A45" s="27"/>
      <c r="B45" s="41" t="s">
        <v>90</v>
      </c>
      <c r="C45" s="42" t="s">
        <v>42</v>
      </c>
      <c r="D45" s="110">
        <f>D44</f>
        <v>0</v>
      </c>
      <c r="E45" s="188">
        <f>D45+'26.10'!E45</f>
        <v>267664</v>
      </c>
      <c r="F45" s="2"/>
      <c r="G45" s="2"/>
      <c r="H45" s="2"/>
    </row>
    <row r="46" s="1" customFormat="1" ht="27.95" customHeight="1" spans="1:13">
      <c r="A46" s="27" t="s">
        <v>29</v>
      </c>
      <c r="B46" s="41" t="s">
        <v>52</v>
      </c>
      <c r="C46" s="42" t="s">
        <v>53</v>
      </c>
      <c r="D46" s="116" t="e">
        <f>D44/D42</f>
        <v>#DIV/0!</v>
      </c>
      <c r="E46" s="117">
        <f>E44/E42</f>
        <v>301.084364454443</v>
      </c>
      <c r="F46" s="2"/>
      <c r="G46" s="2"/>
      <c r="H46" s="2"/>
    </row>
    <row r="47" s="1" customFormat="1" ht="27.95" customHeight="1" spans="1:13">
      <c r="A47" s="27" t="s">
        <v>31</v>
      </c>
      <c r="B47" s="41" t="s">
        <v>70</v>
      </c>
      <c r="C47" s="75" t="s">
        <v>68</v>
      </c>
      <c r="D47" s="118">
        <f>D42/3.6/D39/(DAY(DATE(2026,12,0))*24)</f>
        <v>0</v>
      </c>
      <c r="E47" s="119">
        <f>E42/3.6/E39/(DATEDIF(DATE(2026,1,1),DATE(2026,12,1),"D")*24)</f>
        <v>0.0560117139458457</v>
      </c>
      <c r="F47" s="2"/>
      <c r="G47" s="2"/>
      <c r="H47" s="2"/>
    </row>
    <row r="48" s="1" customFormat="1" ht="27.95" customHeight="1" spans="1:13">
      <c r="A48" s="27" t="s">
        <v>33</v>
      </c>
      <c r="B48" s="41" t="s">
        <v>72</v>
      </c>
      <c r="C48" s="42" t="s">
        <v>73</v>
      </c>
      <c r="D48" s="120" t="e">
        <f>D42/D41</f>
        <v>#DIV/0!</v>
      </c>
      <c r="E48" s="121" t="e">
        <f>E42/E41</f>
        <v>#DIV/0!</v>
      </c>
      <c r="F48" s="2"/>
      <c r="G48" s="2"/>
      <c r="H48" s="2"/>
    </row>
    <row r="49" s="1" customFormat="1" ht="27.95" customHeight="1" spans="1:10">
      <c r="A49" s="27" t="s">
        <v>37</v>
      </c>
      <c r="B49" s="41" t="s">
        <v>78</v>
      </c>
      <c r="C49" s="42" t="s">
        <v>79</v>
      </c>
      <c r="D49" s="122" t="e">
        <f>D44/D41</f>
        <v>#DIV/0!</v>
      </c>
      <c r="E49" s="123" t="e">
        <f>E44/E41</f>
        <v>#DIV/0!</v>
      </c>
      <c r="F49" s="2"/>
      <c r="G49" s="2"/>
      <c r="H49" s="2"/>
    </row>
    <row r="50" s="1" customFormat="1" ht="27.95" customHeight="1" spans="1:10">
      <c r="A50" s="124" t="s">
        <v>40</v>
      </c>
      <c r="B50" s="93" t="s">
        <v>81</v>
      </c>
      <c r="C50" s="94" t="s">
        <v>76</v>
      </c>
      <c r="D50" s="125" t="e">
        <f>D43*1000/D41</f>
        <v>#DIV/0!</v>
      </c>
      <c r="E50" s="125" t="e">
        <f>E43*1000/E41</f>
        <v>#DIV/0!</v>
      </c>
      <c r="F50" s="2"/>
      <c r="G50" s="2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3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26" t="s">
        <v>0</v>
      </c>
      <c r="B53" s="127" t="s">
        <v>85</v>
      </c>
      <c r="C53" s="127" t="s">
        <v>2</v>
      </c>
      <c r="D53" s="106" t="s">
        <v>86</v>
      </c>
      <c r="E53" s="9"/>
      <c r="F53" s="10"/>
      <c r="G53" s="128" t="s">
        <v>87</v>
      </c>
      <c r="H53" s="9"/>
      <c r="I53" s="9"/>
    </row>
    <row r="54" s="1" customFormat="1" ht="31.5" customHeight="1" spans="1:10">
      <c r="A54" s="12"/>
      <c r="B54" s="13"/>
      <c r="C54" s="13"/>
      <c r="D54" s="129" t="s">
        <v>92</v>
      </c>
      <c r="E54" s="129" t="s">
        <v>93</v>
      </c>
      <c r="F54" s="130" t="s">
        <v>9</v>
      </c>
      <c r="G54" s="131" t="s">
        <v>92</v>
      </c>
      <c r="H54" s="129" t="s">
        <v>93</v>
      </c>
      <c r="I54" s="132" t="s">
        <v>9</v>
      </c>
    </row>
    <row r="55" s="1" customFormat="1" ht="27.95" customHeight="1" spans="1:10">
      <c r="A55" s="27" t="s">
        <v>11</v>
      </c>
      <c r="B55" s="28" t="s">
        <v>12</v>
      </c>
      <c r="C55" s="29" t="s">
        <v>13</v>
      </c>
      <c r="D55" s="133">
        <v>6</v>
      </c>
      <c r="E55" s="133">
        <v>6.4</v>
      </c>
      <c r="F55" s="134">
        <f t="shared" ref="F55:F61" si="4">SUM(D55:E55)</f>
        <v>12.4</v>
      </c>
      <c r="G55" s="135">
        <f>D55</f>
        <v>6</v>
      </c>
      <c r="H55" s="136">
        <f>E55</f>
        <v>6.4</v>
      </c>
      <c r="I55" s="136">
        <f t="shared" ref="I55:I61" si="5">SUM(G55:H55)</f>
        <v>12.4</v>
      </c>
    </row>
    <row r="56" s="1" customFormat="1" ht="27.95" customHeight="1" spans="1:10">
      <c r="A56" s="27" t="s">
        <v>14</v>
      </c>
      <c r="B56" s="28" t="s">
        <v>88</v>
      </c>
      <c r="C56" s="29" t="s">
        <v>16</v>
      </c>
      <c r="D56" s="68"/>
      <c r="E56" s="68"/>
      <c r="F56" s="112">
        <f t="shared" si="4"/>
        <v>0</v>
      </c>
      <c r="G56" s="113">
        <f>D56</f>
        <v>0</v>
      </c>
      <c r="H56" s="113">
        <f>E56</f>
        <v>0</v>
      </c>
      <c r="I56" s="68">
        <f t="shared" si="5"/>
        <v>0</v>
      </c>
    </row>
    <row r="57" s="1" customFormat="1" ht="27.95" customHeight="1" spans="1:10">
      <c r="A57" s="27" t="s">
        <v>19</v>
      </c>
      <c r="B57" s="28" t="s">
        <v>89</v>
      </c>
      <c r="C57" s="29" t="s">
        <v>16</v>
      </c>
      <c r="D57" s="68"/>
      <c r="E57" s="68"/>
      <c r="F57" s="112">
        <f t="shared" si="4"/>
        <v>0</v>
      </c>
      <c r="G57" s="113">
        <f>D57</f>
        <v>0</v>
      </c>
      <c r="H57" s="113">
        <f>E57</f>
        <v>0</v>
      </c>
      <c r="I57" s="68">
        <f t="shared" si="5"/>
        <v>0</v>
      </c>
    </row>
    <row r="58" s="1" customFormat="1" ht="27.95" customHeight="1" spans="1:10">
      <c r="A58" s="27" t="s">
        <v>21</v>
      </c>
      <c r="B58" s="41" t="s">
        <v>25</v>
      </c>
      <c r="C58" s="42" t="s">
        <v>26</v>
      </c>
      <c r="D58" s="72"/>
      <c r="E58" s="137"/>
      <c r="F58" s="112">
        <f t="shared" si="4"/>
        <v>0</v>
      </c>
      <c r="G58" s="189">
        <f>D58+'26.10'!G58</f>
        <v>3813.3</v>
      </c>
      <c r="H58" s="189">
        <f>E58+'26.10'!H58</f>
        <v>6695.80000000001</v>
      </c>
      <c r="I58" s="68">
        <f t="shared" si="5"/>
        <v>10509.1</v>
      </c>
    </row>
    <row r="59" s="1" customFormat="1" ht="27.95" customHeight="1" spans="1:10">
      <c r="A59" s="27" t="s">
        <v>24</v>
      </c>
      <c r="B59" s="41" t="s">
        <v>38</v>
      </c>
      <c r="C59" s="42" t="s">
        <v>23</v>
      </c>
      <c r="D59" s="72"/>
      <c r="E59" s="72"/>
      <c r="F59" s="112">
        <f t="shared" si="4"/>
        <v>0</v>
      </c>
      <c r="G59" s="189">
        <f>D59+'26.10'!G59</f>
        <v>564.9</v>
      </c>
      <c r="H59" s="189">
        <f>E59+'26.10'!H59</f>
        <v>165.9</v>
      </c>
      <c r="I59" s="68">
        <f t="shared" si="5"/>
        <v>730.8</v>
      </c>
    </row>
    <row r="60" s="1" customFormat="1" ht="27.95" customHeight="1" spans="1:10">
      <c r="A60" s="27" t="s">
        <v>27</v>
      </c>
      <c r="B60" s="41" t="s">
        <v>41</v>
      </c>
      <c r="C60" s="42" t="s">
        <v>42</v>
      </c>
      <c r="D60" s="72"/>
      <c r="E60" s="72"/>
      <c r="F60" s="112">
        <f t="shared" si="4"/>
        <v>0</v>
      </c>
      <c r="G60" s="189">
        <f>D60+'26.10'!G60</f>
        <v>1184440</v>
      </c>
      <c r="H60" s="189">
        <f>E60+'26.10'!H60</f>
        <v>1991120</v>
      </c>
      <c r="I60" s="68">
        <f t="shared" si="5"/>
        <v>3175560</v>
      </c>
    </row>
    <row r="61" s="1" customFormat="1" ht="27.95" customHeight="1" spans="1:10">
      <c r="A61" s="27"/>
      <c r="B61" s="41" t="s">
        <v>90</v>
      </c>
      <c r="C61" s="42" t="s">
        <v>42</v>
      </c>
      <c r="D61" s="72"/>
      <c r="E61" s="72"/>
      <c r="F61" s="112">
        <f t="shared" si="4"/>
        <v>0</v>
      </c>
      <c r="G61" s="189">
        <f>D61+'26.10'!G61</f>
        <v>1184440</v>
      </c>
      <c r="H61" s="189">
        <f>E61+'26.10'!H61</f>
        <v>1991120</v>
      </c>
      <c r="I61" s="68">
        <f t="shared" si="5"/>
        <v>3175560</v>
      </c>
    </row>
    <row r="62" s="1" customFormat="1" ht="27.95" customHeight="1" spans="1:10">
      <c r="A62" s="27" t="s">
        <v>29</v>
      </c>
      <c r="B62" s="41" t="s">
        <v>52</v>
      </c>
      <c r="C62" s="42" t="s">
        <v>53</v>
      </c>
      <c r="D62" s="139" t="e">
        <f t="shared" ref="D62:I62" si="6">D60/D58</f>
        <v>#DIV/0!</v>
      </c>
      <c r="E62" s="139" t="e">
        <f t="shared" si="6"/>
        <v>#DIV/0!</v>
      </c>
      <c r="F62" s="116" t="e">
        <f t="shared" si="6"/>
        <v>#DIV/0!</v>
      </c>
      <c r="G62" s="140">
        <f t="shared" si="6"/>
        <v>310.607610206383</v>
      </c>
      <c r="H62" s="57">
        <f t="shared" si="6"/>
        <v>297.368499656501</v>
      </c>
      <c r="I62" s="58">
        <f t="shared" si="6"/>
        <v>302.172402965049</v>
      </c>
    </row>
    <row r="63" s="1" customFormat="1" ht="27.95" customHeight="1" spans="1:10">
      <c r="A63" s="27" t="s">
        <v>31</v>
      </c>
      <c r="B63" s="41" t="s">
        <v>70</v>
      </c>
      <c r="C63" s="75" t="s">
        <v>68</v>
      </c>
      <c r="D63" s="79">
        <f>D58/3.6/D55/(DAY(DATE(2026,12,0))*24)</f>
        <v>0</v>
      </c>
      <c r="E63" s="79">
        <f>E58/3.6/E55/(DAY(DATE(2026,12,0))*24)</f>
        <v>0</v>
      </c>
      <c r="F63" s="118">
        <f>F58/3.6/F55/(DAY(DATE(2026,12,0))*24)</f>
        <v>0</v>
      </c>
      <c r="G63" s="81">
        <f>G58/3.6/G55/(DATEDIF(DATE(2026,1,1),DATE(2026,12,1),"D")*24)</f>
        <v>0.0220236610113107</v>
      </c>
      <c r="H63" s="79">
        <f>H58/3.6/H55/(DATEDIF(DATE(2026,1,1),DATE(2026,12,1),"D")*24)</f>
        <v>0.036254530868818</v>
      </c>
      <c r="I63" s="80">
        <f>I58/3.6/I55/(DATEDIF(DATE(2026,1,1),DATE(2026,12,1),"D")*24)</f>
        <v>0.0293686260990564</v>
      </c>
    </row>
    <row r="64" s="1" customFormat="1" ht="27.95" customHeight="1" spans="1:10">
      <c r="A64" s="27" t="s">
        <v>33</v>
      </c>
      <c r="B64" s="41" t="s">
        <v>72</v>
      </c>
      <c r="C64" s="42" t="s">
        <v>73</v>
      </c>
      <c r="D64" s="83" t="e">
        <f t="shared" ref="D64:I64" si="7">D58/D57</f>
        <v>#DIV/0!</v>
      </c>
      <c r="E64" s="83" t="e">
        <f t="shared" si="7"/>
        <v>#DIV/0!</v>
      </c>
      <c r="F64" s="85" t="e">
        <f t="shared" si="7"/>
        <v>#DIV/0!</v>
      </c>
      <c r="G64" s="141" t="e">
        <f t="shared" si="7"/>
        <v>#DIV/0!</v>
      </c>
      <c r="H64" s="83" t="e">
        <f t="shared" si="7"/>
        <v>#DIV/0!</v>
      </c>
      <c r="I64" s="85" t="e">
        <f t="shared" si="7"/>
        <v>#DIV/0!</v>
      </c>
    </row>
    <row r="65" s="1" customFormat="1" ht="27.95" customHeight="1" spans="1:9">
      <c r="A65" s="27" t="s">
        <v>37</v>
      </c>
      <c r="B65" s="41" t="s">
        <v>78</v>
      </c>
      <c r="C65" s="42" t="s">
        <v>79</v>
      </c>
      <c r="D65" s="87" t="e">
        <f t="shared" ref="D65:I65" si="8">D60/D57</f>
        <v>#DIV/0!</v>
      </c>
      <c r="E65" s="87" t="e">
        <f t="shared" si="8"/>
        <v>#DIV/0!</v>
      </c>
      <c r="F65" s="88" t="e">
        <f t="shared" si="8"/>
        <v>#DIV/0!</v>
      </c>
      <c r="G65" s="142" t="e">
        <f t="shared" si="8"/>
        <v>#DIV/0!</v>
      </c>
      <c r="H65" s="87" t="e">
        <f t="shared" si="8"/>
        <v>#DIV/0!</v>
      </c>
      <c r="I65" s="88" t="e">
        <f t="shared" si="8"/>
        <v>#DIV/0!</v>
      </c>
    </row>
    <row r="66" s="1" customFormat="1" ht="27.95" customHeight="1" spans="1:9">
      <c r="A66" s="124" t="s">
        <v>40</v>
      </c>
      <c r="B66" s="93" t="s">
        <v>81</v>
      </c>
      <c r="C66" s="94" t="s">
        <v>76</v>
      </c>
      <c r="D66" s="96" t="e">
        <f t="shared" ref="D66:I66" si="9">D59*1000/D57</f>
        <v>#DIV/0!</v>
      </c>
      <c r="E66" s="96" t="e">
        <f t="shared" si="9"/>
        <v>#DIV/0!</v>
      </c>
      <c r="F66" s="97" t="e">
        <f t="shared" si="9"/>
        <v>#DIV/0!</v>
      </c>
      <c r="G66" s="143" t="e">
        <f t="shared" si="9"/>
        <v>#DIV/0!</v>
      </c>
      <c r="H66" s="96" t="e">
        <f t="shared" si="9"/>
        <v>#DIV/0!</v>
      </c>
      <c r="I66" s="97" t="e">
        <f t="shared" si="9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3" t="s">
        <v>94</v>
      </c>
      <c r="C68" s="4"/>
      <c r="D68" s="5"/>
    </row>
    <row r="69" s="1" customFormat="1" ht="30" customHeight="1" spans="1:9">
      <c r="A69" s="126" t="s">
        <v>0</v>
      </c>
      <c r="B69" s="7" t="s">
        <v>1</v>
      </c>
      <c r="C69" s="7" t="s">
        <v>2</v>
      </c>
      <c r="D69" s="106" t="s">
        <v>86</v>
      </c>
      <c r="E69" s="10"/>
      <c r="F69" s="144" t="s">
        <v>87</v>
      </c>
      <c r="G69" s="9"/>
    </row>
    <row r="70" s="1" customFormat="1" ht="30" customHeight="1" spans="1:9">
      <c r="A70" s="12"/>
      <c r="B70" s="13"/>
      <c r="C70" s="13"/>
      <c r="D70" s="129" t="s">
        <v>95</v>
      </c>
      <c r="E70" s="145" t="s">
        <v>96</v>
      </c>
      <c r="F70" s="131" t="s">
        <v>95</v>
      </c>
      <c r="G70" s="132" t="s">
        <v>96</v>
      </c>
    </row>
    <row r="71" s="1" customFormat="1" ht="27.95" customHeight="1" spans="1:9">
      <c r="A71" s="18" t="s">
        <v>11</v>
      </c>
      <c r="B71" s="19" t="s">
        <v>12</v>
      </c>
      <c r="C71" s="20" t="s">
        <v>13</v>
      </c>
      <c r="D71" s="23">
        <v>217</v>
      </c>
      <c r="E71" s="146">
        <v>1.4</v>
      </c>
      <c r="F71" s="147">
        <f>D71</f>
        <v>217</v>
      </c>
      <c r="G71" s="26">
        <f>E71</f>
        <v>1.4</v>
      </c>
    </row>
    <row r="72" s="1" customFormat="1" ht="27.95" customHeight="1" spans="1:9">
      <c r="A72" s="27" t="s">
        <v>14</v>
      </c>
      <c r="B72" s="41" t="s">
        <v>22</v>
      </c>
      <c r="C72" s="42" t="s">
        <v>23</v>
      </c>
      <c r="D72" s="72"/>
      <c r="E72" s="110"/>
      <c r="F72" s="148">
        <f>D72</f>
        <v>0</v>
      </c>
      <c r="G72" s="149">
        <f>E72</f>
        <v>0</v>
      </c>
    </row>
    <row r="73" s="1" customFormat="1" ht="27.95" customHeight="1" spans="1:9">
      <c r="A73" s="27" t="s">
        <v>19</v>
      </c>
      <c r="B73" s="41" t="s">
        <v>25</v>
      </c>
      <c r="C73" s="42" t="s">
        <v>26</v>
      </c>
      <c r="D73" s="68">
        <f>D72*2.951694</f>
        <v>0</v>
      </c>
      <c r="E73" s="150">
        <f>E72*2.732</f>
        <v>0</v>
      </c>
      <c r="F73" s="188">
        <f>D73+'26.10'!F73</f>
        <v>0</v>
      </c>
      <c r="G73" s="188">
        <f>E73+'26.10'!G73</f>
        <v>0</v>
      </c>
    </row>
    <row r="74" s="1" customFormat="1" ht="27.95" customHeight="1" spans="1:9">
      <c r="A74" s="27" t="s">
        <v>21</v>
      </c>
      <c r="B74" s="41" t="s">
        <v>97</v>
      </c>
      <c r="C74" s="42" t="s">
        <v>98</v>
      </c>
      <c r="D74" s="72"/>
      <c r="E74" s="110"/>
      <c r="F74" s="188">
        <f>D74+'26.10'!F74</f>
        <v>0</v>
      </c>
      <c r="G74" s="188">
        <f>E74+'26.10'!G74</f>
        <v>0</v>
      </c>
    </row>
    <row r="75" s="1" customFormat="1" ht="27.95" customHeight="1" spans="1:9">
      <c r="A75" s="27" t="s">
        <v>24</v>
      </c>
      <c r="B75" s="41" t="s">
        <v>34</v>
      </c>
      <c r="C75" s="42" t="s">
        <v>23</v>
      </c>
      <c r="D75" s="68">
        <f>D74*D80/29308/1000</f>
        <v>0</v>
      </c>
      <c r="E75" s="112">
        <f>E74*E80/29308/1000</f>
        <v>0</v>
      </c>
      <c r="F75" s="188">
        <f>D75+'26.10'!F75</f>
        <v>0</v>
      </c>
      <c r="G75" s="188">
        <f>E75+'26.10'!G75</f>
        <v>0</v>
      </c>
    </row>
    <row r="76" s="1" customFormat="1" ht="27.95" customHeight="1" spans="1:9">
      <c r="A76" s="27" t="s">
        <v>27</v>
      </c>
      <c r="B76" s="41" t="s">
        <v>38</v>
      </c>
      <c r="C76" s="42" t="s">
        <v>23</v>
      </c>
      <c r="D76" s="72"/>
      <c r="E76" s="151"/>
      <c r="F76" s="188">
        <f>D76+'26.10'!F76</f>
        <v>0</v>
      </c>
      <c r="G76" s="188">
        <f>E76+'26.10'!G76</f>
        <v>0</v>
      </c>
    </row>
    <row r="77" s="1" customFormat="1" ht="27.95" customHeight="1" spans="1:9">
      <c r="A77" s="27" t="s">
        <v>29</v>
      </c>
      <c r="B77" s="41" t="s">
        <v>41</v>
      </c>
      <c r="C77" s="42" t="s">
        <v>42</v>
      </c>
      <c r="D77" s="72"/>
      <c r="E77" s="151"/>
      <c r="F77" s="188">
        <f>D77+'26.10'!F77</f>
        <v>0</v>
      </c>
      <c r="G77" s="188">
        <f>E77+'26.10'!G77</f>
        <v>0</v>
      </c>
    </row>
    <row r="78" s="1" customFormat="1" ht="27.95" customHeight="1" spans="1:9">
      <c r="A78" s="27" t="s">
        <v>31</v>
      </c>
      <c r="B78" s="41" t="s">
        <v>52</v>
      </c>
      <c r="C78" s="42" t="s">
        <v>53</v>
      </c>
      <c r="D78" s="152" t="e">
        <f>D77/D73</f>
        <v>#DIV/0!</v>
      </c>
      <c r="E78" s="153"/>
      <c r="F78" s="154" t="e">
        <f>F77/F73</f>
        <v>#DIV/0!</v>
      </c>
      <c r="G78" s="155"/>
    </row>
    <row r="79" s="1" customFormat="1" ht="27.95" customHeight="1" spans="1:9">
      <c r="A79" s="27" t="s">
        <v>33</v>
      </c>
      <c r="B79" s="41" t="s">
        <v>55</v>
      </c>
      <c r="C79" s="42" t="s">
        <v>56</v>
      </c>
      <c r="D79" s="57" t="e">
        <f>D75*1000/D73</f>
        <v>#DIV/0!</v>
      </c>
      <c r="E79" s="156" t="e">
        <f>E75*1000/E73</f>
        <v>#DIV/0!</v>
      </c>
      <c r="F79" s="157" t="e">
        <f>F75*1000/F73</f>
        <v>#DIV/0!</v>
      </c>
      <c r="G79" s="58" t="e">
        <f>G75*1000/G73</f>
        <v>#DIV/0!</v>
      </c>
    </row>
    <row r="80" s="1" customFormat="1" ht="27.95" customHeight="1" spans="1:9">
      <c r="A80" s="27" t="s">
        <v>37</v>
      </c>
      <c r="B80" s="41" t="s">
        <v>99</v>
      </c>
      <c r="C80" s="42" t="s">
        <v>100</v>
      </c>
      <c r="D80" s="33"/>
      <c r="E80" s="158"/>
      <c r="F80" s="159" t="e">
        <f>F75*29308*1000/F74</f>
        <v>#DIV/0!</v>
      </c>
      <c r="G80" s="68" t="e">
        <f>G75*29308*1000/G74</f>
        <v>#DIV/0!</v>
      </c>
    </row>
    <row r="81" s="1" customFormat="1" ht="27.95" customHeight="1" spans="1:11">
      <c r="A81" s="27" t="s">
        <v>40</v>
      </c>
      <c r="B81" s="41" t="s">
        <v>67</v>
      </c>
      <c r="C81" s="75" t="s">
        <v>68</v>
      </c>
      <c r="D81" s="76" t="e">
        <f>D73/(D75*29.308)</f>
        <v>#DIV/0!</v>
      </c>
      <c r="E81" s="160" t="e">
        <f>E73/(E75*29.308)</f>
        <v>#DIV/0!</v>
      </c>
      <c r="F81" s="161" t="e">
        <f>F73/(F75*29.308)</f>
        <v>#DIV/0!</v>
      </c>
      <c r="G81" s="77" t="e">
        <f>G73/(G75*29.308)</f>
        <v>#DIV/0!</v>
      </c>
    </row>
    <row r="82" s="1" customFormat="1" ht="27.95" customHeight="1" spans="1:11">
      <c r="A82" s="124" t="s">
        <v>47</v>
      </c>
      <c r="B82" s="162" t="s">
        <v>70</v>
      </c>
      <c r="C82" s="163" t="s">
        <v>68</v>
      </c>
      <c r="D82" s="164">
        <f>D73/3.6/D71/(DAY(DATE(2026,12,0))*24)</f>
        <v>0</v>
      </c>
      <c r="E82" s="165">
        <f>E73/3.6/E71/(DAY(DATE(2026,12,0))*24)</f>
        <v>0</v>
      </c>
      <c r="F82" s="166">
        <f>F73/3.6/F71/(DATEDIF(DATE(2026,1,1),DATE(2026,12,1),"D")*24)</f>
        <v>0</v>
      </c>
      <c r="G82" s="167">
        <f>G73/3.6/G71/(DATEDIF(DATE(2026,1,1),DATE(2026,12,1),"D")*24)</f>
        <v>0</v>
      </c>
    </row>
    <row r="83" s="1" customFormat="1" ht="18" customHeight="1" spans="1:11">
      <c r="B83" s="168"/>
      <c r="C83" s="168"/>
      <c r="D83" s="5"/>
    </row>
    <row r="84" s="1" customFormat="1" ht="16.25" spans="1:11">
      <c r="A84" s="103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ht="14" spans="1:11">
      <c r="A85" s="126" t="s">
        <v>0</v>
      </c>
      <c r="B85" s="127" t="s">
        <v>85</v>
      </c>
      <c r="C85" s="127" t="s">
        <v>2</v>
      </c>
      <c r="D85" s="169" t="s">
        <v>86</v>
      </c>
      <c r="E85" s="129" t="s">
        <v>87</v>
      </c>
      <c r="F85" s="169" t="s">
        <v>102</v>
      </c>
      <c r="G85" s="169" t="s">
        <v>103</v>
      </c>
      <c r="H85" s="170"/>
      <c r="I85" s="170"/>
    </row>
    <row r="86" s="1" customFormat="1" ht="14" spans="1:11">
      <c r="A86" s="12"/>
      <c r="B86" s="13"/>
      <c r="C86" s="13"/>
      <c r="D86" s="169" t="s">
        <v>104</v>
      </c>
      <c r="E86" s="169" t="s">
        <v>104</v>
      </c>
      <c r="F86" s="13"/>
      <c r="G86" s="13"/>
      <c r="H86" s="170"/>
      <c r="I86" s="103"/>
    </row>
    <row r="87" s="1" customFormat="1" ht="14" spans="1:11">
      <c r="A87" s="27" t="s">
        <v>11</v>
      </c>
      <c r="B87" s="28" t="s">
        <v>12</v>
      </c>
      <c r="C87" s="29" t="s">
        <v>13</v>
      </c>
      <c r="D87" s="171">
        <v>0.7888</v>
      </c>
      <c r="E87" s="172">
        <f>D87</f>
        <v>0.7888</v>
      </c>
      <c r="F87" s="173">
        <f>F55+D87</f>
        <v>13.1888</v>
      </c>
      <c r="G87" s="173">
        <f>E87+I55</f>
        <v>13.1888</v>
      </c>
      <c r="H87" s="135"/>
      <c r="I87" s="135"/>
    </row>
    <row r="88" s="1" customFormat="1" ht="14" spans="1:11">
      <c r="A88" s="27" t="s">
        <v>14</v>
      </c>
      <c r="B88" s="28" t="s">
        <v>88</v>
      </c>
      <c r="C88" s="29" t="s">
        <v>16</v>
      </c>
      <c r="D88" s="174"/>
      <c r="E88" s="175">
        <f>D88</f>
        <v>0</v>
      </c>
      <c r="F88" s="176">
        <f>D88+D56+E56</f>
        <v>0</v>
      </c>
      <c r="G88" s="176">
        <f>E88+G56+H56</f>
        <v>0</v>
      </c>
      <c r="H88" s="111"/>
      <c r="I88" s="111"/>
    </row>
    <row r="89" s="1" customFormat="1" ht="14" spans="1:11">
      <c r="A89" s="27" t="s">
        <v>19</v>
      </c>
      <c r="B89" s="28" t="s">
        <v>89</v>
      </c>
      <c r="C89" s="29" t="s">
        <v>16</v>
      </c>
      <c r="D89" s="174"/>
      <c r="E89" s="175">
        <f>D89</f>
        <v>0</v>
      </c>
      <c r="F89" s="176">
        <f>D89+D57+E57</f>
        <v>0</v>
      </c>
      <c r="G89" s="176">
        <f>E89+G57+H57</f>
        <v>0</v>
      </c>
      <c r="H89" s="111"/>
      <c r="I89" s="111"/>
    </row>
    <row r="90" s="1" customFormat="1" ht="14" spans="1:11">
      <c r="A90" s="27" t="s">
        <v>21</v>
      </c>
      <c r="B90" s="41" t="s">
        <v>25</v>
      </c>
      <c r="C90" s="42" t="s">
        <v>26</v>
      </c>
      <c r="D90" s="174"/>
      <c r="E90" s="190">
        <f>D90+'26.10'!E90</f>
        <v>6355.62400900001</v>
      </c>
      <c r="F90" s="178">
        <f>F58+D90</f>
        <v>0</v>
      </c>
      <c r="G90" s="178">
        <f>E90+I58</f>
        <v>16864.724009</v>
      </c>
      <c r="H90" s="111"/>
      <c r="I90" s="111"/>
    </row>
    <row r="91" s="1" customFormat="1" ht="14" spans="1:11">
      <c r="A91" s="27" t="s">
        <v>24</v>
      </c>
      <c r="B91" s="41" t="s">
        <v>38</v>
      </c>
      <c r="C91" s="42" t="s">
        <v>23</v>
      </c>
      <c r="D91" s="174"/>
      <c r="E91" s="190">
        <f>D91+'26.10'!E91</f>
        <v>86.5</v>
      </c>
      <c r="F91" s="178">
        <f>F59+D91</f>
        <v>0</v>
      </c>
      <c r="G91" s="178">
        <f>E91+I59</f>
        <v>817.3</v>
      </c>
      <c r="H91" s="111"/>
      <c r="I91" s="111"/>
    </row>
    <row r="92" s="1" customFormat="1" ht="14" spans="1:11">
      <c r="A92" s="27" t="s">
        <v>27</v>
      </c>
      <c r="B92" s="41" t="s">
        <v>41</v>
      </c>
      <c r="C92" s="42" t="s">
        <v>42</v>
      </c>
      <c r="D92" s="174"/>
      <c r="E92" s="190">
        <f>D92+'26.10'!E92</f>
        <v>780380.88</v>
      </c>
      <c r="F92" s="178">
        <f>F60+D92</f>
        <v>0</v>
      </c>
      <c r="G92" s="178">
        <f>E92+I60</f>
        <v>3955940.88</v>
      </c>
      <c r="H92" s="111"/>
      <c r="I92" s="111"/>
    </row>
    <row r="93" s="1" customFormat="1" ht="14" spans="1:11">
      <c r="A93" s="27"/>
      <c r="B93" s="41" t="s">
        <v>90</v>
      </c>
      <c r="C93" s="42" t="s">
        <v>42</v>
      </c>
      <c r="D93" s="174"/>
      <c r="E93" s="190">
        <f>D93+'26.10'!E93</f>
        <v>0</v>
      </c>
      <c r="F93" s="178">
        <f>F61+D93</f>
        <v>0</v>
      </c>
      <c r="G93" s="178">
        <f>E93+I61</f>
        <v>3175560</v>
      </c>
      <c r="H93" s="111"/>
      <c r="I93" s="111"/>
    </row>
    <row r="94" s="1" customFormat="1" ht="14" spans="1:11">
      <c r="A94" s="27" t="s">
        <v>29</v>
      </c>
      <c r="B94" s="41" t="s">
        <v>52</v>
      </c>
      <c r="C94" s="42" t="s">
        <v>53</v>
      </c>
      <c r="D94" s="179" t="e">
        <f>D92/D90</f>
        <v>#DIV/0!</v>
      </c>
      <c r="E94" s="179">
        <f>E92/E90</f>
        <v>122.785878915261</v>
      </c>
      <c r="F94" s="179" t="e">
        <f>F92/F90</f>
        <v>#DIV/0!</v>
      </c>
      <c r="G94" s="179">
        <f>G92/G90</f>
        <v>234.568966434842</v>
      </c>
      <c r="H94" s="117"/>
      <c r="I94" s="117"/>
    </row>
    <row r="95" s="1" customFormat="1" ht="14" spans="1:11">
      <c r="A95" s="27" t="s">
        <v>31</v>
      </c>
      <c r="B95" s="41" t="s">
        <v>105</v>
      </c>
      <c r="C95" s="75" t="s">
        <v>68</v>
      </c>
      <c r="D95" s="180">
        <f>D90/3.6/D87/(DAY(DATE(2026,12,0))*24)</f>
        <v>0</v>
      </c>
      <c r="E95" s="80">
        <f>E90/3.6/E87/(DATEDIF(DATE(2026,1,1),DATE(2026,12,1),"D")*24)</f>
        <v>0.279210075287292</v>
      </c>
      <c r="F95" s="180">
        <f>F90/3.6/F87/(DAY(DATE(2026,12,0))*24)</f>
        <v>0</v>
      </c>
      <c r="G95" s="80">
        <f>G90/3.6/G87/(DATEDIF(DATE(2026,1,1),DATE(2026,12,1),"D")*24)</f>
        <v>0.0443112239942159</v>
      </c>
      <c r="H95" s="181"/>
      <c r="I95" s="181"/>
      <c r="K95" s="182"/>
    </row>
    <row r="96" s="1" customFormat="1" ht="14" spans="1:11">
      <c r="A96" s="27" t="s">
        <v>33</v>
      </c>
      <c r="B96" s="41" t="s">
        <v>72</v>
      </c>
      <c r="C96" s="42" t="s">
        <v>73</v>
      </c>
      <c r="D96" s="183" t="e">
        <f>D90/D89</f>
        <v>#DIV/0!</v>
      </c>
      <c r="E96" s="183" t="e">
        <f>E90/E89</f>
        <v>#DIV/0!</v>
      </c>
      <c r="F96" s="183" t="e">
        <f>F90/F89</f>
        <v>#DIV/0!</v>
      </c>
      <c r="G96" s="183" t="e">
        <f>G90/G89</f>
        <v>#DIV/0!</v>
      </c>
      <c r="H96" s="121"/>
      <c r="I96" s="121"/>
    </row>
    <row r="97" s="1" customFormat="1" ht="14" spans="1:9">
      <c r="A97" s="27" t="s">
        <v>37</v>
      </c>
      <c r="B97" s="41" t="s">
        <v>78</v>
      </c>
      <c r="C97" s="42" t="s">
        <v>79</v>
      </c>
      <c r="D97" s="184" t="e">
        <f>D92/D89</f>
        <v>#DIV/0!</v>
      </c>
      <c r="E97" s="184" t="e">
        <f>E92/E89</f>
        <v>#DIV/0!</v>
      </c>
      <c r="F97" s="184" t="e">
        <f>F92/F89</f>
        <v>#DIV/0!</v>
      </c>
      <c r="G97" s="184" t="e">
        <f>G92/G89</f>
        <v>#DIV/0!</v>
      </c>
      <c r="H97" s="123"/>
      <c r="I97" s="123"/>
    </row>
    <row r="98" s="1" customFormat="1" ht="14.75" spans="1:9">
      <c r="A98" s="124" t="s">
        <v>40</v>
      </c>
      <c r="B98" s="93" t="s">
        <v>81</v>
      </c>
      <c r="C98" s="94" t="s">
        <v>76</v>
      </c>
      <c r="D98" s="184" t="e">
        <f>D91*1000/D89</f>
        <v>#DIV/0!</v>
      </c>
      <c r="E98" s="184" t="e">
        <f>E91*1000/E89</f>
        <v>#DIV/0!</v>
      </c>
      <c r="F98" s="184" t="e">
        <f>F91*1000/F89</f>
        <v>#DIV/0!</v>
      </c>
      <c r="G98" s="184" t="e">
        <f>G91*1000/G89</f>
        <v>#DIV/0!</v>
      </c>
      <c r="H98" s="123"/>
      <c r="I98" s="123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&amp;C&amp;20 2022年11月份集团各锅炉站生产报表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 customWidth="1"/>
    <col min="15" max="16384" width="8.625" style="1" customWidth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</row>
    <row r="2" s="1" customFormat="1" ht="39.95" customHeight="1" spans="1:14">
      <c r="A2" s="12"/>
      <c r="B2" s="13"/>
      <c r="C2" s="13"/>
      <c r="D2" s="14" t="s">
        <v>5</v>
      </c>
      <c r="E2" s="14" t="s">
        <v>6</v>
      </c>
      <c r="F2" s="14" t="s">
        <v>7</v>
      </c>
      <c r="G2" s="15" t="s">
        <v>8</v>
      </c>
      <c r="H2" s="16" t="s">
        <v>9</v>
      </c>
      <c r="I2" s="17" t="s">
        <v>5</v>
      </c>
      <c r="J2" s="14" t="s">
        <v>6</v>
      </c>
      <c r="K2" s="14" t="s">
        <v>7</v>
      </c>
      <c r="L2" s="15" t="s">
        <v>10</v>
      </c>
      <c r="M2" s="16" t="s">
        <v>9</v>
      </c>
    </row>
    <row r="3" s="1" customFormat="1" ht="18" customHeight="1" spans="1:14">
      <c r="A3" s="18" t="s">
        <v>11</v>
      </c>
      <c r="B3" s="19" t="s">
        <v>12</v>
      </c>
      <c r="C3" s="20" t="s">
        <v>13</v>
      </c>
      <c r="D3" s="21">
        <v>348</v>
      </c>
      <c r="E3" s="22">
        <v>162</v>
      </c>
      <c r="F3" s="22"/>
      <c r="G3" s="23">
        <v>14</v>
      </c>
      <c r="H3" s="24">
        <f>E3+F3+G3</f>
        <v>176</v>
      </c>
      <c r="I3" s="25">
        <f>D3</f>
        <v>348</v>
      </c>
      <c r="J3" s="21">
        <f>E3</f>
        <v>162</v>
      </c>
      <c r="K3" s="21">
        <f>F3</f>
        <v>0</v>
      </c>
      <c r="L3" s="26">
        <f>G3</f>
        <v>14</v>
      </c>
      <c r="M3" s="24">
        <f t="shared" ref="M3:M12" si="0">J3+K3+L3</f>
        <v>176</v>
      </c>
    </row>
    <row r="4" s="1" customFormat="1" ht="18" customHeight="1" spans="1:14">
      <c r="A4" s="27" t="s">
        <v>14</v>
      </c>
      <c r="B4" s="28" t="s">
        <v>15</v>
      </c>
      <c r="C4" s="29" t="s">
        <v>16</v>
      </c>
      <c r="D4" s="30" t="s">
        <v>17</v>
      </c>
      <c r="E4" s="31"/>
      <c r="F4" s="32"/>
      <c r="G4" s="33"/>
      <c r="H4" s="34"/>
      <c r="I4" s="35" t="str">
        <f>D4</f>
        <v> -   </v>
      </c>
      <c r="J4" s="31">
        <f>E4</f>
        <v>0</v>
      </c>
      <c r="K4" s="36">
        <f>F4</f>
        <v>0</v>
      </c>
      <c r="L4" s="37">
        <f>G4</f>
        <v>0</v>
      </c>
      <c r="M4" s="34">
        <f t="shared" si="0"/>
        <v>0</v>
      </c>
    </row>
    <row r="5" s="1" customFormat="1" ht="18" customHeight="1" spans="1:14">
      <c r="A5" s="27"/>
      <c r="B5" s="28" t="s">
        <v>18</v>
      </c>
      <c r="C5" s="29" t="s">
        <v>16</v>
      </c>
      <c r="D5" s="30" t="s">
        <v>17</v>
      </c>
      <c r="E5" s="32">
        <v>55000</v>
      </c>
      <c r="F5" s="38">
        <v>0</v>
      </c>
      <c r="G5" s="39">
        <v>0</v>
      </c>
      <c r="H5" s="34">
        <f>E5+F5+G5</f>
        <v>55000</v>
      </c>
      <c r="I5" s="35" t="str">
        <f>D5</f>
        <v> -   </v>
      </c>
      <c r="J5" s="31">
        <f>E5</f>
        <v>55000</v>
      </c>
      <c r="K5" s="36">
        <f>F5</f>
        <v>0</v>
      </c>
      <c r="L5" s="37">
        <f>G5</f>
        <v>0</v>
      </c>
      <c r="M5" s="34">
        <f t="shared" si="0"/>
        <v>55000</v>
      </c>
    </row>
    <row r="6" s="1" customFormat="1" ht="18" customHeight="1" spans="1:14">
      <c r="A6" s="27" t="s">
        <v>19</v>
      </c>
      <c r="B6" s="28" t="s">
        <v>20</v>
      </c>
      <c r="C6" s="29" t="s">
        <v>16</v>
      </c>
      <c r="D6" s="30" t="s">
        <v>17</v>
      </c>
      <c r="E6" s="33">
        <f>E4</f>
        <v>0</v>
      </c>
      <c r="F6" s="33">
        <f>F4</f>
        <v>0</v>
      </c>
      <c r="G6" s="33">
        <f>G4</f>
        <v>0</v>
      </c>
      <c r="H6" s="34">
        <f>E6+F6+G6</f>
        <v>0</v>
      </c>
      <c r="I6" s="35" t="str">
        <f>D6</f>
        <v> -   </v>
      </c>
      <c r="J6" s="40">
        <f>E6</f>
        <v>0</v>
      </c>
      <c r="K6" s="40">
        <f>F6</f>
        <v>0</v>
      </c>
      <c r="L6" s="40">
        <f>G6</f>
        <v>0</v>
      </c>
      <c r="M6" s="34">
        <f t="shared" si="0"/>
        <v>0</v>
      </c>
    </row>
    <row r="7" s="2" customFormat="1" ht="18" customHeight="1" spans="1:14">
      <c r="A7" s="27" t="s">
        <v>21</v>
      </c>
      <c r="B7" s="41" t="s">
        <v>22</v>
      </c>
      <c r="C7" s="42" t="s">
        <v>23</v>
      </c>
      <c r="D7" s="39">
        <v>0</v>
      </c>
      <c r="E7" s="39">
        <v>0</v>
      </c>
      <c r="F7" s="39">
        <v>0</v>
      </c>
      <c r="G7" s="39"/>
      <c r="H7" s="34">
        <f>E7+F7+G7</f>
        <v>0</v>
      </c>
      <c r="I7" s="43">
        <f>D7+'26.11'!I7</f>
        <v>0</v>
      </c>
      <c r="J7" s="43">
        <f>E7+'26.11'!J7</f>
        <v>0</v>
      </c>
      <c r="K7" s="43">
        <f>F7+'26.11'!K7</f>
        <v>0</v>
      </c>
      <c r="L7" s="43">
        <f>G7+'26.11'!L7</f>
        <v>0</v>
      </c>
      <c r="M7" s="34">
        <f t="shared" si="0"/>
        <v>0</v>
      </c>
    </row>
    <row r="8" s="2" customFormat="1" ht="18" customHeight="1" spans="1:14">
      <c r="A8" s="27" t="s">
        <v>24</v>
      </c>
      <c r="B8" s="41" t="s">
        <v>25</v>
      </c>
      <c r="C8" s="42" t="s">
        <v>26</v>
      </c>
      <c r="D8" s="44"/>
      <c r="E8" s="39"/>
      <c r="F8" s="38"/>
      <c r="G8" s="33"/>
      <c r="H8" s="34"/>
      <c r="I8" s="43">
        <f>D8+'26.11'!I8</f>
        <v>1168258</v>
      </c>
      <c r="J8" s="43">
        <f>E8+'26.11'!J8</f>
        <v>267460.3967164</v>
      </c>
      <c r="K8" s="43">
        <f>F8+'26.11'!K8</f>
        <v>0</v>
      </c>
      <c r="L8" s="43">
        <f>G8+'26.11'!L8</f>
        <v>440887.508551189</v>
      </c>
      <c r="M8" s="34">
        <f t="shared" si="0"/>
        <v>708347.905267589</v>
      </c>
      <c r="N8" s="45"/>
    </row>
    <row r="9" s="2" customFormat="1" ht="18" customHeight="1" spans="1:14">
      <c r="A9" s="27" t="s">
        <v>27</v>
      </c>
      <c r="B9" s="41" t="s">
        <v>28</v>
      </c>
      <c r="C9" s="42" t="s">
        <v>26</v>
      </c>
      <c r="D9" s="39"/>
      <c r="E9" s="46">
        <f>[1]售热量!$Y$25</f>
        <v>0</v>
      </c>
      <c r="F9" s="38"/>
      <c r="G9" s="38"/>
      <c r="H9" s="34">
        <f>E9+F9+G9</f>
        <v>0</v>
      </c>
      <c r="I9" s="43">
        <f>D9+'26.11'!I9</f>
        <v>0</v>
      </c>
      <c r="J9" s="43">
        <f>E9+'26.11'!J9</f>
        <v>8828</v>
      </c>
      <c r="K9" s="43">
        <f>F9+'26.11'!K9</f>
        <v>0</v>
      </c>
      <c r="L9" s="43">
        <f>G9+'26.11'!L9</f>
        <v>0</v>
      </c>
      <c r="M9" s="34">
        <f t="shared" si="0"/>
        <v>8828</v>
      </c>
    </row>
    <row r="10" s="2" customFormat="1" ht="18" customHeight="1" spans="1:14">
      <c r="A10" s="27" t="s">
        <v>29</v>
      </c>
      <c r="B10" s="41" t="s">
        <v>30</v>
      </c>
      <c r="C10" s="42" t="s">
        <v>23</v>
      </c>
      <c r="D10" s="39"/>
      <c r="E10" s="32"/>
      <c r="F10" s="38"/>
      <c r="G10" s="33"/>
      <c r="H10" s="34">
        <f>E10+F10+G10</f>
        <v>0</v>
      </c>
      <c r="I10" s="43">
        <f>D10+'26.11'!I10</f>
        <v>66226</v>
      </c>
      <c r="J10" s="43">
        <f>E10+'26.11'!J10</f>
        <v>21656</v>
      </c>
      <c r="K10" s="43">
        <f>F10+'26.11'!K10</f>
        <v>0</v>
      </c>
      <c r="L10" s="43">
        <f>G10+'26.11'!L10</f>
        <v>931</v>
      </c>
      <c r="M10" s="34">
        <f t="shared" si="0"/>
        <v>22587</v>
      </c>
    </row>
    <row r="11" s="2" customFormat="1" ht="18" customHeight="1" spans="1:14">
      <c r="A11" s="27" t="s">
        <v>31</v>
      </c>
      <c r="B11" s="41" t="s">
        <v>32</v>
      </c>
      <c r="C11" s="42" t="s">
        <v>23</v>
      </c>
      <c r="D11" s="39"/>
      <c r="E11" s="39"/>
      <c r="F11" s="39"/>
      <c r="G11" s="39"/>
      <c r="H11" s="34">
        <f>E11+F11+G11</f>
        <v>0</v>
      </c>
      <c r="I11" s="43">
        <f>D11+'26.11'!I11</f>
        <v>16.2</v>
      </c>
      <c r="J11" s="43">
        <f>E11+'26.11'!J11</f>
        <v>0</v>
      </c>
      <c r="K11" s="43">
        <f>F11+'26.11'!K11</f>
        <v>0</v>
      </c>
      <c r="L11" s="43">
        <f>G11+'26.11'!L11</f>
        <v>0</v>
      </c>
      <c r="M11" s="34">
        <f t="shared" si="0"/>
        <v>0</v>
      </c>
    </row>
    <row r="12" s="2" customFormat="1" ht="18" customHeight="1" spans="1:14">
      <c r="A12" s="27" t="s">
        <v>33</v>
      </c>
      <c r="B12" s="41" t="s">
        <v>34</v>
      </c>
      <c r="C12" s="42" t="s">
        <v>23</v>
      </c>
      <c r="D12" s="44">
        <f>D13+D14</f>
        <v>0</v>
      </c>
      <c r="E12" s="44">
        <f>E13+E14</f>
        <v>0</v>
      </c>
      <c r="F12" s="44">
        <f>F13+F14</f>
        <v>0</v>
      </c>
      <c r="G12" s="44">
        <f>G13+G14</f>
        <v>0</v>
      </c>
      <c r="H12" s="34">
        <f>E12+F12+G12</f>
        <v>0</v>
      </c>
      <c r="I12" s="43">
        <f>D12+'26.11'!I12</f>
        <v>43472.2579475284</v>
      </c>
      <c r="J12" s="43">
        <f>E12+'26.11'!J12</f>
        <v>13036.909</v>
      </c>
      <c r="K12" s="43">
        <f>F12+'26.11'!K12</f>
        <v>0</v>
      </c>
      <c r="L12" s="43">
        <f>G12+'26.11'!L12</f>
        <v>620.280370522607</v>
      </c>
      <c r="M12" s="34">
        <f t="shared" si="0"/>
        <v>13657.1893705226</v>
      </c>
    </row>
    <row r="13" s="2" customFormat="1" ht="18" customHeight="1" spans="1:14">
      <c r="A13" s="27"/>
      <c r="B13" s="41" t="s">
        <v>35</v>
      </c>
      <c r="C13" s="42" t="s">
        <v>23</v>
      </c>
      <c r="D13" s="39"/>
      <c r="E13" s="39"/>
      <c r="F13" s="39"/>
      <c r="G13" s="44"/>
      <c r="H13" s="47"/>
      <c r="I13" s="43">
        <f>D13+'26.11'!I13</f>
        <v>43448.6529275284</v>
      </c>
      <c r="J13" s="43">
        <f>E13+'26.11'!J13</f>
        <v>13036.909</v>
      </c>
      <c r="K13" s="43">
        <f>F13+'26.11'!K13</f>
        <v>0</v>
      </c>
      <c r="L13" s="43">
        <f>G13+'26.11'!L13</f>
        <v>620.280370522607</v>
      </c>
      <c r="M13" s="47"/>
    </row>
    <row r="14" s="2" customFormat="1" ht="18" customHeight="1" spans="1:14">
      <c r="A14" s="27"/>
      <c r="B14" s="41" t="s">
        <v>36</v>
      </c>
      <c r="C14" s="42" t="s">
        <v>23</v>
      </c>
      <c r="D14" s="44"/>
      <c r="E14" s="39"/>
      <c r="F14" s="39"/>
      <c r="G14" s="39"/>
      <c r="H14" s="47"/>
      <c r="I14" s="43">
        <f>D14+'26.11'!I14</f>
        <v>23.60502</v>
      </c>
      <c r="J14" s="43">
        <f>E14+'26.11'!J14</f>
        <v>0</v>
      </c>
      <c r="K14" s="43">
        <f>F14+'26.11'!K14</f>
        <v>0</v>
      </c>
      <c r="L14" s="43">
        <f>G14+'26.11'!L14</f>
        <v>0</v>
      </c>
      <c r="M14" s="47"/>
    </row>
    <row r="15" s="2" customFormat="1" ht="18" customHeight="1" spans="1:14">
      <c r="A15" s="27" t="s">
        <v>37</v>
      </c>
      <c r="B15" s="41" t="s">
        <v>38</v>
      </c>
      <c r="C15" s="42" t="s">
        <v>23</v>
      </c>
      <c r="D15" s="39"/>
      <c r="E15" s="48"/>
      <c r="F15" s="38"/>
      <c r="G15" s="33"/>
      <c r="H15" s="34"/>
      <c r="I15" s="43">
        <f>D15+'26.11'!I15</f>
        <v>23540</v>
      </c>
      <c r="J15" s="43">
        <f>E15+'26.11'!J15</f>
        <v>43463</v>
      </c>
      <c r="K15" s="43">
        <f>F15+'26.11'!K15</f>
        <v>0</v>
      </c>
      <c r="L15" s="43">
        <f>G15+'26.11'!L15</f>
        <v>97382</v>
      </c>
      <c r="M15" s="34">
        <f>J15+K15+L15</f>
        <v>140845</v>
      </c>
    </row>
    <row r="16" s="2" customFormat="1" ht="18" customHeight="1" spans="1:14">
      <c r="A16" s="27"/>
      <c r="B16" s="41" t="s">
        <v>39</v>
      </c>
      <c r="C16" s="42" t="s">
        <v>23</v>
      </c>
      <c r="D16" s="39"/>
      <c r="E16" s="48"/>
      <c r="F16" s="38"/>
      <c r="G16" s="38"/>
      <c r="H16" s="34"/>
      <c r="I16" s="43">
        <f>D16+'26.11'!I16</f>
        <v>2975</v>
      </c>
      <c r="J16" s="43">
        <f>E16+'26.11'!J16</f>
        <v>0</v>
      </c>
      <c r="K16" s="43">
        <f>F16+'26.11'!K16</f>
        <v>0</v>
      </c>
      <c r="L16" s="43">
        <f>G16+'26.11'!L16</f>
        <v>0</v>
      </c>
      <c r="M16" s="34">
        <f>J16+K16+L16</f>
        <v>0</v>
      </c>
    </row>
    <row r="17" s="2" customFormat="1" ht="18" customHeight="1" spans="1:14">
      <c r="A17" s="27" t="s">
        <v>40</v>
      </c>
      <c r="B17" s="41" t="s">
        <v>41</v>
      </c>
      <c r="C17" s="42" t="s">
        <v>42</v>
      </c>
      <c r="D17" s="44">
        <f>D18+D19</f>
        <v>0</v>
      </c>
      <c r="E17" s="48">
        <v>1665006.8</v>
      </c>
      <c r="F17" s="38"/>
      <c r="G17" s="33">
        <v>1105022.09999999</v>
      </c>
      <c r="H17" s="34"/>
      <c r="I17" s="43">
        <f>D17+'26.11'!I17</f>
        <v>8122792</v>
      </c>
      <c r="J17" s="43">
        <f>E17+'26.11'!J17</f>
        <v>4952594.8</v>
      </c>
      <c r="K17" s="49"/>
      <c r="L17" s="43">
        <f>G17+'26.11'!L17</f>
        <v>3368779.59999999</v>
      </c>
      <c r="M17" s="34">
        <f>J17+K17+L17</f>
        <v>8321374.39999999</v>
      </c>
    </row>
    <row r="18" s="2" customFormat="1" ht="18" customHeight="1" spans="1:14">
      <c r="A18" s="27"/>
      <c r="B18" s="41" t="s">
        <v>43</v>
      </c>
      <c r="C18" s="42" t="s">
        <v>42</v>
      </c>
      <c r="D18" s="39"/>
      <c r="E18" s="48"/>
      <c r="F18" s="38"/>
      <c r="G18" s="38"/>
      <c r="H18" s="47"/>
      <c r="I18" s="43">
        <f>D18+'26.11'!I18</f>
        <v>8122792</v>
      </c>
      <c r="J18" s="43">
        <f>E18+'26.11'!J18</f>
        <v>0</v>
      </c>
      <c r="K18" s="43">
        <f>F18+'26.11'!K18</f>
        <v>0</v>
      </c>
      <c r="L18" s="43">
        <f>G18+'26.11'!L18</f>
        <v>0</v>
      </c>
      <c r="M18" s="47"/>
    </row>
    <row r="19" s="2" customFormat="1" ht="18" customHeight="1" spans="1:14">
      <c r="A19" s="27"/>
      <c r="B19" s="41" t="s">
        <v>44</v>
      </c>
      <c r="C19" s="42" t="s">
        <v>42</v>
      </c>
      <c r="D19" s="39"/>
      <c r="E19" s="48"/>
      <c r="F19" s="33"/>
      <c r="G19" s="33"/>
      <c r="H19" s="47"/>
      <c r="I19" s="43">
        <f>D19+'26.11'!I19</f>
        <v>0</v>
      </c>
      <c r="J19" s="50"/>
      <c r="K19" s="43">
        <f>F19+'26.11'!K19</f>
        <v>0</v>
      </c>
      <c r="L19" s="43">
        <f>G19+'26.11'!L19</f>
        <v>2263757.5</v>
      </c>
      <c r="M19" s="47"/>
    </row>
    <row r="20" s="2" customFormat="1" ht="18" customHeight="1" spans="1:14">
      <c r="A20" s="27"/>
      <c r="B20" s="41" t="s">
        <v>45</v>
      </c>
      <c r="C20" s="42" t="s">
        <v>23</v>
      </c>
      <c r="D20" s="39"/>
      <c r="E20" s="48"/>
      <c r="F20" s="38"/>
      <c r="G20" s="38"/>
      <c r="H20" s="47"/>
      <c r="I20" s="43">
        <f>D20+'26.11'!I20</f>
        <v>21425</v>
      </c>
      <c r="J20" s="43">
        <f>E20+'26.11'!J20</f>
        <v>0</v>
      </c>
      <c r="K20" s="43">
        <f>F20+'26.11'!K20</f>
        <v>0</v>
      </c>
      <c r="L20" s="43">
        <f>G20+'26.11'!L20</f>
        <v>0</v>
      </c>
      <c r="M20" s="47"/>
    </row>
    <row r="21" s="2" customFormat="1" ht="18" customHeight="1" spans="1:14">
      <c r="A21" s="27"/>
      <c r="B21" s="41" t="s">
        <v>46</v>
      </c>
      <c r="C21" s="42" t="s">
        <v>42</v>
      </c>
      <c r="D21" s="39"/>
      <c r="E21" s="48"/>
      <c r="F21" s="38"/>
      <c r="G21" s="38"/>
      <c r="H21" s="47"/>
      <c r="I21" s="43">
        <f>D21+'26.11'!I21</f>
        <v>929610.099999999</v>
      </c>
      <c r="J21" s="43">
        <f>E21+'26.11'!J21</f>
        <v>0</v>
      </c>
      <c r="K21" s="43">
        <f>F21+'26.11'!K21</f>
        <v>0</v>
      </c>
      <c r="L21" s="43">
        <f>G21+'26.11'!L21</f>
        <v>0</v>
      </c>
      <c r="M21" s="47"/>
    </row>
    <row r="22" s="2" customFormat="1" ht="14" spans="1:14">
      <c r="A22" s="51" t="s">
        <v>47</v>
      </c>
      <c r="B22" s="52" t="s">
        <v>48</v>
      </c>
      <c r="C22" s="53" t="s">
        <v>23</v>
      </c>
      <c r="D22" s="33"/>
      <c r="E22" s="54"/>
      <c r="F22" s="54"/>
      <c r="G22" s="54"/>
      <c r="H22" s="55"/>
      <c r="I22" s="43">
        <f>D22+'26.11'!I22</f>
        <v>1071.51</v>
      </c>
      <c r="J22" s="43">
        <f>E22+'26.11'!J22</f>
        <v>69.155</v>
      </c>
      <c r="K22" s="43">
        <f>F22+'26.11'!K22</f>
        <v>0</v>
      </c>
      <c r="L22" s="43">
        <f>G22+'26.11'!L22</f>
        <v>13.375</v>
      </c>
      <c r="M22" s="56">
        <f>J22+K22+L22</f>
        <v>82.53</v>
      </c>
      <c r="N22" s="1"/>
    </row>
    <row r="23" s="2" customFormat="1" ht="21" customHeight="1" spans="1:14">
      <c r="A23" s="51" t="s">
        <v>49</v>
      </c>
      <c r="B23" s="52" t="s">
        <v>50</v>
      </c>
      <c r="C23" s="53" t="s">
        <v>23</v>
      </c>
      <c r="D23" s="33"/>
      <c r="E23" s="54"/>
      <c r="F23" s="54"/>
      <c r="G23" s="54"/>
      <c r="H23" s="55"/>
      <c r="I23" s="43">
        <f>D23+'26.11'!I23</f>
        <v>371.77</v>
      </c>
      <c r="J23" s="43">
        <f>E23+'26.11'!J23</f>
        <v>49.29</v>
      </c>
      <c r="K23" s="43">
        <f>F23+'26.11'!K23</f>
        <v>0</v>
      </c>
      <c r="L23" s="43">
        <f>G23+'26.11'!L23</f>
        <v>4.025</v>
      </c>
      <c r="M23" s="56">
        <f>J23+K23+L23</f>
        <v>53.315</v>
      </c>
      <c r="N23" s="1"/>
    </row>
    <row r="24" s="2" customFormat="1" ht="18" customHeight="1" spans="1:14">
      <c r="A24" s="51" t="s">
        <v>51</v>
      </c>
      <c r="B24" s="41" t="s">
        <v>52</v>
      </c>
      <c r="C24" s="42" t="s">
        <v>53</v>
      </c>
      <c r="D24" s="57" t="e">
        <f t="shared" ref="D24:M24" si="1">D17/D8</f>
        <v>#DIV/0!</v>
      </c>
      <c r="E24" s="57" t="e">
        <f t="shared" si="1"/>
        <v>#DIV/0!</v>
      </c>
      <c r="F24" s="57" t="e">
        <f t="shared" si="1"/>
        <v>#DIV/0!</v>
      </c>
      <c r="G24" s="57" t="e">
        <f t="shared" si="1"/>
        <v>#DIV/0!</v>
      </c>
      <c r="H24" s="58" t="e">
        <f t="shared" si="1"/>
        <v>#DIV/0!</v>
      </c>
      <c r="I24" s="59">
        <f t="shared" si="1"/>
        <v>6.95290937447036</v>
      </c>
      <c r="J24" s="57">
        <f t="shared" si="1"/>
        <v>18.5171145365923</v>
      </c>
      <c r="K24" s="57" t="e">
        <f t="shared" si="1"/>
        <v>#DIV/0!</v>
      </c>
      <c r="L24" s="57">
        <f t="shared" si="1"/>
        <v>7.64090507138707</v>
      </c>
      <c r="M24" s="58">
        <f t="shared" si="1"/>
        <v>11.7475810094426</v>
      </c>
    </row>
    <row r="25" s="2" customFormat="1" ht="18" customHeight="1" spans="1:14">
      <c r="A25" s="51" t="s">
        <v>54</v>
      </c>
      <c r="B25" s="41" t="s">
        <v>55</v>
      </c>
      <c r="C25" s="42" t="s">
        <v>56</v>
      </c>
      <c r="D25" s="57" t="e">
        <f t="shared" ref="D25:M25" si="2">D12*1000/D8</f>
        <v>#DIV/0!</v>
      </c>
      <c r="E25" s="57" t="e">
        <f t="shared" si="2"/>
        <v>#DIV/0!</v>
      </c>
      <c r="F25" s="57" t="e">
        <f t="shared" si="2"/>
        <v>#DIV/0!</v>
      </c>
      <c r="G25" s="57" t="e">
        <f t="shared" si="2"/>
        <v>#DIV/0!</v>
      </c>
      <c r="H25" s="58" t="e">
        <f t="shared" si="2"/>
        <v>#DIV/0!</v>
      </c>
      <c r="I25" s="59">
        <f t="shared" si="2"/>
        <v>37.2111793349829</v>
      </c>
      <c r="J25" s="57">
        <f t="shared" si="2"/>
        <v>48.7433248438034</v>
      </c>
      <c r="K25" s="57" t="e">
        <f t="shared" si="2"/>
        <v>#DIV/0!</v>
      </c>
      <c r="L25" s="57">
        <f t="shared" si="2"/>
        <v>1.40689032574528</v>
      </c>
      <c r="M25" s="58">
        <f t="shared" si="2"/>
        <v>19.2803412969272</v>
      </c>
    </row>
    <row r="26" s="3" customFormat="1" ht="18" customHeight="1" spans="1:14">
      <c r="A26" s="51" t="s">
        <v>57</v>
      </c>
      <c r="B26" s="41" t="s">
        <v>58</v>
      </c>
      <c r="C26" s="60" t="s">
        <v>23</v>
      </c>
      <c r="D26" s="33"/>
      <c r="E26" s="61"/>
      <c r="F26" s="62"/>
      <c r="G26" s="33"/>
      <c r="H26" s="63"/>
      <c r="I26" s="43">
        <f>D26+'26.11'!I26</f>
        <v>23988</v>
      </c>
      <c r="J26" s="43">
        <f>E26+'26.11'!J26</f>
        <v>13379</v>
      </c>
      <c r="K26" s="43">
        <f>F26+'26.11'!K26</f>
        <v>0</v>
      </c>
      <c r="L26" s="43">
        <f>G26+'26.11'!L26</f>
        <v>119</v>
      </c>
      <c r="M26" s="63">
        <f>J26+K26+L26</f>
        <v>13498</v>
      </c>
    </row>
    <row r="27" s="3" customFormat="1" ht="18" customHeight="1" spans="1:14">
      <c r="A27" s="51" t="s">
        <v>59</v>
      </c>
      <c r="B27" s="41" t="s">
        <v>60</v>
      </c>
      <c r="C27" s="60" t="s">
        <v>23</v>
      </c>
      <c r="D27" s="48"/>
      <c r="E27" s="64">
        <f>J27</f>
        <v>4292.7</v>
      </c>
      <c r="F27" s="64"/>
      <c r="G27" s="64">
        <f>L27</f>
        <v>296.500000000023</v>
      </c>
      <c r="H27" s="65"/>
      <c r="I27" s="66">
        <v>50324</v>
      </c>
      <c r="J27" s="67">
        <f>'26.11'!J27+E26-E10</f>
        <v>4292.7</v>
      </c>
      <c r="K27" s="67">
        <f>'26.11'!K27+F26-F10</f>
        <v>0</v>
      </c>
      <c r="L27" s="67">
        <f>'26.11'!L27+G26-G10</f>
        <v>296.500000000023</v>
      </c>
      <c r="M27" s="68">
        <f>J27+K27+L27</f>
        <v>4589.20000000002</v>
      </c>
    </row>
    <row r="28" s="2" customFormat="1" ht="18" customHeight="1" spans="1:14">
      <c r="A28" s="51" t="s">
        <v>61</v>
      </c>
      <c r="B28" s="41" t="s">
        <v>62</v>
      </c>
      <c r="C28" s="42" t="s">
        <v>63</v>
      </c>
      <c r="D28" s="69" t="e">
        <f>D13*29308/D10</f>
        <v>#DIV/0!</v>
      </c>
      <c r="E28" s="69" t="e">
        <f>E12*29308/E10</f>
        <v>#DIV/0!</v>
      </c>
      <c r="F28" s="69" t="e">
        <f>F12*29308/F10</f>
        <v>#DIV/0!</v>
      </c>
      <c r="G28" s="69" t="e">
        <f>G12*29308/G10</f>
        <v>#DIV/0!</v>
      </c>
      <c r="H28" s="69" t="e">
        <f>H12*29308/H10</f>
        <v>#DIV/0!</v>
      </c>
      <c r="I28" s="70">
        <f>I13*29308/I10</f>
        <v>19227.9938392777</v>
      </c>
      <c r="J28" s="44">
        <f>J12*29308/J10</f>
        <v>17643.4119399704</v>
      </c>
      <c r="K28" s="44" t="e">
        <f>K12*29308/K10</f>
        <v>#DIV/0!</v>
      </c>
      <c r="L28" s="44">
        <f>L12*29308/L10</f>
        <v>19526.5060142605</v>
      </c>
      <c r="M28" s="69">
        <f>M12*29308/M10</f>
        <v>17721.0300646955</v>
      </c>
    </row>
    <row r="29" s="2" customFormat="1" ht="18" customHeight="1" spans="1:14">
      <c r="A29" s="51" t="s">
        <v>64</v>
      </c>
      <c r="B29" s="41" t="s">
        <v>65</v>
      </c>
      <c r="C29" s="42" t="s">
        <v>63</v>
      </c>
      <c r="D29" s="71"/>
      <c r="E29" s="39"/>
      <c r="F29" s="39"/>
      <c r="G29" s="72"/>
      <c r="H29" s="73"/>
      <c r="I29" s="74"/>
      <c r="J29" s="39">
        <v>17636</v>
      </c>
      <c r="K29" s="39"/>
      <c r="L29" s="72"/>
      <c r="M29" s="73"/>
    </row>
    <row r="30" s="2" customFormat="1" ht="18" customHeight="1" spans="1:14">
      <c r="A30" s="51" t="s">
        <v>66</v>
      </c>
      <c r="B30" s="41" t="s">
        <v>67</v>
      </c>
      <c r="C30" s="75" t="s">
        <v>68</v>
      </c>
      <c r="D30" s="76" t="e">
        <f>D8/(D12*29.308)</f>
        <v>#DIV/0!</v>
      </c>
      <c r="E30" s="76" t="e">
        <f>E8/(E12*29.308)</f>
        <v>#DIV/0!</v>
      </c>
      <c r="F30" s="76" t="e">
        <f>F8/(F12*29.308)</f>
        <v>#DIV/0!</v>
      </c>
      <c r="G30" s="76" t="e">
        <f>(G8-G36)/(G12*29.308)</f>
        <v>#DIV/0!</v>
      </c>
      <c r="H30" s="77" t="e">
        <f t="shared" ref="H30:M30" si="3">H8/(H12*29.308)</f>
        <v>#DIV/0!</v>
      </c>
      <c r="I30" s="78">
        <f t="shared" si="3"/>
        <v>0.916938868875932</v>
      </c>
      <c r="J30" s="76">
        <f t="shared" si="3"/>
        <v>0.700001011385589</v>
      </c>
      <c r="K30" s="76" t="e">
        <f t="shared" si="3"/>
        <v>#DIV/0!</v>
      </c>
      <c r="L30" s="76">
        <f t="shared" si="3"/>
        <v>24.2523358534603</v>
      </c>
      <c r="M30" s="77">
        <f t="shared" si="3"/>
        <v>1.76969775397059</v>
      </c>
    </row>
    <row r="31" s="2" customFormat="1" ht="18" customHeight="1" spans="1:14">
      <c r="A31" s="51" t="s">
        <v>69</v>
      </c>
      <c r="B31" s="41" t="s">
        <v>70</v>
      </c>
      <c r="C31" s="75" t="s">
        <v>68</v>
      </c>
      <c r="D31" s="79">
        <f>D8/3.6/D3/(DAY(DATE(2027,1,0))*24)</f>
        <v>0</v>
      </c>
      <c r="E31" s="79">
        <f>E8/3.6/E3/(DAY(DATE(2027,1,0))*24)</f>
        <v>0</v>
      </c>
      <c r="F31" s="79" t="e">
        <f>F8/3.6/F3/(DAY(DATE(2027,1,0))*24)</f>
        <v>#DIV/0!</v>
      </c>
      <c r="G31" s="79">
        <f>(G8-G36)/3.6/G3/(DAY(DATE(2027,1,0))*24)</f>
        <v>0</v>
      </c>
      <c r="H31" s="80">
        <f>H8/3.6/H3/(DAY(DATE(2027,1,0))*24)</f>
        <v>0</v>
      </c>
      <c r="I31" s="81">
        <f>I8/3.6/I3/(DATEDIF(DATE(2026,1,1),DATE(2027,1,1),"D")*24)</f>
        <v>0.10645177633152</v>
      </c>
      <c r="J31" s="79">
        <f>J8/3.6/J3/(DATEDIF(DATE(2026,1,1),DATE(2027,1,1),"D")*24)</f>
        <v>0.0523525527393345</v>
      </c>
      <c r="K31" s="79" t="e">
        <f>K8/3.6/K3/(DATEDIF(DATE(2026,1,1),DATE(2027,1,1),"D")*24)</f>
        <v>#DIV/0!</v>
      </c>
      <c r="L31" s="79">
        <f>(L8-L36)/3.6/L3/(DATEDIF(DATE(2026,1,1),DATE(2027,1,1),"D")*24)</f>
        <v>0.0247053448013811</v>
      </c>
      <c r="M31" s="80">
        <f>M8/3.6/M3/(DATEDIF(DATE(2026,1,1),DATE(2027,1,1),"D")*24)</f>
        <v>0.127622526864606</v>
      </c>
    </row>
    <row r="32" s="2" customFormat="1" ht="18" customHeight="1" spans="1:14">
      <c r="A32" s="51" t="s">
        <v>71</v>
      </c>
      <c r="B32" s="41" t="s">
        <v>72</v>
      </c>
      <c r="C32" s="42" t="s">
        <v>73</v>
      </c>
      <c r="D32" s="82"/>
      <c r="E32" s="83" t="e">
        <f>E8/E6</f>
        <v>#DIV/0!</v>
      </c>
      <c r="F32" s="83" t="e">
        <f>F8/F6</f>
        <v>#DIV/0!</v>
      </c>
      <c r="G32" s="83" t="e">
        <f>G8/G6</f>
        <v>#DIV/0!</v>
      </c>
      <c r="H32" s="83" t="e">
        <f>H8/H6</f>
        <v>#DIV/0!</v>
      </c>
      <c r="I32" s="84"/>
      <c r="J32" s="83" t="e">
        <f>J8/J6</f>
        <v>#DIV/0!</v>
      </c>
      <c r="K32" s="83" t="e">
        <f>K8/K6</f>
        <v>#DIV/0!</v>
      </c>
      <c r="L32" s="83" t="e">
        <f>L8/L6</f>
        <v>#DIV/0!</v>
      </c>
      <c r="M32" s="85" t="e">
        <f>M8/M6</f>
        <v>#DIV/0!</v>
      </c>
    </row>
    <row r="33" s="2" customFormat="1" ht="18" customHeight="1" spans="1:13">
      <c r="A33" s="51" t="s">
        <v>74</v>
      </c>
      <c r="B33" s="41" t="s">
        <v>75</v>
      </c>
      <c r="C33" s="42" t="s">
        <v>76</v>
      </c>
      <c r="D33" s="86"/>
      <c r="E33" s="87" t="e">
        <f>E12*1000/E6</f>
        <v>#DIV/0!</v>
      </c>
      <c r="F33" s="87" t="e">
        <f>F12*1000/F6</f>
        <v>#DIV/0!</v>
      </c>
      <c r="G33" s="87" t="e">
        <f>G12*1000/G6</f>
        <v>#DIV/0!</v>
      </c>
      <c r="H33" s="88" t="e">
        <f>H12*1000/H6</f>
        <v>#DIV/0!</v>
      </c>
      <c r="I33" s="89"/>
      <c r="J33" s="87" t="e">
        <f>J12*1000/J6</f>
        <v>#DIV/0!</v>
      </c>
      <c r="K33" s="87" t="e">
        <f>K12*1000/K6</f>
        <v>#DIV/0!</v>
      </c>
      <c r="L33" s="87" t="e">
        <f>L12*1000/L6</f>
        <v>#DIV/0!</v>
      </c>
      <c r="M33" s="88" t="e">
        <f>M12*1000/M6</f>
        <v>#DIV/0!</v>
      </c>
    </row>
    <row r="34" s="2" customFormat="1" ht="18" customHeight="1" spans="1:13">
      <c r="A34" s="51" t="s">
        <v>77</v>
      </c>
      <c r="B34" s="41" t="s">
        <v>78</v>
      </c>
      <c r="C34" s="42" t="s">
        <v>79</v>
      </c>
      <c r="D34" s="90"/>
      <c r="E34" s="87" t="e">
        <f>E17/E6</f>
        <v>#DIV/0!</v>
      </c>
      <c r="F34" s="87" t="e">
        <f>F17/F6</f>
        <v>#DIV/0!</v>
      </c>
      <c r="G34" s="87" t="e">
        <f>G17/G6</f>
        <v>#DIV/0!</v>
      </c>
      <c r="H34" s="88" t="e">
        <f>H17/H6</f>
        <v>#DIV/0!</v>
      </c>
      <c r="I34" s="91"/>
      <c r="J34" s="87" t="e">
        <f>J17/J6</f>
        <v>#DIV/0!</v>
      </c>
      <c r="K34" s="87" t="e">
        <f>K17/K6</f>
        <v>#DIV/0!</v>
      </c>
      <c r="L34" s="87" t="e">
        <f>L17/L6</f>
        <v>#DIV/0!</v>
      </c>
      <c r="M34" s="88" t="e">
        <f>M17/M6</f>
        <v>#DIV/0!</v>
      </c>
    </row>
    <row r="35" s="2" customFormat="1" ht="18" customHeight="1" spans="1:13">
      <c r="A35" s="92" t="s">
        <v>80</v>
      </c>
      <c r="B35" s="93" t="s">
        <v>81</v>
      </c>
      <c r="C35" s="94" t="s">
        <v>76</v>
      </c>
      <c r="D35" s="95"/>
      <c r="E35" s="96" t="e">
        <f>E15*1000/E6</f>
        <v>#DIV/0!</v>
      </c>
      <c r="F35" s="96" t="e">
        <f>F15*1000/F6</f>
        <v>#DIV/0!</v>
      </c>
      <c r="G35" s="96" t="e">
        <f>G15*1000/G6</f>
        <v>#DIV/0!</v>
      </c>
      <c r="H35" s="97" t="e">
        <f>H15*1000/H6</f>
        <v>#DIV/0!</v>
      </c>
      <c r="I35" s="98"/>
      <c r="J35" s="96" t="e">
        <f>J15*1000/J6</f>
        <v>#DIV/0!</v>
      </c>
      <c r="K35" s="96" t="e">
        <f>K15*1000/K6</f>
        <v>#DIV/0!</v>
      </c>
      <c r="L35" s="96" t="e">
        <f>L15*1000/L6</f>
        <v>#DIV/0!</v>
      </c>
      <c r="M35" s="97" t="e">
        <f>M15*1000/M6</f>
        <v>#DIV/0!</v>
      </c>
    </row>
    <row r="36" s="2" customFormat="1" ht="21" customHeight="1" spans="1:13">
      <c r="A36" s="99"/>
      <c r="B36" s="100" t="s">
        <v>82</v>
      </c>
      <c r="C36" s="101" t="s">
        <v>26</v>
      </c>
      <c r="D36" s="102"/>
      <c r="E36" s="102"/>
      <c r="F36" s="102"/>
      <c r="G36" s="102"/>
      <c r="H36" s="102"/>
      <c r="I36" s="102"/>
      <c r="J36" s="102"/>
      <c r="K36" s="102"/>
      <c r="L36" s="43">
        <f>G36+'26.11'!L36</f>
        <v>429980</v>
      </c>
      <c r="M36" s="102"/>
    </row>
    <row r="37" s="1" customFormat="1" ht="29.25" customHeight="1" spans="1:13">
      <c r="A37" s="103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3">
      <c r="A38" s="104" t="s">
        <v>0</v>
      </c>
      <c r="B38" s="105" t="s">
        <v>85</v>
      </c>
      <c r="C38" s="105" t="s">
        <v>2</v>
      </c>
      <c r="D38" s="106" t="s">
        <v>86</v>
      </c>
      <c r="E38" s="107" t="s">
        <v>87</v>
      </c>
      <c r="F38" s="2"/>
      <c r="G38" s="2"/>
      <c r="H38" s="2"/>
    </row>
    <row r="39" s="1" customFormat="1" ht="27.95" customHeight="1" spans="1:13">
      <c r="A39" s="27" t="s">
        <v>11</v>
      </c>
      <c r="B39" s="28" t="s">
        <v>12</v>
      </c>
      <c r="C39" s="29" t="s">
        <v>13</v>
      </c>
      <c r="D39" s="108">
        <v>0.55</v>
      </c>
      <c r="E39" s="109">
        <v>0.55</v>
      </c>
      <c r="F39" s="2"/>
      <c r="G39" s="2"/>
      <c r="H39" s="2"/>
    </row>
    <row r="40" s="1" customFormat="1" ht="27.95" customHeight="1" spans="1:13">
      <c r="A40" s="27" t="s">
        <v>14</v>
      </c>
      <c r="B40" s="28" t="s">
        <v>88</v>
      </c>
      <c r="C40" s="29" t="s">
        <v>16</v>
      </c>
      <c r="D40" s="110"/>
      <c r="E40" s="111">
        <f>D40</f>
        <v>0</v>
      </c>
      <c r="F40" s="2"/>
      <c r="G40" s="2"/>
      <c r="H40" s="2"/>
    </row>
    <row r="41" s="1" customFormat="1" ht="27.95" customHeight="1" spans="1:13">
      <c r="A41" s="27" t="s">
        <v>19</v>
      </c>
      <c r="B41" s="28" t="s">
        <v>89</v>
      </c>
      <c r="C41" s="29" t="s">
        <v>16</v>
      </c>
      <c r="D41" s="112"/>
      <c r="E41" s="113">
        <v>7603.52230769231</v>
      </c>
      <c r="F41" s="2"/>
      <c r="G41" s="2"/>
      <c r="H41" s="2"/>
    </row>
    <row r="42" s="1" customFormat="1" ht="27.95" customHeight="1" spans="1:13">
      <c r="A42" s="27" t="s">
        <v>21</v>
      </c>
      <c r="B42" s="41" t="s">
        <v>25</v>
      </c>
      <c r="C42" s="42" t="s">
        <v>26</v>
      </c>
      <c r="D42" s="114"/>
      <c r="E42" s="115">
        <f>D42+'26.11'!E42</f>
        <v>889</v>
      </c>
      <c r="F42" s="2"/>
      <c r="G42" s="2"/>
      <c r="H42" s="2"/>
    </row>
    <row r="43" s="1" customFormat="1" ht="27.95" customHeight="1" spans="1:13">
      <c r="A43" s="27" t="s">
        <v>24</v>
      </c>
      <c r="B43" s="41" t="s">
        <v>38</v>
      </c>
      <c r="C43" s="42" t="s">
        <v>23</v>
      </c>
      <c r="D43" s="110"/>
      <c r="E43" s="115">
        <f>D43+'26.11'!E43</f>
        <v>10</v>
      </c>
      <c r="F43" s="2"/>
      <c r="G43" s="2"/>
      <c r="H43" s="2"/>
    </row>
    <row r="44" s="1" customFormat="1" ht="27.95" customHeight="1" spans="1:13">
      <c r="A44" s="27" t="s">
        <v>27</v>
      </c>
      <c r="B44" s="41" t="s">
        <v>41</v>
      </c>
      <c r="C44" s="42" t="s">
        <v>42</v>
      </c>
      <c r="D44" s="110"/>
      <c r="E44" s="115">
        <f>D44+'26.11'!E44</f>
        <v>267664</v>
      </c>
      <c r="F44" s="2"/>
      <c r="G44" s="2"/>
      <c r="H44" s="2"/>
    </row>
    <row r="45" s="1" customFormat="1" ht="27.95" customHeight="1" spans="1:13">
      <c r="A45" s="27"/>
      <c r="B45" s="41" t="s">
        <v>90</v>
      </c>
      <c r="C45" s="42" t="s">
        <v>42</v>
      </c>
      <c r="D45" s="110">
        <f>D44</f>
        <v>0</v>
      </c>
      <c r="E45" s="115">
        <f>D45+'26.11'!E45</f>
        <v>267664</v>
      </c>
      <c r="F45" s="2"/>
      <c r="G45" s="2"/>
      <c r="H45" s="2"/>
    </row>
    <row r="46" s="1" customFormat="1" ht="27.95" customHeight="1" spans="1:13">
      <c r="A46" s="27" t="s">
        <v>29</v>
      </c>
      <c r="B46" s="41" t="s">
        <v>52</v>
      </c>
      <c r="C46" s="42" t="s">
        <v>53</v>
      </c>
      <c r="D46" s="116" t="e">
        <f>D44/D42</f>
        <v>#DIV/0!</v>
      </c>
      <c r="E46" s="117">
        <f>E44/E42</f>
        <v>301.084364454443</v>
      </c>
      <c r="F46" s="2"/>
      <c r="G46" s="2"/>
      <c r="H46" s="2"/>
    </row>
    <row r="47" s="1" customFormat="1" ht="27.95" customHeight="1" spans="1:13">
      <c r="A47" s="27" t="s">
        <v>31</v>
      </c>
      <c r="B47" s="41" t="s">
        <v>70</v>
      </c>
      <c r="C47" s="75" t="s">
        <v>68</v>
      </c>
      <c r="D47" s="118">
        <f>D42/3.6/D39/(DAY(DATE(2027,1,0))*24)</f>
        <v>0</v>
      </c>
      <c r="E47" s="119">
        <f>E42/3.6/E39/(DATEDIF(DATE(2026,1,1),DATE(2027,1,1),"D")*24)</f>
        <v>0.0512545546792122</v>
      </c>
      <c r="F47" s="2"/>
      <c r="G47" s="2"/>
      <c r="H47" s="2"/>
    </row>
    <row r="48" s="1" customFormat="1" ht="27.95" customHeight="1" spans="1:13">
      <c r="A48" s="27" t="s">
        <v>33</v>
      </c>
      <c r="B48" s="41" t="s">
        <v>72</v>
      </c>
      <c r="C48" s="42" t="s">
        <v>73</v>
      </c>
      <c r="D48" s="120" t="e">
        <f>D42/D41</f>
        <v>#DIV/0!</v>
      </c>
      <c r="E48" s="121">
        <f>E42/E41</f>
        <v>0.116919496520793</v>
      </c>
      <c r="F48" s="2"/>
      <c r="G48" s="2"/>
      <c r="H48" s="2"/>
    </row>
    <row r="49" s="1" customFormat="1" ht="27.95" customHeight="1" spans="1:10">
      <c r="A49" s="27" t="s">
        <v>37</v>
      </c>
      <c r="B49" s="41" t="s">
        <v>78</v>
      </c>
      <c r="C49" s="42" t="s">
        <v>79</v>
      </c>
      <c r="D49" s="122" t="e">
        <f>D44/D41</f>
        <v>#DIV/0!</v>
      </c>
      <c r="E49" s="123">
        <f>E44/E41</f>
        <v>35.2026323022963</v>
      </c>
      <c r="F49" s="2"/>
      <c r="G49" s="2"/>
      <c r="H49" s="2"/>
    </row>
    <row r="50" s="1" customFormat="1" ht="27.95" customHeight="1" spans="1:10">
      <c r="A50" s="124" t="s">
        <v>40</v>
      </c>
      <c r="B50" s="93" t="s">
        <v>81</v>
      </c>
      <c r="C50" s="94" t="s">
        <v>76</v>
      </c>
      <c r="D50" s="125" t="e">
        <f>D43*1000/D41</f>
        <v>#DIV/0!</v>
      </c>
      <c r="E50" s="125">
        <f>E43*1000/E41</f>
        <v>1.31517993836662</v>
      </c>
      <c r="F50" s="2"/>
      <c r="G50" s="2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3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26" t="s">
        <v>0</v>
      </c>
      <c r="B53" s="127" t="s">
        <v>85</v>
      </c>
      <c r="C53" s="127" t="s">
        <v>2</v>
      </c>
      <c r="D53" s="106" t="s">
        <v>86</v>
      </c>
      <c r="E53" s="9"/>
      <c r="F53" s="10"/>
      <c r="G53" s="128" t="s">
        <v>87</v>
      </c>
      <c r="H53" s="9"/>
      <c r="I53" s="9"/>
    </row>
    <row r="54" s="1" customFormat="1" ht="31.5" customHeight="1" spans="1:10">
      <c r="A54" s="12"/>
      <c r="B54" s="13"/>
      <c r="C54" s="13"/>
      <c r="D54" s="129" t="s">
        <v>92</v>
      </c>
      <c r="E54" s="129" t="s">
        <v>93</v>
      </c>
      <c r="F54" s="130" t="s">
        <v>9</v>
      </c>
      <c r="G54" s="131" t="s">
        <v>92</v>
      </c>
      <c r="H54" s="129" t="s">
        <v>93</v>
      </c>
      <c r="I54" s="132" t="s">
        <v>9</v>
      </c>
    </row>
    <row r="55" s="1" customFormat="1" ht="27.95" customHeight="1" spans="1:10">
      <c r="A55" s="27" t="s">
        <v>11</v>
      </c>
      <c r="B55" s="28" t="s">
        <v>12</v>
      </c>
      <c r="C55" s="29" t="s">
        <v>13</v>
      </c>
      <c r="D55" s="133">
        <v>6</v>
      </c>
      <c r="E55" s="133">
        <v>6.4</v>
      </c>
      <c r="F55" s="134">
        <f t="shared" ref="F55:F61" si="4">SUM(D55:E55)</f>
        <v>12.4</v>
      </c>
      <c r="G55" s="135">
        <f>D55</f>
        <v>6</v>
      </c>
      <c r="H55" s="136">
        <f>E55</f>
        <v>6.4</v>
      </c>
      <c r="I55" s="136">
        <f t="shared" ref="I55:I61" si="5">SUM(G55:H55)</f>
        <v>12.4</v>
      </c>
    </row>
    <row r="56" s="1" customFormat="1" ht="27.95" customHeight="1" spans="1:10">
      <c r="A56" s="27" t="s">
        <v>14</v>
      </c>
      <c r="B56" s="28" t="s">
        <v>88</v>
      </c>
      <c r="C56" s="29" t="s">
        <v>16</v>
      </c>
      <c r="D56" s="68"/>
      <c r="E56" s="68"/>
      <c r="F56" s="112">
        <f t="shared" si="4"/>
        <v>0</v>
      </c>
      <c r="G56" s="113">
        <f>D56</f>
        <v>0</v>
      </c>
      <c r="H56" s="113">
        <f>E56</f>
        <v>0</v>
      </c>
      <c r="I56" s="68">
        <f t="shared" si="5"/>
        <v>0</v>
      </c>
    </row>
    <row r="57" s="1" customFormat="1" ht="27.95" customHeight="1" spans="1:10">
      <c r="A57" s="27" t="s">
        <v>19</v>
      </c>
      <c r="B57" s="28" t="s">
        <v>89</v>
      </c>
      <c r="C57" s="29" t="s">
        <v>16</v>
      </c>
      <c r="D57" s="68"/>
      <c r="E57" s="68"/>
      <c r="F57" s="112">
        <f t="shared" si="4"/>
        <v>0</v>
      </c>
      <c r="G57" s="113">
        <f>D57</f>
        <v>0</v>
      </c>
      <c r="H57" s="113">
        <f>E57</f>
        <v>0</v>
      </c>
      <c r="I57" s="68">
        <f t="shared" si="5"/>
        <v>0</v>
      </c>
    </row>
    <row r="58" s="1" customFormat="1" ht="27.95" customHeight="1" spans="1:10">
      <c r="A58" s="27" t="s">
        <v>21</v>
      </c>
      <c r="B58" s="41" t="s">
        <v>25</v>
      </c>
      <c r="C58" s="42" t="s">
        <v>26</v>
      </c>
      <c r="D58" s="72"/>
      <c r="E58" s="137"/>
      <c r="F58" s="112">
        <f t="shared" si="4"/>
        <v>0</v>
      </c>
      <c r="G58" s="138">
        <f>D58+'26.11'!G58</f>
        <v>3813.3</v>
      </c>
      <c r="H58" s="138">
        <f>E58+'26.11'!H58</f>
        <v>6695.80000000001</v>
      </c>
      <c r="I58" s="68">
        <f t="shared" si="5"/>
        <v>10509.1</v>
      </c>
    </row>
    <row r="59" s="1" customFormat="1" ht="27.95" customHeight="1" spans="1:10">
      <c r="A59" s="27" t="s">
        <v>24</v>
      </c>
      <c r="B59" s="41" t="s">
        <v>38</v>
      </c>
      <c r="C59" s="42" t="s">
        <v>23</v>
      </c>
      <c r="D59" s="72"/>
      <c r="E59" s="72"/>
      <c r="F59" s="112">
        <f t="shared" si="4"/>
        <v>0</v>
      </c>
      <c r="G59" s="138">
        <f>D59+'26.11'!G59</f>
        <v>564.9</v>
      </c>
      <c r="H59" s="138">
        <f>E59+'26.11'!H59</f>
        <v>165.9</v>
      </c>
      <c r="I59" s="68">
        <f t="shared" si="5"/>
        <v>730.8</v>
      </c>
    </row>
    <row r="60" s="1" customFormat="1" ht="27.95" customHeight="1" spans="1:10">
      <c r="A60" s="27" t="s">
        <v>27</v>
      </c>
      <c r="B60" s="41" t="s">
        <v>41</v>
      </c>
      <c r="C60" s="42" t="s">
        <v>42</v>
      </c>
      <c r="D60" s="72"/>
      <c r="E60" s="72"/>
      <c r="F60" s="112">
        <f t="shared" si="4"/>
        <v>0</v>
      </c>
      <c r="G60" s="138">
        <f>D60+'26.11'!G60</f>
        <v>1184440</v>
      </c>
      <c r="H60" s="138">
        <f>E60+'26.11'!H60</f>
        <v>1991120</v>
      </c>
      <c r="I60" s="68">
        <f t="shared" si="5"/>
        <v>3175560</v>
      </c>
    </row>
    <row r="61" s="1" customFormat="1" ht="27.95" customHeight="1" spans="1:10">
      <c r="A61" s="27"/>
      <c r="B61" s="41" t="s">
        <v>90</v>
      </c>
      <c r="C61" s="42" t="s">
        <v>42</v>
      </c>
      <c r="D61" s="72"/>
      <c r="E61" s="72"/>
      <c r="F61" s="112">
        <f t="shared" si="4"/>
        <v>0</v>
      </c>
      <c r="G61" s="138">
        <f>D61+'26.11'!G61</f>
        <v>1184440</v>
      </c>
      <c r="H61" s="138">
        <f>E61+'26.11'!H61</f>
        <v>1991120</v>
      </c>
      <c r="I61" s="68">
        <f t="shared" si="5"/>
        <v>3175560</v>
      </c>
    </row>
    <row r="62" s="1" customFormat="1" ht="27.95" customHeight="1" spans="1:10">
      <c r="A62" s="27" t="s">
        <v>29</v>
      </c>
      <c r="B62" s="41" t="s">
        <v>52</v>
      </c>
      <c r="C62" s="42" t="s">
        <v>53</v>
      </c>
      <c r="D62" s="139" t="e">
        <f t="shared" ref="D62:I62" si="6">D60/D58</f>
        <v>#DIV/0!</v>
      </c>
      <c r="E62" s="139" t="e">
        <f t="shared" si="6"/>
        <v>#DIV/0!</v>
      </c>
      <c r="F62" s="116" t="e">
        <f t="shared" si="6"/>
        <v>#DIV/0!</v>
      </c>
      <c r="G62" s="140">
        <f t="shared" si="6"/>
        <v>310.607610206383</v>
      </c>
      <c r="H62" s="57">
        <f t="shared" si="6"/>
        <v>297.368499656501</v>
      </c>
      <c r="I62" s="58">
        <f t="shared" si="6"/>
        <v>302.172402965049</v>
      </c>
    </row>
    <row r="63" s="1" customFormat="1" ht="27.95" customHeight="1" spans="1:10">
      <c r="A63" s="27" t="s">
        <v>31</v>
      </c>
      <c r="B63" s="41" t="s">
        <v>70</v>
      </c>
      <c r="C63" s="75" t="s">
        <v>68</v>
      </c>
      <c r="D63" s="79">
        <f>D58/3.6/D55/(DAY(DATE(2027,1,0))*24)</f>
        <v>0</v>
      </c>
      <c r="E63" s="79">
        <f>E58/3.6/E55/(DAY(DATE(2027,1,0))*24)</f>
        <v>0</v>
      </c>
      <c r="F63" s="118">
        <f>F58/3.6/F55/(DAY(DATE(2027,1,0))*24)</f>
        <v>0</v>
      </c>
      <c r="G63" s="81">
        <f>G58/3.6/G55/(DATEDIF(DATE(2026,1,1),DATE(2027,1,1),"D")*24)</f>
        <v>0.0201531582952816</v>
      </c>
      <c r="H63" s="79">
        <f>H58/3.6/H55/(DATEDIF(DATE(2026,1,1),DATE(2027,1,1),"D")*24)</f>
        <v>0.0331753789320143</v>
      </c>
      <c r="I63" s="80">
        <f>I58/3.6/I55/(DATEDIF(DATE(2026,1,1),DATE(2027,1,1),"D")*24)</f>
        <v>0.0268743044303694</v>
      </c>
    </row>
    <row r="64" s="1" customFormat="1" ht="27.95" customHeight="1" spans="1:10">
      <c r="A64" s="27" t="s">
        <v>33</v>
      </c>
      <c r="B64" s="41" t="s">
        <v>72</v>
      </c>
      <c r="C64" s="42" t="s">
        <v>73</v>
      </c>
      <c r="D64" s="83" t="e">
        <f t="shared" ref="D64:I64" si="7">D58/D57</f>
        <v>#DIV/0!</v>
      </c>
      <c r="E64" s="83" t="e">
        <f t="shared" si="7"/>
        <v>#DIV/0!</v>
      </c>
      <c r="F64" s="85" t="e">
        <f t="shared" si="7"/>
        <v>#DIV/0!</v>
      </c>
      <c r="G64" s="141" t="e">
        <f t="shared" si="7"/>
        <v>#DIV/0!</v>
      </c>
      <c r="H64" s="83" t="e">
        <f t="shared" si="7"/>
        <v>#DIV/0!</v>
      </c>
      <c r="I64" s="85" t="e">
        <f t="shared" si="7"/>
        <v>#DIV/0!</v>
      </c>
    </row>
    <row r="65" s="1" customFormat="1" ht="27.95" customHeight="1" spans="1:9">
      <c r="A65" s="27" t="s">
        <v>37</v>
      </c>
      <c r="B65" s="41" t="s">
        <v>78</v>
      </c>
      <c r="C65" s="42" t="s">
        <v>79</v>
      </c>
      <c r="D65" s="87" t="e">
        <f t="shared" ref="D65:I65" si="8">D60/D57</f>
        <v>#DIV/0!</v>
      </c>
      <c r="E65" s="87" t="e">
        <f t="shared" si="8"/>
        <v>#DIV/0!</v>
      </c>
      <c r="F65" s="88" t="e">
        <f t="shared" si="8"/>
        <v>#DIV/0!</v>
      </c>
      <c r="G65" s="142" t="e">
        <f t="shared" si="8"/>
        <v>#DIV/0!</v>
      </c>
      <c r="H65" s="87" t="e">
        <f t="shared" si="8"/>
        <v>#DIV/0!</v>
      </c>
      <c r="I65" s="88" t="e">
        <f t="shared" si="8"/>
        <v>#DIV/0!</v>
      </c>
    </row>
    <row r="66" s="1" customFormat="1" ht="27.95" customHeight="1" spans="1:9">
      <c r="A66" s="124" t="s">
        <v>40</v>
      </c>
      <c r="B66" s="93" t="s">
        <v>81</v>
      </c>
      <c r="C66" s="94" t="s">
        <v>76</v>
      </c>
      <c r="D66" s="96" t="e">
        <f t="shared" ref="D66:I66" si="9">D59*1000/D57</f>
        <v>#DIV/0!</v>
      </c>
      <c r="E66" s="96" t="e">
        <f t="shared" si="9"/>
        <v>#DIV/0!</v>
      </c>
      <c r="F66" s="97" t="e">
        <f t="shared" si="9"/>
        <v>#DIV/0!</v>
      </c>
      <c r="G66" s="143" t="e">
        <f t="shared" si="9"/>
        <v>#DIV/0!</v>
      </c>
      <c r="H66" s="96" t="e">
        <f t="shared" si="9"/>
        <v>#DIV/0!</v>
      </c>
      <c r="I66" s="97" t="e">
        <f t="shared" si="9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3" t="s">
        <v>94</v>
      </c>
      <c r="C68" s="4"/>
      <c r="D68" s="5"/>
    </row>
    <row r="69" s="1" customFormat="1" ht="30" customHeight="1" spans="1:9">
      <c r="A69" s="126" t="s">
        <v>0</v>
      </c>
      <c r="B69" s="7" t="s">
        <v>1</v>
      </c>
      <c r="C69" s="7" t="s">
        <v>2</v>
      </c>
      <c r="D69" s="106" t="s">
        <v>86</v>
      </c>
      <c r="E69" s="10"/>
      <c r="F69" s="144" t="s">
        <v>87</v>
      </c>
      <c r="G69" s="9"/>
    </row>
    <row r="70" s="1" customFormat="1" ht="30" customHeight="1" spans="1:9">
      <c r="A70" s="12"/>
      <c r="B70" s="13"/>
      <c r="C70" s="13"/>
      <c r="D70" s="129" t="s">
        <v>95</v>
      </c>
      <c r="E70" s="145" t="s">
        <v>96</v>
      </c>
      <c r="F70" s="131" t="s">
        <v>95</v>
      </c>
      <c r="G70" s="132" t="s">
        <v>96</v>
      </c>
    </row>
    <row r="71" s="1" customFormat="1" ht="27.95" customHeight="1" spans="1:9">
      <c r="A71" s="18" t="s">
        <v>11</v>
      </c>
      <c r="B71" s="19" t="s">
        <v>12</v>
      </c>
      <c r="C71" s="20" t="s">
        <v>13</v>
      </c>
      <c r="D71" s="23">
        <v>217</v>
      </c>
      <c r="E71" s="146">
        <v>1.4</v>
      </c>
      <c r="F71" s="147">
        <f>D71</f>
        <v>217</v>
      </c>
      <c r="G71" s="26">
        <f>E71</f>
        <v>1.4</v>
      </c>
    </row>
    <row r="72" s="1" customFormat="1" ht="27.95" customHeight="1" spans="1:9">
      <c r="A72" s="27" t="s">
        <v>14</v>
      </c>
      <c r="B72" s="41" t="s">
        <v>22</v>
      </c>
      <c r="C72" s="42" t="s">
        <v>23</v>
      </c>
      <c r="D72" s="72"/>
      <c r="E72" s="110"/>
      <c r="F72" s="148">
        <f>D72</f>
        <v>0</v>
      </c>
      <c r="G72" s="149">
        <f>E72</f>
        <v>0</v>
      </c>
    </row>
    <row r="73" s="1" customFormat="1" ht="27.95" customHeight="1" spans="1:9">
      <c r="A73" s="27" t="s">
        <v>19</v>
      </c>
      <c r="B73" s="41" t="s">
        <v>25</v>
      </c>
      <c r="C73" s="42" t="s">
        <v>26</v>
      </c>
      <c r="D73" s="68">
        <f>D72*2.951694</f>
        <v>0</v>
      </c>
      <c r="E73" s="150">
        <f>E72*2.732</f>
        <v>0</v>
      </c>
      <c r="F73" s="115">
        <f>D73+'26.11'!F73</f>
        <v>0</v>
      </c>
      <c r="G73" s="115">
        <f>E73+'26.11'!G73</f>
        <v>0</v>
      </c>
    </row>
    <row r="74" s="1" customFormat="1" ht="27.95" customHeight="1" spans="1:9">
      <c r="A74" s="27" t="s">
        <v>21</v>
      </c>
      <c r="B74" s="41" t="s">
        <v>97</v>
      </c>
      <c r="C74" s="42" t="s">
        <v>98</v>
      </c>
      <c r="D74" s="72"/>
      <c r="E74" s="110"/>
      <c r="F74" s="115">
        <f>D74+'26.11'!F74</f>
        <v>0</v>
      </c>
      <c r="G74" s="115">
        <f>E74+'26.11'!G74</f>
        <v>0</v>
      </c>
    </row>
    <row r="75" s="1" customFormat="1" ht="27.95" customHeight="1" spans="1:9">
      <c r="A75" s="27" t="s">
        <v>24</v>
      </c>
      <c r="B75" s="41" t="s">
        <v>34</v>
      </c>
      <c r="C75" s="42" t="s">
        <v>23</v>
      </c>
      <c r="D75" s="68">
        <f>D74*D80/29308/1000</f>
        <v>0</v>
      </c>
      <c r="E75" s="112">
        <f>E74*E80/29308/1000</f>
        <v>0</v>
      </c>
      <c r="F75" s="115">
        <f>D75+'26.11'!F75</f>
        <v>0</v>
      </c>
      <c r="G75" s="115">
        <f>E75+'26.11'!G75</f>
        <v>0</v>
      </c>
    </row>
    <row r="76" s="1" customFormat="1" ht="27.95" customHeight="1" spans="1:9">
      <c r="A76" s="27" t="s">
        <v>27</v>
      </c>
      <c r="B76" s="41" t="s">
        <v>38</v>
      </c>
      <c r="C76" s="42" t="s">
        <v>23</v>
      </c>
      <c r="D76" s="72"/>
      <c r="E76" s="151"/>
      <c r="F76" s="115">
        <f>D76+'26.11'!F76</f>
        <v>0</v>
      </c>
      <c r="G76" s="115">
        <f>E76+'26.11'!G76</f>
        <v>0</v>
      </c>
    </row>
    <row r="77" s="1" customFormat="1" ht="27.95" customHeight="1" spans="1:9">
      <c r="A77" s="27" t="s">
        <v>29</v>
      </c>
      <c r="B77" s="41" t="s">
        <v>41</v>
      </c>
      <c r="C77" s="42" t="s">
        <v>42</v>
      </c>
      <c r="D77" s="72"/>
      <c r="E77" s="151"/>
      <c r="F77" s="115">
        <f>D77+'26.11'!F77</f>
        <v>0</v>
      </c>
      <c r="G77" s="115">
        <f>E77+'26.11'!G77</f>
        <v>0</v>
      </c>
    </row>
    <row r="78" s="1" customFormat="1" ht="27.95" customHeight="1" spans="1:9">
      <c r="A78" s="27" t="s">
        <v>31</v>
      </c>
      <c r="B78" s="41" t="s">
        <v>52</v>
      </c>
      <c r="C78" s="42" t="s">
        <v>53</v>
      </c>
      <c r="D78" s="152" t="e">
        <f>D77/D73</f>
        <v>#DIV/0!</v>
      </c>
      <c r="E78" s="153"/>
      <c r="F78" s="154" t="e">
        <f>F77/F73</f>
        <v>#DIV/0!</v>
      </c>
      <c r="G78" s="155"/>
    </row>
    <row r="79" s="1" customFormat="1" ht="27.95" customHeight="1" spans="1:9">
      <c r="A79" s="27" t="s">
        <v>33</v>
      </c>
      <c r="B79" s="41" t="s">
        <v>55</v>
      </c>
      <c r="C79" s="42" t="s">
        <v>56</v>
      </c>
      <c r="D79" s="57" t="e">
        <f>D75*1000/D73</f>
        <v>#DIV/0!</v>
      </c>
      <c r="E79" s="156" t="e">
        <f>E75*1000/E73</f>
        <v>#DIV/0!</v>
      </c>
      <c r="F79" s="157" t="e">
        <f>F75*1000/F73</f>
        <v>#DIV/0!</v>
      </c>
      <c r="G79" s="58" t="e">
        <f>G75*1000/G73</f>
        <v>#DIV/0!</v>
      </c>
    </row>
    <row r="80" s="1" customFormat="1" ht="27.95" customHeight="1" spans="1:9">
      <c r="A80" s="27" t="s">
        <v>37</v>
      </c>
      <c r="B80" s="41" t="s">
        <v>99</v>
      </c>
      <c r="C80" s="42" t="s">
        <v>100</v>
      </c>
      <c r="D80" s="33"/>
      <c r="E80" s="158"/>
      <c r="F80" s="159" t="e">
        <f>F75*29308*1000/F74</f>
        <v>#DIV/0!</v>
      </c>
      <c r="G80" s="68" t="e">
        <f>G75*29308*1000/G74</f>
        <v>#DIV/0!</v>
      </c>
    </row>
    <row r="81" s="1" customFormat="1" ht="27.95" customHeight="1" spans="1:11">
      <c r="A81" s="27" t="s">
        <v>40</v>
      </c>
      <c r="B81" s="41" t="s">
        <v>67</v>
      </c>
      <c r="C81" s="75" t="s">
        <v>68</v>
      </c>
      <c r="D81" s="76" t="e">
        <f>D73/(D75*29.308)</f>
        <v>#DIV/0!</v>
      </c>
      <c r="E81" s="160" t="e">
        <f>E73/(E75*29.308)</f>
        <v>#DIV/0!</v>
      </c>
      <c r="F81" s="161" t="e">
        <f>F73/(F75*29.308)</f>
        <v>#DIV/0!</v>
      </c>
      <c r="G81" s="77" t="e">
        <f>G73/(G75*29.308)</f>
        <v>#DIV/0!</v>
      </c>
    </row>
    <row r="82" s="1" customFormat="1" ht="27.95" customHeight="1" spans="1:11">
      <c r="A82" s="124" t="s">
        <v>47</v>
      </c>
      <c r="B82" s="162" t="s">
        <v>70</v>
      </c>
      <c r="C82" s="163" t="s">
        <v>68</v>
      </c>
      <c r="D82" s="164">
        <f>D73/3.6/D71/(DAY(DATE(2027,1,0))*24)</f>
        <v>0</v>
      </c>
      <c r="E82" s="165">
        <f>E73/3.6/E71/(DAY(DATE(2027,1,0))*24)</f>
        <v>0</v>
      </c>
      <c r="F82" s="166">
        <f>F73/3.6/F71/(DATEDIF(DATE(2026,1,1),DATE(2027,1,1),"D")*24)</f>
        <v>0</v>
      </c>
      <c r="G82" s="167">
        <f>G73/3.6/G71/(DATEDIF(DATE(2026,1,1),DATE(2027,1,1),"D")*24)</f>
        <v>0</v>
      </c>
    </row>
    <row r="83" s="1" customFormat="1" ht="18" customHeight="1" spans="1:11">
      <c r="B83" s="168"/>
      <c r="C83" s="168"/>
      <c r="D83" s="5"/>
    </row>
    <row r="84" s="1" customFormat="1" ht="16.25" spans="1:11">
      <c r="A84" s="103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ht="14" spans="1:11">
      <c r="A85" s="126" t="s">
        <v>0</v>
      </c>
      <c r="B85" s="127" t="s">
        <v>85</v>
      </c>
      <c r="C85" s="127" t="s">
        <v>2</v>
      </c>
      <c r="D85" s="169" t="s">
        <v>86</v>
      </c>
      <c r="E85" s="129" t="s">
        <v>87</v>
      </c>
      <c r="F85" s="169" t="s">
        <v>102</v>
      </c>
      <c r="G85" s="169" t="s">
        <v>103</v>
      </c>
      <c r="H85" s="170"/>
      <c r="I85" s="170"/>
    </row>
    <row r="86" s="1" customFormat="1" ht="14" spans="1:11">
      <c r="A86" s="12"/>
      <c r="B86" s="13"/>
      <c r="C86" s="13"/>
      <c r="D86" s="169" t="s">
        <v>104</v>
      </c>
      <c r="E86" s="169" t="s">
        <v>104</v>
      </c>
      <c r="F86" s="13"/>
      <c r="G86" s="13"/>
      <c r="H86" s="170"/>
      <c r="I86" s="103"/>
    </row>
    <row r="87" s="1" customFormat="1" ht="14" spans="1:11">
      <c r="A87" s="27" t="s">
        <v>11</v>
      </c>
      <c r="B87" s="28" t="s">
        <v>12</v>
      </c>
      <c r="C87" s="29" t="s">
        <v>13</v>
      </c>
      <c r="D87" s="171">
        <v>0.7888</v>
      </c>
      <c r="E87" s="172">
        <f>D87</f>
        <v>0.7888</v>
      </c>
      <c r="F87" s="173">
        <f>F55+D87</f>
        <v>13.1888</v>
      </c>
      <c r="G87" s="173">
        <f>E87+I55</f>
        <v>13.1888</v>
      </c>
      <c r="H87" s="135"/>
      <c r="I87" s="135"/>
    </row>
    <row r="88" s="1" customFormat="1" ht="14" spans="1:11">
      <c r="A88" s="27" t="s">
        <v>14</v>
      </c>
      <c r="B88" s="28" t="s">
        <v>88</v>
      </c>
      <c r="C88" s="29" t="s">
        <v>16</v>
      </c>
      <c r="D88" s="174"/>
      <c r="E88" s="175">
        <f>D88</f>
        <v>0</v>
      </c>
      <c r="F88" s="176">
        <f>D88+D56+E56</f>
        <v>0</v>
      </c>
      <c r="G88" s="176">
        <f>E88+G56+H56</f>
        <v>0</v>
      </c>
      <c r="H88" s="111"/>
      <c r="I88" s="111"/>
    </row>
    <row r="89" s="1" customFormat="1" ht="14" spans="1:11">
      <c r="A89" s="27" t="s">
        <v>19</v>
      </c>
      <c r="B89" s="28" t="s">
        <v>89</v>
      </c>
      <c r="C89" s="29" t="s">
        <v>16</v>
      </c>
      <c r="D89" s="174"/>
      <c r="E89" s="175">
        <f>D89</f>
        <v>0</v>
      </c>
      <c r="F89" s="176">
        <f>D89+D57+E57</f>
        <v>0</v>
      </c>
      <c r="G89" s="176">
        <f>E89+G57+H57</f>
        <v>0</v>
      </c>
      <c r="H89" s="111"/>
      <c r="I89" s="111"/>
    </row>
    <row r="90" s="1" customFormat="1" ht="14" spans="1:11">
      <c r="A90" s="27" t="s">
        <v>21</v>
      </c>
      <c r="B90" s="41" t="s">
        <v>25</v>
      </c>
      <c r="C90" s="42" t="s">
        <v>26</v>
      </c>
      <c r="D90" s="174"/>
      <c r="E90" s="177">
        <f>D90+'26.11'!E90</f>
        <v>6355.62400900001</v>
      </c>
      <c r="F90" s="178">
        <f>F58+D90</f>
        <v>0</v>
      </c>
      <c r="G90" s="178">
        <f>E90+I58</f>
        <v>16864.724009</v>
      </c>
      <c r="H90" s="111"/>
      <c r="I90" s="111"/>
    </row>
    <row r="91" s="1" customFormat="1" ht="14" spans="1:11">
      <c r="A91" s="27" t="s">
        <v>24</v>
      </c>
      <c r="B91" s="41" t="s">
        <v>38</v>
      </c>
      <c r="C91" s="42" t="s">
        <v>23</v>
      </c>
      <c r="D91" s="174"/>
      <c r="E91" s="177">
        <f>D91+'26.11'!E91</f>
        <v>86.5</v>
      </c>
      <c r="F91" s="178">
        <f>F59+D91</f>
        <v>0</v>
      </c>
      <c r="G91" s="178">
        <f>E91+I59</f>
        <v>817.3</v>
      </c>
      <c r="H91" s="111"/>
      <c r="I91" s="111"/>
    </row>
    <row r="92" s="1" customFormat="1" ht="14" spans="1:11">
      <c r="A92" s="27" t="s">
        <v>27</v>
      </c>
      <c r="B92" s="41" t="s">
        <v>41</v>
      </c>
      <c r="C92" s="42" t="s">
        <v>42</v>
      </c>
      <c r="D92" s="174"/>
      <c r="E92" s="177">
        <f>D92+'26.11'!E92</f>
        <v>780380.88</v>
      </c>
      <c r="F92" s="178">
        <f>F60+D92</f>
        <v>0</v>
      </c>
      <c r="G92" s="178">
        <f>E92+I60</f>
        <v>3955940.88</v>
      </c>
      <c r="H92" s="111"/>
      <c r="I92" s="111"/>
    </row>
    <row r="93" s="1" customFormat="1" ht="14" spans="1:11">
      <c r="A93" s="27"/>
      <c r="B93" s="41" t="s">
        <v>90</v>
      </c>
      <c r="C93" s="42" t="s">
        <v>42</v>
      </c>
      <c r="D93" s="174"/>
      <c r="E93" s="177">
        <f>D93+'26.11'!E93</f>
        <v>0</v>
      </c>
      <c r="F93" s="178">
        <f>F61+D93</f>
        <v>0</v>
      </c>
      <c r="G93" s="178">
        <f>E93+I61</f>
        <v>3175560</v>
      </c>
      <c r="H93" s="111"/>
      <c r="I93" s="111"/>
    </row>
    <row r="94" s="1" customFormat="1" ht="14" spans="1:11">
      <c r="A94" s="27" t="s">
        <v>29</v>
      </c>
      <c r="B94" s="41" t="s">
        <v>52</v>
      </c>
      <c r="C94" s="42" t="s">
        <v>53</v>
      </c>
      <c r="D94" s="179" t="e">
        <f>D92/D90</f>
        <v>#DIV/0!</v>
      </c>
      <c r="E94" s="179">
        <f>E92/E90</f>
        <v>122.785878915261</v>
      </c>
      <c r="F94" s="179" t="e">
        <f>F92/F90</f>
        <v>#DIV/0!</v>
      </c>
      <c r="G94" s="179">
        <f>G92/G90</f>
        <v>234.568966434842</v>
      </c>
      <c r="H94" s="117"/>
      <c r="I94" s="117"/>
    </row>
    <row r="95" s="1" customFormat="1" ht="14" spans="1:11">
      <c r="A95" s="27" t="s">
        <v>31</v>
      </c>
      <c r="B95" s="41" t="s">
        <v>105</v>
      </c>
      <c r="C95" s="75" t="s">
        <v>68</v>
      </c>
      <c r="D95" s="180">
        <f>D90/3.6/D87/(DAY(DATE(2027,1,0))*24)</f>
        <v>0</v>
      </c>
      <c r="E95" s="80">
        <f>E90/3.6/E87/(DATEDIF(DATE(2026,1,1),DATE(2027,1,1),"D")*24)</f>
        <v>0.255496342865632</v>
      </c>
      <c r="F95" s="180">
        <f>F90/3.6/F87/(DAY(DATE(2027,1,0))*24)</f>
        <v>0</v>
      </c>
      <c r="G95" s="80">
        <f>G90/3.6/G87/(DATEDIF(DATE(2026,1,1),DATE(2027,1,1),"D")*24)</f>
        <v>0.0405478049700497</v>
      </c>
      <c r="H95" s="181"/>
      <c r="I95" s="181"/>
      <c r="K95" s="182"/>
    </row>
    <row r="96" s="1" customFormat="1" ht="14" spans="1:11">
      <c r="A96" s="27" t="s">
        <v>33</v>
      </c>
      <c r="B96" s="41" t="s">
        <v>72</v>
      </c>
      <c r="C96" s="42" t="s">
        <v>73</v>
      </c>
      <c r="D96" s="183" t="e">
        <f>D90/D89</f>
        <v>#DIV/0!</v>
      </c>
      <c r="E96" s="183" t="e">
        <f>E90/E89</f>
        <v>#DIV/0!</v>
      </c>
      <c r="F96" s="183" t="e">
        <f>F90/F89</f>
        <v>#DIV/0!</v>
      </c>
      <c r="G96" s="183" t="e">
        <f>G90/G89</f>
        <v>#DIV/0!</v>
      </c>
      <c r="H96" s="121"/>
      <c r="I96" s="121"/>
    </row>
    <row r="97" s="1" customFormat="1" ht="14" spans="1:9">
      <c r="A97" s="27" t="s">
        <v>37</v>
      </c>
      <c r="B97" s="41" t="s">
        <v>78</v>
      </c>
      <c r="C97" s="42" t="s">
        <v>79</v>
      </c>
      <c r="D97" s="184" t="e">
        <f>D92/D89</f>
        <v>#DIV/0!</v>
      </c>
      <c r="E97" s="184" t="e">
        <f>E92/E89</f>
        <v>#DIV/0!</v>
      </c>
      <c r="F97" s="184" t="e">
        <f>F92/F89</f>
        <v>#DIV/0!</v>
      </c>
      <c r="G97" s="184" t="e">
        <f>G92/G89</f>
        <v>#DIV/0!</v>
      </c>
      <c r="H97" s="123"/>
      <c r="I97" s="123"/>
    </row>
    <row r="98" s="1" customFormat="1" ht="14.75" spans="1:9">
      <c r="A98" s="124" t="s">
        <v>40</v>
      </c>
      <c r="B98" s="93" t="s">
        <v>81</v>
      </c>
      <c r="C98" s="94" t="s">
        <v>76</v>
      </c>
      <c r="D98" s="184" t="e">
        <f>D91*1000/D89</f>
        <v>#DIV/0!</v>
      </c>
      <c r="E98" s="184" t="e">
        <f>E91*1000/E89</f>
        <v>#DIV/0!</v>
      </c>
      <c r="F98" s="184" t="e">
        <f>F91*1000/F89</f>
        <v>#DIV/0!</v>
      </c>
      <c r="G98" s="184" t="e">
        <f>G91*1000/G89</f>
        <v>#DIV/0!</v>
      </c>
      <c r="H98" s="123"/>
      <c r="I98" s="123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&amp;C&amp;20 2022年12月份集团各锅炉站生产报表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26.1</vt:lpstr>
      <vt:lpstr>26.2</vt:lpstr>
      <vt:lpstr>26.3</vt:lpstr>
      <vt:lpstr>26.4</vt:lpstr>
      <vt:lpstr>26.5</vt:lpstr>
      <vt:lpstr>26.6</vt:lpstr>
      <vt:lpstr>26.7</vt:lpstr>
      <vt:lpstr>26.8</vt:lpstr>
      <vt:lpstr>26.9</vt:lpstr>
      <vt:lpstr>26.10</vt:lpstr>
      <vt:lpstr>26.11</vt:lpstr>
      <vt:lpstr>26.12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jhb8955</dc:creator>
  <cp:lastModifiedBy>王巍</cp:lastModifiedBy>
  <dcterms:created xsi:type="dcterms:W3CDTF">2012-11-29T00:35:00Z</dcterms:created>
  <cp:lastPrinted>2023-02-21T02:27:00Z</cp:lastPrinted>
  <dcterms:modified xsi:type="dcterms:W3CDTF">2026-04-01T14:19:44Z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7B79BB2DECEF4193B5C60B2AFE8B6A02_13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