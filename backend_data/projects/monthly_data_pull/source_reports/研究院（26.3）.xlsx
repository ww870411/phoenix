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旅顺电锅炉房3月" sheetId="4" r:id="rId1"/>
    <sheet name="复洲湾电锅炉房3月" sheetId="5" r:id="rId2"/>
    <sheet name="碧流河空气源热泵3月" sheetId="6" r:id="rId3"/>
  </sheets>
  <externalReferences>
    <externalReference r:id="rId4"/>
  </externalReferences>
  <definedNames>
    <definedName name="codeValue0">[1]codeValue!$A$1:$A$3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<sst xmlns="http://schemas.openxmlformats.org/spreadsheetml/2006/main" count="230" uniqueCount="73">
  <si>
    <r>
      <rPr>
        <b/>
        <u/>
        <sz val="18"/>
        <rFont val="宋体"/>
        <charset val="134"/>
      </rPr>
      <t xml:space="preserve">   旅顺  电</t>
    </r>
    <r>
      <rPr>
        <b/>
        <sz val="18"/>
        <rFont val="宋体"/>
        <charset val="134"/>
      </rPr>
      <t>锅炉房生产月报表</t>
    </r>
  </si>
  <si>
    <t>往年同期</t>
  </si>
  <si>
    <t>热</t>
  </si>
  <si>
    <t>水</t>
  </si>
  <si>
    <t>电</t>
  </si>
  <si>
    <t>今年</t>
  </si>
  <si>
    <r>
      <rPr>
        <sz val="11"/>
        <rFont val="Times New Roman"/>
        <charset val="0"/>
      </rPr>
      <t xml:space="preserve">                    </t>
    </r>
    <r>
      <rPr>
        <sz val="11"/>
        <rFont val="宋体"/>
        <charset val="134"/>
      </rPr>
      <t>表</t>
    </r>
    <r>
      <rPr>
        <sz val="11"/>
        <rFont val="Times New Roman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charset val="0"/>
      </rPr>
      <t>B005-1</t>
    </r>
    <r>
      <rPr>
        <sz val="11"/>
        <rFont val="宋体"/>
        <charset val="134"/>
      </rPr>
      <t>表</t>
    </r>
  </si>
  <si>
    <r>
      <rPr>
        <sz val="11"/>
        <rFont val="宋体"/>
        <charset val="134"/>
      </rPr>
      <t>单位名称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盖章</t>
    </r>
    <r>
      <rPr>
        <sz val="11"/>
        <rFont val="Times New Roman"/>
        <charset val="0"/>
      </rPr>
      <t>)</t>
    </r>
    <r>
      <rPr>
        <sz val="11"/>
        <rFont val="宋体"/>
        <charset val="134"/>
      </rPr>
      <t>：</t>
    </r>
  </si>
  <si>
    <r>
      <t>2026/3</t>
    </r>
    <r>
      <rPr>
        <sz val="11"/>
        <rFont val="宋体"/>
        <charset val="0"/>
      </rPr>
      <t>月</t>
    </r>
  </si>
  <si>
    <r>
      <rPr>
        <sz val="11"/>
        <rFont val="Times New Roman"/>
        <charset val="0"/>
      </rPr>
      <t xml:space="preserve">                    </t>
    </r>
    <r>
      <rPr>
        <sz val="11"/>
        <rFont val="宋体"/>
        <charset val="134"/>
      </rPr>
      <t>制表单位：企业策划部</t>
    </r>
  </si>
  <si>
    <t>指标名称</t>
  </si>
  <si>
    <t>计量单位</t>
  </si>
  <si>
    <t>代码</t>
  </si>
  <si>
    <t>上年同期</t>
  </si>
  <si>
    <t>本年实际</t>
  </si>
  <si>
    <r>
      <rPr>
        <sz val="11"/>
        <rFont val="宋体"/>
        <charset val="134"/>
      </rPr>
      <t>备</t>
    </r>
    <r>
      <rPr>
        <sz val="11"/>
        <rFont val="Times New Roman"/>
        <charset val="0"/>
      </rPr>
      <t xml:space="preserve"> </t>
    </r>
    <r>
      <rPr>
        <sz val="11"/>
        <rFont val="宋体"/>
        <charset val="134"/>
      </rPr>
      <t>注</t>
    </r>
  </si>
  <si>
    <t>月计</t>
  </si>
  <si>
    <t>累计</t>
  </si>
  <si>
    <t>本月</t>
  </si>
  <si>
    <t>装机总容量</t>
  </si>
  <si>
    <t>兆瓦</t>
  </si>
  <si>
    <t>001</t>
  </si>
  <si>
    <t>期末供热面积</t>
  </si>
  <si>
    <t>平方米</t>
  </si>
  <si>
    <t>002</t>
  </si>
  <si>
    <t>实际平均供热面积</t>
  </si>
  <si>
    <t>003</t>
  </si>
  <si>
    <t>供热量</t>
  </si>
  <si>
    <t>吉焦</t>
  </si>
  <si>
    <t>004</t>
  </si>
  <si>
    <t>耗水量</t>
  </si>
  <si>
    <t>吨</t>
  </si>
  <si>
    <t>005</t>
  </si>
  <si>
    <t>耗电量</t>
  </si>
  <si>
    <t>千瓦时</t>
  </si>
  <si>
    <t>006</t>
  </si>
  <si>
    <t>其中：高压电量</t>
  </si>
  <si>
    <t>007</t>
  </si>
  <si>
    <t>供热用电率</t>
  </si>
  <si>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吉焦</t>
    </r>
  </si>
  <si>
    <t>锅炉热效率</t>
  </si>
  <si>
    <t>%</t>
  </si>
  <si>
    <t>008</t>
  </si>
  <si>
    <t>锅炉设备利用率</t>
  </si>
  <si>
    <t>009</t>
  </si>
  <si>
    <t>供暖功耗率</t>
  </si>
  <si>
    <t>瓦/平方米</t>
  </si>
  <si>
    <t>010</t>
  </si>
  <si>
    <t>单位面积耗电量</t>
  </si>
  <si>
    <t>千瓦时/平方米</t>
  </si>
  <si>
    <t>011</t>
  </si>
  <si>
    <t>单位面积耗水量</t>
  </si>
  <si>
    <t>千克/平方米</t>
  </si>
  <si>
    <t>012</t>
  </si>
  <si>
    <t xml:space="preserve">  单位负责人：</t>
  </si>
  <si>
    <t>填表人：</t>
  </si>
  <si>
    <r>
      <t xml:space="preserve">      </t>
    </r>
    <r>
      <rPr>
        <sz val="12"/>
        <rFont val="宋体"/>
        <charset val="0"/>
      </rPr>
      <t>报出日期：</t>
    </r>
    <r>
      <rPr>
        <sz val="12"/>
        <rFont val="Times New Roman"/>
        <charset val="0"/>
      </rPr>
      <t>2026</t>
    </r>
    <r>
      <rPr>
        <sz val="12"/>
        <rFont val="宋体"/>
        <charset val="0"/>
      </rPr>
      <t>年</t>
    </r>
    <r>
      <rPr>
        <sz val="12"/>
        <rFont val="Times New Roman"/>
        <charset val="0"/>
      </rPr>
      <t>4</t>
    </r>
    <r>
      <rPr>
        <sz val="12"/>
        <rFont val="宋体"/>
        <charset val="0"/>
      </rPr>
      <t>月</t>
    </r>
    <r>
      <rPr>
        <sz val="12"/>
        <rFont val="Times New Roman"/>
        <charset val="0"/>
      </rPr>
      <t>1</t>
    </r>
    <r>
      <rPr>
        <sz val="12"/>
        <rFont val="宋体"/>
        <charset val="0"/>
      </rPr>
      <t>日</t>
    </r>
  </si>
  <si>
    <t>注：部分指标计算方法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</si>
  <si>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供热用电率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吉焦</t>
    </r>
    <r>
      <rPr>
        <sz val="11"/>
        <rFont val="Times New Roman"/>
        <charset val="0"/>
      </rPr>
      <t>)=</t>
    </r>
    <r>
      <rPr>
        <sz val="11"/>
        <rFont val="宋体"/>
        <charset val="134"/>
      </rPr>
      <t>供热耗用电量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)÷</t>
    </r>
    <r>
      <rPr>
        <sz val="11"/>
        <rFont val="宋体"/>
        <charset val="134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charset val="0"/>
      </rPr>
      <t>)</t>
    </r>
  </si>
  <si>
    <r>
      <rPr>
        <sz val="11"/>
        <rFont val="Times New Roman"/>
        <charset val="0"/>
      </rPr>
      <t>2.</t>
    </r>
    <r>
      <rPr>
        <sz val="11"/>
        <rFont val="宋体"/>
        <charset val="134"/>
      </rPr>
      <t>锅炉热效率</t>
    </r>
    <r>
      <rPr>
        <sz val="11"/>
        <rFont val="Times New Roman"/>
        <charset val="0"/>
      </rPr>
      <t>(%)=</t>
    </r>
    <r>
      <rPr>
        <sz val="11"/>
        <rFont val="宋体"/>
        <charset val="134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千焦</t>
    </r>
    <r>
      <rPr>
        <sz val="11"/>
        <rFont val="Times New Roman"/>
        <charset val="0"/>
      </rPr>
      <t>)÷(</t>
    </r>
    <r>
      <rPr>
        <sz val="11"/>
        <rFont val="宋体"/>
        <charset val="134"/>
      </rPr>
      <t>耗电量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)×3600(</t>
    </r>
    <r>
      <rPr>
        <sz val="11"/>
        <rFont val="宋体"/>
        <charset val="134"/>
      </rPr>
      <t>千焦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))</t>
    </r>
  </si>
  <si>
    <r>
      <rPr>
        <sz val="11"/>
        <rFont val="Times New Roman"/>
        <charset val="0"/>
      </rPr>
      <t>3.</t>
    </r>
    <r>
      <rPr>
        <sz val="11"/>
        <rFont val="宋体"/>
        <charset val="134"/>
      </rPr>
      <t>锅炉设备利用率</t>
    </r>
    <r>
      <rPr>
        <sz val="11"/>
        <rFont val="Times New Roman"/>
        <charset val="0"/>
      </rPr>
      <t>(%)=</t>
    </r>
    <r>
      <rPr>
        <sz val="11"/>
        <rFont val="宋体"/>
        <charset val="134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charset val="0"/>
      </rPr>
      <t>)×1000÷</t>
    </r>
    <r>
      <rPr>
        <sz val="11"/>
        <rFont val="宋体"/>
        <charset val="134"/>
      </rPr>
      <t>供热能力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兆瓦</t>
    </r>
    <r>
      <rPr>
        <sz val="11"/>
        <rFont val="Times New Roman"/>
        <charset val="0"/>
      </rPr>
      <t>)÷</t>
    </r>
    <r>
      <rPr>
        <sz val="11"/>
        <rFont val="宋体"/>
        <charset val="134"/>
      </rPr>
      <t>报告期日历秒数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秒</t>
    </r>
    <r>
      <rPr>
        <sz val="11"/>
        <rFont val="Times New Roman"/>
        <charset val="0"/>
      </rPr>
      <t>)</t>
    </r>
  </si>
  <si>
    <r>
      <rPr>
        <sz val="11"/>
        <rFont val="Times New Roman"/>
        <charset val="0"/>
      </rPr>
      <t>4.</t>
    </r>
    <r>
      <rPr>
        <sz val="11"/>
        <rFont val="宋体"/>
        <charset val="134"/>
      </rPr>
      <t>以上指标中的</t>
    </r>
    <r>
      <rPr>
        <sz val="11"/>
        <rFont val="Times New Roman"/>
        <charset val="0"/>
      </rPr>
      <t>008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009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010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011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012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013</t>
    </r>
    <r>
      <rPr>
        <sz val="11"/>
        <rFont val="宋体"/>
        <charset val="134"/>
      </rPr>
      <t>项，均保留小数点后</t>
    </r>
    <r>
      <rPr>
        <sz val="11"/>
        <rFont val="Times New Roman"/>
        <charset val="0"/>
      </rPr>
      <t>1</t>
    </r>
    <r>
      <rPr>
        <sz val="11"/>
        <rFont val="宋体"/>
        <charset val="134"/>
      </rPr>
      <t>位。</t>
    </r>
  </si>
  <si>
    <t>复制上月年累计</t>
  </si>
  <si>
    <t>上月累计</t>
  </si>
  <si>
    <t>年累计</t>
  </si>
  <si>
    <r>
      <rPr>
        <b/>
        <u/>
        <sz val="18"/>
        <rFont val="宋体"/>
        <charset val="134"/>
      </rPr>
      <t xml:space="preserve">   复洲湾  电</t>
    </r>
    <r>
      <rPr>
        <b/>
        <sz val="18"/>
        <rFont val="宋体"/>
        <charset val="134"/>
      </rPr>
      <t>锅炉房生产月报表</t>
    </r>
  </si>
  <si>
    <t>往期</t>
  </si>
  <si>
    <t>同期</t>
  </si>
  <si>
    <t>013</t>
  </si>
  <si>
    <r>
      <rPr>
        <b/>
        <u/>
        <sz val="18"/>
        <rFont val="宋体"/>
        <charset val="134"/>
      </rPr>
      <t xml:space="preserve">   碧流河、桂云花  空气源热泵</t>
    </r>
    <r>
      <rPr>
        <b/>
        <sz val="18"/>
        <rFont val="宋体"/>
        <charset val="134"/>
      </rPr>
      <t>生产月报表</t>
    </r>
  </si>
  <si>
    <t>不属于高压电  为方便于计算</t>
  </si>
  <si>
    <r>
      <rPr>
        <sz val="11"/>
        <rFont val="Times New Roman"/>
        <charset val="0"/>
      </rPr>
      <t>2.</t>
    </r>
    <r>
      <rPr>
        <sz val="11"/>
        <rFont val="宋体"/>
        <charset val="0"/>
      </rPr>
      <t>热效率</t>
    </r>
    <r>
      <rPr>
        <sz val="11"/>
        <rFont val="Times New Roman"/>
        <charset val="0"/>
      </rPr>
      <t>(%)=</t>
    </r>
    <r>
      <rPr>
        <sz val="11"/>
        <rFont val="宋体"/>
        <charset val="0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千焦</t>
    </r>
    <r>
      <rPr>
        <sz val="11"/>
        <rFont val="Times New Roman"/>
        <charset val="0"/>
      </rPr>
      <t>)÷(</t>
    </r>
    <r>
      <rPr>
        <sz val="11"/>
        <rFont val="宋体"/>
        <charset val="0"/>
      </rPr>
      <t>耗电量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千瓦时</t>
    </r>
    <r>
      <rPr>
        <sz val="11"/>
        <rFont val="Times New Roman"/>
        <charset val="0"/>
      </rPr>
      <t>)×3600(</t>
    </r>
    <r>
      <rPr>
        <sz val="11"/>
        <rFont val="宋体"/>
        <charset val="0"/>
      </rPr>
      <t>千焦</t>
    </r>
    <r>
      <rPr>
        <sz val="11"/>
        <rFont val="Times New Roman"/>
        <charset val="0"/>
      </rPr>
      <t>/</t>
    </r>
    <r>
      <rPr>
        <sz val="11"/>
        <rFont val="宋体"/>
        <charset val="0"/>
      </rPr>
      <t>千瓦时</t>
    </r>
    <r>
      <rPr>
        <sz val="11"/>
        <rFont val="Times New Roman"/>
        <charset val="0"/>
      </rPr>
      <t>))</t>
    </r>
  </si>
  <si>
    <r>
      <rPr>
        <sz val="11"/>
        <rFont val="Times New Roman"/>
        <charset val="0"/>
      </rPr>
      <t>3.</t>
    </r>
    <r>
      <rPr>
        <sz val="11"/>
        <rFont val="宋体"/>
        <charset val="0"/>
      </rPr>
      <t>设备利用率</t>
    </r>
    <r>
      <rPr>
        <sz val="11"/>
        <rFont val="Times New Roman"/>
        <charset val="0"/>
      </rPr>
      <t>(%)=</t>
    </r>
    <r>
      <rPr>
        <sz val="11"/>
        <rFont val="宋体"/>
        <charset val="0"/>
      </rPr>
      <t>供热量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吉焦</t>
    </r>
    <r>
      <rPr>
        <sz val="11"/>
        <rFont val="Times New Roman"/>
        <charset val="0"/>
      </rPr>
      <t>)×1000÷</t>
    </r>
    <r>
      <rPr>
        <sz val="11"/>
        <rFont val="宋体"/>
        <charset val="0"/>
      </rPr>
      <t>供热能力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兆瓦</t>
    </r>
    <r>
      <rPr>
        <sz val="11"/>
        <rFont val="Times New Roman"/>
        <charset val="0"/>
      </rPr>
      <t>)÷</t>
    </r>
    <r>
      <rPr>
        <sz val="11"/>
        <rFont val="宋体"/>
        <charset val="0"/>
      </rPr>
      <t>报告期日历秒数</t>
    </r>
    <r>
      <rPr>
        <sz val="11"/>
        <rFont val="Times New Roman"/>
        <charset val="0"/>
      </rPr>
      <t>(</t>
    </r>
    <r>
      <rPr>
        <sz val="11"/>
        <rFont val="宋体"/>
        <charset val="0"/>
      </rPr>
      <t>秒</t>
    </r>
    <r>
      <rPr>
        <sz val="11"/>
        <rFont val="Times New Roman"/>
        <charset val="0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</si>
</sst>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%"/>
    <numFmt numFmtId="179" formatCode="0_ "/>
  </numFmts>
  <fonts count="39">
    <font>
      <sz val="11"/>
      <color theme="1"/>
      <name val="宋体"/>
      <charset val="134"/>
      <scheme val="minor"/>
    </font>
    <font>
      <b/>
      <u/>
      <sz val="18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2"/>
      <name val="Times New Roman"/>
      <charset val="0"/>
    </font>
    <font>
      <sz val="11"/>
      <name val="Times New Roman"/>
      <charset val="0"/>
    </font>
    <font>
      <b/>
      <sz val="11"/>
      <name val="Times New Roman"/>
      <charset val="0"/>
    </font>
    <font>
      <sz val="10"/>
      <name val="宋体"/>
      <charset val="134"/>
    </font>
    <font>
      <sz val="11"/>
      <color rgb="FFFF0000"/>
      <name val="Times New Roman"/>
      <charset val="0"/>
    </font>
    <font>
      <b/>
      <sz val="11"/>
      <color rgb="FFFF0000"/>
      <name val="Times New Roman"/>
      <charset val="0"/>
    </font>
    <font>
      <sz val="11"/>
      <color rgb="FFFF0000"/>
      <name val="宋体"/>
      <charset val="0"/>
    </font>
    <font>
      <b/>
      <sz val="11"/>
      <color rgb="FFFF0000"/>
      <name val="宋体"/>
      <charset val="0"/>
    </font>
    <font>
      <sz val="10"/>
      <color rgb="FFFF000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b/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0"/>
    </font>
    <font>
      <sz val="11"/>
      <name val="宋体"/>
      <charset val="0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2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23" applyNumberFormat="0" applyAlignment="0" applyProtection="0">
      <alignment vertical="center"/>
    </xf>
    <xf numFmtId="0" fontId="27" fillId="9" borderId="24" applyNumberFormat="0" applyAlignment="0" applyProtection="0">
      <alignment vertical="center"/>
    </xf>
    <xf numFmtId="0" fontId="28" fillId="9" borderId="23" applyNumberFormat="0" applyAlignment="0" applyProtection="0">
      <alignment vertical="center"/>
    </xf>
    <xf numFmtId="0" fontId="29" fillId="10" borderId="25" applyNumberFormat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3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57" fontId="5" fillId="0" borderId="0" xfId="0" applyNumberFormat="1" applyFont="1" applyFill="1" applyAlignment="1">
      <alignment horizontal="left" vertical="center"/>
    </xf>
    <xf numFmtId="0" fontId="3" fillId="0" borderId="1" xfId="0" applyFont="1" applyFill="1" applyBorder="1" applyAlignment="1"/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76" fontId="5" fillId="2" borderId="7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49" fontId="5" fillId="0" borderId="7" xfId="0" applyNumberFormat="1" applyFont="1" applyFill="1" applyBorder="1" applyAlignment="1">
      <alignment horizontal="center" vertical="center"/>
    </xf>
    <xf numFmtId="177" fontId="5" fillId="0" borderId="7" xfId="0" applyNumberFormat="1" applyFont="1" applyFill="1" applyBorder="1" applyAlignment="1">
      <alignment horizontal="center" vertical="center"/>
    </xf>
    <xf numFmtId="177" fontId="6" fillId="0" borderId="7" xfId="0" applyNumberFormat="1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43" fontId="7" fillId="0" borderId="11" xfId="1" applyNumberFormat="1" applyFont="1" applyFill="1" applyBorder="1" applyAlignment="1">
      <alignment vertical="center" shrinkToFit="1"/>
    </xf>
    <xf numFmtId="0" fontId="7" fillId="0" borderId="11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1" fontId="3" fillId="2" borderId="7" xfId="49" applyNumberFormat="1" applyFont="1" applyFill="1" applyBorder="1" applyAlignment="1">
      <alignment horizontal="center" vertical="center"/>
    </xf>
    <xf numFmtId="178" fontId="5" fillId="2" borderId="7" xfId="3" applyNumberFormat="1" applyFont="1" applyFill="1" applyBorder="1" applyAlignment="1">
      <alignment horizontal="center" vertical="center"/>
    </xf>
    <xf numFmtId="178" fontId="6" fillId="2" borderId="7" xfId="3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horizontal="center" vertical="center"/>
    </xf>
    <xf numFmtId="49" fontId="5" fillId="2" borderId="16" xfId="0" applyNumberFormat="1" applyFont="1" applyFill="1" applyBorder="1" applyAlignment="1">
      <alignment horizontal="center" vertical="center"/>
    </xf>
    <xf numFmtId="176" fontId="5" fillId="2" borderId="16" xfId="0" applyNumberFormat="1" applyFont="1" applyFill="1" applyBorder="1" applyAlignment="1">
      <alignment horizontal="center" vertical="center"/>
    </xf>
    <xf numFmtId="176" fontId="6" fillId="2" borderId="16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13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4" fillId="3" borderId="7" xfId="0" applyFont="1" applyFill="1" applyBorder="1" applyAlignment="1"/>
    <xf numFmtId="58" fontId="3" fillId="3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3" fillId="4" borderId="7" xfId="0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4" fillId="4" borderId="7" xfId="0" applyFont="1" applyFill="1" applyBorder="1" applyAlignment="1"/>
    <xf numFmtId="0" fontId="4" fillId="4" borderId="7" xfId="0" applyFont="1" applyFill="1" applyBorder="1" applyAlignment="1">
      <alignment horizontal="center"/>
    </xf>
    <xf numFmtId="0" fontId="5" fillId="4" borderId="7" xfId="0" applyFont="1" applyFill="1" applyBorder="1" applyAlignment="1"/>
    <xf numFmtId="0" fontId="5" fillId="4" borderId="7" xfId="0" applyFont="1" applyFill="1" applyBorder="1" applyAlignment="1">
      <alignment horizontal="center"/>
    </xf>
    <xf numFmtId="0" fontId="3" fillId="4" borderId="7" xfId="0" applyFont="1" applyFill="1" applyBorder="1" applyAlignment="1"/>
    <xf numFmtId="0" fontId="13" fillId="4" borderId="7" xfId="0" applyFont="1" applyFill="1" applyBorder="1" applyAlignment="1"/>
    <xf numFmtId="0" fontId="13" fillId="4" borderId="7" xfId="0" applyFont="1" applyFill="1" applyBorder="1" applyAlignment="1">
      <alignment horizontal="center"/>
    </xf>
    <xf numFmtId="0" fontId="13" fillId="3" borderId="7" xfId="0" applyFont="1" applyFill="1" applyBorder="1" applyAlignment="1"/>
    <xf numFmtId="0" fontId="13" fillId="5" borderId="7" xfId="0" applyFont="1" applyFill="1" applyBorder="1" applyAlignment="1"/>
    <xf numFmtId="0" fontId="14" fillId="4" borderId="7" xfId="0" applyFont="1" applyFill="1" applyBorder="1" applyAlignment="1"/>
    <xf numFmtId="0" fontId="14" fillId="5" borderId="7" xfId="0" applyFont="1" applyFill="1" applyBorder="1" applyAlignment="1"/>
    <xf numFmtId="0" fontId="0" fillId="4" borderId="7" xfId="0" applyFill="1" applyBorder="1"/>
    <xf numFmtId="177" fontId="14" fillId="4" borderId="7" xfId="0" applyNumberFormat="1" applyFont="1" applyFill="1" applyBorder="1" applyAlignment="1"/>
    <xf numFmtId="0" fontId="15" fillId="0" borderId="0" xfId="0" applyFont="1"/>
    <xf numFmtId="0" fontId="14" fillId="5" borderId="7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vertical="center"/>
    </xf>
    <xf numFmtId="0" fontId="4" fillId="5" borderId="7" xfId="0" applyFont="1" applyFill="1" applyBorder="1" applyAlignment="1"/>
    <xf numFmtId="0" fontId="5" fillId="5" borderId="7" xfId="0" applyFont="1" applyFill="1" applyBorder="1" applyAlignment="1"/>
    <xf numFmtId="0" fontId="3" fillId="5" borderId="7" xfId="0" applyFont="1" applyFill="1" applyBorder="1" applyAlignment="1">
      <alignment vertical="center"/>
    </xf>
    <xf numFmtId="0" fontId="3" fillId="5" borderId="7" xfId="0" applyFont="1" applyFill="1" applyBorder="1" applyAlignment="1"/>
    <xf numFmtId="177" fontId="14" fillId="5" borderId="7" xfId="0" applyNumberFormat="1" applyFont="1" applyFill="1" applyBorder="1" applyAlignment="1"/>
    <xf numFmtId="0" fontId="1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57" fontId="5" fillId="0" borderId="0" xfId="0" applyNumberFormat="1" applyFont="1" applyFill="1" applyBorder="1" applyAlignment="1">
      <alignment vertical="center"/>
    </xf>
    <xf numFmtId="0" fontId="5" fillId="0" borderId="1" xfId="0" applyFont="1" applyFill="1" applyBorder="1" applyAlignment="1"/>
    <xf numFmtId="0" fontId="16" fillId="0" borderId="0" xfId="0" applyFont="1" applyFill="1" applyBorder="1" applyAlignment="1"/>
    <xf numFmtId="0" fontId="5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13" fillId="0" borderId="18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/>
    </xf>
    <xf numFmtId="179" fontId="14" fillId="0" borderId="18" xfId="0" applyNumberFormat="1" applyFont="1" applyFill="1" applyBorder="1" applyAlignment="1">
      <alignment horizontal="center"/>
    </xf>
    <xf numFmtId="179" fontId="14" fillId="0" borderId="19" xfId="0" applyNumberFormat="1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6" fillId="4" borderId="7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QB8182\AppData\Local\kingsoft\WPS%20Cloud%20Files\userdata\qing\filecache\.318532066\cachedata\C867453F0A4540D2B6AF2B5580D523D7\IV501_&#32852;&#32593;&#30452;&#25253;&#27861;&#20154;&#21333;&#20301;&#38750;&#37329;&#34701;&#36164;&#20135;&#25237;&#36164;&#24773;&#20917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  <sheetName val="codeValue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40"/>
  <sheetViews>
    <sheetView workbookViewId="0">
      <pane ySplit="1" topLeftCell="A14" activePane="bottomLeft" state="frozen"/>
      <selection/>
      <selection pane="bottomLeft" activeCell="U34" sqref="U34"/>
    </sheetView>
  </sheetViews>
  <sheetFormatPr defaultColWidth="9.81666666666667" defaultRowHeight="14.25"/>
  <cols>
    <col min="1" max="1" width="22" style="54" customWidth="1"/>
    <col min="2" max="2" width="16.0916666666667" style="54" customWidth="1"/>
    <col min="3" max="3" width="7.775" style="54" customWidth="1"/>
    <col min="4" max="7" width="9.68333333333333" style="54" customWidth="1"/>
    <col min="8" max="9" width="12.4083333333333" style="54" customWidth="1"/>
    <col min="10" max="10" width="9" style="54" customWidth="1"/>
    <col min="11" max="11" width="9.75833333333333" style="54" customWidth="1"/>
    <col min="12" max="15" width="8" style="54" customWidth="1"/>
    <col min="16" max="16" width="11.125" style="54" customWidth="1"/>
    <col min="17" max="17" width="9.36666666666667" style="54" customWidth="1"/>
    <col min="18" max="22" width="8" style="54" customWidth="1"/>
    <col min="23" max="23" width="10.2583333333333" style="54" customWidth="1"/>
    <col min="24" max="16384" width="9.81666666666667" style="54"/>
  </cols>
  <sheetData>
    <row r="1" s="54" customFormat="1" ht="22.5" spans="1:23">
      <c r="A1" s="2" t="s">
        <v>0</v>
      </c>
      <c r="B1" s="3"/>
      <c r="C1" s="3"/>
      <c r="D1" s="3"/>
      <c r="E1" s="3"/>
      <c r="F1" s="3"/>
      <c r="G1" s="3"/>
      <c r="H1" s="3"/>
      <c r="I1" s="3"/>
      <c r="J1" s="107" t="s">
        <v>1</v>
      </c>
      <c r="K1" s="58" t="s">
        <v>2</v>
      </c>
      <c r="L1" s="58"/>
      <c r="M1" s="59" t="s">
        <v>3</v>
      </c>
      <c r="N1" s="59"/>
      <c r="O1" s="59" t="s">
        <v>4</v>
      </c>
      <c r="P1" s="59"/>
      <c r="Q1" s="79" t="s">
        <v>5</v>
      </c>
      <c r="R1" s="83" t="s">
        <v>2</v>
      </c>
      <c r="S1" s="83"/>
      <c r="T1" s="83" t="s">
        <v>3</v>
      </c>
      <c r="U1" s="83"/>
      <c r="V1" s="83" t="s">
        <v>4</v>
      </c>
      <c r="W1" s="83"/>
    </row>
    <row r="2" s="92" customFormat="1" ht="21.95" customHeight="1" spans="1:23">
      <c r="A2" s="4"/>
      <c r="B2" s="4"/>
      <c r="C2" s="4"/>
      <c r="D2" s="4"/>
      <c r="E2" s="4"/>
      <c r="F2" s="55" t="s">
        <v>6</v>
      </c>
      <c r="G2" s="5"/>
      <c r="H2" s="5"/>
      <c r="I2" s="5"/>
      <c r="J2" s="61">
        <v>46082</v>
      </c>
      <c r="K2" s="63">
        <v>23.8000000000029</v>
      </c>
      <c r="L2" s="63">
        <v>1.40000000000146</v>
      </c>
      <c r="M2" s="63">
        <v>2.89999999999964</v>
      </c>
      <c r="N2" s="63">
        <v>22.1000000000004</v>
      </c>
      <c r="O2" s="63">
        <v>7000</v>
      </c>
      <c r="P2" s="63">
        <v>439.9999999996</v>
      </c>
      <c r="Q2" s="61">
        <v>46082</v>
      </c>
      <c r="R2" s="84">
        <v>30.3999999999978</v>
      </c>
      <c r="S2" s="84">
        <v>23.3999999999978</v>
      </c>
      <c r="T2" s="84">
        <v>1.19999999999982</v>
      </c>
      <c r="U2" s="84">
        <v>7.89999999999964</v>
      </c>
      <c r="V2" s="84">
        <v>9600.00000000002</v>
      </c>
      <c r="W2" s="84">
        <v>7600.00000000002</v>
      </c>
    </row>
    <row r="3" s="93" customFormat="1" ht="21.95" customHeight="1" spans="1:23">
      <c r="A3" s="6" t="s">
        <v>7</v>
      </c>
      <c r="B3" s="7"/>
      <c r="C3" s="7"/>
      <c r="D3" s="8" t="s">
        <v>8</v>
      </c>
      <c r="E3" s="8"/>
      <c r="F3" s="96" t="s">
        <v>9</v>
      </c>
      <c r="G3" s="9"/>
      <c r="H3" s="9"/>
      <c r="I3" s="5"/>
      <c r="J3" s="61">
        <v>46083</v>
      </c>
      <c r="K3" s="65">
        <v>29.7999999999993</v>
      </c>
      <c r="L3" s="65">
        <v>36.2000000000007</v>
      </c>
      <c r="M3" s="64">
        <v>3</v>
      </c>
      <c r="N3" s="64">
        <v>16</v>
      </c>
      <c r="O3" s="64">
        <v>8200.00000000073</v>
      </c>
      <c r="P3" s="64">
        <v>15360.0000000006</v>
      </c>
      <c r="Q3" s="61">
        <v>46083</v>
      </c>
      <c r="R3" s="85">
        <v>30.6000000000022</v>
      </c>
      <c r="S3" s="85">
        <v>23.5</v>
      </c>
      <c r="T3" s="85">
        <v>2.60000000000036</v>
      </c>
      <c r="U3" s="85">
        <v>7.39999999999964</v>
      </c>
      <c r="V3" s="85">
        <v>9679.99999999995</v>
      </c>
      <c r="W3" s="85">
        <v>7639.99999999999</v>
      </c>
    </row>
    <row r="4" s="94" customFormat="1" ht="27.95" customHeight="1" spans="1:23">
      <c r="A4" s="10" t="s">
        <v>10</v>
      </c>
      <c r="B4" s="11" t="s">
        <v>11</v>
      </c>
      <c r="C4" s="12" t="s">
        <v>12</v>
      </c>
      <c r="D4" s="11" t="s">
        <v>13</v>
      </c>
      <c r="E4" s="13"/>
      <c r="F4" s="11" t="s">
        <v>14</v>
      </c>
      <c r="G4" s="13"/>
      <c r="H4" s="14" t="s">
        <v>15</v>
      </c>
      <c r="I4" s="108"/>
      <c r="J4" s="61">
        <v>46084</v>
      </c>
      <c r="K4" s="65">
        <v>29.2999999999993</v>
      </c>
      <c r="L4" s="65">
        <v>38.8999999999978</v>
      </c>
      <c r="M4" s="63">
        <v>3</v>
      </c>
      <c r="N4" s="63">
        <v>13</v>
      </c>
      <c r="O4" s="63">
        <v>9119.99999999898</v>
      </c>
      <c r="P4" s="63">
        <v>9199.99999999982</v>
      </c>
      <c r="Q4" s="61">
        <v>46084</v>
      </c>
      <c r="R4" s="84">
        <v>29.2999999999993</v>
      </c>
      <c r="S4" s="84">
        <v>23.5</v>
      </c>
      <c r="T4" s="84">
        <v>1.39999999999964</v>
      </c>
      <c r="U4" s="84">
        <v>7.60000000000036</v>
      </c>
      <c r="V4" s="84">
        <v>9440.00000000005</v>
      </c>
      <c r="W4" s="84">
        <v>7720.00000000003</v>
      </c>
    </row>
    <row r="5" s="94" customFormat="1" ht="27.95" customHeight="1" spans="1:23">
      <c r="A5" s="15"/>
      <c r="B5" s="16"/>
      <c r="C5" s="17"/>
      <c r="D5" s="18" t="s">
        <v>16</v>
      </c>
      <c r="E5" s="18" t="s">
        <v>17</v>
      </c>
      <c r="F5" s="18" t="s">
        <v>18</v>
      </c>
      <c r="G5" s="18" t="s">
        <v>17</v>
      </c>
      <c r="H5" s="19"/>
      <c r="I5" s="108"/>
      <c r="J5" s="61">
        <v>46085</v>
      </c>
      <c r="K5" s="65">
        <v>28.7000000000007</v>
      </c>
      <c r="L5" s="65">
        <v>37.9000000000015</v>
      </c>
      <c r="M5" s="63">
        <v>2.5</v>
      </c>
      <c r="N5" s="63">
        <v>16.5</v>
      </c>
      <c r="O5" s="63">
        <v>8720.00000000116</v>
      </c>
      <c r="P5" s="63">
        <v>12319.9999999997</v>
      </c>
      <c r="Q5" s="61">
        <v>46085</v>
      </c>
      <c r="R5" s="84">
        <v>28.7999999999993</v>
      </c>
      <c r="S5" s="84">
        <v>23.2999999999993</v>
      </c>
      <c r="T5" s="84">
        <v>3</v>
      </c>
      <c r="U5" s="84">
        <v>7.5</v>
      </c>
      <c r="V5" s="84">
        <v>9399.99999999998</v>
      </c>
      <c r="W5" s="84">
        <v>7639.99999999999</v>
      </c>
    </row>
    <row r="6" s="94" customFormat="1" ht="27.95" customHeight="1" spans="1:23">
      <c r="A6" s="20" t="s">
        <v>19</v>
      </c>
      <c r="B6" s="21" t="s">
        <v>20</v>
      </c>
      <c r="C6" s="22" t="s">
        <v>21</v>
      </c>
      <c r="D6" s="23">
        <v>6</v>
      </c>
      <c r="E6" s="24">
        <v>6</v>
      </c>
      <c r="F6" s="23">
        <v>6</v>
      </c>
      <c r="G6" s="24">
        <v>6</v>
      </c>
      <c r="H6" s="19"/>
      <c r="I6" s="108"/>
      <c r="J6" s="61">
        <v>46086</v>
      </c>
      <c r="K6" s="65">
        <v>28.0999999999985</v>
      </c>
      <c r="L6" s="65">
        <v>31.2999999999993</v>
      </c>
      <c r="M6" s="63">
        <v>3.5</v>
      </c>
      <c r="N6" s="63">
        <v>16.5</v>
      </c>
      <c r="O6" s="63">
        <v>8679.99999999847</v>
      </c>
      <c r="P6" s="63">
        <v>12040</v>
      </c>
      <c r="Q6" s="61">
        <v>46086</v>
      </c>
      <c r="R6" s="84">
        <v>30.7000000000007</v>
      </c>
      <c r="S6" s="84">
        <v>23.7000000000007</v>
      </c>
      <c r="T6" s="84">
        <v>1.89999999999964</v>
      </c>
      <c r="U6" s="84">
        <v>7.5</v>
      </c>
      <c r="V6" s="84">
        <v>9159.99999999997</v>
      </c>
      <c r="W6" s="84">
        <v>7480.00000000002</v>
      </c>
    </row>
    <row r="7" s="94" customFormat="1" ht="27.95" customHeight="1" spans="1:23">
      <c r="A7" s="20" t="s">
        <v>22</v>
      </c>
      <c r="B7" s="21" t="s">
        <v>23</v>
      </c>
      <c r="C7" s="22" t="s">
        <v>24</v>
      </c>
      <c r="D7" s="23">
        <v>34948.34</v>
      </c>
      <c r="E7" s="24">
        <f>D7</f>
        <v>34948.34</v>
      </c>
      <c r="F7" s="23">
        <v>28895.6</v>
      </c>
      <c r="G7" s="24">
        <f>F7</f>
        <v>28895.6</v>
      </c>
      <c r="H7" s="19"/>
      <c r="I7" s="108"/>
      <c r="J7" s="61">
        <v>46087</v>
      </c>
      <c r="K7" s="67">
        <v>27.1000000000022</v>
      </c>
      <c r="L7" s="67">
        <v>28.2999999999993</v>
      </c>
      <c r="M7" s="63">
        <v>2</v>
      </c>
      <c r="N7" s="63">
        <v>17</v>
      </c>
      <c r="O7" s="63">
        <v>8480.00000000138</v>
      </c>
      <c r="P7" s="63">
        <v>9560.0000000004</v>
      </c>
      <c r="Q7" s="61">
        <v>46087</v>
      </c>
      <c r="R7" s="84">
        <v>30.7000000000007</v>
      </c>
      <c r="S7" s="84">
        <v>23.7999999999993</v>
      </c>
      <c r="T7" s="84">
        <v>1.10000000000036</v>
      </c>
      <c r="U7" s="84">
        <v>8</v>
      </c>
      <c r="V7" s="84">
        <v>10040.0000000001</v>
      </c>
      <c r="W7" s="84">
        <v>7759.99999999999</v>
      </c>
    </row>
    <row r="8" s="94" customFormat="1" ht="27.95" customHeight="1" spans="1:23">
      <c r="A8" s="20" t="s">
        <v>25</v>
      </c>
      <c r="B8" s="21" t="s">
        <v>23</v>
      </c>
      <c r="C8" s="22" t="s">
        <v>26</v>
      </c>
      <c r="D8" s="25">
        <v>34948.34</v>
      </c>
      <c r="E8" s="26">
        <f>D8</f>
        <v>34948.34</v>
      </c>
      <c r="F8" s="25">
        <v>28895.6</v>
      </c>
      <c r="G8" s="26">
        <f>F8</f>
        <v>28895.6</v>
      </c>
      <c r="H8" s="19"/>
      <c r="I8" s="108"/>
      <c r="J8" s="61">
        <v>46088</v>
      </c>
      <c r="K8" s="67">
        <v>26.1999999999971</v>
      </c>
      <c r="L8" s="67">
        <v>8.5</v>
      </c>
      <c r="M8" s="63">
        <v>4.5</v>
      </c>
      <c r="N8" s="63">
        <v>21.5</v>
      </c>
      <c r="O8" s="63">
        <v>8559.99999999949</v>
      </c>
      <c r="P8" s="63">
        <v>439.9999999996</v>
      </c>
      <c r="Q8" s="61">
        <v>46088</v>
      </c>
      <c r="R8" s="84">
        <v>28.5999999999985</v>
      </c>
      <c r="S8" s="84">
        <v>23.8000000000029</v>
      </c>
      <c r="T8" s="84">
        <v>2</v>
      </c>
      <c r="U8" s="84">
        <v>7</v>
      </c>
      <c r="V8" s="84">
        <v>8959.99999999992</v>
      </c>
      <c r="W8" s="84">
        <v>7799.99999999995</v>
      </c>
    </row>
    <row r="9" s="92" customFormat="1" ht="27.95" customHeight="1" spans="1:23">
      <c r="A9" s="27" t="s">
        <v>27</v>
      </c>
      <c r="B9" s="18" t="s">
        <v>28</v>
      </c>
      <c r="C9" s="28" t="s">
        <v>29</v>
      </c>
      <c r="D9" s="94">
        <f>L36</f>
        <v>1120.60000000001</v>
      </c>
      <c r="E9" s="33">
        <f>L40</f>
        <v>4869.80000000001</v>
      </c>
      <c r="F9" s="94">
        <f>S36</f>
        <v>1160.7</v>
      </c>
      <c r="G9" s="33">
        <f>S40</f>
        <v>4974</v>
      </c>
      <c r="H9" s="32"/>
      <c r="I9" s="6"/>
      <c r="J9" s="61">
        <v>46089</v>
      </c>
      <c r="K9" s="67">
        <v>25.5</v>
      </c>
      <c r="L9" s="67">
        <v>1.40000000000146</v>
      </c>
      <c r="M9" s="68">
        <v>4.5</v>
      </c>
      <c r="N9" s="68">
        <v>25.5</v>
      </c>
      <c r="O9" s="68">
        <v>7840.00000000015</v>
      </c>
      <c r="P9" s="68">
        <v>440.000000000509</v>
      </c>
      <c r="Q9" s="61">
        <v>46089</v>
      </c>
      <c r="R9" s="86">
        <v>26.1000000000022</v>
      </c>
      <c r="S9" s="86">
        <v>23.6999999999971</v>
      </c>
      <c r="T9" s="86">
        <v>1</v>
      </c>
      <c r="U9" s="86">
        <v>8</v>
      </c>
      <c r="V9" s="86">
        <v>8880</v>
      </c>
      <c r="W9" s="86">
        <v>7800.00000000007</v>
      </c>
    </row>
    <row r="10" s="92" customFormat="1" ht="27.95" customHeight="1" spans="1:23">
      <c r="A10" s="27" t="s">
        <v>30</v>
      </c>
      <c r="B10" s="18" t="s">
        <v>31</v>
      </c>
      <c r="C10" s="28" t="s">
        <v>32</v>
      </c>
      <c r="D10" s="98">
        <f>N36</f>
        <v>453</v>
      </c>
      <c r="E10" s="99">
        <f>N40</f>
        <v>1987.2</v>
      </c>
      <c r="F10" s="16">
        <f>U36</f>
        <v>289.099999999999</v>
      </c>
      <c r="G10" s="33">
        <f>U40</f>
        <v>853.999999999999</v>
      </c>
      <c r="H10" s="32"/>
      <c r="I10" s="6"/>
      <c r="J10" s="61">
        <v>46090</v>
      </c>
      <c r="K10" s="67">
        <v>25.1000000000022</v>
      </c>
      <c r="L10" s="67">
        <v>23.4000000000015</v>
      </c>
      <c r="M10" s="68">
        <v>5</v>
      </c>
      <c r="N10" s="68">
        <v>22</v>
      </c>
      <c r="O10" s="68">
        <v>7799.99999999927</v>
      </c>
      <c r="P10" s="68">
        <v>12439.9999999996</v>
      </c>
      <c r="Q10" s="61">
        <v>46090</v>
      </c>
      <c r="R10" s="86">
        <v>24.6999999999971</v>
      </c>
      <c r="S10" s="86">
        <v>22</v>
      </c>
      <c r="T10" s="86">
        <v>1.39999999999964</v>
      </c>
      <c r="U10" s="86">
        <v>7.60000000000036</v>
      </c>
      <c r="V10" s="86">
        <v>7840.00000000003</v>
      </c>
      <c r="W10" s="86">
        <v>7439.99999999994</v>
      </c>
    </row>
    <row r="11" s="92" customFormat="1" ht="27.95" customHeight="1" spans="1:23">
      <c r="A11" s="27" t="s">
        <v>33</v>
      </c>
      <c r="B11" s="18" t="s">
        <v>34</v>
      </c>
      <c r="C11" s="28" t="s">
        <v>35</v>
      </c>
      <c r="D11" s="16">
        <f>P36</f>
        <v>371599.999999999</v>
      </c>
      <c r="E11" s="33">
        <f>P40</f>
        <v>1526160</v>
      </c>
      <c r="F11" s="16">
        <f>W36</f>
        <v>384240</v>
      </c>
      <c r="G11" s="33">
        <f>W40</f>
        <v>1568680</v>
      </c>
      <c r="H11" s="32"/>
      <c r="I11" s="6"/>
      <c r="J11" s="61">
        <v>46091</v>
      </c>
      <c r="K11" s="67">
        <v>23.5999999999985</v>
      </c>
      <c r="L11" s="67">
        <v>27.2999999999993</v>
      </c>
      <c r="M11" s="68">
        <v>2</v>
      </c>
      <c r="N11" s="68">
        <v>18</v>
      </c>
      <c r="O11" s="68">
        <v>7280.00000000065</v>
      </c>
      <c r="P11" s="68">
        <v>9119.99999999989</v>
      </c>
      <c r="Q11" s="61">
        <v>46091</v>
      </c>
      <c r="R11" s="86">
        <v>22.6000000000022</v>
      </c>
      <c r="S11" s="86">
        <v>21.6000000000022</v>
      </c>
      <c r="T11" s="86">
        <v>2.40000000000055</v>
      </c>
      <c r="U11" s="86">
        <v>9.5</v>
      </c>
      <c r="V11" s="86">
        <v>6880</v>
      </c>
      <c r="W11" s="86">
        <v>7399.99999999998</v>
      </c>
    </row>
    <row r="12" s="92" customFormat="1" ht="27.95" customHeight="1" spans="1:23">
      <c r="A12" s="34" t="s">
        <v>36</v>
      </c>
      <c r="B12" s="35" t="s">
        <v>34</v>
      </c>
      <c r="C12" s="28" t="s">
        <v>37</v>
      </c>
      <c r="D12" s="16">
        <f>D11</f>
        <v>371599.999999999</v>
      </c>
      <c r="E12" s="33">
        <f>E11</f>
        <v>1526160</v>
      </c>
      <c r="F12" s="16">
        <f>F11</f>
        <v>384240</v>
      </c>
      <c r="G12" s="33">
        <f>G11</f>
        <v>1568680</v>
      </c>
      <c r="H12" s="32"/>
      <c r="I12" s="6"/>
      <c r="J12" s="61">
        <v>46092</v>
      </c>
      <c r="K12" s="67">
        <v>17.7000000000007</v>
      </c>
      <c r="L12" s="67">
        <v>26.7999999999993</v>
      </c>
      <c r="M12" s="68">
        <v>4</v>
      </c>
      <c r="N12" s="68">
        <v>18</v>
      </c>
      <c r="O12" s="68">
        <v>4039.99999999905</v>
      </c>
      <c r="P12" s="68">
        <v>9199.99999999982</v>
      </c>
      <c r="Q12" s="61">
        <v>46092</v>
      </c>
      <c r="R12" s="86">
        <v>22.3999999999978</v>
      </c>
      <c r="S12" s="86">
        <v>21.5</v>
      </c>
      <c r="T12" s="86">
        <v>1.09999999999945</v>
      </c>
      <c r="U12" s="86">
        <v>7.89999999999964</v>
      </c>
      <c r="V12" s="86">
        <v>7200.00000000005</v>
      </c>
      <c r="W12" s="86">
        <v>7120</v>
      </c>
    </row>
    <row r="13" s="92" customFormat="1" ht="27.95" customHeight="1" spans="1:23">
      <c r="A13" s="20" t="s">
        <v>38</v>
      </c>
      <c r="B13" s="41" t="s">
        <v>39</v>
      </c>
      <c r="C13" s="22" t="s">
        <v>37</v>
      </c>
      <c r="D13" s="25">
        <f t="shared" ref="D13:G13" si="0">D11/D9</f>
        <v>331.608067106905</v>
      </c>
      <c r="E13" s="26">
        <f t="shared" si="0"/>
        <v>313.392747135405</v>
      </c>
      <c r="F13" s="25">
        <f t="shared" si="0"/>
        <v>331.041612819851</v>
      </c>
      <c r="G13" s="26">
        <f t="shared" si="0"/>
        <v>315.375954965822</v>
      </c>
      <c r="H13" s="32"/>
      <c r="I13" s="6"/>
      <c r="J13" s="61">
        <v>46093</v>
      </c>
      <c r="K13" s="67">
        <v>17.5</v>
      </c>
      <c r="L13" s="67">
        <v>21.4000000000015</v>
      </c>
      <c r="M13" s="68">
        <v>2</v>
      </c>
      <c r="N13" s="68">
        <v>6</v>
      </c>
      <c r="O13" s="68">
        <v>5720.00000000116</v>
      </c>
      <c r="P13" s="68">
        <v>8039.99999999996</v>
      </c>
      <c r="Q13" s="61">
        <v>46093</v>
      </c>
      <c r="R13" s="86">
        <v>22.4000000000015</v>
      </c>
      <c r="S13" s="86">
        <v>21.2999999999993</v>
      </c>
      <c r="T13" s="86">
        <v>1.90000000000055</v>
      </c>
      <c r="U13" s="86">
        <v>7.10000000000036</v>
      </c>
      <c r="V13" s="86">
        <v>7279.99999999997</v>
      </c>
      <c r="W13" s="86">
        <v>7080.00000000004</v>
      </c>
    </row>
    <row r="14" s="92" customFormat="1" ht="27.95" customHeight="1" spans="1:23">
      <c r="A14" s="20" t="s">
        <v>40</v>
      </c>
      <c r="B14" s="21" t="s">
        <v>41</v>
      </c>
      <c r="C14" s="22" t="s">
        <v>42</v>
      </c>
      <c r="D14" s="42">
        <f t="shared" ref="D14:G14" si="1">D9*1000/(D11*3.6)</f>
        <v>0.837668939122121</v>
      </c>
      <c r="E14" s="43">
        <f t="shared" si="1"/>
        <v>0.886356753041768</v>
      </c>
      <c r="F14" s="42">
        <f t="shared" si="1"/>
        <v>0.839102297175374</v>
      </c>
      <c r="G14" s="43">
        <f t="shared" si="1"/>
        <v>0.880782993769708</v>
      </c>
      <c r="H14" s="32"/>
      <c r="I14" s="6"/>
      <c r="J14" s="61">
        <v>46094</v>
      </c>
      <c r="K14" s="67">
        <v>14.9000000000015</v>
      </c>
      <c r="L14" s="67">
        <v>23.3999999999978</v>
      </c>
      <c r="M14" s="68">
        <v>3.5</v>
      </c>
      <c r="N14" s="68">
        <v>17</v>
      </c>
      <c r="O14" s="68">
        <v>3239.99999999978</v>
      </c>
      <c r="P14" s="68">
        <v>360.000000000582</v>
      </c>
      <c r="Q14" s="61">
        <v>46094</v>
      </c>
      <c r="R14" s="86">
        <v>22.0999999999985</v>
      </c>
      <c r="S14" s="86">
        <v>21</v>
      </c>
      <c r="T14" s="86">
        <v>1.19999999999982</v>
      </c>
      <c r="U14" s="86">
        <v>7.89999999999964</v>
      </c>
      <c r="V14" s="86">
        <v>7279.99999999997</v>
      </c>
      <c r="W14" s="86">
        <v>7240.00000000001</v>
      </c>
    </row>
    <row r="15" s="92" customFormat="1" ht="27.95" customHeight="1" spans="1:23">
      <c r="A15" s="20" t="s">
        <v>43</v>
      </c>
      <c r="B15" s="21" t="s">
        <v>41</v>
      </c>
      <c r="C15" s="22" t="s">
        <v>44</v>
      </c>
      <c r="D15" s="42">
        <f t="shared" ref="D15:G15" si="2">D9/3.6/D6/720</f>
        <v>0.0720550411522638</v>
      </c>
      <c r="E15" s="43">
        <f t="shared" si="2"/>
        <v>0.313130144032922</v>
      </c>
      <c r="F15" s="42">
        <f t="shared" si="2"/>
        <v>0.0746334876543208</v>
      </c>
      <c r="G15" s="43">
        <f t="shared" si="2"/>
        <v>0.31983024691358</v>
      </c>
      <c r="H15" s="32"/>
      <c r="I15" s="6"/>
      <c r="J15" s="61">
        <v>46095</v>
      </c>
      <c r="K15" s="67">
        <v>12.6999999999971</v>
      </c>
      <c r="L15" s="67">
        <v>1.60000000000218</v>
      </c>
      <c r="M15" s="68">
        <v>3.5</v>
      </c>
      <c r="N15" s="68">
        <v>23</v>
      </c>
      <c r="O15" s="68">
        <v>239.999999999782</v>
      </c>
      <c r="P15" s="68">
        <v>319.999999999709</v>
      </c>
      <c r="Q15" s="61">
        <v>46095</v>
      </c>
      <c r="R15" s="86">
        <v>22.5</v>
      </c>
      <c r="S15" s="86">
        <v>21.4000000000015</v>
      </c>
      <c r="T15" s="86">
        <v>1.5</v>
      </c>
      <c r="U15" s="86">
        <v>7.5</v>
      </c>
      <c r="V15" s="86">
        <v>7280.00000000009</v>
      </c>
      <c r="W15" s="86">
        <v>6840.00000000003</v>
      </c>
    </row>
    <row r="16" s="92" customFormat="1" ht="27.95" customHeight="1" spans="1:23">
      <c r="A16" s="20" t="s">
        <v>45</v>
      </c>
      <c r="B16" s="21" t="s">
        <v>46</v>
      </c>
      <c r="C16" s="22" t="s">
        <v>47</v>
      </c>
      <c r="D16" s="25">
        <f t="shared" ref="D16:G16" si="3">D9*1000000000/104/3600/D8</f>
        <v>85.642281022663</v>
      </c>
      <c r="E16" s="26">
        <f t="shared" si="3"/>
        <v>372.176316369947</v>
      </c>
      <c r="F16" s="25">
        <f t="shared" si="3"/>
        <v>107.288315743928</v>
      </c>
      <c r="G16" s="26">
        <f t="shared" si="3"/>
        <v>459.767452839062</v>
      </c>
      <c r="H16" s="32"/>
      <c r="I16" s="6"/>
      <c r="J16" s="61">
        <v>46096</v>
      </c>
      <c r="K16" s="67">
        <v>20.9000000000015</v>
      </c>
      <c r="L16" s="67">
        <v>1</v>
      </c>
      <c r="M16" s="68">
        <v>5</v>
      </c>
      <c r="N16" s="68">
        <v>26</v>
      </c>
      <c r="O16" s="68">
        <v>10159.9999999999</v>
      </c>
      <c r="P16" s="68">
        <v>359.999999999673</v>
      </c>
      <c r="Q16" s="61">
        <v>46096</v>
      </c>
      <c r="R16" s="86">
        <v>22.4000000000015</v>
      </c>
      <c r="S16" s="86">
        <v>21.1999999999971</v>
      </c>
      <c r="T16" s="86">
        <v>1.5</v>
      </c>
      <c r="U16" s="86">
        <v>7.5</v>
      </c>
      <c r="V16" s="86">
        <v>7279.99999999997</v>
      </c>
      <c r="W16" s="86">
        <v>7159.99999999997</v>
      </c>
    </row>
    <row r="17" s="92" customFormat="1" ht="27.95" customHeight="1" spans="1:23">
      <c r="A17" s="44" t="s">
        <v>48</v>
      </c>
      <c r="B17" s="45" t="s">
        <v>49</v>
      </c>
      <c r="C17" s="22" t="s">
        <v>50</v>
      </c>
      <c r="D17" s="25">
        <f t="shared" ref="D17:G17" si="4">D11/D8</f>
        <v>10.6328369244433</v>
      </c>
      <c r="E17" s="26">
        <f t="shared" si="4"/>
        <v>43.669026912294</v>
      </c>
      <c r="F17" s="25">
        <f t="shared" si="4"/>
        <v>13.2975262669749</v>
      </c>
      <c r="G17" s="26">
        <f t="shared" si="4"/>
        <v>54.2878500532953</v>
      </c>
      <c r="H17" s="46"/>
      <c r="I17" s="6"/>
      <c r="J17" s="61">
        <v>46097</v>
      </c>
      <c r="K17" s="69">
        <v>23</v>
      </c>
      <c r="L17" s="69">
        <v>20.8999999999978</v>
      </c>
      <c r="M17" s="68">
        <v>5</v>
      </c>
      <c r="N17" s="68">
        <v>24</v>
      </c>
      <c r="O17" s="68">
        <v>6840.00000000015</v>
      </c>
      <c r="P17" s="68">
        <v>15720.0000000003</v>
      </c>
      <c r="Q17" s="61">
        <v>46097</v>
      </c>
      <c r="R17" s="86">
        <v>20.7000000000007</v>
      </c>
      <c r="S17" s="86">
        <v>20</v>
      </c>
      <c r="T17" s="86">
        <v>1</v>
      </c>
      <c r="U17" s="86">
        <v>7.5</v>
      </c>
      <c r="V17" s="86">
        <v>6880</v>
      </c>
      <c r="W17" s="86">
        <v>6919.99999999996</v>
      </c>
    </row>
    <row r="18" s="92" customFormat="1" ht="27.95" customHeight="1" spans="1:23">
      <c r="A18" s="47" t="s">
        <v>51</v>
      </c>
      <c r="B18" s="48" t="s">
        <v>52</v>
      </c>
      <c r="C18" s="22" t="s">
        <v>53</v>
      </c>
      <c r="D18" s="50">
        <f t="shared" ref="D18:G18" si="5">D10*1000/D8</f>
        <v>12.9619890386782</v>
      </c>
      <c r="E18" s="51">
        <f t="shared" si="5"/>
        <v>56.861069796162</v>
      </c>
      <c r="F18" s="50">
        <f t="shared" si="5"/>
        <v>10.004983457689</v>
      </c>
      <c r="G18" s="51">
        <f t="shared" si="5"/>
        <v>29.5546726837304</v>
      </c>
      <c r="H18" s="52"/>
      <c r="I18" s="6"/>
      <c r="J18" s="61">
        <v>46098</v>
      </c>
      <c r="K18" s="71">
        <v>23.7999999999993</v>
      </c>
      <c r="L18" s="71">
        <v>26.7999999999993</v>
      </c>
      <c r="M18" s="68">
        <v>3</v>
      </c>
      <c r="N18" s="68">
        <v>19</v>
      </c>
      <c r="O18" s="68">
        <v>7079.99999999993</v>
      </c>
      <c r="P18" s="68">
        <v>5119.99999999989</v>
      </c>
      <c r="Q18" s="61">
        <v>46098</v>
      </c>
      <c r="R18" s="86">
        <v>17.5</v>
      </c>
      <c r="S18" s="86">
        <v>19.7000000000007</v>
      </c>
      <c r="T18" s="86">
        <v>1.5</v>
      </c>
      <c r="U18" s="86">
        <v>7.5</v>
      </c>
      <c r="V18" s="86">
        <v>6319.99999999994</v>
      </c>
      <c r="W18" s="86">
        <v>6880</v>
      </c>
    </row>
    <row r="19" s="53" customFormat="1" ht="28.5" customHeight="1" spans="1:23">
      <c r="A19" s="5" t="s">
        <v>54</v>
      </c>
      <c r="C19" s="54" t="s">
        <v>55</v>
      </c>
      <c r="F19" s="53" t="s">
        <v>56</v>
      </c>
      <c r="J19" s="61">
        <v>46099</v>
      </c>
      <c r="K19" s="67">
        <v>23.6000000000022</v>
      </c>
      <c r="L19" s="67">
        <v>25.6000000000022</v>
      </c>
      <c r="M19" s="69">
        <v>3</v>
      </c>
      <c r="N19" s="69">
        <v>20</v>
      </c>
      <c r="O19" s="69">
        <v>7239.99999999978</v>
      </c>
      <c r="P19" s="69">
        <v>11720.0000000003</v>
      </c>
      <c r="Q19" s="61">
        <v>46099</v>
      </c>
      <c r="R19" s="87">
        <v>16.5999999999985</v>
      </c>
      <c r="S19" s="87">
        <v>19</v>
      </c>
      <c r="T19" s="87">
        <v>2.19999999999982</v>
      </c>
      <c r="U19" s="87">
        <v>7.10000000000036</v>
      </c>
      <c r="V19" s="87">
        <v>4040.00000000008</v>
      </c>
      <c r="W19" s="87">
        <v>5720.00000000003</v>
      </c>
    </row>
    <row r="20" s="55" customFormat="1" ht="18.95" customHeight="1" spans="1:23">
      <c r="A20" s="5" t="s">
        <v>57</v>
      </c>
      <c r="J20" s="61">
        <v>46100</v>
      </c>
      <c r="K20" s="73">
        <v>16.1999999999971</v>
      </c>
      <c r="L20" s="73">
        <v>16.7999999999993</v>
      </c>
      <c r="M20" s="71">
        <v>2</v>
      </c>
      <c r="N20" s="71">
        <v>4</v>
      </c>
      <c r="O20" s="71">
        <v>3960.00000000095</v>
      </c>
      <c r="P20" s="71">
        <v>319.999999999709</v>
      </c>
      <c r="Q20" s="61">
        <v>46100</v>
      </c>
      <c r="R20" s="88">
        <v>15.5</v>
      </c>
      <c r="S20" s="88">
        <v>18.9000000000015</v>
      </c>
      <c r="T20" s="88">
        <v>1.19999999999982</v>
      </c>
      <c r="U20" s="88">
        <v>7.89999999999964</v>
      </c>
      <c r="V20" s="88">
        <v>4880</v>
      </c>
      <c r="W20" s="88">
        <v>6279.99999999997</v>
      </c>
    </row>
    <row r="21" s="6" customFormat="1" ht="18.95" customHeight="1" spans="1:23">
      <c r="A21" s="56" t="s">
        <v>58</v>
      </c>
      <c r="J21" s="61">
        <v>46101</v>
      </c>
      <c r="K21" s="74">
        <v>16.8000000000029</v>
      </c>
      <c r="L21" s="74">
        <v>16</v>
      </c>
      <c r="M21" s="67">
        <v>4</v>
      </c>
      <c r="N21" s="67">
        <v>1</v>
      </c>
      <c r="O21" s="67">
        <v>6719.99999999935</v>
      </c>
      <c r="P21" s="67">
        <v>13840.0000000001</v>
      </c>
      <c r="Q21" s="61">
        <v>46101</v>
      </c>
      <c r="R21" s="89">
        <v>14.6000000000022</v>
      </c>
      <c r="S21" s="89">
        <v>18.7999999999993</v>
      </c>
      <c r="T21" s="89">
        <v>2.60000000000036</v>
      </c>
      <c r="U21" s="89">
        <v>7.10000000000036</v>
      </c>
      <c r="V21" s="89">
        <v>5039.99999999996</v>
      </c>
      <c r="W21" s="89">
        <v>6200.00000000005</v>
      </c>
    </row>
    <row r="22" s="5" customFormat="1" ht="18.95" customHeight="1" spans="1:23">
      <c r="A22" s="55" t="s">
        <v>59</v>
      </c>
      <c r="J22" s="61">
        <v>46102</v>
      </c>
      <c r="K22" s="74">
        <v>12.5999999999985</v>
      </c>
      <c r="L22" s="74">
        <v>4.5</v>
      </c>
      <c r="M22" s="73">
        <v>3</v>
      </c>
      <c r="N22" s="73">
        <v>2</v>
      </c>
      <c r="O22" s="73">
        <v>4239.99999999978</v>
      </c>
      <c r="P22" s="73">
        <v>279.999999999745</v>
      </c>
      <c r="Q22" s="61">
        <v>46102</v>
      </c>
      <c r="R22" s="90">
        <v>12.6999999999971</v>
      </c>
      <c r="S22" s="90">
        <v>12.2999999999993</v>
      </c>
      <c r="T22" s="90">
        <v>1.10000000000036</v>
      </c>
      <c r="U22" s="90">
        <v>7.89999999999964</v>
      </c>
      <c r="V22" s="90">
        <v>4759.99999999999</v>
      </c>
      <c r="W22" s="90">
        <v>2240.00000000001</v>
      </c>
    </row>
    <row r="23" s="54" customFormat="1" ht="18.95" customHeight="1" spans="1:23">
      <c r="A23" s="55" t="s">
        <v>60</v>
      </c>
      <c r="J23" s="61">
        <v>46103</v>
      </c>
      <c r="K23" s="74">
        <v>12.2000000000007</v>
      </c>
      <c r="L23" s="74">
        <v>2.29999999999927</v>
      </c>
      <c r="M23" s="74">
        <v>1</v>
      </c>
      <c r="N23" s="74">
        <v>2</v>
      </c>
      <c r="O23" s="74">
        <v>4000</v>
      </c>
      <c r="P23" s="74">
        <v>320.000000000618</v>
      </c>
      <c r="Q23" s="61">
        <v>46103</v>
      </c>
      <c r="R23" s="77">
        <v>13.1000000000022</v>
      </c>
      <c r="S23" s="77">
        <v>12.1000000000022</v>
      </c>
      <c r="T23" s="77">
        <v>1.39999999999964</v>
      </c>
      <c r="U23" s="77">
        <v>8</v>
      </c>
      <c r="V23" s="77">
        <v>4440.00000000005</v>
      </c>
      <c r="W23" s="77">
        <v>5759.99999999999</v>
      </c>
    </row>
    <row r="24" s="54" customFormat="1" ht="18.95" customHeight="1" spans="1:23">
      <c r="A24" s="55" t="s">
        <v>61</v>
      </c>
      <c r="J24" s="61">
        <v>46104</v>
      </c>
      <c r="K24" s="74">
        <v>11.7999999999993</v>
      </c>
      <c r="L24" s="74">
        <v>11.6000000000022</v>
      </c>
      <c r="M24" s="74">
        <v>2</v>
      </c>
      <c r="N24" s="74">
        <v>1</v>
      </c>
      <c r="O24" s="74">
        <v>3840.00000000015</v>
      </c>
      <c r="P24" s="74">
        <v>279.999999999745</v>
      </c>
      <c r="Q24" s="61">
        <v>46104</v>
      </c>
      <c r="R24" s="77">
        <v>12.8999999999978</v>
      </c>
      <c r="S24" s="77">
        <v>12.5</v>
      </c>
      <c r="T24" s="77">
        <v>1.10000000000036</v>
      </c>
      <c r="U24" s="77">
        <v>8</v>
      </c>
      <c r="V24" s="77">
        <v>4599.99999999991</v>
      </c>
      <c r="W24" s="77">
        <v>3600.00000000002</v>
      </c>
    </row>
    <row r="25" s="54" customFormat="1" ht="15" spans="1:23">
      <c r="A25" s="55"/>
      <c r="J25" s="61">
        <v>46105</v>
      </c>
      <c r="K25" s="74">
        <v>12.4000000000015</v>
      </c>
      <c r="L25" s="74">
        <v>13.2999999999993</v>
      </c>
      <c r="M25" s="74">
        <v>2</v>
      </c>
      <c r="N25" s="74">
        <v>2</v>
      </c>
      <c r="O25" s="74">
        <v>3639.99999999942</v>
      </c>
      <c r="P25" s="74">
        <v>13199.9999999998</v>
      </c>
      <c r="Q25" s="61">
        <v>46105</v>
      </c>
      <c r="R25" s="77">
        <v>12.6000000000022</v>
      </c>
      <c r="S25" s="77">
        <v>11.6999999999971</v>
      </c>
      <c r="T25" s="77">
        <v>2.19999999999982</v>
      </c>
      <c r="U25" s="77">
        <v>7.60000000000036</v>
      </c>
      <c r="V25" s="77">
        <v>4520.0000000001</v>
      </c>
      <c r="W25" s="77">
        <v>5399.99999999998</v>
      </c>
    </row>
    <row r="26" s="54" customFormat="1" spans="1:23">
      <c r="A26" s="100"/>
      <c r="B26" s="101"/>
      <c r="C26" s="101"/>
      <c r="D26" s="101"/>
      <c r="E26" s="101"/>
      <c r="F26" s="101"/>
      <c r="G26" s="101"/>
      <c r="H26" s="101"/>
      <c r="J26" s="61">
        <v>46106</v>
      </c>
      <c r="K26" s="74">
        <v>12.6999999999971</v>
      </c>
      <c r="L26" s="74">
        <v>11.7000000000007</v>
      </c>
      <c r="M26" s="74">
        <v>2</v>
      </c>
      <c r="N26" s="74">
        <v>1</v>
      </c>
      <c r="O26" s="74">
        <v>3880.00000000102</v>
      </c>
      <c r="P26" s="74">
        <v>279.999999999745</v>
      </c>
      <c r="Q26" s="61">
        <v>46106</v>
      </c>
      <c r="R26" s="77">
        <v>10</v>
      </c>
      <c r="S26" s="77">
        <v>11.6000000000022</v>
      </c>
      <c r="T26" s="77">
        <v>2.69999999999982</v>
      </c>
      <c r="U26" s="77">
        <v>7.89999999999964</v>
      </c>
      <c r="V26" s="77">
        <v>3959.99999999992</v>
      </c>
      <c r="W26" s="77">
        <v>240.000000000009</v>
      </c>
    </row>
    <row r="27" spans="1:23">
      <c r="A27" s="101"/>
      <c r="B27" s="102"/>
      <c r="C27" s="103"/>
      <c r="D27" s="104"/>
      <c r="E27" s="103"/>
      <c r="F27" s="104"/>
      <c r="G27" s="105"/>
      <c r="H27" s="106"/>
      <c r="J27" s="61">
        <v>46107</v>
      </c>
      <c r="K27" s="74">
        <v>12.7000000000007</v>
      </c>
      <c r="L27" s="74">
        <v>12.5999999999985</v>
      </c>
      <c r="M27" s="74">
        <v>2</v>
      </c>
      <c r="N27" s="74">
        <v>2</v>
      </c>
      <c r="O27" s="74">
        <v>3920.00000000007</v>
      </c>
      <c r="P27" s="74">
        <v>320.000000000618</v>
      </c>
      <c r="Q27" s="61">
        <v>46107</v>
      </c>
      <c r="R27" s="77">
        <v>9.79999999999927</v>
      </c>
      <c r="S27" s="77">
        <v>11.2999999999993</v>
      </c>
      <c r="T27" s="77">
        <v>2</v>
      </c>
      <c r="U27" s="77">
        <v>7.5</v>
      </c>
      <c r="V27" s="77">
        <v>1200.00000000005</v>
      </c>
      <c r="W27" s="77">
        <v>9199.99999999993</v>
      </c>
    </row>
    <row r="28" spans="1:23">
      <c r="A28" s="101"/>
      <c r="B28" s="102"/>
      <c r="C28" s="103"/>
      <c r="D28" s="104"/>
      <c r="E28" s="103"/>
      <c r="F28" s="104"/>
      <c r="G28" s="105"/>
      <c r="H28" s="106"/>
      <c r="J28" s="61">
        <v>46108</v>
      </c>
      <c r="K28" s="74">
        <v>13.6000000000022</v>
      </c>
      <c r="L28" s="74">
        <v>15.0999999999985</v>
      </c>
      <c r="M28" s="74">
        <v>2</v>
      </c>
      <c r="N28" s="74">
        <v>1</v>
      </c>
      <c r="O28" s="74">
        <v>3959.99999999913</v>
      </c>
      <c r="P28" s="74">
        <v>13399.9999999996</v>
      </c>
      <c r="Q28" s="61">
        <v>46108</v>
      </c>
      <c r="R28" s="77">
        <v>10</v>
      </c>
      <c r="S28" s="77">
        <v>11.2000000000007</v>
      </c>
      <c r="T28" s="77">
        <v>1</v>
      </c>
      <c r="U28" s="77">
        <v>7.89999999999964</v>
      </c>
      <c r="V28" s="77">
        <v>4199.99999999993</v>
      </c>
      <c r="W28" s="77">
        <v>240.000000000009</v>
      </c>
    </row>
    <row r="29" spans="1:23">
      <c r="A29" s="101"/>
      <c r="B29" s="102"/>
      <c r="C29" s="103"/>
      <c r="D29" s="104"/>
      <c r="E29" s="103"/>
      <c r="F29" s="104"/>
      <c r="G29" s="105"/>
      <c r="H29" s="106"/>
      <c r="J29" s="61">
        <v>46109</v>
      </c>
      <c r="K29" s="74">
        <v>14</v>
      </c>
      <c r="L29" s="74">
        <v>4.80000000000291</v>
      </c>
      <c r="M29" s="74">
        <v>3</v>
      </c>
      <c r="N29" s="74">
        <v>2</v>
      </c>
      <c r="O29" s="74">
        <v>4319.99999999971</v>
      </c>
      <c r="P29" s="74">
        <v>279.999999999745</v>
      </c>
      <c r="Q29" s="61">
        <v>46109</v>
      </c>
      <c r="R29" s="77">
        <v>9.59999999999854</v>
      </c>
      <c r="S29" s="77">
        <v>11.2000000000007</v>
      </c>
      <c r="T29" s="77">
        <v>1.5</v>
      </c>
      <c r="U29" s="77">
        <v>7.10000000000036</v>
      </c>
      <c r="V29" s="77">
        <v>3400.00000000009</v>
      </c>
      <c r="W29" s="77">
        <v>8000</v>
      </c>
    </row>
    <row r="30" spans="10:23">
      <c r="J30" s="61">
        <v>46110</v>
      </c>
      <c r="K30" s="74">
        <v>14.0999999999985</v>
      </c>
      <c r="L30" s="74">
        <v>2.29999999999927</v>
      </c>
      <c r="M30" s="74">
        <v>1</v>
      </c>
      <c r="N30" s="74">
        <v>2</v>
      </c>
      <c r="O30" s="74">
        <v>4200.00000000073</v>
      </c>
      <c r="P30" s="74">
        <v>320.000000000618</v>
      </c>
      <c r="Q30" s="61">
        <v>46110</v>
      </c>
      <c r="R30" s="77">
        <v>9.60000000000218</v>
      </c>
      <c r="S30" s="77">
        <v>11</v>
      </c>
      <c r="T30" s="77">
        <v>0.5</v>
      </c>
      <c r="U30" s="77">
        <v>8</v>
      </c>
      <c r="V30" s="77">
        <v>3360.00000000001</v>
      </c>
      <c r="W30" s="77">
        <v>2480.00000000002</v>
      </c>
    </row>
    <row r="31" spans="1:23">
      <c r="A31" s="100"/>
      <c r="B31" s="101"/>
      <c r="C31" s="101"/>
      <c r="D31" s="101"/>
      <c r="E31" s="101"/>
      <c r="F31" s="101"/>
      <c r="G31" s="101"/>
      <c r="H31" s="101"/>
      <c r="J31" s="61">
        <v>46111</v>
      </c>
      <c r="K31" s="74">
        <v>14.4000000000015</v>
      </c>
      <c r="L31" s="74">
        <v>22</v>
      </c>
      <c r="M31" s="74">
        <v>2</v>
      </c>
      <c r="N31" s="74">
        <v>1</v>
      </c>
      <c r="O31" s="74">
        <v>4639.99999999942</v>
      </c>
      <c r="P31" s="74">
        <v>279.999999999745</v>
      </c>
      <c r="Q31" s="61">
        <v>46111</v>
      </c>
      <c r="R31" s="77">
        <v>9.29999999999927</v>
      </c>
      <c r="S31" s="77">
        <v>11.2999999999993</v>
      </c>
      <c r="T31" s="77">
        <v>3</v>
      </c>
      <c r="U31" s="77">
        <v>7</v>
      </c>
      <c r="V31" s="77">
        <v>3399.99999999998</v>
      </c>
      <c r="W31" s="77">
        <v>5320.00000000005</v>
      </c>
    </row>
    <row r="32" spans="1:23">
      <c r="A32" s="101"/>
      <c r="B32" s="102"/>
      <c r="C32" s="103"/>
      <c r="D32" s="104"/>
      <c r="E32" s="103"/>
      <c r="F32" s="104"/>
      <c r="G32" s="105"/>
      <c r="H32" s="106"/>
      <c r="J32" s="61">
        <v>46112</v>
      </c>
      <c r="K32" s="74">
        <v>13.5</v>
      </c>
      <c r="L32" s="74">
        <v>7.20000000000073</v>
      </c>
      <c r="M32" s="74">
        <v>2</v>
      </c>
      <c r="N32" s="74">
        <v>1</v>
      </c>
      <c r="O32" s="74">
        <v>4280.00000000065</v>
      </c>
      <c r="P32" s="74">
        <v>14439.9999999996</v>
      </c>
      <c r="Q32" s="61">
        <v>46112</v>
      </c>
      <c r="R32" s="77">
        <v>9.29999999999927</v>
      </c>
      <c r="S32" s="77">
        <v>11.2999999999993</v>
      </c>
      <c r="T32" s="77">
        <v>1.19999999999982</v>
      </c>
      <c r="U32" s="77">
        <v>7.80000000000018</v>
      </c>
      <c r="V32" s="77">
        <v>3399.99999999998</v>
      </c>
      <c r="W32" s="77">
        <v>3439.99999999994</v>
      </c>
    </row>
    <row r="33" spans="1:23">
      <c r="A33" s="101"/>
      <c r="B33" s="102"/>
      <c r="C33" s="103"/>
      <c r="D33" s="104"/>
      <c r="E33" s="103"/>
      <c r="F33" s="104"/>
      <c r="G33" s="105"/>
      <c r="H33" s="106"/>
      <c r="J33" s="74"/>
      <c r="K33" s="74"/>
      <c r="L33" s="74"/>
      <c r="M33" s="74"/>
      <c r="N33" s="74"/>
      <c r="O33" s="74"/>
      <c r="P33" s="74"/>
      <c r="Q33" s="77"/>
      <c r="R33" s="77"/>
      <c r="S33" s="77"/>
      <c r="T33" s="77"/>
      <c r="U33" s="77"/>
      <c r="V33" s="77"/>
      <c r="W33" s="77"/>
    </row>
    <row r="34" spans="1:23">
      <c r="A34" s="101"/>
      <c r="B34" s="102"/>
      <c r="C34" s="103"/>
      <c r="D34" s="104"/>
      <c r="E34" s="103"/>
      <c r="F34" s="104"/>
      <c r="G34" s="105"/>
      <c r="H34" s="106"/>
      <c r="J34" s="74"/>
      <c r="K34" s="78">
        <f t="shared" ref="K34:P34" si="6">SUM(K2:K33)</f>
        <v>598.300000000003</v>
      </c>
      <c r="L34" s="78">
        <f t="shared" si="6"/>
        <v>522.300000000003</v>
      </c>
      <c r="M34" s="78">
        <f t="shared" si="6"/>
        <v>89.8999999999996</v>
      </c>
      <c r="N34" s="78">
        <f t="shared" si="6"/>
        <v>363.1</v>
      </c>
      <c r="O34" s="78">
        <f t="shared" si="6"/>
        <v>181840</v>
      </c>
      <c r="P34" s="78">
        <f t="shared" si="6"/>
        <v>189759.999999999</v>
      </c>
      <c r="Q34" s="79"/>
      <c r="R34" s="79">
        <f t="shared" ref="R34:W34" si="7">SUM(R2:R33)</f>
        <v>598.099999999999</v>
      </c>
      <c r="S34" s="79">
        <f t="shared" si="7"/>
        <v>562.599999999999</v>
      </c>
      <c r="T34" s="79">
        <f t="shared" si="7"/>
        <v>51.3999999999997</v>
      </c>
      <c r="U34" s="79">
        <f t="shared" si="7"/>
        <v>237.7</v>
      </c>
      <c r="V34" s="79">
        <f t="shared" si="7"/>
        <v>194600</v>
      </c>
      <c r="W34" s="79">
        <f t="shared" si="7"/>
        <v>189640</v>
      </c>
    </row>
    <row r="35" spans="10:23">
      <c r="J35" s="74"/>
      <c r="K35" s="74"/>
      <c r="L35" s="74"/>
      <c r="M35" s="74"/>
      <c r="N35" s="74"/>
      <c r="O35" s="74"/>
      <c r="P35" s="74"/>
      <c r="Q35" s="77"/>
      <c r="R35" s="77"/>
      <c r="S35" s="77"/>
      <c r="T35" s="77"/>
      <c r="U35" s="77"/>
      <c r="V35" s="77"/>
      <c r="W35" s="77"/>
    </row>
    <row r="36" spans="10:23">
      <c r="J36" s="74"/>
      <c r="K36" s="78" t="s">
        <v>18</v>
      </c>
      <c r="L36" s="78">
        <f>K34+L34</f>
        <v>1120.60000000001</v>
      </c>
      <c r="M36" s="78"/>
      <c r="N36" s="78">
        <f>M34+N34</f>
        <v>453</v>
      </c>
      <c r="O36" s="78"/>
      <c r="P36" s="78">
        <f>O34+P34</f>
        <v>371599.999999999</v>
      </c>
      <c r="Q36" s="79" t="s">
        <v>18</v>
      </c>
      <c r="R36" s="79"/>
      <c r="S36" s="79">
        <f>R34+S34</f>
        <v>1160.7</v>
      </c>
      <c r="T36" s="77"/>
      <c r="U36" s="79">
        <f>T34+U34</f>
        <v>289.099999999999</v>
      </c>
      <c r="V36" s="77"/>
      <c r="W36" s="79">
        <f>V34+W34</f>
        <v>384240</v>
      </c>
    </row>
    <row r="37" spans="10:23">
      <c r="J37" s="74"/>
      <c r="K37" s="78"/>
      <c r="L37" s="78"/>
      <c r="M37" s="78"/>
      <c r="N37" s="78"/>
      <c r="O37" s="78"/>
      <c r="P37" s="78"/>
      <c r="Q37" s="79"/>
      <c r="R37" s="79"/>
      <c r="S37" s="79"/>
      <c r="T37" s="77"/>
      <c r="U37" s="79"/>
      <c r="V37" s="77"/>
      <c r="W37" s="79"/>
    </row>
    <row r="38" spans="10:23">
      <c r="J38" s="109" t="s">
        <v>62</v>
      </c>
      <c r="K38" s="78" t="s">
        <v>63</v>
      </c>
      <c r="L38" s="78">
        <v>3749.2</v>
      </c>
      <c r="M38" s="78"/>
      <c r="N38" s="78">
        <v>1534.2</v>
      </c>
      <c r="O38" s="78"/>
      <c r="P38" s="78">
        <v>1154560</v>
      </c>
      <c r="Q38" s="79" t="s">
        <v>63</v>
      </c>
      <c r="R38" s="79"/>
      <c r="S38" s="79">
        <v>3813.3</v>
      </c>
      <c r="T38" s="77"/>
      <c r="U38" s="79">
        <v>564.9</v>
      </c>
      <c r="V38" s="77"/>
      <c r="W38" s="79">
        <v>1184440</v>
      </c>
    </row>
    <row r="39" spans="10:23">
      <c r="J39" s="74"/>
      <c r="K39" s="78"/>
      <c r="L39" s="78"/>
      <c r="M39" s="78"/>
      <c r="N39" s="78"/>
      <c r="O39" s="78"/>
      <c r="P39" s="78"/>
      <c r="Q39" s="79"/>
      <c r="R39" s="79"/>
      <c r="S39" s="79"/>
      <c r="T39" s="77"/>
      <c r="U39" s="79"/>
      <c r="V39" s="77"/>
      <c r="W39" s="79"/>
    </row>
    <row r="40" spans="10:23">
      <c r="J40" s="74"/>
      <c r="K40" s="78" t="s">
        <v>64</v>
      </c>
      <c r="L40" s="78">
        <f>SUM(L36:L39)</f>
        <v>4869.80000000001</v>
      </c>
      <c r="M40" s="78"/>
      <c r="N40" s="78">
        <f>SUM(N36:N39)</f>
        <v>1987.2</v>
      </c>
      <c r="O40" s="78"/>
      <c r="P40" s="78">
        <f>SUM(P36:P39)</f>
        <v>1526160</v>
      </c>
      <c r="Q40" s="79" t="s">
        <v>64</v>
      </c>
      <c r="R40" s="79"/>
      <c r="S40" s="79">
        <f>SUM(S36:S39)</f>
        <v>4974</v>
      </c>
      <c r="T40" s="77"/>
      <c r="U40" s="79">
        <f>SUM(U36:U39)</f>
        <v>853.999999999999</v>
      </c>
      <c r="V40" s="77"/>
      <c r="W40" s="79">
        <f>SUM(W36:W39)</f>
        <v>1568680</v>
      </c>
    </row>
  </sheetData>
  <mergeCells count="40">
    <mergeCell ref="A1:H1"/>
    <mergeCell ref="K1:L1"/>
    <mergeCell ref="M1:N1"/>
    <mergeCell ref="O1:P1"/>
    <mergeCell ref="R1:S1"/>
    <mergeCell ref="T1:U1"/>
    <mergeCell ref="V1:W1"/>
    <mergeCell ref="F2:H2"/>
    <mergeCell ref="D3:E3"/>
    <mergeCell ref="F3:H3"/>
    <mergeCell ref="D4:E4"/>
    <mergeCell ref="F4:G4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34:D34"/>
    <mergeCell ref="E34:F34"/>
    <mergeCell ref="G34:H34"/>
    <mergeCell ref="A4:A5"/>
    <mergeCell ref="B4:B5"/>
    <mergeCell ref="C4:C5"/>
    <mergeCell ref="H4:H5"/>
  </mergeCells>
  <pageMargins left="0.75" right="0.75" top="1" bottom="1" header="0.5" footer="0.5"/>
  <pageSetup paperSize="9" scale="3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2"/>
  <sheetViews>
    <sheetView workbookViewId="0">
      <pane ySplit="3" topLeftCell="A14" activePane="bottomLeft" state="frozen"/>
      <selection/>
      <selection pane="bottomLeft" activeCell="P36" sqref="P36"/>
    </sheetView>
  </sheetViews>
  <sheetFormatPr defaultColWidth="9.81666666666667" defaultRowHeight="14.25"/>
  <cols>
    <col min="1" max="1" width="18.4083333333333" style="54" customWidth="1"/>
    <col min="2" max="2" width="16.0916666666667" style="54" customWidth="1"/>
    <col min="3" max="3" width="7.775" style="54" customWidth="1"/>
    <col min="4" max="4" width="10.6333333333333" style="54" customWidth="1"/>
    <col min="5" max="7" width="9.68333333333333" style="54" customWidth="1"/>
    <col min="8" max="8" width="12.4083333333333" style="54" customWidth="1"/>
    <col min="9" max="9" width="9.81666666666667" style="54"/>
    <col min="10" max="12" width="11.3166666666667" style="54"/>
    <col min="13" max="13" width="10" style="54"/>
    <col min="14" max="14" width="9.81666666666667" style="54"/>
    <col min="15" max="15" width="10" style="54"/>
    <col min="16" max="16" width="9.81666666666667" style="54"/>
    <col min="17" max="17" width="10" style="54"/>
    <col min="18" max="16384" width="9.81666666666667" style="54"/>
  </cols>
  <sheetData>
    <row r="1" s="54" customFormat="1" ht="22.5" spans="1:8">
      <c r="A1" s="2" t="s">
        <v>65</v>
      </c>
      <c r="B1" s="3"/>
      <c r="C1" s="3"/>
      <c r="D1" s="3"/>
      <c r="E1" s="3"/>
      <c r="F1" s="3"/>
      <c r="G1" s="3"/>
      <c r="H1" s="3"/>
    </row>
    <row r="2" s="92" customFormat="1" ht="21.95" customHeight="1" spans="1:8">
      <c r="A2" s="4"/>
      <c r="B2" s="4"/>
      <c r="C2" s="4"/>
      <c r="D2" s="4"/>
      <c r="E2" s="4"/>
      <c r="F2" s="55" t="s">
        <v>6</v>
      </c>
      <c r="G2" s="5"/>
      <c r="H2" s="5"/>
    </row>
    <row r="3" s="93" customFormat="1" ht="21.95" customHeight="1" spans="1:17">
      <c r="A3" s="6" t="s">
        <v>7</v>
      </c>
      <c r="B3" s="7"/>
      <c r="C3" s="7"/>
      <c r="D3" s="95" t="s">
        <v>8</v>
      </c>
      <c r="E3" s="7"/>
      <c r="F3" s="96" t="s">
        <v>9</v>
      </c>
      <c r="G3" s="9"/>
      <c r="H3" s="9"/>
      <c r="J3" s="57" t="s">
        <v>66</v>
      </c>
      <c r="K3" s="58" t="s">
        <v>2</v>
      </c>
      <c r="L3" s="59" t="s">
        <v>3</v>
      </c>
      <c r="M3" s="59" t="s">
        <v>4</v>
      </c>
      <c r="N3" s="60" t="s">
        <v>67</v>
      </c>
      <c r="O3" s="83" t="s">
        <v>2</v>
      </c>
      <c r="P3" s="83" t="s">
        <v>3</v>
      </c>
      <c r="Q3" s="83" t="s">
        <v>4</v>
      </c>
    </row>
    <row r="4" s="94" customFormat="1" ht="27.95" customHeight="1" spans="1:17">
      <c r="A4" s="10" t="s">
        <v>10</v>
      </c>
      <c r="B4" s="11" t="s">
        <v>11</v>
      </c>
      <c r="C4" s="12" t="s">
        <v>12</v>
      </c>
      <c r="D4" s="11" t="s">
        <v>13</v>
      </c>
      <c r="E4" s="13"/>
      <c r="F4" s="11" t="s">
        <v>14</v>
      </c>
      <c r="G4" s="13"/>
      <c r="H4" s="14" t="s">
        <v>15</v>
      </c>
      <c r="J4" s="61">
        <v>46082</v>
      </c>
      <c r="K4" s="62">
        <v>75.5</v>
      </c>
      <c r="L4" s="63">
        <v>8</v>
      </c>
      <c r="M4" s="63">
        <v>22799.9999999993</v>
      </c>
      <c r="N4" s="61">
        <v>46082</v>
      </c>
      <c r="O4" s="84">
        <v>88.5</v>
      </c>
      <c r="P4" s="84">
        <v>5.59999999999991</v>
      </c>
      <c r="Q4" s="84">
        <v>25840.0000000001</v>
      </c>
    </row>
    <row r="5" s="94" customFormat="1" ht="27.95" customHeight="1" spans="1:17">
      <c r="A5" s="15"/>
      <c r="B5" s="16"/>
      <c r="C5" s="17"/>
      <c r="D5" s="18" t="s">
        <v>16</v>
      </c>
      <c r="E5" s="18" t="s">
        <v>17</v>
      </c>
      <c r="F5" s="18" t="s">
        <v>18</v>
      </c>
      <c r="G5" s="18" t="s">
        <v>17</v>
      </c>
      <c r="H5" s="19"/>
      <c r="J5" s="61">
        <v>46083</v>
      </c>
      <c r="K5" s="62">
        <v>92.5</v>
      </c>
      <c r="L5" s="64">
        <v>2</v>
      </c>
      <c r="M5" s="64">
        <v>24159.9999999999</v>
      </c>
      <c r="N5" s="61">
        <v>46083</v>
      </c>
      <c r="O5" s="85">
        <v>92.6999999999971</v>
      </c>
      <c r="P5" s="85">
        <v>1.40000000000009</v>
      </c>
      <c r="Q5" s="85">
        <v>29440.0000000001</v>
      </c>
    </row>
    <row r="6" s="94" customFormat="1" ht="27.95" customHeight="1" spans="1:17">
      <c r="A6" s="20" t="s">
        <v>19</v>
      </c>
      <c r="B6" s="21" t="s">
        <v>20</v>
      </c>
      <c r="C6" s="22" t="s">
        <v>21</v>
      </c>
      <c r="D6" s="23">
        <v>6.4</v>
      </c>
      <c r="E6" s="24">
        <v>6.4</v>
      </c>
      <c r="F6" s="23">
        <v>6.4</v>
      </c>
      <c r="G6" s="24">
        <v>6.4</v>
      </c>
      <c r="H6" s="19"/>
      <c r="J6" s="61">
        <v>46084</v>
      </c>
      <c r="K6" s="65">
        <v>90.9000000000015</v>
      </c>
      <c r="L6" s="63">
        <v>3</v>
      </c>
      <c r="M6" s="63">
        <v>29840.0000000001</v>
      </c>
      <c r="N6" s="61">
        <v>46084</v>
      </c>
      <c r="O6" s="84">
        <v>81.8000000000029</v>
      </c>
      <c r="P6" s="84">
        <v>3</v>
      </c>
      <c r="Q6" s="84">
        <v>24799.9999999997</v>
      </c>
    </row>
    <row r="7" s="94" customFormat="1" ht="27.95" customHeight="1" spans="1:17">
      <c r="A7" s="20" t="s">
        <v>22</v>
      </c>
      <c r="B7" s="21" t="s">
        <v>23</v>
      </c>
      <c r="C7" s="22" t="s">
        <v>24</v>
      </c>
      <c r="D7" s="23">
        <v>26593.1</v>
      </c>
      <c r="E7" s="24">
        <v>26593.1</v>
      </c>
      <c r="F7" s="25">
        <v>26350.3</v>
      </c>
      <c r="G7" s="24">
        <f>F7</f>
        <v>26350.3</v>
      </c>
      <c r="H7" s="19"/>
      <c r="J7" s="61">
        <v>46085</v>
      </c>
      <c r="K7" s="66">
        <v>92.7999999999956</v>
      </c>
      <c r="L7" s="63">
        <v>3</v>
      </c>
      <c r="M7" s="63">
        <v>25200.0000000007</v>
      </c>
      <c r="N7" s="61">
        <v>46085</v>
      </c>
      <c r="O7" s="84">
        <v>86.0999999999985</v>
      </c>
      <c r="P7" s="84">
        <v>1.29999999999973</v>
      </c>
      <c r="Q7" s="84">
        <v>26159.9999999999</v>
      </c>
    </row>
    <row r="8" s="94" customFormat="1" ht="27.95" customHeight="1" spans="1:17">
      <c r="A8" s="20" t="s">
        <v>25</v>
      </c>
      <c r="B8" s="21" t="s">
        <v>23</v>
      </c>
      <c r="C8" s="22" t="s">
        <v>26</v>
      </c>
      <c r="D8" s="25">
        <v>26593.1</v>
      </c>
      <c r="E8" s="26">
        <v>26593.1</v>
      </c>
      <c r="F8" s="25">
        <f>F7</f>
        <v>26350.3</v>
      </c>
      <c r="G8" s="26">
        <f>F8</f>
        <v>26350.3</v>
      </c>
      <c r="H8" s="19"/>
      <c r="J8" s="61">
        <v>46086</v>
      </c>
      <c r="K8" s="65">
        <v>88.9000000000015</v>
      </c>
      <c r="L8" s="63">
        <v>7</v>
      </c>
      <c r="M8" s="63">
        <v>28319.9999999997</v>
      </c>
      <c r="N8" s="61">
        <v>46086</v>
      </c>
      <c r="O8" s="84">
        <v>87.0999999999985</v>
      </c>
      <c r="P8" s="84">
        <v>1.80000000000018</v>
      </c>
      <c r="Q8" s="84">
        <v>25600.0000000004</v>
      </c>
    </row>
    <row r="9" s="92" customFormat="1" ht="27.95" customHeight="1" spans="1:17">
      <c r="A9" s="27" t="s">
        <v>27</v>
      </c>
      <c r="B9" s="18" t="s">
        <v>28</v>
      </c>
      <c r="C9" s="28" t="s">
        <v>29</v>
      </c>
      <c r="D9" s="16">
        <f>K36</f>
        <v>1787.1</v>
      </c>
      <c r="E9" s="33">
        <f>K42</f>
        <v>7943.9</v>
      </c>
      <c r="F9" s="16">
        <f>O36</f>
        <v>1680.2</v>
      </c>
      <c r="G9" s="33">
        <f>O42</f>
        <v>8376.00000000001</v>
      </c>
      <c r="H9" s="32"/>
      <c r="I9" s="92"/>
      <c r="J9" s="61">
        <v>46087</v>
      </c>
      <c r="K9" s="65">
        <v>79.0999999999985</v>
      </c>
      <c r="L9" s="63">
        <v>6</v>
      </c>
      <c r="M9" s="63">
        <v>24720.0000000012</v>
      </c>
      <c r="N9" s="61">
        <v>46087</v>
      </c>
      <c r="O9" s="84">
        <v>88.3000000000029</v>
      </c>
      <c r="P9" s="84">
        <v>1.5</v>
      </c>
      <c r="Q9" s="84">
        <v>26719.9999999998</v>
      </c>
    </row>
    <row r="10" s="92" customFormat="1" ht="27.95" customHeight="1" spans="1:17">
      <c r="A10" s="27" t="s">
        <v>30</v>
      </c>
      <c r="B10" s="18" t="s">
        <v>31</v>
      </c>
      <c r="C10" s="28" t="s">
        <v>32</v>
      </c>
      <c r="D10" s="16">
        <f>L36</f>
        <v>248</v>
      </c>
      <c r="E10" s="33">
        <f>L42</f>
        <v>358.1</v>
      </c>
      <c r="F10" s="16">
        <f>P36</f>
        <v>60.9000000000001</v>
      </c>
      <c r="G10" s="33">
        <f>P42</f>
        <v>226.8</v>
      </c>
      <c r="H10" s="32"/>
      <c r="I10" s="92"/>
      <c r="J10" s="61">
        <v>46088</v>
      </c>
      <c r="K10" s="65">
        <v>72.5999999999985</v>
      </c>
      <c r="L10" s="63">
        <v>9</v>
      </c>
      <c r="M10" s="63">
        <v>22719.9999999975</v>
      </c>
      <c r="N10" s="61">
        <v>46088</v>
      </c>
      <c r="O10" s="84">
        <v>86.9000000000015</v>
      </c>
      <c r="P10" s="84">
        <v>1.5</v>
      </c>
      <c r="Q10" s="84">
        <v>26960</v>
      </c>
    </row>
    <row r="11" s="92" customFormat="1" ht="27.95" customHeight="1" spans="1:17">
      <c r="A11" s="27" t="s">
        <v>33</v>
      </c>
      <c r="B11" s="18" t="s">
        <v>34</v>
      </c>
      <c r="C11" s="28" t="s">
        <v>35</v>
      </c>
      <c r="D11" s="16">
        <f>M36</f>
        <v>562400.000000001</v>
      </c>
      <c r="E11" s="33">
        <f>M42</f>
        <v>2370160</v>
      </c>
      <c r="F11" s="16">
        <f>Q36</f>
        <v>529040</v>
      </c>
      <c r="G11" s="33">
        <f>Q42</f>
        <v>2520160</v>
      </c>
      <c r="H11" s="32"/>
      <c r="I11" s="92"/>
      <c r="J11" s="61">
        <v>46089</v>
      </c>
      <c r="K11" s="67">
        <v>76.5</v>
      </c>
      <c r="L11" s="68">
        <v>10</v>
      </c>
      <c r="M11" s="68">
        <v>22720.0000000012</v>
      </c>
      <c r="N11" s="61">
        <v>46089</v>
      </c>
      <c r="O11" s="86">
        <v>87.0999999999985</v>
      </c>
      <c r="P11" s="86">
        <v>1.90000000000009</v>
      </c>
      <c r="Q11" s="86">
        <v>26400.0000000001</v>
      </c>
    </row>
    <row r="12" s="92" customFormat="1" ht="27.95" customHeight="1" spans="1:17">
      <c r="A12" s="34" t="s">
        <v>36</v>
      </c>
      <c r="B12" s="35" t="s">
        <v>34</v>
      </c>
      <c r="C12" s="28" t="s">
        <v>37</v>
      </c>
      <c r="D12" s="16">
        <f>D11</f>
        <v>562400.000000001</v>
      </c>
      <c r="E12" s="33">
        <f>E11</f>
        <v>2370160</v>
      </c>
      <c r="F12" s="16">
        <f>F11</f>
        <v>529040</v>
      </c>
      <c r="G12" s="33">
        <f>G11</f>
        <v>2520160</v>
      </c>
      <c r="H12" s="32"/>
      <c r="J12" s="61">
        <v>46090</v>
      </c>
      <c r="K12" s="67">
        <v>71.1000000000058</v>
      </c>
      <c r="L12" s="68">
        <v>7</v>
      </c>
      <c r="M12" s="68">
        <v>22479.9999999996</v>
      </c>
      <c r="N12" s="61">
        <v>46090</v>
      </c>
      <c r="O12" s="86">
        <v>75</v>
      </c>
      <c r="P12" s="86">
        <v>1.09999999999991</v>
      </c>
      <c r="Q12" s="86">
        <v>24880.0000000001</v>
      </c>
    </row>
    <row r="13" s="92" customFormat="1" ht="27.95" customHeight="1" spans="1:17">
      <c r="A13" s="20" t="s">
        <v>38</v>
      </c>
      <c r="B13" s="41" t="s">
        <v>39</v>
      </c>
      <c r="C13" s="22" t="s">
        <v>42</v>
      </c>
      <c r="D13" s="25">
        <f>D11/D9</f>
        <v>314.699792960664</v>
      </c>
      <c r="E13" s="26">
        <f>E12/E9</f>
        <v>298.36226538602</v>
      </c>
      <c r="F13" s="25">
        <f>F11/F9</f>
        <v>314.867277705036</v>
      </c>
      <c r="G13" s="26">
        <f>G12/G9</f>
        <v>300.878701050621</v>
      </c>
      <c r="H13" s="32"/>
      <c r="I13" s="92"/>
      <c r="J13" s="61">
        <v>46091</v>
      </c>
      <c r="K13" s="67">
        <v>72.6999999999971</v>
      </c>
      <c r="L13" s="68">
        <v>9</v>
      </c>
      <c r="M13" s="68">
        <v>21200.0000000007</v>
      </c>
      <c r="N13" s="61">
        <v>46091</v>
      </c>
      <c r="O13" s="86">
        <v>74.3000000000029</v>
      </c>
      <c r="P13" s="86">
        <v>0.0500000000001819</v>
      </c>
      <c r="Q13" s="86">
        <v>20319.9999999997</v>
      </c>
    </row>
    <row r="14" s="92" customFormat="1" ht="27.95" customHeight="1" spans="1:17">
      <c r="A14" s="20" t="s">
        <v>40</v>
      </c>
      <c r="B14" s="21" t="s">
        <v>41</v>
      </c>
      <c r="C14" s="22" t="s">
        <v>44</v>
      </c>
      <c r="D14" s="42">
        <f>D9*1000/(D11*3.6)</f>
        <v>0.882675438596488</v>
      </c>
      <c r="E14" s="43">
        <f>E9*1000/(E12*3.6)</f>
        <v>0.931008408246231</v>
      </c>
      <c r="F14" s="42">
        <f>F9*1000/(F11*3.6)</f>
        <v>0.882205924357745</v>
      </c>
      <c r="G14" s="43">
        <f>G9*1000/(G12*3.6)</f>
        <v>0.923221806022899</v>
      </c>
      <c r="H14" s="32"/>
      <c r="J14" s="61">
        <v>46092</v>
      </c>
      <c r="K14" s="67">
        <v>48.5999999999985</v>
      </c>
      <c r="L14" s="68">
        <v>6</v>
      </c>
      <c r="M14" s="68">
        <v>18560.0000000013</v>
      </c>
      <c r="N14" s="61">
        <v>46092</v>
      </c>
      <c r="O14" s="86">
        <v>74.2999999999956</v>
      </c>
      <c r="P14" s="86">
        <v>1.84999999999991</v>
      </c>
      <c r="Q14" s="86">
        <v>26400.0000000001</v>
      </c>
    </row>
    <row r="15" s="92" customFormat="1" ht="27.95" customHeight="1" spans="1:17">
      <c r="A15" s="20" t="s">
        <v>43</v>
      </c>
      <c r="B15" s="21" t="s">
        <v>41</v>
      </c>
      <c r="C15" s="22" t="s">
        <v>47</v>
      </c>
      <c r="D15" s="42">
        <f>D9/3.6/D6/720</f>
        <v>0.107729311342593</v>
      </c>
      <c r="E15" s="43">
        <f>E9/3.6/E6/2880</f>
        <v>0.119717821662809</v>
      </c>
      <c r="F15" s="42">
        <f>F9/3.6/F6/720</f>
        <v>0.101285204475308</v>
      </c>
      <c r="G15" s="43">
        <f>G9/3.6/G6/2904</f>
        <v>0.125186524334252</v>
      </c>
      <c r="H15" s="32"/>
      <c r="J15" s="61">
        <v>46093</v>
      </c>
      <c r="K15" s="67">
        <v>51.4000000000015</v>
      </c>
      <c r="L15" s="68">
        <v>11</v>
      </c>
      <c r="M15" s="68">
        <v>16639.9999999994</v>
      </c>
      <c r="N15" s="61">
        <v>46093</v>
      </c>
      <c r="O15" s="86">
        <v>60.9000000000015</v>
      </c>
      <c r="P15" s="86">
        <v>1.90000000000009</v>
      </c>
      <c r="Q15" s="86">
        <v>19119.9999999999</v>
      </c>
    </row>
    <row r="16" s="92" customFormat="1" ht="27.95" customHeight="1" spans="1:17">
      <c r="A16" s="20" t="s">
        <v>45</v>
      </c>
      <c r="B16" s="21" t="s">
        <v>46</v>
      </c>
      <c r="C16" s="22" t="s">
        <v>50</v>
      </c>
      <c r="D16" s="25">
        <f>D9*1000000000/92/3600/D8</f>
        <v>202.903510058373</v>
      </c>
      <c r="E16" s="26">
        <f>E9*1000000000/2252/3600/E8</f>
        <v>36.846302638529</v>
      </c>
      <c r="F16" s="25">
        <f>F9*1000000000/104/3600/F8</f>
        <v>170.309775418635</v>
      </c>
      <c r="G16" s="26">
        <f>G9*1000000000/2288/3600/G8</f>
        <v>38.591582141371</v>
      </c>
      <c r="H16" s="32"/>
      <c r="J16" s="61">
        <v>46094</v>
      </c>
      <c r="K16" s="67">
        <v>42.6999999999971</v>
      </c>
      <c r="L16" s="68">
        <v>8</v>
      </c>
      <c r="M16" s="68">
        <v>14239.999999998</v>
      </c>
      <c r="N16" s="61">
        <v>46094</v>
      </c>
      <c r="O16" s="86">
        <v>53</v>
      </c>
      <c r="P16" s="86">
        <v>1.19999999999982</v>
      </c>
      <c r="Q16" s="86">
        <v>18240.0000000002</v>
      </c>
    </row>
    <row r="17" s="92" customFormat="1" ht="27.95" customHeight="1" spans="1:17">
      <c r="A17" s="44" t="s">
        <v>48</v>
      </c>
      <c r="B17" s="45" t="s">
        <v>49</v>
      </c>
      <c r="C17" s="22" t="s">
        <v>53</v>
      </c>
      <c r="D17" s="25">
        <f>D11/D8</f>
        <v>21.1483429912271</v>
      </c>
      <c r="E17" s="26">
        <f>E12/E8</f>
        <v>89.1268787768256</v>
      </c>
      <c r="F17" s="25">
        <f>F11/F8</f>
        <v>20.0771907720216</v>
      </c>
      <c r="G17" s="26">
        <f>G12/G8</f>
        <v>95.6406568426166</v>
      </c>
      <c r="H17" s="46"/>
      <c r="J17" s="61">
        <v>46095</v>
      </c>
      <c r="K17" s="67">
        <v>39.9000000000015</v>
      </c>
      <c r="L17" s="68">
        <v>8</v>
      </c>
      <c r="M17" s="68">
        <v>14080.0000000017</v>
      </c>
      <c r="N17" s="61">
        <v>46095</v>
      </c>
      <c r="O17" s="86">
        <v>59</v>
      </c>
      <c r="P17" s="86">
        <v>1</v>
      </c>
      <c r="Q17" s="86">
        <v>19040</v>
      </c>
    </row>
    <row r="18" s="92" customFormat="1" ht="27.95" customHeight="1" spans="1:17">
      <c r="A18" s="47" t="s">
        <v>51</v>
      </c>
      <c r="B18" s="48" t="s">
        <v>52</v>
      </c>
      <c r="C18" s="49" t="s">
        <v>68</v>
      </c>
      <c r="D18" s="50">
        <f t="shared" ref="D18:G18" si="0">D10*1000/D8</f>
        <v>9.32572735032772</v>
      </c>
      <c r="E18" s="51">
        <f t="shared" si="0"/>
        <v>13.4658990490014</v>
      </c>
      <c r="F18" s="50">
        <f t="shared" si="0"/>
        <v>2.31116913279925</v>
      </c>
      <c r="G18" s="51">
        <f t="shared" si="0"/>
        <v>8.60711263249375</v>
      </c>
      <c r="H18" s="52"/>
      <c r="J18" s="61">
        <v>46096</v>
      </c>
      <c r="K18" s="67">
        <v>52.0999999999985</v>
      </c>
      <c r="L18" s="68">
        <v>7</v>
      </c>
      <c r="M18" s="68">
        <v>14959.9999999991</v>
      </c>
      <c r="N18" s="61">
        <v>46096</v>
      </c>
      <c r="O18" s="86">
        <v>56.5</v>
      </c>
      <c r="P18" s="86">
        <v>5</v>
      </c>
      <c r="Q18" s="86">
        <v>18079.9999999999</v>
      </c>
    </row>
    <row r="19" s="53" customFormat="1" ht="28.5" customHeight="1" spans="1:17">
      <c r="A19" s="5" t="s">
        <v>54</v>
      </c>
      <c r="C19" s="54" t="s">
        <v>55</v>
      </c>
      <c r="F19" s="53" t="s">
        <v>56</v>
      </c>
      <c r="J19" s="61">
        <v>46097</v>
      </c>
      <c r="K19" s="67">
        <v>62.6000000000058</v>
      </c>
      <c r="L19" s="68">
        <v>1</v>
      </c>
      <c r="M19" s="68">
        <v>18080.0000000017</v>
      </c>
      <c r="N19" s="61">
        <v>46097</v>
      </c>
      <c r="O19" s="86">
        <v>52.0999999999985</v>
      </c>
      <c r="P19" s="86">
        <v>4</v>
      </c>
      <c r="Q19" s="86">
        <v>17920.0000000001</v>
      </c>
    </row>
    <row r="20" s="55" customFormat="1" ht="18.95" customHeight="1" spans="1:17">
      <c r="A20" s="5" t="s">
        <v>57</v>
      </c>
      <c r="J20" s="61">
        <v>46098</v>
      </c>
      <c r="K20" s="67">
        <v>62.5999999999985</v>
      </c>
      <c r="L20" s="68">
        <v>16</v>
      </c>
      <c r="M20" s="68">
        <v>18719.9999999975</v>
      </c>
      <c r="N20" s="61">
        <v>46098</v>
      </c>
      <c r="O20" s="86">
        <v>53.8000000000029</v>
      </c>
      <c r="P20" s="86">
        <v>1</v>
      </c>
      <c r="Q20" s="86">
        <v>17920.0000000001</v>
      </c>
    </row>
    <row r="21" s="6" customFormat="1" ht="18.95" customHeight="1" spans="1:17">
      <c r="A21" s="56" t="s">
        <v>58</v>
      </c>
      <c r="J21" s="61">
        <v>46099</v>
      </c>
      <c r="K21" s="69">
        <v>64.5</v>
      </c>
      <c r="L21" s="69">
        <v>7</v>
      </c>
      <c r="M21" s="69">
        <v>19920.0000000019</v>
      </c>
      <c r="N21" s="61">
        <v>46099</v>
      </c>
      <c r="O21" s="87">
        <v>53.5</v>
      </c>
      <c r="P21" s="87">
        <v>3.5</v>
      </c>
      <c r="Q21" s="87">
        <v>17520</v>
      </c>
    </row>
    <row r="22" s="5" customFormat="1" ht="18.95" customHeight="1" spans="1:17">
      <c r="A22" s="55" t="s">
        <v>59</v>
      </c>
      <c r="J22" s="61">
        <v>46100</v>
      </c>
      <c r="K22" s="71">
        <v>42.5</v>
      </c>
      <c r="L22" s="71">
        <v>4</v>
      </c>
      <c r="M22" s="71">
        <v>20079.9999999981</v>
      </c>
      <c r="N22" s="61">
        <v>46100</v>
      </c>
      <c r="O22" s="88">
        <v>45.6999999999971</v>
      </c>
      <c r="P22" s="88">
        <v>2</v>
      </c>
      <c r="Q22" s="88">
        <v>16639.9999999999</v>
      </c>
    </row>
    <row r="23" s="54" customFormat="1" ht="18.95" customHeight="1" spans="1:17">
      <c r="A23" s="55" t="s">
        <v>60</v>
      </c>
      <c r="J23" s="61">
        <v>46101</v>
      </c>
      <c r="K23" s="67">
        <v>4.79999999999563</v>
      </c>
      <c r="L23" s="67">
        <v>9</v>
      </c>
      <c r="M23" s="67">
        <v>11920.0000000019</v>
      </c>
      <c r="N23" s="61">
        <v>46101</v>
      </c>
      <c r="O23" s="89">
        <v>42.9000000000015</v>
      </c>
      <c r="P23" s="89">
        <v>0.0100000000002183</v>
      </c>
      <c r="Q23" s="89">
        <v>15040</v>
      </c>
    </row>
    <row r="24" s="54" customFormat="1" ht="18.95" customHeight="1" spans="1:17">
      <c r="A24" s="55" t="s">
        <v>61</v>
      </c>
      <c r="J24" s="61">
        <v>46102</v>
      </c>
      <c r="K24" s="73">
        <v>3.90000000000145</v>
      </c>
      <c r="L24" s="73">
        <v>10</v>
      </c>
      <c r="M24" s="73">
        <v>399.999999997817</v>
      </c>
      <c r="N24" s="61">
        <v>46102</v>
      </c>
      <c r="O24" s="90">
        <v>32.9000000000015</v>
      </c>
      <c r="P24" s="90">
        <v>0.389999999999873</v>
      </c>
      <c r="Q24" s="90">
        <v>11280.0000000002</v>
      </c>
    </row>
    <row r="25" s="54" customFormat="1" ht="15" spans="1:17">
      <c r="A25" s="55"/>
      <c r="J25" s="61">
        <v>46103</v>
      </c>
      <c r="K25" s="74">
        <v>17.3000000000029</v>
      </c>
      <c r="L25" s="74">
        <v>10</v>
      </c>
      <c r="M25" s="74">
        <v>8880.00000000102</v>
      </c>
      <c r="N25" s="61">
        <v>46103</v>
      </c>
      <c r="O25" s="77">
        <v>33.9000000000015</v>
      </c>
      <c r="P25" s="77">
        <v>1.19999999999982</v>
      </c>
      <c r="Q25" s="77">
        <v>13599.9999999999</v>
      </c>
    </row>
    <row r="26" s="54" customFormat="1" ht="15" spans="1:17">
      <c r="A26" s="55"/>
      <c r="J26" s="61">
        <v>46104</v>
      </c>
      <c r="K26" s="74">
        <v>36</v>
      </c>
      <c r="L26" s="74">
        <v>10</v>
      </c>
      <c r="M26" s="74">
        <v>400.000000001455</v>
      </c>
      <c r="N26" s="61">
        <v>46104</v>
      </c>
      <c r="O26" s="77">
        <v>31.8999999999942</v>
      </c>
      <c r="P26" s="77">
        <v>1.40000000000009</v>
      </c>
      <c r="Q26" s="77">
        <v>319.999999999709</v>
      </c>
    </row>
    <row r="27" spans="10:17">
      <c r="J27" s="61">
        <v>46105</v>
      </c>
      <c r="K27" s="74">
        <v>64</v>
      </c>
      <c r="L27" s="74">
        <v>9</v>
      </c>
      <c r="M27" s="74">
        <v>25520.0000000004</v>
      </c>
      <c r="N27" s="61">
        <v>46105</v>
      </c>
      <c r="O27" s="77">
        <v>32.8000000000029</v>
      </c>
      <c r="P27" s="77">
        <v>1.5</v>
      </c>
      <c r="Q27" s="77">
        <v>13040.0000000004</v>
      </c>
    </row>
    <row r="28" spans="10:17">
      <c r="J28" s="61">
        <v>46106</v>
      </c>
      <c r="K28" s="74">
        <v>61.2999999999956</v>
      </c>
      <c r="L28" s="74">
        <v>9</v>
      </c>
      <c r="M28" s="74">
        <v>18239.999999998</v>
      </c>
      <c r="N28" s="61">
        <v>46106</v>
      </c>
      <c r="O28" s="77">
        <v>26.5999999999985</v>
      </c>
      <c r="P28" s="77">
        <v>3</v>
      </c>
      <c r="Q28" s="77">
        <v>9199.99999999982</v>
      </c>
    </row>
    <row r="29" spans="10:17">
      <c r="J29" s="61">
        <v>46107</v>
      </c>
      <c r="K29" s="74">
        <v>47</v>
      </c>
      <c r="L29" s="74">
        <v>11</v>
      </c>
      <c r="M29" s="74">
        <v>16240.0000000016</v>
      </c>
      <c r="N29" s="61">
        <v>46107</v>
      </c>
      <c r="O29" s="77">
        <v>26.3000000000029</v>
      </c>
      <c r="P29" s="77">
        <v>1.09999999999991</v>
      </c>
      <c r="Q29" s="77">
        <v>7280.0000000002</v>
      </c>
    </row>
    <row r="30" spans="10:17">
      <c r="J30" s="61">
        <v>46108</v>
      </c>
      <c r="K30" s="74">
        <v>63.4000000000015</v>
      </c>
      <c r="L30" s="74">
        <v>4</v>
      </c>
      <c r="M30" s="74">
        <v>16559.9999999977</v>
      </c>
      <c r="N30" s="61">
        <v>46108</v>
      </c>
      <c r="O30" s="77">
        <v>24.5</v>
      </c>
      <c r="P30" s="77">
        <v>1.40000000000009</v>
      </c>
      <c r="Q30" s="77">
        <v>10959.9999999996</v>
      </c>
    </row>
    <row r="31" spans="10:17">
      <c r="J31" s="61">
        <v>46109</v>
      </c>
      <c r="K31" s="74">
        <v>67.2000000000044</v>
      </c>
      <c r="L31" s="74">
        <v>13</v>
      </c>
      <c r="M31" s="74">
        <v>21280.0000000025</v>
      </c>
      <c r="N31" s="61">
        <v>46109</v>
      </c>
      <c r="O31" s="77">
        <v>24.2999999999956</v>
      </c>
      <c r="P31" s="77">
        <v>2</v>
      </c>
      <c r="Q31" s="77">
        <v>8160.00000000031</v>
      </c>
    </row>
    <row r="32" spans="10:17">
      <c r="J32" s="61">
        <v>46110</v>
      </c>
      <c r="K32" s="74">
        <v>57.3999999999942</v>
      </c>
      <c r="L32" s="74">
        <v>8</v>
      </c>
      <c r="M32" s="74">
        <v>16000</v>
      </c>
      <c r="N32" s="61">
        <v>46110</v>
      </c>
      <c r="O32" s="77">
        <v>23.6000000000058</v>
      </c>
      <c r="P32" s="77">
        <v>3.5</v>
      </c>
      <c r="Q32" s="77">
        <v>9039.99999999996</v>
      </c>
    </row>
    <row r="33" spans="10:17">
      <c r="J33" s="61">
        <v>46111</v>
      </c>
      <c r="K33" s="74">
        <v>56.2000000000044</v>
      </c>
      <c r="L33" s="74">
        <v>14</v>
      </c>
      <c r="M33" s="74">
        <v>20000</v>
      </c>
      <c r="N33" s="61">
        <v>46111</v>
      </c>
      <c r="O33" s="77">
        <v>9.89999999999418</v>
      </c>
      <c r="P33" s="77">
        <v>2.5</v>
      </c>
      <c r="Q33" s="77">
        <v>239.999999999782</v>
      </c>
    </row>
    <row r="34" spans="10:17">
      <c r="J34" s="61">
        <v>46112</v>
      </c>
      <c r="K34" s="74">
        <v>29.0999999999985</v>
      </c>
      <c r="L34" s="74">
        <v>9</v>
      </c>
      <c r="M34" s="74">
        <v>7520.00000000044</v>
      </c>
      <c r="N34" s="61">
        <v>46112</v>
      </c>
      <c r="O34" s="77">
        <v>14</v>
      </c>
      <c r="P34" s="77">
        <v>2.30000000000018</v>
      </c>
      <c r="Q34" s="77">
        <v>2880.00000000011</v>
      </c>
    </row>
    <row r="35" spans="10:17">
      <c r="J35" s="76"/>
      <c r="K35" s="74"/>
      <c r="L35" s="74"/>
      <c r="M35" s="74"/>
      <c r="N35" s="77"/>
      <c r="O35" s="77"/>
      <c r="P35" s="77"/>
      <c r="Q35" s="77"/>
    </row>
    <row r="36" spans="10:17">
      <c r="J36" s="60" t="s">
        <v>18</v>
      </c>
      <c r="K36" s="78">
        <f>SUM(K4:K35)</f>
        <v>1787.1</v>
      </c>
      <c r="L36" s="78">
        <f>SUM(L4:L35)</f>
        <v>248</v>
      </c>
      <c r="M36" s="78">
        <f>SUM(M4:M35)</f>
        <v>562400.000000001</v>
      </c>
      <c r="N36" s="79" t="s">
        <v>18</v>
      </c>
      <c r="O36" s="79">
        <f>SUM(O4:O35)</f>
        <v>1680.2</v>
      </c>
      <c r="P36" s="79">
        <f>SUM(P4:P35)</f>
        <v>60.9000000000001</v>
      </c>
      <c r="Q36" s="79">
        <f>SUM(Q4:Q35)</f>
        <v>529040</v>
      </c>
    </row>
    <row r="37" spans="10:17">
      <c r="J37" s="76"/>
      <c r="K37" s="74"/>
      <c r="L37" s="74"/>
      <c r="M37" s="74"/>
      <c r="N37" s="77"/>
      <c r="O37" s="77"/>
      <c r="P37" s="77"/>
      <c r="Q37" s="77"/>
    </row>
    <row r="38" spans="10:17">
      <c r="J38" s="60"/>
      <c r="K38" s="74"/>
      <c r="L38" s="78"/>
      <c r="M38" s="78"/>
      <c r="N38" s="79"/>
      <c r="O38" s="79"/>
      <c r="P38" s="77"/>
      <c r="Q38" s="77"/>
    </row>
    <row r="39" spans="10:17">
      <c r="J39" s="60"/>
      <c r="K39" s="74"/>
      <c r="L39" s="78"/>
      <c r="M39" s="78"/>
      <c r="N39" s="79"/>
      <c r="O39" s="79"/>
      <c r="P39" s="77"/>
      <c r="Q39" s="77"/>
    </row>
    <row r="40" spans="9:17">
      <c r="I40" s="97" t="s">
        <v>62</v>
      </c>
      <c r="J40" s="60" t="s">
        <v>63</v>
      </c>
      <c r="K40" s="78">
        <v>6156.8</v>
      </c>
      <c r="L40" s="78">
        <v>110.1</v>
      </c>
      <c r="M40" s="78">
        <v>1807760</v>
      </c>
      <c r="N40" s="79" t="s">
        <v>63</v>
      </c>
      <c r="O40" s="79">
        <v>6695.80000000001</v>
      </c>
      <c r="P40" s="79">
        <v>165.9</v>
      </c>
      <c r="Q40" s="79">
        <v>1991120</v>
      </c>
    </row>
    <row r="41" spans="10:17">
      <c r="J41" s="60"/>
      <c r="K41" s="78"/>
      <c r="L41" s="78"/>
      <c r="M41" s="78"/>
      <c r="N41" s="79"/>
      <c r="O41" s="79"/>
      <c r="P41" s="79"/>
      <c r="Q41" s="79"/>
    </row>
    <row r="42" spans="10:17">
      <c r="J42" s="60" t="s">
        <v>64</v>
      </c>
      <c r="K42" s="78">
        <f>SUM(K36:K41)</f>
        <v>7943.9</v>
      </c>
      <c r="L42" s="78">
        <f>SUM(L36:L41)</f>
        <v>358.1</v>
      </c>
      <c r="M42" s="78">
        <f>SUM(M36:M41)</f>
        <v>2370160</v>
      </c>
      <c r="N42" s="79" t="s">
        <v>64</v>
      </c>
      <c r="O42" s="79">
        <f>SUM(O36:O41)</f>
        <v>8376.00000000001</v>
      </c>
      <c r="P42" s="79">
        <f>SUM(P36:P41)</f>
        <v>226.8</v>
      </c>
      <c r="Q42" s="79">
        <f>SUM(Q36:Q41)</f>
        <v>2520160</v>
      </c>
    </row>
  </sheetData>
  <mergeCells count="9">
    <mergeCell ref="A1:H1"/>
    <mergeCell ref="F2:H2"/>
    <mergeCell ref="F3:H3"/>
    <mergeCell ref="D4:E4"/>
    <mergeCell ref="F4:G4"/>
    <mergeCell ref="A4:A5"/>
    <mergeCell ref="B4:B5"/>
    <mergeCell ref="C4:C5"/>
    <mergeCell ref="H4:H5"/>
  </mergeCells>
  <pageMargins left="0.75" right="0.75" top="1" bottom="1" header="0.5" footer="0.5"/>
  <pageSetup paperSize="9" scale="44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0"/>
  <sheetViews>
    <sheetView tabSelected="1" topLeftCell="B1" workbookViewId="0">
      <pane ySplit="1" topLeftCell="A14" activePane="bottomLeft" state="frozen"/>
      <selection/>
      <selection pane="bottomLeft" activeCell="S34" sqref="S34"/>
    </sheetView>
  </sheetViews>
  <sheetFormatPr defaultColWidth="9" defaultRowHeight="13.5"/>
  <cols>
    <col min="1" max="1" width="18.4083333333333" customWidth="1"/>
    <col min="2" max="2" width="16.0916666666667" customWidth="1"/>
    <col min="3" max="3" width="13.0916666666667" customWidth="1"/>
    <col min="4" max="4" width="15.275" customWidth="1"/>
    <col min="5" max="6" width="14.725" customWidth="1"/>
    <col min="7" max="7" width="12.875"/>
    <col min="8" max="8" width="12.8166666666667"/>
    <col min="9" max="9" width="10.5416666666667"/>
    <col min="10" max="11" width="8.75833333333333" customWidth="1"/>
    <col min="12" max="12" width="12.3666666666667" customWidth="1"/>
    <col min="13" max="13" width="8.75833333333333" customWidth="1"/>
    <col min="14" max="14" width="8.75833333333333" style="1" customWidth="1"/>
    <col min="15" max="17" width="8.75833333333333" customWidth="1"/>
    <col min="18" max="18" width="12.0916666666667" customWidth="1"/>
    <col min="19" max="20" width="8.75833333333333" customWidth="1"/>
    <col min="21" max="21" width="13.875" customWidth="1"/>
  </cols>
  <sheetData>
    <row r="1" ht="29" customHeight="1" spans="1:21">
      <c r="A1" s="2" t="s">
        <v>69</v>
      </c>
      <c r="B1" s="3"/>
      <c r="C1" s="3"/>
      <c r="D1" s="3"/>
      <c r="E1" s="3"/>
      <c r="F1" s="3"/>
      <c r="J1" s="57" t="s">
        <v>66</v>
      </c>
      <c r="K1" s="58" t="s">
        <v>2</v>
      </c>
      <c r="L1" s="58"/>
      <c r="M1" s="59" t="s">
        <v>3</v>
      </c>
      <c r="N1" s="59" t="s">
        <v>4</v>
      </c>
      <c r="O1" s="59"/>
      <c r="P1" s="60" t="s">
        <v>67</v>
      </c>
      <c r="Q1" s="83" t="s">
        <v>2</v>
      </c>
      <c r="R1" s="83"/>
      <c r="S1" s="83" t="s">
        <v>3</v>
      </c>
      <c r="T1" s="83" t="s">
        <v>4</v>
      </c>
      <c r="U1" s="83"/>
    </row>
    <row r="2" ht="29" customHeight="1" spans="1:21">
      <c r="A2" s="4"/>
      <c r="B2" s="4"/>
      <c r="C2" s="4"/>
      <c r="D2" s="5"/>
      <c r="E2" s="5"/>
      <c r="F2" s="5"/>
      <c r="J2" s="61">
        <v>46082</v>
      </c>
      <c r="K2" s="62">
        <v>81.3099999999977</v>
      </c>
      <c r="L2" s="63">
        <v>4.01889300000004</v>
      </c>
      <c r="M2" s="63">
        <v>1.5</v>
      </c>
      <c r="N2" s="63">
        <v>7875</v>
      </c>
      <c r="O2" s="63">
        <v>560.739999999991</v>
      </c>
      <c r="P2" s="61">
        <v>46082</v>
      </c>
      <c r="Q2" s="84">
        <v>86</v>
      </c>
      <c r="R2" s="84">
        <v>3.84593699999992</v>
      </c>
      <c r="S2" s="84">
        <v>1</v>
      </c>
      <c r="T2" s="84">
        <v>8115.00000000046</v>
      </c>
      <c r="U2" s="84">
        <v>349.119999999995</v>
      </c>
    </row>
    <row r="3" ht="29" customHeight="1" spans="1:21">
      <c r="A3" s="6" t="s">
        <v>7</v>
      </c>
      <c r="B3" s="7"/>
      <c r="C3" s="8" t="s">
        <v>8</v>
      </c>
      <c r="D3" s="9"/>
      <c r="E3" s="9"/>
      <c r="F3" s="9"/>
      <c r="J3" s="61">
        <v>46083</v>
      </c>
      <c r="K3" s="62">
        <v>89.2299999999996</v>
      </c>
      <c r="L3" s="64">
        <v>4.10767699999997</v>
      </c>
      <c r="M3" s="64">
        <v>2</v>
      </c>
      <c r="N3" s="64">
        <v>9119.99999999989</v>
      </c>
      <c r="O3" s="64">
        <v>587.040000000008</v>
      </c>
      <c r="P3" s="61">
        <v>46083</v>
      </c>
      <c r="Q3" s="85">
        <v>83.9900000000016</v>
      </c>
      <c r="R3" s="85">
        <v>3.90398700000008</v>
      </c>
      <c r="S3" s="85">
        <v>1.5</v>
      </c>
      <c r="T3" s="85">
        <v>8429.99999999984</v>
      </c>
      <c r="U3" s="85">
        <v>457.720000000001</v>
      </c>
    </row>
    <row r="4" ht="29" customHeight="1" spans="1:21">
      <c r="A4" s="10" t="s">
        <v>10</v>
      </c>
      <c r="B4" s="11" t="s">
        <v>11</v>
      </c>
      <c r="C4" s="12" t="s">
        <v>12</v>
      </c>
      <c r="D4" s="11" t="s">
        <v>13</v>
      </c>
      <c r="E4" s="13"/>
      <c r="F4" s="11" t="s">
        <v>14</v>
      </c>
      <c r="G4" s="13"/>
      <c r="H4" s="14" t="s">
        <v>15</v>
      </c>
      <c r="J4" s="61">
        <v>46084</v>
      </c>
      <c r="K4" s="65">
        <v>92.010000000002</v>
      </c>
      <c r="L4" s="63">
        <v>4.10946799999999</v>
      </c>
      <c r="M4" s="63">
        <v>2</v>
      </c>
      <c r="N4" s="63">
        <v>9509.99999999988</v>
      </c>
      <c r="O4" s="63">
        <v>582.670000000013</v>
      </c>
      <c r="P4" s="61">
        <v>46084</v>
      </c>
      <c r="Q4" s="84">
        <v>79.8899999999994</v>
      </c>
      <c r="R4" s="84">
        <v>3.97184299999999</v>
      </c>
      <c r="S4" s="84">
        <v>1</v>
      </c>
      <c r="T4" s="84">
        <v>8459.99999999981</v>
      </c>
      <c r="U4" s="84">
        <v>481.080000000016</v>
      </c>
    </row>
    <row r="5" ht="29" customHeight="1" spans="1:21">
      <c r="A5" s="15"/>
      <c r="B5" s="16"/>
      <c r="C5" s="17"/>
      <c r="D5" s="18" t="s">
        <v>16</v>
      </c>
      <c r="E5" s="18" t="s">
        <v>17</v>
      </c>
      <c r="F5" s="18" t="s">
        <v>18</v>
      </c>
      <c r="G5" s="18" t="s">
        <v>17</v>
      </c>
      <c r="H5" s="19"/>
      <c r="J5" s="61">
        <v>46085</v>
      </c>
      <c r="K5" s="66">
        <v>86.3899999999994</v>
      </c>
      <c r="L5" s="63">
        <v>3.90237599999999</v>
      </c>
      <c r="M5" s="63">
        <v>1.5</v>
      </c>
      <c r="N5" s="63">
        <v>8985.00000000001</v>
      </c>
      <c r="O5" s="63">
        <v>571.089999999997</v>
      </c>
      <c r="P5" s="61">
        <v>46085</v>
      </c>
      <c r="Q5" s="84">
        <v>82.5800000000017</v>
      </c>
      <c r="R5" s="84">
        <v>4.06007799999986</v>
      </c>
      <c r="S5" s="84">
        <v>2.89999999999998</v>
      </c>
      <c r="T5" s="84">
        <v>8040.00000000019</v>
      </c>
      <c r="U5" s="84">
        <v>487.839999999997</v>
      </c>
    </row>
    <row r="6" ht="29" customHeight="1" spans="1:21">
      <c r="A6" s="20" t="s">
        <v>19</v>
      </c>
      <c r="B6" s="21" t="s">
        <v>20</v>
      </c>
      <c r="C6" s="22" t="s">
        <v>21</v>
      </c>
      <c r="D6" s="23">
        <v>0.7888</v>
      </c>
      <c r="E6" s="24">
        <v>0.7888</v>
      </c>
      <c r="F6" s="23">
        <v>0.7888</v>
      </c>
      <c r="G6" s="24">
        <v>0.7888</v>
      </c>
      <c r="H6" s="19"/>
      <c r="J6" s="61">
        <v>46086</v>
      </c>
      <c r="K6" s="65">
        <v>87.5099999999984</v>
      </c>
      <c r="L6" s="63">
        <v>4.11955300000001</v>
      </c>
      <c r="M6" s="63">
        <v>2.5</v>
      </c>
      <c r="N6" s="63">
        <v>9540.00000000019</v>
      </c>
      <c r="O6" s="63">
        <v>620.190000000002</v>
      </c>
      <c r="P6" s="61">
        <v>46086</v>
      </c>
      <c r="Q6" s="84">
        <v>91.7099999999991</v>
      </c>
      <c r="R6" s="84">
        <v>4.00064300000016</v>
      </c>
      <c r="S6" s="84">
        <v>0.200000000000045</v>
      </c>
      <c r="T6" s="84">
        <v>10605.0000000002</v>
      </c>
      <c r="U6" s="84">
        <v>549.279999999999</v>
      </c>
    </row>
    <row r="7" ht="29" customHeight="1" spans="1:21">
      <c r="A7" s="20" t="s">
        <v>22</v>
      </c>
      <c r="B7" s="21" t="s">
        <v>23</v>
      </c>
      <c r="C7" s="22" t="s">
        <v>24</v>
      </c>
      <c r="D7" s="23">
        <v>21963.94</v>
      </c>
      <c r="E7" s="24">
        <v>21963.94</v>
      </c>
      <c r="F7" s="23">
        <v>20723.53</v>
      </c>
      <c r="G7" s="24">
        <f>F7</f>
        <v>20723.53</v>
      </c>
      <c r="H7" s="19"/>
      <c r="J7" s="61">
        <v>46087</v>
      </c>
      <c r="K7" s="65">
        <v>89.3200000000033</v>
      </c>
      <c r="L7" s="63">
        <v>3.516473</v>
      </c>
      <c r="M7" s="63">
        <v>1.5</v>
      </c>
      <c r="N7" s="63">
        <v>9224.9999999998</v>
      </c>
      <c r="O7" s="63">
        <v>489.789999999979</v>
      </c>
      <c r="P7" s="61">
        <v>46087</v>
      </c>
      <c r="Q7" s="84">
        <v>93.9000000000015</v>
      </c>
      <c r="R7" s="84">
        <v>4.25059999999986</v>
      </c>
      <c r="S7" s="84">
        <v>0.799999999999955</v>
      </c>
      <c r="T7" s="84">
        <v>10304.9999999998</v>
      </c>
      <c r="U7" s="84">
        <v>563.239999999991</v>
      </c>
    </row>
    <row r="8" ht="29" customHeight="1" spans="1:21">
      <c r="A8" s="20" t="s">
        <v>25</v>
      </c>
      <c r="B8" s="21" t="s">
        <v>23</v>
      </c>
      <c r="C8" s="22" t="s">
        <v>26</v>
      </c>
      <c r="D8" s="25">
        <v>21963.94</v>
      </c>
      <c r="E8" s="26">
        <v>21963.94</v>
      </c>
      <c r="F8" s="25">
        <f>F7</f>
        <v>20723.53</v>
      </c>
      <c r="G8" s="26">
        <f>F8</f>
        <v>20723.53</v>
      </c>
      <c r="H8" s="19"/>
      <c r="J8" s="61">
        <v>46088</v>
      </c>
      <c r="K8" s="65">
        <v>82.989999999998</v>
      </c>
      <c r="L8" s="63">
        <v>3.50326699999999</v>
      </c>
      <c r="M8" s="63">
        <v>1</v>
      </c>
      <c r="N8" s="63">
        <v>8370.00000000023</v>
      </c>
      <c r="O8" s="63">
        <v>457.760000000009</v>
      </c>
      <c r="P8" s="61">
        <v>46088</v>
      </c>
      <c r="Q8" s="84">
        <v>82.0099999999984</v>
      </c>
      <c r="R8" s="84">
        <v>4.10134499999997</v>
      </c>
      <c r="S8" s="84">
        <v>1.10000000000002</v>
      </c>
      <c r="T8" s="84">
        <v>8759.99999999954</v>
      </c>
      <c r="U8" s="84">
        <v>540.600000000006</v>
      </c>
    </row>
    <row r="9" ht="29" customHeight="1" spans="1:21">
      <c r="A9" s="27" t="s">
        <v>27</v>
      </c>
      <c r="B9" s="18" t="s">
        <v>28</v>
      </c>
      <c r="C9" s="28" t="s">
        <v>29</v>
      </c>
      <c r="D9" s="29">
        <f>L36</f>
        <v>2275.512172</v>
      </c>
      <c r="E9" s="30">
        <f>L40</f>
        <v>8501.672177</v>
      </c>
      <c r="F9" s="31">
        <f>R36</f>
        <v>2376.44938</v>
      </c>
      <c r="G9" s="30">
        <f>R40</f>
        <v>8732.07338900002</v>
      </c>
      <c r="H9" s="32"/>
      <c r="J9" s="61">
        <v>46089</v>
      </c>
      <c r="K9" s="67">
        <v>84.9700000000012</v>
      </c>
      <c r="L9" s="68">
        <v>3.27812400000001</v>
      </c>
      <c r="M9" s="68">
        <v>2</v>
      </c>
      <c r="N9" s="63">
        <v>9014.99999999999</v>
      </c>
      <c r="O9" s="68">
        <v>449.860000000015</v>
      </c>
      <c r="P9" s="61">
        <v>46089</v>
      </c>
      <c r="Q9" s="86">
        <v>84.8899999999994</v>
      </c>
      <c r="R9" s="86">
        <v>4.15668000000017</v>
      </c>
      <c r="S9" s="86">
        <v>1.5</v>
      </c>
      <c r="T9" s="86">
        <v>9135.00000000022</v>
      </c>
      <c r="U9" s="86">
        <v>537.880000000005</v>
      </c>
    </row>
    <row r="10" ht="29" customHeight="1" spans="1:21">
      <c r="A10" s="27" t="s">
        <v>30</v>
      </c>
      <c r="B10" s="18" t="s">
        <v>31</v>
      </c>
      <c r="C10" s="28" t="s">
        <v>32</v>
      </c>
      <c r="D10" s="16">
        <f>M36</f>
        <v>54</v>
      </c>
      <c r="E10" s="33">
        <f>M40</f>
        <v>179</v>
      </c>
      <c r="F10" s="16">
        <f>S36</f>
        <v>44.5</v>
      </c>
      <c r="G10" s="33">
        <f>S40</f>
        <v>131</v>
      </c>
      <c r="H10" s="32"/>
      <c r="J10" s="61">
        <v>46090</v>
      </c>
      <c r="K10" s="67">
        <v>79.5400000000009</v>
      </c>
      <c r="L10" s="68">
        <v>3.58895900000003</v>
      </c>
      <c r="M10" s="68">
        <v>2</v>
      </c>
      <c r="N10" s="63">
        <v>7800.00000000007</v>
      </c>
      <c r="O10" s="68">
        <v>494.879999999976</v>
      </c>
      <c r="P10" s="61">
        <v>46090</v>
      </c>
      <c r="Q10" s="86">
        <v>84.8300000000017</v>
      </c>
      <c r="R10" s="86">
        <v>4.11729299999983</v>
      </c>
      <c r="S10" s="86">
        <v>1.5</v>
      </c>
      <c r="T10" s="86">
        <v>8820.00000000016</v>
      </c>
      <c r="U10" s="86">
        <v>509.880000000005</v>
      </c>
    </row>
    <row r="11" ht="29" customHeight="1" spans="1:21">
      <c r="A11" s="27" t="s">
        <v>33</v>
      </c>
      <c r="B11" s="18" t="s">
        <v>34</v>
      </c>
      <c r="C11" s="28" t="s">
        <v>35</v>
      </c>
      <c r="D11" s="16">
        <f>O36</f>
        <v>215236.98</v>
      </c>
      <c r="E11" s="33">
        <f>O40</f>
        <v>1006147.81</v>
      </c>
      <c r="F11" s="16">
        <f>U36</f>
        <v>222558.12</v>
      </c>
      <c r="G11" s="30">
        <f>U40</f>
        <v>1002939</v>
      </c>
      <c r="H11" s="32"/>
      <c r="J11" s="61">
        <v>46091</v>
      </c>
      <c r="K11" s="67">
        <v>82.0900000000001</v>
      </c>
      <c r="L11" s="68">
        <v>3.34908999999997</v>
      </c>
      <c r="M11" s="68">
        <v>2</v>
      </c>
      <c r="N11" s="63">
        <v>7439.99999999971</v>
      </c>
      <c r="O11" s="68">
        <v>398.110000000015</v>
      </c>
      <c r="P11" s="61">
        <v>46091</v>
      </c>
      <c r="Q11" s="86">
        <v>78.1800000000003</v>
      </c>
      <c r="R11" s="86">
        <v>4.02887100000004</v>
      </c>
      <c r="S11" s="86">
        <v>1</v>
      </c>
      <c r="T11" s="86">
        <v>7859.99999999967</v>
      </c>
      <c r="U11" s="86">
        <v>518.839999999997</v>
      </c>
    </row>
    <row r="12" ht="29" customHeight="1" spans="1:21">
      <c r="A12" s="34" t="s">
        <v>36</v>
      </c>
      <c r="B12" s="35" t="s">
        <v>34</v>
      </c>
      <c r="C12" s="28" t="s">
        <v>37</v>
      </c>
      <c r="D12" s="36">
        <f>D11</f>
        <v>215236.98</v>
      </c>
      <c r="E12" s="37">
        <f>E11</f>
        <v>1006147.81</v>
      </c>
      <c r="F12" s="38">
        <f>F11</f>
        <v>222558.12</v>
      </c>
      <c r="G12" s="39">
        <f>G11</f>
        <v>1002939</v>
      </c>
      <c r="H12" s="40" t="s">
        <v>70</v>
      </c>
      <c r="J12" s="61">
        <v>46092</v>
      </c>
      <c r="K12" s="67">
        <v>71.6499999999978</v>
      </c>
      <c r="L12" s="68">
        <v>3.35262099999998</v>
      </c>
      <c r="M12" s="68">
        <v>2</v>
      </c>
      <c r="N12" s="63">
        <v>6014.99999999999</v>
      </c>
      <c r="O12" s="68">
        <v>382.75</v>
      </c>
      <c r="P12" s="61">
        <v>46092</v>
      </c>
      <c r="Q12" s="86">
        <v>74.4399999999987</v>
      </c>
      <c r="R12" s="86">
        <v>4.00734200000018</v>
      </c>
      <c r="S12" s="86">
        <v>1.10000000000002</v>
      </c>
      <c r="T12" s="86">
        <v>6915.00000000019</v>
      </c>
      <c r="U12" s="86">
        <v>491.239999999991</v>
      </c>
    </row>
    <row r="13" ht="29" customHeight="1" spans="1:21">
      <c r="A13" s="20" t="s">
        <v>38</v>
      </c>
      <c r="B13" s="41" t="s">
        <v>39</v>
      </c>
      <c r="C13" s="22" t="s">
        <v>42</v>
      </c>
      <c r="D13" s="25">
        <f t="shared" ref="D13:G13" si="0">D11/D9</f>
        <v>94.5883668074705</v>
      </c>
      <c r="E13" s="26">
        <f>E12/E9</f>
        <v>118.347048563221</v>
      </c>
      <c r="F13" s="25">
        <f t="shared" si="0"/>
        <v>93.6515298297663</v>
      </c>
      <c r="G13" s="26">
        <f t="shared" si="0"/>
        <v>114.856913738657</v>
      </c>
      <c r="H13" s="32"/>
      <c r="J13" s="61">
        <v>46093</v>
      </c>
      <c r="K13" s="67">
        <v>70.4000000000015</v>
      </c>
      <c r="L13" s="68">
        <v>3.14923100000003</v>
      </c>
      <c r="M13" s="68">
        <v>1</v>
      </c>
      <c r="N13" s="63">
        <v>6120.00000000023</v>
      </c>
      <c r="O13" s="68">
        <v>372.320000000007</v>
      </c>
      <c r="P13" s="61">
        <v>46093</v>
      </c>
      <c r="Q13" s="86">
        <v>73</v>
      </c>
      <c r="R13" s="86">
        <v>3.52378099999996</v>
      </c>
      <c r="S13" s="86">
        <v>1.79999999999995</v>
      </c>
      <c r="T13" s="86">
        <v>6600.00000000014</v>
      </c>
      <c r="U13" s="86">
        <v>404.640000000014</v>
      </c>
    </row>
    <row r="14" ht="29" customHeight="1" spans="1:21">
      <c r="A14" s="20" t="s">
        <v>40</v>
      </c>
      <c r="B14" s="21" t="s">
        <v>41</v>
      </c>
      <c r="C14" s="22" t="s">
        <v>44</v>
      </c>
      <c r="D14" s="42">
        <f>D9*1000/(D11*3.6)</f>
        <v>2.93670127895515</v>
      </c>
      <c r="E14" s="43">
        <f>E9*1000/(E12*3.6)</f>
        <v>2.3471457983119</v>
      </c>
      <c r="F14" s="42">
        <f>F9*1000/(F11*3.6)</f>
        <v>2.96607837888718</v>
      </c>
      <c r="G14" s="43">
        <f>G9*1000/(G12*3.6)</f>
        <v>2.41846806374953</v>
      </c>
      <c r="H14" s="32"/>
      <c r="J14" s="61">
        <v>46094</v>
      </c>
      <c r="K14" s="67">
        <v>70.3499999999985</v>
      </c>
      <c r="L14" s="68">
        <v>3.28899400000001</v>
      </c>
      <c r="M14" s="68">
        <v>3</v>
      </c>
      <c r="N14" s="63">
        <v>5970.00000000003</v>
      </c>
      <c r="O14" s="68">
        <v>386.720000000001</v>
      </c>
      <c r="P14" s="61">
        <v>46094</v>
      </c>
      <c r="Q14" s="86">
        <v>76.380000000001</v>
      </c>
      <c r="R14" s="86">
        <v>3.63373499999987</v>
      </c>
      <c r="S14" s="86">
        <v>1.30000000000007</v>
      </c>
      <c r="T14" s="86">
        <v>6929.99999999984</v>
      </c>
      <c r="U14" s="86">
        <v>397.079999999987</v>
      </c>
    </row>
    <row r="15" ht="29" customHeight="1" spans="1:21">
      <c r="A15" s="20" t="s">
        <v>43</v>
      </c>
      <c r="B15" s="21" t="s">
        <v>41</v>
      </c>
      <c r="C15" s="22" t="s">
        <v>47</v>
      </c>
      <c r="D15" s="42">
        <f>D9/3.6/D6/720</f>
        <v>1.11295412589525</v>
      </c>
      <c r="E15" s="43">
        <f>E9/3.6/E6/2880</f>
        <v>1.03954301396734</v>
      </c>
      <c r="F15" s="42">
        <f>F9/3.6/F6/720</f>
        <v>1.16232256412303</v>
      </c>
      <c r="G15" s="43">
        <f>G9/3.6/G6/2904</f>
        <v>1.05889125677394</v>
      </c>
      <c r="H15" s="32"/>
      <c r="J15" s="61">
        <v>46095</v>
      </c>
      <c r="K15" s="67">
        <v>69.8500000000022</v>
      </c>
      <c r="L15" s="68">
        <v>3.17847999999998</v>
      </c>
      <c r="M15" s="68">
        <v>2</v>
      </c>
      <c r="N15" s="63">
        <v>5654.99999999997</v>
      </c>
      <c r="O15" s="68">
        <v>363.359999999986</v>
      </c>
      <c r="P15" s="61">
        <v>46095</v>
      </c>
      <c r="Q15" s="86">
        <v>73.1399999999994</v>
      </c>
      <c r="R15" s="86">
        <v>3.62262300000014</v>
      </c>
      <c r="S15" s="86">
        <v>1.29999999999995</v>
      </c>
      <c r="T15" s="86">
        <v>6675.00000000041</v>
      </c>
      <c r="U15" s="86">
        <v>414.640000000014</v>
      </c>
    </row>
    <row r="16" ht="29" customHeight="1" spans="1:21">
      <c r="A16" s="20" t="s">
        <v>45</v>
      </c>
      <c r="B16" s="21" t="s">
        <v>46</v>
      </c>
      <c r="C16" s="22" t="s">
        <v>50</v>
      </c>
      <c r="D16" s="25">
        <f>D9*1000000000/92/3600/D8</f>
        <v>312.808529148253</v>
      </c>
      <c r="E16" s="26">
        <f>E9*1000000000/2252/3600/E8</f>
        <v>47.7444856470511</v>
      </c>
      <c r="F16" s="25">
        <f>F9*1000000000/104/3600/F8</f>
        <v>306.287303043829</v>
      </c>
      <c r="G16" s="26">
        <f>G9*1000000000/2288/3600/G8</f>
        <v>51.1558284236628</v>
      </c>
      <c r="H16" s="32"/>
      <c r="J16" s="61">
        <v>46096</v>
      </c>
      <c r="K16" s="67">
        <v>72.0899999999965</v>
      </c>
      <c r="L16" s="68">
        <v>3.39015399999998</v>
      </c>
      <c r="M16" s="68">
        <v>2</v>
      </c>
      <c r="N16" s="63">
        <v>6599.9999999998</v>
      </c>
      <c r="O16" s="68">
        <v>420.529999999999</v>
      </c>
      <c r="P16" s="61">
        <v>46096</v>
      </c>
      <c r="Q16" s="86">
        <v>73.739999999998</v>
      </c>
      <c r="R16" s="86">
        <v>3.66040299999993</v>
      </c>
      <c r="S16" s="86">
        <v>1.5</v>
      </c>
      <c r="T16" s="86">
        <v>6614.99999999978</v>
      </c>
      <c r="U16" s="86">
        <v>416.079999999987</v>
      </c>
    </row>
    <row r="17" ht="29" customHeight="1" spans="1:21">
      <c r="A17" s="44" t="s">
        <v>48</v>
      </c>
      <c r="B17" s="45" t="s">
        <v>49</v>
      </c>
      <c r="C17" s="22" t="s">
        <v>53</v>
      </c>
      <c r="D17" s="25">
        <f t="shared" ref="D17:G17" si="1">D11/D8</f>
        <v>9.79956146301619</v>
      </c>
      <c r="E17" s="26">
        <f>E12/E8</f>
        <v>45.8090766046529</v>
      </c>
      <c r="F17" s="25">
        <f t="shared" si="1"/>
        <v>10.7393923718594</v>
      </c>
      <c r="G17" s="26">
        <f t="shared" si="1"/>
        <v>48.3961467954542</v>
      </c>
      <c r="H17" s="46"/>
      <c r="J17" s="61">
        <v>46097</v>
      </c>
      <c r="K17" s="67">
        <v>68.9400000000023</v>
      </c>
      <c r="L17" s="68">
        <v>3.42011800000002</v>
      </c>
      <c r="M17" s="68">
        <v>1</v>
      </c>
      <c r="N17" s="63">
        <v>6645.0000000001</v>
      </c>
      <c r="O17" s="68">
        <v>449.970000000001</v>
      </c>
      <c r="P17" s="61">
        <v>46097</v>
      </c>
      <c r="Q17" s="86">
        <v>73.7200000000048</v>
      </c>
      <c r="R17" s="86">
        <v>3.49910499999998</v>
      </c>
      <c r="S17" s="86">
        <v>1.89999999999998</v>
      </c>
      <c r="T17" s="86">
        <v>6540.00000000019</v>
      </c>
      <c r="U17" s="86">
        <v>395.440000000002</v>
      </c>
    </row>
    <row r="18" ht="29" customHeight="1" spans="1:21">
      <c r="A18" s="47" t="s">
        <v>51</v>
      </c>
      <c r="B18" s="48" t="s">
        <v>52</v>
      </c>
      <c r="C18" s="49" t="s">
        <v>68</v>
      </c>
      <c r="D18" s="50">
        <f t="shared" ref="D18:G18" si="2">D10*1000/D8</f>
        <v>2.45857528294104</v>
      </c>
      <c r="E18" s="51">
        <f t="shared" si="2"/>
        <v>8.14972177123048</v>
      </c>
      <c r="F18" s="50">
        <f t="shared" si="2"/>
        <v>2.14731756607103</v>
      </c>
      <c r="G18" s="51">
        <f t="shared" si="2"/>
        <v>6.3213168798945</v>
      </c>
      <c r="H18" s="52"/>
      <c r="J18" s="61">
        <v>46098</v>
      </c>
      <c r="K18" s="67">
        <v>78.1800000000003</v>
      </c>
      <c r="L18" s="68">
        <v>3.37274300000002</v>
      </c>
      <c r="M18" s="68">
        <v>2</v>
      </c>
      <c r="N18" s="63">
        <v>8009.99999999988</v>
      </c>
      <c r="O18" s="68">
        <v>480.380000000005</v>
      </c>
      <c r="P18" s="61">
        <v>46098</v>
      </c>
      <c r="Q18" s="86">
        <v>72.1499999999942</v>
      </c>
      <c r="R18" s="86">
        <v>3.55379099999997</v>
      </c>
      <c r="S18" s="86">
        <v>1.60000000000002</v>
      </c>
      <c r="T18" s="86">
        <v>6104.99999999956</v>
      </c>
      <c r="U18" s="86">
        <v>382.160000000003</v>
      </c>
    </row>
    <row r="19" ht="15.75" spans="1:21">
      <c r="A19" s="5" t="s">
        <v>54</v>
      </c>
      <c r="B19" s="53"/>
      <c r="C19" s="54" t="s">
        <v>55</v>
      </c>
      <c r="D19" s="53"/>
      <c r="E19" s="53"/>
      <c r="F19" s="53" t="s">
        <v>56</v>
      </c>
      <c r="G19" s="53"/>
      <c r="H19" s="53"/>
      <c r="J19" s="61">
        <v>46099</v>
      </c>
      <c r="K19" s="69">
        <v>74.619999999999</v>
      </c>
      <c r="L19" s="69">
        <v>3.400647</v>
      </c>
      <c r="M19" s="69">
        <v>2</v>
      </c>
      <c r="N19" s="70">
        <v>7530.00000000031</v>
      </c>
      <c r="O19" s="69">
        <v>469.380000000005</v>
      </c>
      <c r="P19" s="61">
        <v>46099</v>
      </c>
      <c r="Q19" s="87">
        <v>70.6800000000003</v>
      </c>
      <c r="R19" s="87">
        <v>3.65169400000013</v>
      </c>
      <c r="S19" s="87">
        <v>1.5</v>
      </c>
      <c r="T19" s="87">
        <v>6975.00000000014</v>
      </c>
      <c r="U19" s="87">
        <v>437.760000000009</v>
      </c>
    </row>
    <row r="20" ht="15" spans="1:21">
      <c r="A20" s="5" t="s">
        <v>57</v>
      </c>
      <c r="B20" s="55"/>
      <c r="C20" s="55"/>
      <c r="D20" s="55"/>
      <c r="E20" s="55"/>
      <c r="F20" s="55"/>
      <c r="J20" s="61">
        <v>46100</v>
      </c>
      <c r="K20" s="71">
        <v>63.7999999999993</v>
      </c>
      <c r="L20" s="71">
        <v>3.53805499999999</v>
      </c>
      <c r="M20" s="71">
        <v>1</v>
      </c>
      <c r="N20" s="72">
        <v>5984.99999999967</v>
      </c>
      <c r="O20" s="71">
        <v>476.320000000007</v>
      </c>
      <c r="P20" s="61">
        <v>46100</v>
      </c>
      <c r="Q20" s="88">
        <v>73.010000000002</v>
      </c>
      <c r="R20" s="88">
        <v>3.44739500000002</v>
      </c>
      <c r="S20" s="88">
        <v>1.5</v>
      </c>
      <c r="T20" s="88">
        <v>6420.0000000003</v>
      </c>
      <c r="U20" s="88">
        <v>374.039999999979</v>
      </c>
    </row>
    <row r="21" ht="15" spans="1:21">
      <c r="A21" s="56" t="s">
        <v>58</v>
      </c>
      <c r="B21" s="6"/>
      <c r="C21" s="6"/>
      <c r="D21" s="6"/>
      <c r="E21" s="6"/>
      <c r="F21" s="6"/>
      <c r="J21" s="61">
        <v>46101</v>
      </c>
      <c r="K21" s="67">
        <v>72.5900000000001</v>
      </c>
      <c r="L21" s="67">
        <v>3.33664199999999</v>
      </c>
      <c r="M21" s="67">
        <v>1</v>
      </c>
      <c r="N21" s="65">
        <v>6885.00000000022</v>
      </c>
      <c r="O21" s="67">
        <v>432.220000000001</v>
      </c>
      <c r="P21" s="61">
        <v>46101</v>
      </c>
      <c r="Q21" s="89">
        <v>73.5299999999988</v>
      </c>
      <c r="R21" s="89">
        <v>3.50935999999987</v>
      </c>
      <c r="S21" s="89">
        <v>1.5</v>
      </c>
      <c r="T21" s="89">
        <v>6839.99999999992</v>
      </c>
      <c r="U21" s="89">
        <v>398.800000000017</v>
      </c>
    </row>
    <row r="22" ht="15" spans="1:21">
      <c r="A22" s="55" t="s">
        <v>71</v>
      </c>
      <c r="B22" s="5"/>
      <c r="C22" s="5"/>
      <c r="D22" s="5"/>
      <c r="E22" s="5"/>
      <c r="F22" s="5"/>
      <c r="J22" s="61">
        <v>46102</v>
      </c>
      <c r="K22" s="73">
        <v>53.6700000000019</v>
      </c>
      <c r="L22" s="73">
        <v>3.20195500000002</v>
      </c>
      <c r="M22" s="73">
        <v>2</v>
      </c>
      <c r="N22" s="62">
        <v>4125</v>
      </c>
      <c r="O22" s="73">
        <v>358.399999999994</v>
      </c>
      <c r="P22" s="61">
        <v>46102</v>
      </c>
      <c r="Q22" s="90">
        <v>70.1699999999983</v>
      </c>
      <c r="R22" s="90">
        <v>3.39572399999993</v>
      </c>
      <c r="S22" s="90">
        <v>1.5</v>
      </c>
      <c r="T22" s="90">
        <v>6299.99999999973</v>
      </c>
      <c r="U22" s="90">
        <v>373.359999999986</v>
      </c>
    </row>
    <row r="23" ht="15" spans="1:21">
      <c r="A23" s="55" t="s">
        <v>72</v>
      </c>
      <c r="B23" s="54"/>
      <c r="C23" s="54"/>
      <c r="D23" s="54"/>
      <c r="E23" s="54"/>
      <c r="F23" s="54"/>
      <c r="J23" s="61">
        <v>46103</v>
      </c>
      <c r="K23" s="74">
        <v>49.0299999999988</v>
      </c>
      <c r="L23" s="74">
        <v>2.97421999999997</v>
      </c>
      <c r="M23" s="74">
        <v>1</v>
      </c>
      <c r="N23" s="75">
        <v>3375</v>
      </c>
      <c r="O23" s="74">
        <v>323.809999999998</v>
      </c>
      <c r="P23" s="61">
        <v>46103</v>
      </c>
      <c r="Q23" s="77">
        <v>74.3800000000047</v>
      </c>
      <c r="R23" s="77">
        <v>3.36545500000007</v>
      </c>
      <c r="S23" s="77">
        <v>1.5</v>
      </c>
      <c r="T23" s="77">
        <v>6809.99999999995</v>
      </c>
      <c r="U23" s="77">
        <v>384.320000000007</v>
      </c>
    </row>
    <row r="24" ht="15" spans="1:21">
      <c r="A24" s="55" t="s">
        <v>61</v>
      </c>
      <c r="B24" s="54"/>
      <c r="C24" s="54"/>
      <c r="D24" s="54"/>
      <c r="E24" s="54"/>
      <c r="F24" s="54"/>
      <c r="J24" s="61">
        <v>46104</v>
      </c>
      <c r="K24" s="74">
        <v>43.1599999999999</v>
      </c>
      <c r="L24" s="74">
        <v>3.00753700000007</v>
      </c>
      <c r="M24" s="74">
        <v>2</v>
      </c>
      <c r="N24" s="75">
        <v>3375</v>
      </c>
      <c r="O24" s="74">
        <v>331.869999999995</v>
      </c>
      <c r="P24" s="61">
        <v>46104</v>
      </c>
      <c r="Q24" s="77">
        <v>60.7699999999968</v>
      </c>
      <c r="R24" s="77">
        <v>3.41571200000006</v>
      </c>
      <c r="S24" s="77">
        <v>1.89999999999998</v>
      </c>
      <c r="T24" s="77">
        <v>5205.00000000038</v>
      </c>
      <c r="U24" s="77">
        <v>376.279999999999</v>
      </c>
    </row>
    <row r="25" ht="14.25" spans="10:21">
      <c r="J25" s="61">
        <v>46105</v>
      </c>
      <c r="K25" s="74">
        <v>48.4300000000003</v>
      </c>
      <c r="L25" s="74">
        <v>2.92538799999992</v>
      </c>
      <c r="M25" s="74">
        <v>1</v>
      </c>
      <c r="N25" s="75">
        <v>3735.00000000001</v>
      </c>
      <c r="O25" s="74">
        <v>316.160000000003</v>
      </c>
      <c r="P25" s="61">
        <v>46105</v>
      </c>
      <c r="Q25" s="77">
        <v>63.510000000002</v>
      </c>
      <c r="R25" s="77">
        <v>3.331321</v>
      </c>
      <c r="S25" s="77">
        <v>1.10000000000002</v>
      </c>
      <c r="T25" s="77">
        <v>5054.99999999984</v>
      </c>
      <c r="U25" s="77">
        <v>346.200000000012</v>
      </c>
    </row>
    <row r="26" ht="14.25" spans="10:21">
      <c r="J26" s="61">
        <v>46106</v>
      </c>
      <c r="K26" s="74">
        <v>45.3499999999985</v>
      </c>
      <c r="L26" s="74">
        <v>3.09843599999999</v>
      </c>
      <c r="M26" s="74">
        <v>3</v>
      </c>
      <c r="N26" s="75">
        <v>3509.99999999988</v>
      </c>
      <c r="O26" s="74">
        <v>350.179999999993</v>
      </c>
      <c r="P26" s="61">
        <v>46106</v>
      </c>
      <c r="Q26" s="77">
        <v>63.8499999999985</v>
      </c>
      <c r="R26" s="77">
        <v>3.27959100000001</v>
      </c>
      <c r="S26" s="77">
        <v>1.5</v>
      </c>
      <c r="T26" s="77">
        <v>5535.00000000008</v>
      </c>
      <c r="U26" s="77">
        <v>357.51999999999</v>
      </c>
    </row>
    <row r="27" ht="14.25" spans="10:21">
      <c r="J27" s="61">
        <v>46107</v>
      </c>
      <c r="K27" s="74">
        <v>50.4300000000003</v>
      </c>
      <c r="L27" s="74">
        <v>2.91090800000005</v>
      </c>
      <c r="M27" s="74">
        <v>1</v>
      </c>
      <c r="N27" s="75">
        <v>3900.0000000002</v>
      </c>
      <c r="O27" s="74">
        <v>313.390000000014</v>
      </c>
      <c r="P27" s="61">
        <v>46107</v>
      </c>
      <c r="Q27" s="77">
        <v>64.0299999999988</v>
      </c>
      <c r="R27" s="77">
        <v>3.24231299999985</v>
      </c>
      <c r="S27" s="77">
        <v>1.5</v>
      </c>
      <c r="T27" s="77">
        <v>4815.00000000005</v>
      </c>
      <c r="U27" s="77">
        <v>331.880000000005</v>
      </c>
    </row>
    <row r="28" ht="14.25" spans="10:21">
      <c r="J28" s="61">
        <v>46108</v>
      </c>
      <c r="K28" s="74">
        <v>65.1200000000026</v>
      </c>
      <c r="L28" s="74">
        <v>3.31213500000001</v>
      </c>
      <c r="M28" s="74">
        <v>2</v>
      </c>
      <c r="N28" s="75">
        <v>5189.99999999971</v>
      </c>
      <c r="O28" s="74">
        <v>396.160000000003</v>
      </c>
      <c r="P28" s="61">
        <v>46108</v>
      </c>
      <c r="Q28" s="77">
        <v>59.010000000002</v>
      </c>
      <c r="R28" s="77">
        <v>3.10299600000004</v>
      </c>
      <c r="S28" s="77">
        <v>1.5</v>
      </c>
      <c r="T28" s="77">
        <v>4334.99999999981</v>
      </c>
      <c r="U28" s="77">
        <v>322.279999999999</v>
      </c>
    </row>
    <row r="29" ht="14.25" spans="10:21">
      <c r="J29" s="61">
        <v>46109</v>
      </c>
      <c r="K29" s="74">
        <v>62.9099999999999</v>
      </c>
      <c r="L29" s="74">
        <v>3.01945799999998</v>
      </c>
      <c r="M29" s="74">
        <v>1</v>
      </c>
      <c r="N29" s="75">
        <v>5475.00000000014</v>
      </c>
      <c r="O29" s="74">
        <v>388.879999999976</v>
      </c>
      <c r="P29" s="61">
        <v>46109</v>
      </c>
      <c r="Q29" s="77">
        <v>60.1999999999971</v>
      </c>
      <c r="R29" s="77">
        <v>2.7297620000001</v>
      </c>
      <c r="S29" s="77">
        <v>1.5</v>
      </c>
      <c r="T29" s="77">
        <v>4695.00000000016</v>
      </c>
      <c r="U29" s="77">
        <v>268.239999999991</v>
      </c>
    </row>
    <row r="30" ht="14.25" spans="10:21">
      <c r="J30" s="61">
        <v>46110</v>
      </c>
      <c r="K30" s="74">
        <v>63.0599999999977</v>
      </c>
      <c r="L30" s="74">
        <v>3.33564300000004</v>
      </c>
      <c r="M30" s="74">
        <v>2</v>
      </c>
      <c r="N30" s="75">
        <v>5880.00000000011</v>
      </c>
      <c r="O30" s="74">
        <v>455.070000000007</v>
      </c>
      <c r="P30" s="61">
        <v>46110</v>
      </c>
      <c r="Q30" s="77">
        <v>61.4200000000055</v>
      </c>
      <c r="R30" s="77">
        <v>0</v>
      </c>
      <c r="S30" s="77">
        <v>1.60000000000002</v>
      </c>
      <c r="T30" s="77">
        <v>4244.99999999989</v>
      </c>
      <c r="U30" s="77">
        <v>30.679999999993</v>
      </c>
    </row>
    <row r="31" ht="14.25" spans="10:21">
      <c r="J31" s="61">
        <v>46111</v>
      </c>
      <c r="K31" s="74">
        <v>67.6000000000022</v>
      </c>
      <c r="L31" s="74">
        <v>3.17269899999991</v>
      </c>
      <c r="M31" s="74">
        <v>1</v>
      </c>
      <c r="N31" s="75">
        <v>6389.99999999965</v>
      </c>
      <c r="O31" s="74">
        <v>437.570000000007</v>
      </c>
      <c r="P31" s="61">
        <v>46111</v>
      </c>
      <c r="Q31" s="77">
        <v>57.4399999999951</v>
      </c>
      <c r="R31" s="77">
        <v>0</v>
      </c>
      <c r="S31" s="77">
        <v>1.39999999999998</v>
      </c>
      <c r="T31" s="77">
        <v>4380.00000000011</v>
      </c>
      <c r="U31" s="77">
        <v>0</v>
      </c>
    </row>
    <row r="32" ht="14.25" spans="10:21">
      <c r="J32" s="61">
        <v>46112</v>
      </c>
      <c r="K32" s="74">
        <v>53.8299999999981</v>
      </c>
      <c r="L32" s="74">
        <v>3.212228</v>
      </c>
      <c r="M32" s="74">
        <v>3</v>
      </c>
      <c r="N32" s="75">
        <v>4500</v>
      </c>
      <c r="O32" s="74">
        <v>369.410000000003</v>
      </c>
      <c r="P32" s="61">
        <v>46112</v>
      </c>
      <c r="Q32" s="77">
        <v>57.4900000000052</v>
      </c>
      <c r="R32" s="77">
        <v>0</v>
      </c>
      <c r="S32" s="77">
        <v>2</v>
      </c>
      <c r="T32" s="77">
        <v>4139.99999999965</v>
      </c>
      <c r="U32" s="77">
        <v>0</v>
      </c>
    </row>
    <row r="33" ht="14.25" spans="10:21">
      <c r="J33" s="76"/>
      <c r="K33" s="74"/>
      <c r="L33" s="74"/>
      <c r="M33" s="74"/>
      <c r="N33" s="75"/>
      <c r="O33" s="74"/>
      <c r="P33" s="77"/>
      <c r="Q33" s="77"/>
      <c r="R33" s="77"/>
      <c r="S33" s="77"/>
      <c r="T33" s="77"/>
      <c r="U33" s="77"/>
    </row>
    <row r="34" ht="14.25" spans="10:21">
      <c r="J34" s="76"/>
      <c r="K34" s="78">
        <f>SUM(K2:K33)</f>
        <v>2170.42</v>
      </c>
      <c r="L34" s="78">
        <f>SUM(L2:L33)</f>
        <v>105.092172</v>
      </c>
      <c r="M34" s="78">
        <f>SUM(M2:M33)</f>
        <v>54</v>
      </c>
      <c r="N34" s="59">
        <f>SUM(N2:N33)</f>
        <v>201750</v>
      </c>
      <c r="O34" s="59">
        <f>SUM(O2:O33)</f>
        <v>13486.98</v>
      </c>
      <c r="P34" s="79"/>
      <c r="Q34" s="79">
        <f>SUM(Q2:Q33)</f>
        <v>2274.04</v>
      </c>
      <c r="R34" s="91">
        <f>SUM(R2:R33)</f>
        <v>102.40938</v>
      </c>
      <c r="S34" s="79">
        <f>SUM(S2:S33)</f>
        <v>44.5</v>
      </c>
      <c r="T34" s="79">
        <f>SUM(T2:T33)</f>
        <v>210660</v>
      </c>
      <c r="U34" s="79">
        <f>SUM(U2:U33)</f>
        <v>11898.12</v>
      </c>
    </row>
    <row r="35" ht="14.25" spans="10:21">
      <c r="J35" s="76"/>
      <c r="K35" s="74"/>
      <c r="L35" s="74"/>
      <c r="M35" s="74"/>
      <c r="N35" s="75"/>
      <c r="O35" s="74"/>
      <c r="P35" s="77"/>
      <c r="Q35" s="77"/>
      <c r="R35" s="77"/>
      <c r="S35" s="77"/>
      <c r="T35" s="77"/>
      <c r="U35" s="77"/>
    </row>
    <row r="36" ht="14.25" spans="10:21">
      <c r="J36" s="60" t="s">
        <v>18</v>
      </c>
      <c r="K36" s="80"/>
      <c r="L36" s="81">
        <f>K34+L34</f>
        <v>2275.512172</v>
      </c>
      <c r="M36" s="78">
        <f>M34</f>
        <v>54</v>
      </c>
      <c r="N36" s="59"/>
      <c r="O36" s="78">
        <f>N34+O34</f>
        <v>215236.98</v>
      </c>
      <c r="P36" s="79" t="s">
        <v>18</v>
      </c>
      <c r="Q36" s="79"/>
      <c r="R36" s="91">
        <f>Q34+R34</f>
        <v>2376.44938</v>
      </c>
      <c r="S36" s="79">
        <f>S34</f>
        <v>44.5</v>
      </c>
      <c r="T36" s="77"/>
      <c r="U36" s="91">
        <f>T34+U34</f>
        <v>222558.12</v>
      </c>
    </row>
    <row r="37" ht="14.25" spans="10:21">
      <c r="J37" s="60"/>
      <c r="K37" s="80"/>
      <c r="L37" s="78"/>
      <c r="M37" s="78"/>
      <c r="N37" s="59"/>
      <c r="O37" s="78"/>
      <c r="P37" s="79"/>
      <c r="Q37" s="79"/>
      <c r="R37" s="91"/>
      <c r="S37" s="77"/>
      <c r="T37" s="77"/>
      <c r="U37" s="91"/>
    </row>
    <row r="38" ht="14.25" spans="9:21">
      <c r="I38" s="82" t="s">
        <v>62</v>
      </c>
      <c r="J38" s="60" t="s">
        <v>63</v>
      </c>
      <c r="K38" s="80"/>
      <c r="L38" s="81">
        <v>6226.160005</v>
      </c>
      <c r="M38" s="78">
        <v>125</v>
      </c>
      <c r="N38" s="59"/>
      <c r="O38" s="78">
        <v>790910.83</v>
      </c>
      <c r="P38" s="79" t="s">
        <v>63</v>
      </c>
      <c r="Q38" s="79"/>
      <c r="R38" s="91">
        <v>6355.62400900001</v>
      </c>
      <c r="S38" s="79">
        <v>86.5</v>
      </c>
      <c r="T38" s="77"/>
      <c r="U38" s="91">
        <v>780380.88</v>
      </c>
    </row>
    <row r="39" ht="14.25" spans="10:21">
      <c r="J39" s="60"/>
      <c r="K39" s="80"/>
      <c r="L39" s="78"/>
      <c r="M39" s="78"/>
      <c r="N39" s="59"/>
      <c r="O39" s="78"/>
      <c r="P39" s="79"/>
      <c r="Q39" s="79"/>
      <c r="R39" s="91"/>
      <c r="S39" s="77"/>
      <c r="T39" s="77"/>
      <c r="U39" s="91"/>
    </row>
    <row r="40" ht="14.25" spans="10:21">
      <c r="J40" s="60" t="s">
        <v>64</v>
      </c>
      <c r="K40" s="80"/>
      <c r="L40" s="81">
        <f>SUM(L36:L39)</f>
        <v>8501.672177</v>
      </c>
      <c r="M40" s="78">
        <f>SUM(M36:M39)</f>
        <v>179</v>
      </c>
      <c r="N40" s="59"/>
      <c r="O40" s="78">
        <f>SUM(O36:O39)</f>
        <v>1006147.81</v>
      </c>
      <c r="P40" s="79" t="s">
        <v>64</v>
      </c>
      <c r="Q40" s="79"/>
      <c r="R40" s="91">
        <f>SUM(R36:R39)</f>
        <v>8732.07338900002</v>
      </c>
      <c r="S40" s="79">
        <f>SUM(S36:S39)</f>
        <v>131</v>
      </c>
      <c r="T40" s="77"/>
      <c r="U40" s="91">
        <f>SUM(U36:U39)</f>
        <v>1002939</v>
      </c>
    </row>
  </sheetData>
  <mergeCells count="13">
    <mergeCell ref="A1:F1"/>
    <mergeCell ref="K1:L1"/>
    <mergeCell ref="N1:O1"/>
    <mergeCell ref="Q1:R1"/>
    <mergeCell ref="T1:U1"/>
    <mergeCell ref="D2:F2"/>
    <mergeCell ref="D3:F3"/>
    <mergeCell ref="D4:E4"/>
    <mergeCell ref="F4:G4"/>
    <mergeCell ref="A4:A5"/>
    <mergeCell ref="B4:B5"/>
    <mergeCell ref="C4:C5"/>
    <mergeCell ref="H4:H5"/>
  </mergeCells>
  <pageMargins left="0.75" right="0.75" top="1" bottom="1" header="0.5" footer="0.5"/>
  <pageSetup paperSize="9" scale="3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旅顺电锅炉房3月</vt:lpstr>
      <vt:lpstr>复洲湾电锅炉房3月</vt:lpstr>
      <vt:lpstr>碧流河空气源热泵3月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</cp:lastModifiedBy>
  <dcterms:created xsi:type="dcterms:W3CDTF">2006-09-16T00:00:00Z</dcterms:created>
  <dcterms:modified xsi:type="dcterms:W3CDTF">2026-04-01T02:47:40Z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B29A4B81D731488E8A89F741F1CD5969_13</vt:lpwstr>
  </property>
  <property fmtid="{D5CDD505-2E9C-101B-9397-08002B2CF9AE}" pid="4" name="CalculationRule">
    <vt:i4>0</vt:i4>
  </property>
</Properties>
</file>