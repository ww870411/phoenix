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40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<sst xmlns="http://schemas.openxmlformats.org/spreadsheetml/2006/main" count="301" uniqueCount="175">
  <si>
    <r>
      <t xml:space="preserve"> </t>
    </r>
    <r>
      <rPr>
        <b/>
        <sz val="18"/>
        <rFont val="宋体"/>
        <charset val="134"/>
      </rPr>
      <t>香海热电厂生产月报表</t>
    </r>
  </si>
  <si>
    <r>
      <t xml:space="preserve">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>JB003-1</t>
    </r>
    <r>
      <rPr>
        <sz val="10"/>
        <rFont val="宋体"/>
        <charset val="134"/>
      </rPr>
      <t>表</t>
    </r>
  </si>
  <si>
    <r>
      <t>单位名称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盖章</t>
    </r>
    <r>
      <rPr>
        <sz val="10"/>
        <rFont val="Times New Roman"/>
        <family val="1"/>
        <charset val="0"/>
      </rPr>
      <t>)</t>
    </r>
    <r>
      <rPr>
        <sz val="10"/>
        <rFont val="宋体"/>
        <charset val="134"/>
      </rPr>
      <t>：</t>
    </r>
  </si>
  <si>
    <r>
      <t xml:space="preserve">                                                           20  15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1  </t>
    </r>
    <r>
      <rPr>
        <sz val="10"/>
        <rFont val="宋体"/>
        <charset val="134"/>
      </rPr>
      <t>月</t>
    </r>
  </si>
  <si>
    <r>
      <t xml:space="preserve"> </t>
    </r>
    <r>
      <rPr>
        <sz val="10"/>
        <rFont val="宋体"/>
        <charset val="134"/>
      </rPr>
      <t>制表单位：计划生产部</t>
    </r>
  </si>
  <si>
    <r>
      <t>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名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称</t>
    </r>
  </si>
  <si>
    <t>计量单位</t>
  </si>
  <si>
    <t>代码</t>
  </si>
  <si>
    <t>月计划</t>
  </si>
  <si>
    <r>
      <t>实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际</t>
    </r>
  </si>
  <si>
    <t>备注</t>
  </si>
  <si>
    <t>上年同期</t>
  </si>
  <si>
    <t>上年累计</t>
  </si>
  <si>
    <t>本月实际</t>
  </si>
  <si>
    <t>本年累计</t>
  </si>
  <si>
    <t>发电机组容量</t>
  </si>
  <si>
    <t>万千瓦</t>
  </si>
  <si>
    <t>001</t>
  </si>
  <si>
    <t>发电量</t>
  </si>
  <si>
    <t>千瓦时</t>
  </si>
  <si>
    <t>002</t>
  </si>
  <si>
    <t>供电量</t>
  </si>
  <si>
    <t>003</t>
  </si>
  <si>
    <t>供汽量</t>
  </si>
  <si>
    <t>吨</t>
  </si>
  <si>
    <t>004</t>
  </si>
  <si>
    <t>供热量</t>
  </si>
  <si>
    <t>吉焦</t>
  </si>
  <si>
    <t>005</t>
  </si>
  <si>
    <t>其中：首站</t>
  </si>
  <si>
    <t>006</t>
  </si>
  <si>
    <t>其中：低真空供热量</t>
  </si>
  <si>
    <t>007</t>
  </si>
  <si>
    <t>生产耗原煤量</t>
  </si>
  <si>
    <t>008</t>
  </si>
  <si>
    <t>发电耗原煤量</t>
  </si>
  <si>
    <t>009</t>
  </si>
  <si>
    <t>供热耗原煤量</t>
  </si>
  <si>
    <t>010</t>
  </si>
  <si>
    <t>锅炉耗油量</t>
  </si>
  <si>
    <t>011</t>
  </si>
  <si>
    <t>发电耗油量</t>
  </si>
  <si>
    <t>012</t>
  </si>
  <si>
    <t>供热耗油量</t>
  </si>
  <si>
    <t>013</t>
  </si>
  <si>
    <t>耗水量</t>
  </si>
  <si>
    <t>014</t>
  </si>
  <si>
    <t>耗酸量</t>
  </si>
  <si>
    <t>015</t>
  </si>
  <si>
    <t>耗碱量</t>
  </si>
  <si>
    <t>016</t>
  </si>
  <si>
    <t>耗石灰石量</t>
  </si>
  <si>
    <t>017</t>
  </si>
  <si>
    <t>其中：耗细粉量</t>
  </si>
  <si>
    <t>018</t>
  </si>
  <si>
    <t>耗氨水量</t>
  </si>
  <si>
    <t>019</t>
  </si>
  <si>
    <t>耗阻垢剂量</t>
  </si>
  <si>
    <t>020</t>
  </si>
  <si>
    <t>耗杀菌剂量</t>
  </si>
  <si>
    <t>021</t>
  </si>
  <si>
    <t>外购电量</t>
  </si>
  <si>
    <t>022</t>
  </si>
  <si>
    <t>综合厂用电量</t>
  </si>
  <si>
    <t>023</t>
  </si>
  <si>
    <t>非生产厂用电量</t>
  </si>
  <si>
    <t>024</t>
  </si>
  <si>
    <t>生产厂用电量</t>
  </si>
  <si>
    <t>025</t>
  </si>
  <si>
    <t>其中：发电厂用电量</t>
  </si>
  <si>
    <t>026</t>
  </si>
  <si>
    <r>
      <t xml:space="preserve">             </t>
    </r>
    <r>
      <rPr>
        <sz val="10"/>
        <rFont val="宋体"/>
        <charset val="134"/>
      </rPr>
      <t>供热厂用电量</t>
    </r>
  </si>
  <si>
    <t>027</t>
  </si>
  <si>
    <t>综合厂用电率</t>
  </si>
  <si>
    <t>%</t>
  </si>
  <si>
    <t>028</t>
  </si>
  <si>
    <t>发电厂用电率</t>
  </si>
  <si>
    <t>029</t>
  </si>
  <si>
    <t>供热厂用电率</t>
  </si>
  <si>
    <r>
      <t>千瓦时</t>
    </r>
    <r>
      <rPr>
        <i/>
        <sz val="8"/>
        <rFont val="Times New Roman"/>
        <family val="1"/>
        <charset val="0"/>
      </rPr>
      <t>/</t>
    </r>
    <r>
      <rPr>
        <i/>
        <sz val="8"/>
        <rFont val="宋体"/>
        <charset val="134"/>
      </rPr>
      <t>吉焦</t>
    </r>
  </si>
  <si>
    <t>030</t>
  </si>
  <si>
    <t>耗标煤总量</t>
  </si>
  <si>
    <t>031</t>
  </si>
  <si>
    <t>发电标准煤耗量</t>
  </si>
  <si>
    <t>032</t>
  </si>
  <si>
    <t>其中：煤折标准煤量</t>
  </si>
  <si>
    <t>033</t>
  </si>
  <si>
    <r>
      <t xml:space="preserve">            </t>
    </r>
    <r>
      <rPr>
        <sz val="10"/>
        <rFont val="宋体"/>
        <charset val="134"/>
      </rPr>
      <t>油折标准煤量</t>
    </r>
  </si>
  <si>
    <t>034</t>
  </si>
  <si>
    <t>供热标准煤耗量</t>
  </si>
  <si>
    <t>035</t>
  </si>
  <si>
    <t>036</t>
  </si>
  <si>
    <t>037</t>
  </si>
  <si>
    <t>发电标准煤耗率</t>
  </si>
  <si>
    <r>
      <t>克</t>
    </r>
    <r>
      <rPr>
        <i/>
        <sz val="8"/>
        <rFont val="Times New Roman"/>
        <family val="1"/>
        <charset val="0"/>
      </rPr>
      <t>/</t>
    </r>
    <r>
      <rPr>
        <i/>
        <sz val="8"/>
        <rFont val="宋体"/>
        <charset val="134"/>
      </rPr>
      <t>千瓦时</t>
    </r>
  </si>
  <si>
    <t>038</t>
  </si>
  <si>
    <t>供电标准煤耗率</t>
  </si>
  <si>
    <t>039</t>
  </si>
  <si>
    <t>供热标准煤耗率</t>
  </si>
  <si>
    <r>
      <t>千克</t>
    </r>
    <r>
      <rPr>
        <i/>
        <sz val="8"/>
        <rFont val="Times New Roman"/>
        <family val="1"/>
        <charset val="0"/>
      </rPr>
      <t>/</t>
    </r>
    <r>
      <rPr>
        <i/>
        <sz val="8"/>
        <rFont val="宋体"/>
        <charset val="134"/>
      </rPr>
      <t>吉焦</t>
    </r>
  </si>
  <si>
    <t>040</t>
  </si>
  <si>
    <t>入炉煤低位发热量</t>
  </si>
  <si>
    <r>
      <t>千焦</t>
    </r>
    <r>
      <rPr>
        <i/>
        <sz val="8"/>
        <rFont val="Times New Roman"/>
        <family val="1"/>
        <charset val="0"/>
      </rPr>
      <t>/</t>
    </r>
    <r>
      <rPr>
        <i/>
        <sz val="8"/>
        <rFont val="宋体"/>
        <charset val="134"/>
      </rPr>
      <t>千克</t>
    </r>
  </si>
  <si>
    <t>041</t>
  </si>
  <si>
    <t>入厂煤低位发热量</t>
  </si>
  <si>
    <t>042</t>
  </si>
  <si>
    <t>发电最高负荷</t>
  </si>
  <si>
    <t>千瓦</t>
  </si>
  <si>
    <t>043</t>
  </si>
  <si>
    <t>供热最高负荷</t>
  </si>
  <si>
    <r>
      <t>吨</t>
    </r>
    <r>
      <rPr>
        <i/>
        <sz val="8"/>
        <rFont val="Times New Roman"/>
        <family val="1"/>
        <charset val="0"/>
      </rPr>
      <t>/</t>
    </r>
    <r>
      <rPr>
        <i/>
        <sz val="8"/>
        <rFont val="宋体"/>
        <charset val="134"/>
      </rPr>
      <t>时</t>
    </r>
  </si>
  <si>
    <t>044</t>
  </si>
  <si>
    <t>热分摊比</t>
  </si>
  <si>
    <t>045</t>
  </si>
  <si>
    <t>入厂煤量</t>
  </si>
  <si>
    <t>046</t>
  </si>
  <si>
    <t>脱硫脱硝耗水量</t>
  </si>
  <si>
    <t>047</t>
  </si>
  <si>
    <t>低真空补水量</t>
  </si>
  <si>
    <t>048</t>
  </si>
  <si>
    <t>首站电量</t>
  </si>
  <si>
    <t>049</t>
  </si>
  <si>
    <t>首站补水量</t>
  </si>
  <si>
    <t>050</t>
  </si>
  <si>
    <t>脱硫脱硝耗电量</t>
  </si>
  <si>
    <t>051</t>
  </si>
  <si>
    <t>期末库存煤量</t>
  </si>
  <si>
    <t>052</t>
  </si>
  <si>
    <t>单位负责人：</t>
  </si>
  <si>
    <r>
      <t xml:space="preserve">       </t>
    </r>
    <r>
      <rPr>
        <sz val="10"/>
        <rFont val="宋体"/>
        <charset val="134"/>
      </rPr>
      <t>统计负责人：</t>
    </r>
  </si>
  <si>
    <r>
      <t xml:space="preserve">          </t>
    </r>
    <r>
      <rPr>
        <sz val="10"/>
        <rFont val="宋体"/>
        <charset val="134"/>
      </rPr>
      <t>填表人：</t>
    </r>
  </si>
  <si>
    <r>
      <t xml:space="preserve">                 </t>
    </r>
    <r>
      <rPr>
        <sz val="10"/>
        <rFont val="宋体"/>
        <charset val="134"/>
      </rPr>
      <t>报出日期；</t>
    </r>
    <r>
      <rPr>
        <sz val="10"/>
        <rFont val="Times New Roman"/>
        <family val="1"/>
        <charset val="0"/>
      </rPr>
      <t>2026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>4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>2</t>
    </r>
    <r>
      <rPr>
        <sz val="10"/>
        <rFont val="宋体"/>
        <charset val="134"/>
      </rPr>
      <t>日</t>
    </r>
  </si>
  <si>
    <t>指标名称</t>
  </si>
  <si>
    <t>累计</t>
  </si>
  <si>
    <r>
      <t>1</t>
    </r>
    <r>
      <rPr>
        <sz val="12"/>
        <rFont val="宋体"/>
        <charset val="134"/>
      </rPr>
      <t>月</t>
    </r>
  </si>
  <si>
    <r>
      <t>2</t>
    </r>
    <r>
      <rPr>
        <sz val="12"/>
        <rFont val="宋体"/>
        <charset val="134"/>
      </rPr>
      <t>月</t>
    </r>
  </si>
  <si>
    <r>
      <t>3</t>
    </r>
    <r>
      <rPr>
        <sz val="12"/>
        <rFont val="宋体"/>
        <charset val="134"/>
      </rPr>
      <t>月</t>
    </r>
  </si>
  <si>
    <r>
      <t>4</t>
    </r>
    <r>
      <rPr>
        <sz val="12"/>
        <rFont val="宋体"/>
        <charset val="134"/>
      </rPr>
      <t>月</t>
    </r>
  </si>
  <si>
    <r>
      <t>5</t>
    </r>
    <r>
      <rPr>
        <sz val="12"/>
        <rFont val="宋体"/>
        <charset val="134"/>
      </rPr>
      <t>月</t>
    </r>
  </si>
  <si>
    <r>
      <t>6</t>
    </r>
    <r>
      <rPr>
        <sz val="12"/>
        <rFont val="宋体"/>
        <charset val="134"/>
      </rPr>
      <t>月</t>
    </r>
  </si>
  <si>
    <r>
      <t>7</t>
    </r>
    <r>
      <rPr>
        <sz val="12"/>
        <rFont val="宋体"/>
        <charset val="134"/>
      </rPr>
      <t>月</t>
    </r>
  </si>
  <si>
    <r>
      <t>8</t>
    </r>
    <r>
      <rPr>
        <sz val="12"/>
        <rFont val="宋体"/>
        <charset val="134"/>
      </rPr>
      <t>月</t>
    </r>
  </si>
  <si>
    <r>
      <t>9</t>
    </r>
    <r>
      <rPr>
        <sz val="12"/>
        <rFont val="宋体"/>
        <charset val="134"/>
      </rPr>
      <t>月</t>
    </r>
  </si>
  <si>
    <r>
      <t>10</t>
    </r>
    <r>
      <rPr>
        <sz val="12"/>
        <rFont val="宋体"/>
        <charset val="134"/>
      </rPr>
      <t>月</t>
    </r>
  </si>
  <si>
    <r>
      <t>11</t>
    </r>
    <r>
      <rPr>
        <sz val="12"/>
        <rFont val="宋体"/>
        <charset val="134"/>
      </rPr>
      <t>月</t>
    </r>
  </si>
  <si>
    <r>
      <t>12</t>
    </r>
    <r>
      <rPr>
        <sz val="12"/>
        <rFont val="宋体"/>
        <charset val="134"/>
      </rPr>
      <t>月</t>
    </r>
  </si>
  <si>
    <r>
      <t>非生产用电量</t>
    </r>
    <r>
      <rPr>
        <sz val="12"/>
        <rFont val="Times New Roman"/>
        <family val="1"/>
        <charset val="0"/>
      </rPr>
      <t xml:space="preserve"> </t>
    </r>
  </si>
  <si>
    <t xml:space="preserve">非生产用电量 </t>
  </si>
  <si>
    <t>高备变输入电量</t>
  </si>
  <si>
    <t>发电厂用电量</t>
  </si>
  <si>
    <t>其中：煤折标煤</t>
  </si>
  <si>
    <t>　　　油折标煤</t>
  </si>
  <si>
    <t>算供电煤耗的供电量</t>
  </si>
  <si>
    <t>发电设备利用小时</t>
  </si>
  <si>
    <t>发电耗原油量</t>
  </si>
  <si>
    <t>总供热量</t>
  </si>
  <si>
    <t>东、西网供热量</t>
  </si>
  <si>
    <t>低真空供热量</t>
  </si>
  <si>
    <t>售热量</t>
  </si>
  <si>
    <t>供热厂用电量</t>
  </si>
  <si>
    <t>其中：煤折标煤煤量</t>
  </si>
  <si>
    <t>　　　油折标煤煤量</t>
  </si>
  <si>
    <t>供热耗原油量</t>
  </si>
  <si>
    <t>入厂原煤量</t>
  </si>
  <si>
    <t>库存原煤量</t>
  </si>
  <si>
    <t>工业总产值</t>
  </si>
  <si>
    <t>发电供热耗原煤量</t>
  </si>
  <si>
    <t>发电供热耗柴油量</t>
  </si>
  <si>
    <t>外送汽量</t>
  </si>
  <si>
    <t>外送汽量（吉焦)</t>
  </si>
  <si>
    <t>低真空补水</t>
  </si>
  <si>
    <t>低真空补水量（吨）</t>
  </si>
  <si>
    <t>脱硫脱硝耗水量(吨）</t>
  </si>
  <si>
    <t>首站热量</t>
  </si>
  <si>
    <t>首站耗电量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</si>
</sst>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_ "/>
    <numFmt numFmtId="179" formatCode="0_);[Red]\(0\)"/>
    <numFmt numFmtId="180" formatCode="yyyy&quot;年&quot;m&quot;月&quot;;@"/>
  </numFmts>
  <fonts count="32">
    <font>
      <sz val="12"/>
      <name val="宋体"/>
      <charset val="134"/>
    </font>
    <font>
      <sz val="12"/>
      <name val="Times New Roman"/>
      <family val="1"/>
      <charset val="0"/>
    </font>
    <font>
      <sz val="12"/>
      <color indexed="11"/>
      <name val="Times New Roman"/>
      <family val="1"/>
      <charset val="0"/>
    </font>
    <font>
      <sz val="12"/>
      <color indexed="9"/>
      <name val="Times New Roman"/>
      <family val="1"/>
      <charset val="0"/>
    </font>
    <font>
      <sz val="12"/>
      <color indexed="46"/>
      <name val="Times New Roman"/>
      <family val="1"/>
      <charset val="0"/>
    </font>
    <font>
      <sz val="12"/>
      <color rgb="FFFF0000"/>
      <name val="Times New Roman"/>
      <family val="1"/>
      <charset val="0"/>
    </font>
    <font>
      <sz val="10"/>
      <name val="Times New Roman"/>
      <family val="1"/>
      <charset val="0"/>
    </font>
    <font>
      <b/>
      <sz val="18"/>
      <name val="Times New Roman"/>
      <family val="1"/>
      <charset val="0"/>
    </font>
    <font>
      <sz val="10"/>
      <name val="宋体"/>
      <charset val="134"/>
    </font>
    <font>
      <i/>
      <sz val="8"/>
      <name val="宋体"/>
      <charset val="134"/>
    </font>
    <font>
      <sz val="8"/>
      <name val="宋体"/>
      <charset val="134"/>
    </font>
    <font>
      <i/>
      <sz val="8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23" applyNumberFormat="0" applyAlignment="0" applyProtection="0">
      <alignment vertical="center"/>
    </xf>
    <xf numFmtId="0" fontId="21" fillId="12" borderId="24" applyNumberFormat="0" applyAlignment="0" applyProtection="0">
      <alignment vertical="center"/>
    </xf>
    <xf numFmtId="0" fontId="22" fillId="12" borderId="23" applyNumberFormat="0" applyAlignment="0" applyProtection="0">
      <alignment vertical="center"/>
    </xf>
    <xf numFmtId="0" fontId="23" fillId="13" borderId="25" applyNumberFormat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115">
    <xf numFmtId="0" fontId="0" fillId="0" borderId="0" xfId="0"/>
    <xf numFmtId="0" fontId="1" fillId="0" borderId="0" xfId="0" applyFont="1" applyAlignment="1">
      <alignment horizontal="center"/>
    </xf>
    <xf numFmtId="176" fontId="1" fillId="0" borderId="0" xfId="0" applyNumberFormat="1" applyFont="1"/>
    <xf numFmtId="0" fontId="1" fillId="0" borderId="0" xfId="0" applyFont="1"/>
    <xf numFmtId="0" fontId="1" fillId="0" borderId="0" xfId="0" applyFont="1" applyBorder="1"/>
    <xf numFmtId="177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177" fontId="1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2" xfId="0" applyFont="1" applyBorder="1" applyAlignment="1">
      <alignment vertical="center"/>
    </xf>
    <xf numFmtId="177" fontId="1" fillId="2" borderId="2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/>
    </xf>
    <xf numFmtId="178" fontId="3" fillId="4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78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0" fillId="5" borderId="2" xfId="0" applyFont="1" applyFill="1" applyBorder="1" applyAlignment="1">
      <alignment vertical="center"/>
    </xf>
    <xf numFmtId="176" fontId="1" fillId="3" borderId="2" xfId="0" applyNumberFormat="1" applyFont="1" applyFill="1" applyBorder="1" applyAlignment="1">
      <alignment horizontal="center"/>
    </xf>
    <xf numFmtId="176" fontId="1" fillId="6" borderId="2" xfId="0" applyNumberFormat="1" applyFont="1" applyFill="1" applyBorder="1" applyAlignment="1">
      <alignment horizontal="center"/>
    </xf>
    <xf numFmtId="178" fontId="1" fillId="0" borderId="2" xfId="0" applyNumberFormat="1" applyFont="1" applyBorder="1" applyAlignment="1">
      <alignment horizontal="center"/>
    </xf>
    <xf numFmtId="178" fontId="1" fillId="4" borderId="2" xfId="0" applyNumberFormat="1" applyFont="1" applyFill="1" applyBorder="1" applyAlignment="1">
      <alignment horizontal="center"/>
    </xf>
    <xf numFmtId="178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/>
    </xf>
    <xf numFmtId="176" fontId="1" fillId="4" borderId="2" xfId="0" applyNumberFormat="1" applyFont="1" applyFill="1" applyBorder="1" applyAlignment="1">
      <alignment horizontal="center"/>
    </xf>
    <xf numFmtId="176" fontId="0" fillId="0" borderId="2" xfId="0" applyNumberFormat="1" applyFont="1" applyBorder="1" applyAlignment="1">
      <alignment vertical="center"/>
    </xf>
    <xf numFmtId="0" fontId="1" fillId="4" borderId="2" xfId="0" applyFont="1" applyFill="1" applyBorder="1" applyAlignment="1">
      <alignment horizontal="center"/>
    </xf>
    <xf numFmtId="179" fontId="1" fillId="0" borderId="2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 vertical="center"/>
    </xf>
    <xf numFmtId="4" fontId="1" fillId="0" borderId="0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/>
    </xf>
    <xf numFmtId="3" fontId="1" fillId="2" borderId="2" xfId="0" applyNumberFormat="1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/>
    </xf>
    <xf numFmtId="176" fontId="1" fillId="7" borderId="2" xfId="0" applyNumberFormat="1" applyFont="1" applyFill="1" applyBorder="1" applyAlignment="1">
      <alignment horizontal="center"/>
    </xf>
    <xf numFmtId="178" fontId="1" fillId="7" borderId="2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 applyAlignment="1"/>
    <xf numFmtId="0" fontId="0" fillId="0" borderId="2" xfId="0" applyFont="1" applyFill="1" applyBorder="1" applyAlignment="1">
      <alignment vertical="center"/>
    </xf>
    <xf numFmtId="0" fontId="0" fillId="0" borderId="2" xfId="0" applyBorder="1" applyAlignment="1"/>
    <xf numFmtId="0" fontId="0" fillId="2" borderId="2" xfId="0" applyFill="1" applyBorder="1"/>
    <xf numFmtId="0" fontId="0" fillId="0" borderId="2" xfId="0" applyBorder="1"/>
    <xf numFmtId="0" fontId="1" fillId="3" borderId="2" xfId="0" applyFont="1" applyFill="1" applyBorder="1"/>
    <xf numFmtId="0" fontId="0" fillId="0" borderId="2" xfId="0" applyFont="1" applyFill="1" applyBorder="1"/>
    <xf numFmtId="0" fontId="0" fillId="0" borderId="2" xfId="0" applyFont="1" applyBorder="1"/>
    <xf numFmtId="0" fontId="5" fillId="8" borderId="2" xfId="0" applyFont="1" applyFill="1" applyBorder="1"/>
    <xf numFmtId="0" fontId="5" fillId="8" borderId="2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180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2" borderId="2" xfId="0" applyNumberFormat="1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12" xfId="0" applyFont="1" applyBorder="1" applyAlignment="1">
      <alignment horizontal="right" vertical="center"/>
    </xf>
    <xf numFmtId="0" fontId="10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vertical="center"/>
    </xf>
    <xf numFmtId="176" fontId="6" fillId="2" borderId="2" xfId="0" applyNumberFormat="1" applyFont="1" applyFill="1" applyBorder="1" applyAlignment="1">
      <alignment vertical="center"/>
    </xf>
    <xf numFmtId="0" fontId="8" fillId="0" borderId="11" xfId="0" applyFont="1" applyBorder="1" applyAlignment="1">
      <alignment vertical="center"/>
    </xf>
    <xf numFmtId="178" fontId="6" fillId="9" borderId="2" xfId="0" applyNumberFormat="1" applyFont="1" applyFill="1" applyBorder="1" applyAlignment="1">
      <alignment vertical="center"/>
    </xf>
    <xf numFmtId="179" fontId="6" fillId="0" borderId="2" xfId="0" applyNumberFormat="1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177" fontId="6" fillId="0" borderId="16" xfId="0" applyNumberFormat="1" applyFont="1" applyBorder="1" applyAlignment="1">
      <alignment vertical="center"/>
    </xf>
    <xf numFmtId="176" fontId="6" fillId="2" borderId="16" xfId="0" applyNumberFormat="1" applyFont="1" applyFill="1" applyBorder="1" applyAlignment="1">
      <alignment vertical="center"/>
    </xf>
    <xf numFmtId="0" fontId="6" fillId="0" borderId="17" xfId="0" applyFont="1" applyBorder="1" applyAlignment="1">
      <alignment vertical="center"/>
    </xf>
    <xf numFmtId="179" fontId="6" fillId="0" borderId="14" xfId="0" applyNumberFormat="1" applyFont="1" applyBorder="1" applyAlignment="1">
      <alignment vertical="center"/>
    </xf>
    <xf numFmtId="178" fontId="6" fillId="2" borderId="14" xfId="0" applyNumberFormat="1" applyFont="1" applyFill="1" applyBorder="1" applyAlignment="1">
      <alignment vertical="center"/>
    </xf>
    <xf numFmtId="179" fontId="6" fillId="0" borderId="2" xfId="0" applyNumberFormat="1" applyFont="1" applyBorder="1" applyAlignment="1">
      <alignment horizontal="right" vertical="center"/>
    </xf>
    <xf numFmtId="179" fontId="6" fillId="0" borderId="2" xfId="0" applyNumberFormat="1" applyFont="1" applyFill="1" applyBorder="1" applyAlignment="1">
      <alignment horizontal="right" vertical="center"/>
    </xf>
    <xf numFmtId="0" fontId="6" fillId="9" borderId="14" xfId="0" applyFont="1" applyFill="1" applyBorder="1" applyAlignment="1">
      <alignment vertical="center"/>
    </xf>
    <xf numFmtId="178" fontId="6" fillId="9" borderId="14" xfId="0" applyNumberFormat="1" applyFont="1" applyFill="1" applyBorder="1" applyAlignment="1">
      <alignment vertical="center"/>
    </xf>
    <xf numFmtId="0" fontId="6" fillId="9" borderId="2" xfId="0" applyFont="1" applyFill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177" fontId="6" fillId="0" borderId="10" xfId="0" applyNumberFormat="1" applyFont="1" applyBorder="1" applyAlignment="1">
      <alignment vertical="center"/>
    </xf>
    <xf numFmtId="176" fontId="6" fillId="9" borderId="10" xfId="0" applyNumberFormat="1" applyFont="1" applyFill="1" applyBorder="1" applyAlignment="1">
      <alignment vertical="center"/>
    </xf>
    <xf numFmtId="0" fontId="6" fillId="0" borderId="18" xfId="0" applyFont="1" applyBorder="1" applyAlignment="1">
      <alignment vertical="center"/>
    </xf>
    <xf numFmtId="179" fontId="6" fillId="0" borderId="10" xfId="0" applyNumberFormat="1" applyFont="1" applyBorder="1" applyAlignment="1">
      <alignment vertical="center"/>
    </xf>
    <xf numFmtId="0" fontId="6" fillId="9" borderId="10" xfId="0" applyFont="1" applyFill="1" applyBorder="1" applyAlignment="1">
      <alignment vertical="center"/>
    </xf>
    <xf numFmtId="179" fontId="6" fillId="0" borderId="16" xfId="0" applyNumberFormat="1" applyFont="1" applyBorder="1" applyAlignment="1">
      <alignment vertical="center"/>
    </xf>
    <xf numFmtId="0" fontId="6" fillId="9" borderId="16" xfId="0" applyFont="1" applyFill="1" applyBorder="1" applyAlignment="1">
      <alignment vertical="center"/>
    </xf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33CC"/>
      <color rgb="00FFC000"/>
      <color rgb="0000FF00"/>
      <color rgb="00FF0000"/>
      <color rgb="00FDE9D9"/>
      <color rgb="00FF00FF"/>
      <color rgb="006666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zoomScale="110" zoomScaleNormal="110" zoomScaleSheetLayoutView="60" workbookViewId="0">
      <selection activeCell="L45" sqref="L45"/>
    </sheetView>
  </sheetViews>
  <sheetFormatPr defaultColWidth="8.66666666666667" defaultRowHeight="15.5"/>
  <cols>
    <col min="1" max="1" width="18.125" style="3" customWidth="1"/>
    <col min="2" max="2" width="7.75" style="3" customWidth="1"/>
    <col min="3" max="3" width="3.75" style="3" customWidth="1"/>
    <col min="4" max="4" width="9.25" style="3" customWidth="1"/>
    <col min="5" max="5" width="8.125" style="3" customWidth="1"/>
    <col min="6" max="6" width="8.875" style="3" customWidth="1"/>
    <col min="7" max="7" width="9" style="3"/>
    <col min="8" max="8" width="9.5" style="3" customWidth="1"/>
    <col min="9" max="9" width="10.875" style="3" customWidth="1"/>
    <col min="10" max="32" width="9" style="3"/>
    <col min="33" max="16384" width="8.66666666666667" style="3"/>
  </cols>
  <sheetData>
    <row r="1" ht="20.25" customHeight="1" spans="1:9">
      <c r="A1" s="53" t="s">
        <v>0</v>
      </c>
      <c r="B1" s="53"/>
      <c r="C1" s="53"/>
      <c r="D1" s="53"/>
      <c r="E1" s="53"/>
      <c r="F1" s="53"/>
      <c r="G1" s="53"/>
      <c r="H1" s="53"/>
      <c r="I1" s="53"/>
    </row>
    <row r="2" s="50" customFormat="1" ht="11.25" customHeight="1" spans="1:9">
      <c r="A2" s="51"/>
      <c r="B2" s="51"/>
      <c r="C2" s="51"/>
      <c r="D2" s="51"/>
      <c r="E2" s="51"/>
      <c r="F2" s="51"/>
      <c r="G2" s="51"/>
      <c r="H2" s="50" t="s">
        <v>1</v>
      </c>
    </row>
    <row r="3" s="50" customFormat="1" ht="10.5" customHeight="1" spans="1:9">
      <c r="A3" s="54" t="s">
        <v>2</v>
      </c>
      <c r="B3" s="51"/>
      <c r="C3" s="51" t="s">
        <v>3</v>
      </c>
      <c r="D3" s="55">
        <v>46082</v>
      </c>
      <c r="E3" s="51"/>
      <c r="F3" s="51"/>
      <c r="G3" s="51"/>
      <c r="H3" s="56" t="s">
        <v>4</v>
      </c>
      <c r="I3" s="56"/>
    </row>
    <row r="4" s="51" customFormat="1" ht="14.85" customHeight="1" spans="1:9">
      <c r="A4" s="57" t="s">
        <v>5</v>
      </c>
      <c r="B4" s="58" t="s">
        <v>6</v>
      </c>
      <c r="C4" s="58" t="s">
        <v>7</v>
      </c>
      <c r="D4" s="58" t="s">
        <v>8</v>
      </c>
      <c r="E4" s="59" t="s">
        <v>9</v>
      </c>
      <c r="F4" s="60"/>
      <c r="G4" s="60"/>
      <c r="H4" s="61"/>
      <c r="I4" s="62" t="s">
        <v>10</v>
      </c>
    </row>
    <row r="5" s="51" customFormat="1" ht="9" customHeight="1" spans="1:9">
      <c r="A5" s="63"/>
      <c r="B5" s="64"/>
      <c r="C5" s="64"/>
      <c r="D5" s="64"/>
      <c r="E5" s="65" t="s">
        <v>11</v>
      </c>
      <c r="F5" s="65" t="s">
        <v>12</v>
      </c>
      <c r="G5" s="65" t="s">
        <v>13</v>
      </c>
      <c r="H5" s="65" t="s">
        <v>14</v>
      </c>
      <c r="I5" s="66"/>
    </row>
    <row r="6" s="51" customFormat="1" ht="9.75" customHeight="1" spans="1:9">
      <c r="A6" s="67" t="s">
        <v>15</v>
      </c>
      <c r="B6" s="68" t="s">
        <v>16</v>
      </c>
      <c r="C6" s="69" t="s">
        <v>17</v>
      </c>
      <c r="D6" s="70"/>
      <c r="E6" s="70">
        <v>10</v>
      </c>
      <c r="F6" s="70">
        <v>10</v>
      </c>
      <c r="G6" s="70">
        <v>10</v>
      </c>
      <c r="H6" s="70">
        <v>10</v>
      </c>
      <c r="I6" s="66"/>
    </row>
    <row r="7" s="50" customFormat="1" ht="12" customHeight="1" spans="1:9">
      <c r="A7" s="71" t="s">
        <v>18</v>
      </c>
      <c r="B7" s="72" t="s">
        <v>19</v>
      </c>
      <c r="C7" s="69" t="s">
        <v>20</v>
      </c>
      <c r="D7" s="73"/>
      <c r="E7" s="73">
        <v>28140480</v>
      </c>
      <c r="F7" s="73">
        <v>134408160</v>
      </c>
      <c r="G7" s="74">
        <f>Sheet1!B5</f>
        <v>23782080</v>
      </c>
      <c r="H7" s="74">
        <f>Sheet1!C5</f>
        <v>118984320</v>
      </c>
      <c r="I7" s="75"/>
    </row>
    <row r="8" s="50" customFormat="1" ht="11.25" customHeight="1" spans="1:9">
      <c r="A8" s="71" t="s">
        <v>21</v>
      </c>
      <c r="B8" s="72" t="s">
        <v>19</v>
      </c>
      <c r="C8" s="69" t="s">
        <v>22</v>
      </c>
      <c r="D8" s="73"/>
      <c r="E8" s="73">
        <v>19933056</v>
      </c>
      <c r="F8" s="73">
        <v>98855064</v>
      </c>
      <c r="G8" s="74">
        <f>Sheet1!B6</f>
        <v>14654376</v>
      </c>
      <c r="H8" s="74">
        <f>Sheet1!C6</f>
        <v>80890920</v>
      </c>
      <c r="I8" s="75"/>
    </row>
    <row r="9" s="50" customFormat="1" ht="14.25" customHeight="1" spans="1:9">
      <c r="A9" s="71" t="s">
        <v>23</v>
      </c>
      <c r="B9" s="72" t="s">
        <v>24</v>
      </c>
      <c r="C9" s="69" t="s">
        <v>25</v>
      </c>
      <c r="D9" s="73"/>
      <c r="E9" s="73">
        <v>43339</v>
      </c>
      <c r="F9" s="73">
        <v>165010</v>
      </c>
      <c r="G9" s="74">
        <f>Sheet1!B49</f>
        <v>45284</v>
      </c>
      <c r="H9" s="74">
        <f>Sheet1!C49</f>
        <v>181525</v>
      </c>
      <c r="I9" s="75"/>
    </row>
    <row r="10" s="50" customFormat="1" ht="11.25" customHeight="1" spans="1:9">
      <c r="A10" s="71" t="s">
        <v>26</v>
      </c>
      <c r="B10" s="72" t="s">
        <v>27</v>
      </c>
      <c r="C10" s="69" t="s">
        <v>28</v>
      </c>
      <c r="D10" s="73"/>
      <c r="E10" s="76">
        <v>431430.466266</v>
      </c>
      <c r="F10" s="76">
        <v>2009236.02694</v>
      </c>
      <c r="G10" s="77">
        <f>Sheet1!B24</f>
        <v>494096.511096</v>
      </c>
      <c r="H10" s="77">
        <f>Sheet1!C24</f>
        <v>2186932.25335</v>
      </c>
      <c r="I10" s="75"/>
    </row>
    <row r="11" s="50" customFormat="1" ht="13.7" customHeight="1" spans="1:9">
      <c r="A11" s="71" t="s">
        <v>29</v>
      </c>
      <c r="B11" s="72" t="s">
        <v>27</v>
      </c>
      <c r="C11" s="69" t="s">
        <v>30</v>
      </c>
      <c r="D11" s="73"/>
      <c r="E11" s="73">
        <v>184894</v>
      </c>
      <c r="F11" s="73">
        <v>1006499</v>
      </c>
      <c r="G11" s="77">
        <f>Sheet1!B57</f>
        <v>233494</v>
      </c>
      <c r="H11" s="77">
        <f>Sheet1!C57</f>
        <v>1073585</v>
      </c>
      <c r="I11" s="75"/>
    </row>
    <row r="12" s="50" customFormat="1" ht="13.7" customHeight="1" spans="1:9">
      <c r="A12" s="71" t="s">
        <v>31</v>
      </c>
      <c r="B12" s="72" t="s">
        <v>27</v>
      </c>
      <c r="C12" s="69" t="s">
        <v>32</v>
      </c>
      <c r="D12" s="73"/>
      <c r="E12" s="73">
        <v>118613</v>
      </c>
      <c r="F12" s="73">
        <v>515678</v>
      </c>
      <c r="G12" s="74">
        <f>Sheet1!B26</f>
        <v>126938</v>
      </c>
      <c r="H12" s="74">
        <f>Sheet1!C26</f>
        <v>577541</v>
      </c>
      <c r="I12" s="75"/>
    </row>
    <row r="13" s="50" customFormat="1" ht="12" customHeight="1" spans="1:9">
      <c r="A13" s="78" t="s">
        <v>33</v>
      </c>
      <c r="B13" s="79" t="s">
        <v>24</v>
      </c>
      <c r="C13" s="69" t="s">
        <v>34</v>
      </c>
      <c r="D13" s="80"/>
      <c r="E13" s="80">
        <v>32176</v>
      </c>
      <c r="F13" s="80">
        <v>150228</v>
      </c>
      <c r="G13" s="81">
        <f>Sheet2!G14+Sheet2!G15</f>
        <v>30847</v>
      </c>
      <c r="H13" s="81">
        <f>Sheet2!H14+Sheet2!H15</f>
        <v>152260</v>
      </c>
      <c r="I13" s="82"/>
    </row>
    <row r="14" s="50" customFormat="1" ht="12" customHeight="1" spans="1:9">
      <c r="A14" s="83" t="s">
        <v>35</v>
      </c>
      <c r="B14" s="72" t="s">
        <v>24</v>
      </c>
      <c r="C14" s="69" t="s">
        <v>36</v>
      </c>
      <c r="D14" s="73"/>
      <c r="E14" s="76">
        <v>5778.8096</v>
      </c>
      <c r="F14" s="76">
        <v>27626.136</v>
      </c>
      <c r="G14" s="77">
        <f>Sheet1!B20</f>
        <v>4013.1947</v>
      </c>
      <c r="H14" s="77">
        <f>Sheet1!C20</f>
        <v>23799.1097</v>
      </c>
      <c r="I14" s="75"/>
    </row>
    <row r="15" s="50" customFormat="1" ht="11.25" customHeight="1" spans="1:9">
      <c r="A15" s="83" t="s">
        <v>37</v>
      </c>
      <c r="B15" s="72" t="s">
        <v>24</v>
      </c>
      <c r="C15" s="69" t="s">
        <v>38</v>
      </c>
      <c r="D15" s="73"/>
      <c r="E15" s="76">
        <v>26397.1904</v>
      </c>
      <c r="F15" s="76">
        <v>122601.864</v>
      </c>
      <c r="G15" s="77">
        <f>Sheet1!B34</f>
        <v>26833.8053</v>
      </c>
      <c r="H15" s="77">
        <f>Sheet1!C34</f>
        <v>128460.8903</v>
      </c>
      <c r="I15" s="75"/>
    </row>
    <row r="16" s="50" customFormat="1" ht="9.75" customHeight="1" spans="1:9">
      <c r="A16" s="71" t="s">
        <v>39</v>
      </c>
      <c r="B16" s="72" t="s">
        <v>24</v>
      </c>
      <c r="C16" s="69" t="s">
        <v>40</v>
      </c>
      <c r="D16" s="73"/>
      <c r="E16" s="73">
        <v>0</v>
      </c>
      <c r="F16" s="73">
        <v>18</v>
      </c>
      <c r="G16" s="77">
        <f>G17+G18</f>
        <v>0</v>
      </c>
      <c r="H16" s="74">
        <f>H17+H18</f>
        <v>33</v>
      </c>
      <c r="I16" s="75"/>
    </row>
    <row r="17" s="50" customFormat="1" ht="11.25" customHeight="1" spans="1:9">
      <c r="A17" s="83" t="s">
        <v>41</v>
      </c>
      <c r="B17" s="72" t="s">
        <v>24</v>
      </c>
      <c r="C17" s="69" t="s">
        <v>42</v>
      </c>
      <c r="D17" s="73"/>
      <c r="E17" s="76">
        <v>0</v>
      </c>
      <c r="F17" s="76">
        <v>3.3456</v>
      </c>
      <c r="G17" s="77">
        <f>Sheet1!B21</f>
        <v>0</v>
      </c>
      <c r="H17" s="77">
        <f>Sheet1!C21</f>
        <v>5.5734</v>
      </c>
      <c r="I17" s="75"/>
    </row>
    <row r="18" s="50" customFormat="1" ht="13.7" customHeight="1" spans="1:9">
      <c r="A18" s="83" t="s">
        <v>43</v>
      </c>
      <c r="B18" s="72" t="s">
        <v>24</v>
      </c>
      <c r="C18" s="69" t="s">
        <v>44</v>
      </c>
      <c r="D18" s="73"/>
      <c r="E18" s="76">
        <v>0</v>
      </c>
      <c r="F18" s="76">
        <v>14.6544</v>
      </c>
      <c r="G18" s="77">
        <f>Sheet1!B35</f>
        <v>0</v>
      </c>
      <c r="H18" s="77">
        <f>Sheet1!C35</f>
        <v>27.4266</v>
      </c>
      <c r="I18" s="75"/>
    </row>
    <row r="19" s="50" customFormat="1" ht="12" customHeight="1" spans="1:9">
      <c r="A19" s="71" t="s">
        <v>45</v>
      </c>
      <c r="B19" s="72" t="s">
        <v>24</v>
      </c>
      <c r="C19" s="69" t="s">
        <v>46</v>
      </c>
      <c r="D19" s="73"/>
      <c r="E19" s="73">
        <v>128686</v>
      </c>
      <c r="F19" s="73">
        <v>482272</v>
      </c>
      <c r="G19" s="74">
        <f>Sheet1!B44</f>
        <v>134851</v>
      </c>
      <c r="H19" s="74">
        <f>Sheet1!C44</f>
        <v>480607</v>
      </c>
      <c r="I19" s="75"/>
    </row>
    <row r="20" s="50" customFormat="1" ht="13.7" customHeight="1" spans="1:9">
      <c r="A20" s="71" t="s">
        <v>47</v>
      </c>
      <c r="B20" s="72" t="s">
        <v>24</v>
      </c>
      <c r="C20" s="69" t="s">
        <v>48</v>
      </c>
      <c r="D20" s="73"/>
      <c r="E20" s="73">
        <v>27</v>
      </c>
      <c r="F20" s="73">
        <v>113</v>
      </c>
      <c r="G20" s="77">
        <f>Sheet1!B45</f>
        <v>28</v>
      </c>
      <c r="H20" s="77">
        <f>Sheet1!C45</f>
        <v>107</v>
      </c>
      <c r="I20" s="75"/>
    </row>
    <row r="21" s="50" customFormat="1" ht="12" customHeight="1" spans="1:9">
      <c r="A21" s="71" t="s">
        <v>49</v>
      </c>
      <c r="B21" s="72" t="s">
        <v>24</v>
      </c>
      <c r="C21" s="69" t="s">
        <v>50</v>
      </c>
      <c r="D21" s="73"/>
      <c r="E21" s="73">
        <v>24</v>
      </c>
      <c r="F21" s="73">
        <v>90</v>
      </c>
      <c r="G21" s="77">
        <f>Sheet1!B46</f>
        <v>25</v>
      </c>
      <c r="H21" s="77">
        <f>Sheet1!C46</f>
        <v>86</v>
      </c>
      <c r="I21" s="75"/>
    </row>
    <row r="22" s="50" customFormat="1" ht="13.7" customHeight="1" spans="1:9">
      <c r="A22" s="71" t="s">
        <v>51</v>
      </c>
      <c r="B22" s="72" t="s">
        <v>24</v>
      </c>
      <c r="C22" s="69" t="s">
        <v>52</v>
      </c>
      <c r="D22" s="73"/>
      <c r="E22" s="73">
        <v>435</v>
      </c>
      <c r="F22" s="73">
        <v>1811</v>
      </c>
      <c r="G22" s="77">
        <f>Sheet1!B47</f>
        <v>511</v>
      </c>
      <c r="H22" s="77">
        <f>Sheet1!C47</f>
        <v>1775</v>
      </c>
      <c r="I22" s="84"/>
    </row>
    <row r="23" s="50" customFormat="1" ht="13.7" customHeight="1" spans="1:9">
      <c r="A23" s="71" t="s">
        <v>53</v>
      </c>
      <c r="B23" s="72" t="s">
        <v>24</v>
      </c>
      <c r="C23" s="69" t="s">
        <v>54</v>
      </c>
      <c r="D23" s="73"/>
      <c r="E23" s="73">
        <v>435</v>
      </c>
      <c r="F23" s="73">
        <v>1811</v>
      </c>
      <c r="G23" s="77">
        <f>Sheet1!B48</f>
        <v>511</v>
      </c>
      <c r="H23" s="77">
        <f>Sheet1!C48</f>
        <v>1775</v>
      </c>
      <c r="I23" s="75"/>
    </row>
    <row r="24" s="50" customFormat="1" ht="13.7" customHeight="1" spans="1:9">
      <c r="A24" s="71" t="s">
        <v>55</v>
      </c>
      <c r="B24" s="72" t="s">
        <v>24</v>
      </c>
      <c r="C24" s="69" t="s">
        <v>56</v>
      </c>
      <c r="D24" s="73"/>
      <c r="E24" s="73">
        <v>10</v>
      </c>
      <c r="F24" s="73">
        <v>266</v>
      </c>
      <c r="G24" s="74">
        <f>Sheet1!B50</f>
        <v>118</v>
      </c>
      <c r="H24" s="77">
        <f>Sheet1!C50</f>
        <v>597</v>
      </c>
      <c r="I24" s="75"/>
    </row>
    <row r="25" s="50" customFormat="1" ht="13.7" customHeight="1" spans="1:9">
      <c r="A25" s="71" t="s">
        <v>57</v>
      </c>
      <c r="B25" s="72" t="s">
        <v>24</v>
      </c>
      <c r="C25" s="69" t="s">
        <v>58</v>
      </c>
      <c r="D25" s="73"/>
      <c r="E25" s="73">
        <v>1</v>
      </c>
      <c r="F25" s="73">
        <v>3</v>
      </c>
      <c r="G25" s="74">
        <f>Sheet1!B51</f>
        <v>1</v>
      </c>
      <c r="H25" s="74">
        <f>Sheet1!C51</f>
        <v>3</v>
      </c>
      <c r="I25" s="75"/>
    </row>
    <row r="26" s="50" customFormat="1" ht="13.7" customHeight="1" spans="1:9">
      <c r="A26" s="71" t="s">
        <v>59</v>
      </c>
      <c r="B26" s="72" t="s">
        <v>24</v>
      </c>
      <c r="C26" s="69" t="s">
        <v>60</v>
      </c>
      <c r="D26" s="73"/>
      <c r="E26" s="73">
        <v>0</v>
      </c>
      <c r="F26" s="73">
        <v>0</v>
      </c>
      <c r="G26" s="74">
        <f>Sheet1!B52</f>
        <v>0</v>
      </c>
      <c r="H26" s="74">
        <f>Sheet1!C52</f>
        <v>0</v>
      </c>
      <c r="I26" s="75"/>
    </row>
    <row r="27" s="50" customFormat="1" ht="13.7" customHeight="1" spans="1:9">
      <c r="A27" s="71" t="s">
        <v>61</v>
      </c>
      <c r="B27" s="72" t="s">
        <v>19</v>
      </c>
      <c r="C27" s="69" t="s">
        <v>62</v>
      </c>
      <c r="D27" s="73"/>
      <c r="E27" s="73">
        <v>0</v>
      </c>
      <c r="F27" s="73">
        <v>0</v>
      </c>
      <c r="G27" s="74">
        <f>Sheet1!B8</f>
        <v>0</v>
      </c>
      <c r="H27" s="74">
        <f>Sheet1!C8</f>
        <v>0</v>
      </c>
      <c r="I27" s="75"/>
    </row>
    <row r="28" s="50" customFormat="1" ht="13.7" customHeight="1" spans="1:9">
      <c r="A28" s="71" t="s">
        <v>63</v>
      </c>
      <c r="B28" s="72" t="s">
        <v>19</v>
      </c>
      <c r="C28" s="69" t="s">
        <v>64</v>
      </c>
      <c r="D28" s="73"/>
      <c r="E28" s="73">
        <v>8207424</v>
      </c>
      <c r="F28" s="73">
        <v>35553096</v>
      </c>
      <c r="G28" s="74">
        <f>Sheet1!B9</f>
        <v>9127704</v>
      </c>
      <c r="H28" s="74">
        <f>Sheet1!C9</f>
        <v>38093400</v>
      </c>
      <c r="I28" s="75"/>
    </row>
    <row r="29" s="50" customFormat="1" ht="13.7" customHeight="1" spans="1:9">
      <c r="A29" s="71" t="s">
        <v>65</v>
      </c>
      <c r="B29" s="72" t="s">
        <v>19</v>
      </c>
      <c r="C29" s="69" t="s">
        <v>66</v>
      </c>
      <c r="D29" s="73"/>
      <c r="E29" s="73">
        <v>304699</v>
      </c>
      <c r="F29" s="73">
        <v>1898811</v>
      </c>
      <c r="G29" s="74">
        <f>Sheet1!B7</f>
        <v>351721</v>
      </c>
      <c r="H29" s="74">
        <f>Sheet1!C7</f>
        <v>1313983</v>
      </c>
      <c r="I29" s="75"/>
    </row>
    <row r="30" s="50" customFormat="1" ht="11.25" customHeight="1" spans="1:9">
      <c r="A30" s="71" t="s">
        <v>67</v>
      </c>
      <c r="B30" s="72" t="s">
        <v>19</v>
      </c>
      <c r="C30" s="69" t="s">
        <v>68</v>
      </c>
      <c r="D30" s="73"/>
      <c r="E30" s="73">
        <v>7902725</v>
      </c>
      <c r="F30" s="73">
        <v>33654285</v>
      </c>
      <c r="G30" s="77">
        <f>G31+G32</f>
        <v>8775983</v>
      </c>
      <c r="H30" s="77">
        <f>H31+H32</f>
        <v>36779417</v>
      </c>
      <c r="I30" s="75"/>
    </row>
    <row r="31" s="50" customFormat="1" ht="13.7" customHeight="1" spans="1:9">
      <c r="A31" s="71" t="s">
        <v>69</v>
      </c>
      <c r="B31" s="72" t="s">
        <v>19</v>
      </c>
      <c r="C31" s="69" t="s">
        <v>70</v>
      </c>
      <c r="D31" s="73"/>
      <c r="E31" s="76">
        <v>1419329.41</v>
      </c>
      <c r="F31" s="76">
        <v>6185599.4912</v>
      </c>
      <c r="G31" s="77">
        <f>Sheet1!B10</f>
        <v>1141755.3883</v>
      </c>
      <c r="H31" s="77">
        <f>Sheet1!C10</f>
        <v>5669696.0695</v>
      </c>
      <c r="I31" s="75"/>
    </row>
    <row r="32" s="50" customFormat="1" ht="13.7" customHeight="1" spans="1:9">
      <c r="A32" s="85" t="s">
        <v>71</v>
      </c>
      <c r="B32" s="72" t="s">
        <v>19</v>
      </c>
      <c r="C32" s="69" t="s">
        <v>72</v>
      </c>
      <c r="D32" s="73"/>
      <c r="E32" s="76">
        <v>6483395.59</v>
      </c>
      <c r="F32" s="76">
        <v>27468685.5088</v>
      </c>
      <c r="G32" s="77">
        <f>Sheet1!B28</f>
        <v>7634227.6117</v>
      </c>
      <c r="H32" s="77">
        <f>Sheet1!C28</f>
        <v>31109720.9305</v>
      </c>
      <c r="I32" s="75"/>
    </row>
    <row r="33" s="50" customFormat="1" ht="13.7" customHeight="1" spans="1:9">
      <c r="A33" s="71" t="s">
        <v>73</v>
      </c>
      <c r="B33" s="86" t="s">
        <v>74</v>
      </c>
      <c r="C33" s="69" t="s">
        <v>75</v>
      </c>
      <c r="D33" s="73"/>
      <c r="E33" s="87">
        <v>29.1658990891413</v>
      </c>
      <c r="F33" s="87">
        <v>26.4515904391519</v>
      </c>
      <c r="G33" s="88">
        <f>Sheet1!B11</f>
        <v>38.3805958099544</v>
      </c>
      <c r="H33" s="88">
        <f>Sheet1!C11</f>
        <v>32.0154790143777</v>
      </c>
      <c r="I33" s="75"/>
    </row>
    <row r="34" s="50" customFormat="1" ht="13.7" customHeight="1" spans="1:9">
      <c r="A34" s="71" t="s">
        <v>76</v>
      </c>
      <c r="B34" s="86" t="s">
        <v>74</v>
      </c>
      <c r="C34" s="69" t="s">
        <v>77</v>
      </c>
      <c r="D34" s="73"/>
      <c r="E34" s="87">
        <v>5.04372850072209</v>
      </c>
      <c r="F34" s="87">
        <v>4.60210116052478</v>
      </c>
      <c r="G34" s="88">
        <f>Sheet1!B12</f>
        <v>4.80090634755244</v>
      </c>
      <c r="H34" s="88">
        <f>Sheet1!C12</f>
        <v>4.76507834771842</v>
      </c>
      <c r="I34" s="89"/>
    </row>
    <row r="35" s="50" customFormat="1" ht="13.7" customHeight="1" spans="1:9">
      <c r="A35" s="71" t="s">
        <v>78</v>
      </c>
      <c r="B35" s="72" t="s">
        <v>79</v>
      </c>
      <c r="C35" s="69" t="s">
        <v>80</v>
      </c>
      <c r="D35" s="73"/>
      <c r="E35" s="87">
        <v>15.0276721208711</v>
      </c>
      <c r="F35" s="87">
        <v>13.671208927422</v>
      </c>
      <c r="G35" s="88">
        <f>Sheet1!B29</f>
        <v>15.4508834615444</v>
      </c>
      <c r="H35" s="88">
        <f>Sheet1!C29</f>
        <v>14.2252787587934</v>
      </c>
      <c r="I35" s="75"/>
    </row>
    <row r="36" s="50" customFormat="1" ht="13.7" customHeight="1" spans="1:9">
      <c r="A36" s="71" t="s">
        <v>81</v>
      </c>
      <c r="B36" s="72" t="s">
        <v>24</v>
      </c>
      <c r="C36" s="69" t="s">
        <v>82</v>
      </c>
      <c r="D36" s="73"/>
      <c r="E36" s="76">
        <v>21357.7147536509</v>
      </c>
      <c r="F36" s="76">
        <v>98174.4728525454</v>
      </c>
      <c r="G36" s="77">
        <f>Sheet2!G37+Sheet2!G40</f>
        <v>21893.2867135253</v>
      </c>
      <c r="H36" s="77">
        <f>Sheet2!H37+Sheet2!H40</f>
        <v>102577.992277344</v>
      </c>
      <c r="I36" s="75"/>
    </row>
    <row r="37" s="50" customFormat="1" ht="13.7" customHeight="1" spans="1:9">
      <c r="A37" s="71" t="s">
        <v>83</v>
      </c>
      <c r="B37" s="72" t="s">
        <v>24</v>
      </c>
      <c r="C37" s="69" t="s">
        <v>84</v>
      </c>
      <c r="D37" s="73"/>
      <c r="E37" s="76">
        <v>3835.8455697557</v>
      </c>
      <c r="F37" s="76">
        <v>18053.415171897</v>
      </c>
      <c r="G37" s="77">
        <f>Sheet1!B13</f>
        <v>2848.31660142964</v>
      </c>
      <c r="H37" s="77">
        <f>Sheet1!C13</f>
        <v>15970.7058982432</v>
      </c>
      <c r="I37" s="75"/>
    </row>
    <row r="38" s="50" customFormat="1" ht="13.7" customHeight="1" spans="1:9">
      <c r="A38" s="71" t="s">
        <v>85</v>
      </c>
      <c r="B38" s="72" t="s">
        <v>24</v>
      </c>
      <c r="C38" s="69" t="s">
        <v>86</v>
      </c>
      <c r="D38" s="73"/>
      <c r="E38" s="76">
        <v>3835.8455697557</v>
      </c>
      <c r="F38" s="76">
        <v>18048.540298137</v>
      </c>
      <c r="G38" s="77">
        <f>Sheet1!B14</f>
        <v>2848.31660142964</v>
      </c>
      <c r="H38" s="77">
        <f>Sheet1!C14</f>
        <v>15962.5848971032</v>
      </c>
      <c r="I38" s="75"/>
    </row>
    <row r="39" s="50" customFormat="1" ht="13.7" customHeight="1" spans="1:9">
      <c r="A39" s="85" t="s">
        <v>87</v>
      </c>
      <c r="B39" s="72" t="s">
        <v>24</v>
      </c>
      <c r="C39" s="69" t="s">
        <v>88</v>
      </c>
      <c r="D39" s="73"/>
      <c r="E39" s="76">
        <v>0</v>
      </c>
      <c r="F39" s="76">
        <v>4.87487376</v>
      </c>
      <c r="G39" s="77">
        <f>Sheet1!B15</f>
        <v>0</v>
      </c>
      <c r="H39" s="90">
        <f>Sheet1!C15</f>
        <v>8.12100114</v>
      </c>
      <c r="I39" s="75"/>
    </row>
    <row r="40" s="50" customFormat="1" ht="13.7" customHeight="1" spans="1:9">
      <c r="A40" s="71" t="s">
        <v>89</v>
      </c>
      <c r="B40" s="72" t="s">
        <v>24</v>
      </c>
      <c r="C40" s="69" t="s">
        <v>90</v>
      </c>
      <c r="D40" s="73"/>
      <c r="E40" s="76">
        <v>17521.8691838952</v>
      </c>
      <c r="F40" s="76">
        <v>80121.0576806484</v>
      </c>
      <c r="G40" s="77">
        <f>Sheet1!B30</f>
        <v>19044.9701120957</v>
      </c>
      <c r="H40" s="77">
        <f>Sheet1!C30</f>
        <v>86607.2863791009</v>
      </c>
      <c r="I40" s="75"/>
    </row>
    <row r="41" s="50" customFormat="1" ht="13.7" customHeight="1" spans="1:9">
      <c r="A41" s="71" t="s">
        <v>85</v>
      </c>
      <c r="B41" s="72" t="s">
        <v>24</v>
      </c>
      <c r="C41" s="69" t="s">
        <v>91</v>
      </c>
      <c r="D41" s="73"/>
      <c r="E41" s="91">
        <v>17521.8691838952</v>
      </c>
      <c r="F41" s="91">
        <v>80099.7047544084</v>
      </c>
      <c r="G41" s="77">
        <f>Sheet1!B31</f>
        <v>19044.9701120957</v>
      </c>
      <c r="H41" s="77">
        <f>Sheet1!C31</f>
        <v>86567.3230802409</v>
      </c>
      <c r="I41" s="75"/>
    </row>
    <row r="42" s="50" customFormat="1" ht="13.7" customHeight="1" spans="1:9">
      <c r="A42" s="85" t="s">
        <v>87</v>
      </c>
      <c r="B42" s="72" t="s">
        <v>24</v>
      </c>
      <c r="C42" s="69" t="s">
        <v>92</v>
      </c>
      <c r="D42" s="73"/>
      <c r="E42" s="91">
        <v>0</v>
      </c>
      <c r="F42" s="91">
        <v>21.35292624</v>
      </c>
      <c r="G42" s="77">
        <f>Sheet1!B32</f>
        <v>0</v>
      </c>
      <c r="H42" s="77">
        <f>Sheet1!C32</f>
        <v>39.96329886</v>
      </c>
      <c r="I42" s="75"/>
    </row>
    <row r="43" s="50" customFormat="1" ht="13.7" customHeight="1" spans="1:9">
      <c r="A43" s="71" t="s">
        <v>93</v>
      </c>
      <c r="B43" s="72" t="s">
        <v>94</v>
      </c>
      <c r="C43" s="69" t="s">
        <v>95</v>
      </c>
      <c r="D43" s="73"/>
      <c r="E43" s="91">
        <v>136.310594906544</v>
      </c>
      <c r="F43" s="91">
        <v>134.317850730916</v>
      </c>
      <c r="G43" s="77">
        <f>Sheet1!B17</f>
        <v>119.767345893616</v>
      </c>
      <c r="H43" s="77">
        <f>Sheet1!C17</f>
        <v>134.22529874729</v>
      </c>
      <c r="I43" s="75"/>
    </row>
    <row r="44" s="50" customFormat="1" ht="13.7" customHeight="1" spans="1:9">
      <c r="A44" s="71" t="s">
        <v>96</v>
      </c>
      <c r="B44" s="72" t="s">
        <v>94</v>
      </c>
      <c r="C44" s="69" t="s">
        <v>97</v>
      </c>
      <c r="D44" s="73"/>
      <c r="E44" s="91">
        <v>143.550913230181</v>
      </c>
      <c r="F44" s="91">
        <v>140.797493828381</v>
      </c>
      <c r="G44" s="77">
        <f>Sheet1!B18</f>
        <v>125.807233344954</v>
      </c>
      <c r="H44" s="77">
        <f>Sheet1!C18</f>
        <v>140.941260221087</v>
      </c>
      <c r="I44" s="75"/>
    </row>
    <row r="45" s="50" customFormat="1" ht="13.7" customHeight="1" spans="1:9">
      <c r="A45" s="92" t="s">
        <v>98</v>
      </c>
      <c r="B45" s="93" t="s">
        <v>99</v>
      </c>
      <c r="C45" s="69" t="s">
        <v>100</v>
      </c>
      <c r="D45" s="94"/>
      <c r="E45" s="95">
        <v>40.6134256941697</v>
      </c>
      <c r="F45" s="95">
        <v>39.8763791841171</v>
      </c>
      <c r="G45" s="96">
        <f>Sheet1!B33</f>
        <v>38.5450406639187</v>
      </c>
      <c r="H45" s="96">
        <f>Sheet1!C33</f>
        <v>39.6021807472242</v>
      </c>
      <c r="I45" s="97"/>
    </row>
    <row r="46" s="50" customFormat="1" ht="13.7" customHeight="1" spans="1:9">
      <c r="A46" s="78" t="s">
        <v>101</v>
      </c>
      <c r="B46" s="79" t="s">
        <v>102</v>
      </c>
      <c r="C46" s="69" t="s">
        <v>103</v>
      </c>
      <c r="D46" s="80"/>
      <c r="E46" s="98">
        <v>19454</v>
      </c>
      <c r="F46" s="98">
        <v>19147.7538541417</v>
      </c>
      <c r="G46" s="81">
        <f>Sheet1!B22</f>
        <v>20801</v>
      </c>
      <c r="H46" s="99">
        <f>Sheet1!C22</f>
        <v>19735.6268422435</v>
      </c>
      <c r="I46" s="82"/>
    </row>
    <row r="47" s="50" customFormat="1" ht="13.7" customHeight="1" spans="1:9">
      <c r="A47" s="71" t="s">
        <v>104</v>
      </c>
      <c r="B47" s="72" t="s">
        <v>102</v>
      </c>
      <c r="C47" s="69" t="s">
        <v>105</v>
      </c>
      <c r="D47" s="73"/>
      <c r="E47" s="100">
        <v>19955</v>
      </c>
      <c r="F47" s="101">
        <v>19724.9422207536</v>
      </c>
      <c r="G47" s="102">
        <f>Sheet1!B23</f>
        <v>21355</v>
      </c>
      <c r="H47" s="103">
        <f>Sheet1!C23</f>
        <v>20100.3813839342</v>
      </c>
      <c r="I47" s="75"/>
    </row>
    <row r="48" s="50" customFormat="1" ht="13.7" customHeight="1" spans="1:9">
      <c r="A48" s="71" t="s">
        <v>106</v>
      </c>
      <c r="B48" s="72" t="s">
        <v>107</v>
      </c>
      <c r="C48" s="69" t="s">
        <v>108</v>
      </c>
      <c r="D48" s="73"/>
      <c r="E48" s="91">
        <v>55680</v>
      </c>
      <c r="F48" s="91">
        <v>89280</v>
      </c>
      <c r="G48" s="104">
        <f>Sheet1!B38</f>
        <v>50400</v>
      </c>
      <c r="H48" s="104">
        <v>99840</v>
      </c>
      <c r="I48" s="75"/>
    </row>
    <row r="49" s="50" customFormat="1" ht="13.7" customHeight="1" spans="1:9">
      <c r="A49" s="71" t="s">
        <v>109</v>
      </c>
      <c r="B49" s="72" t="s">
        <v>110</v>
      </c>
      <c r="C49" s="69" t="s">
        <v>111</v>
      </c>
      <c r="D49" s="73"/>
      <c r="E49" s="91">
        <v>91</v>
      </c>
      <c r="F49" s="91">
        <v>109</v>
      </c>
      <c r="G49" s="104">
        <f>Sheet1!B39</f>
        <v>87</v>
      </c>
      <c r="H49" s="104">
        <v>120</v>
      </c>
      <c r="I49" s="75"/>
    </row>
    <row r="50" s="50" customFormat="1" ht="13.7" customHeight="1" spans="1:9">
      <c r="A50" s="67" t="s">
        <v>112</v>
      </c>
      <c r="B50" s="105" t="s">
        <v>74</v>
      </c>
      <c r="C50" s="69" t="s">
        <v>113</v>
      </c>
      <c r="D50" s="106"/>
      <c r="E50" s="107">
        <v>82.04</v>
      </c>
      <c r="F50" s="107">
        <v>81.610886570267</v>
      </c>
      <c r="G50" s="108">
        <f>Sheet1!B41</f>
        <v>86.99</v>
      </c>
      <c r="H50" s="108">
        <f>Sheet1!C41</f>
        <v>84.4306702210913</v>
      </c>
      <c r="I50" s="109"/>
    </row>
    <row r="51" s="50" customFormat="1" ht="10.5" customHeight="1" spans="1:9">
      <c r="A51" s="78" t="s">
        <v>114</v>
      </c>
      <c r="B51" s="79" t="s">
        <v>24</v>
      </c>
      <c r="C51" s="69" t="s">
        <v>115</v>
      </c>
      <c r="D51" s="80"/>
      <c r="E51" s="98">
        <v>18679</v>
      </c>
      <c r="F51" s="98">
        <v>142231</v>
      </c>
      <c r="G51" s="102">
        <f>Sheet1!B36</f>
        <v>19046</v>
      </c>
      <c r="H51" s="102">
        <f>Sheet1!C36</f>
        <v>135281</v>
      </c>
      <c r="I51" s="82"/>
    </row>
    <row r="52" s="50" customFormat="1" ht="13.7" customHeight="1" spans="1:9">
      <c r="A52" s="67" t="s">
        <v>116</v>
      </c>
      <c r="B52" s="79" t="s">
        <v>24</v>
      </c>
      <c r="C52" s="69" t="s">
        <v>117</v>
      </c>
      <c r="D52" s="106"/>
      <c r="E52" s="110">
        <v>15523</v>
      </c>
      <c r="F52" s="110">
        <v>57472</v>
      </c>
      <c r="G52" s="111">
        <f>Sheet1!B56</f>
        <v>17352</v>
      </c>
      <c r="H52" s="102">
        <f>Sheet1!R56</f>
        <v>74579</v>
      </c>
      <c r="I52" s="109"/>
    </row>
    <row r="53" s="50" customFormat="1" ht="12" customHeight="1" spans="1:9">
      <c r="A53" s="71" t="s">
        <v>118</v>
      </c>
      <c r="B53" s="72" t="s">
        <v>24</v>
      </c>
      <c r="C53" s="69" t="s">
        <v>119</v>
      </c>
      <c r="D53" s="73"/>
      <c r="E53" s="91">
        <v>18390</v>
      </c>
      <c r="F53" s="91">
        <v>61789</v>
      </c>
      <c r="G53" s="111">
        <f>Sheet1!B54</f>
        <v>23299</v>
      </c>
      <c r="H53" s="102">
        <f>Sheet1!R54</f>
        <v>71162</v>
      </c>
      <c r="I53" s="75"/>
    </row>
    <row r="54" s="50" customFormat="1" ht="12" customHeight="1" spans="1:9">
      <c r="A54" s="71" t="s">
        <v>120</v>
      </c>
      <c r="B54" s="72" t="s">
        <v>19</v>
      </c>
      <c r="C54" s="69" t="s">
        <v>121</v>
      </c>
      <c r="D54" s="73"/>
      <c r="E54" s="91">
        <v>267482</v>
      </c>
      <c r="F54" s="91">
        <v>1789936</v>
      </c>
      <c r="G54" s="111">
        <f>Sheet1!B58</f>
        <v>311517</v>
      </c>
      <c r="H54" s="102">
        <f>Sheet1!C58</f>
        <v>1198897</v>
      </c>
      <c r="I54" s="75"/>
    </row>
    <row r="55" s="50" customFormat="1" ht="12" customHeight="1" spans="1:9">
      <c r="A55" s="71" t="s">
        <v>122</v>
      </c>
      <c r="B55" s="72" t="s">
        <v>24</v>
      </c>
      <c r="C55" s="69" t="s">
        <v>123</v>
      </c>
      <c r="D55" s="73"/>
      <c r="E55" s="91">
        <v>2347</v>
      </c>
      <c r="F55" s="91">
        <v>7377</v>
      </c>
      <c r="G55" s="111">
        <f>Sheet1!B59</f>
        <v>581</v>
      </c>
      <c r="H55" s="102">
        <f>Sheet1!C59</f>
        <v>656</v>
      </c>
      <c r="I55" s="75"/>
    </row>
    <row r="56" s="50" customFormat="1" ht="13.7" customHeight="1" spans="1:9">
      <c r="A56" s="71" t="s">
        <v>124</v>
      </c>
      <c r="B56" s="72" t="s">
        <v>19</v>
      </c>
      <c r="C56" s="69" t="s">
        <v>125</v>
      </c>
      <c r="D56" s="73"/>
      <c r="E56" s="91">
        <v>478278</v>
      </c>
      <c r="F56" s="91">
        <v>2363730</v>
      </c>
      <c r="G56" s="111">
        <f>Sheet1!B55</f>
        <v>760518</v>
      </c>
      <c r="H56" s="102">
        <f>Sheet1!R55</f>
        <v>3095596</v>
      </c>
      <c r="I56" s="75"/>
    </row>
    <row r="57" s="50" customFormat="1" ht="13.7" customHeight="1" spans="1:9">
      <c r="A57" s="92" t="s">
        <v>126</v>
      </c>
      <c r="B57" s="93" t="s">
        <v>24</v>
      </c>
      <c r="C57" s="69" t="s">
        <v>127</v>
      </c>
      <c r="D57" s="94"/>
      <c r="E57" s="112">
        <v>1769</v>
      </c>
      <c r="F57" s="112">
        <v>1769</v>
      </c>
      <c r="G57" s="113">
        <f>Sheet1!B37</f>
        <v>1467</v>
      </c>
      <c r="H57" s="113">
        <f>G57</f>
        <v>1467</v>
      </c>
      <c r="I57" s="97"/>
    </row>
    <row r="58" s="52" customFormat="1" ht="17.25" customHeight="1" spans="1:9">
      <c r="A58" s="114" t="s">
        <v>128</v>
      </c>
      <c r="B58" s="52" t="s">
        <v>129</v>
      </c>
      <c r="E58" s="52" t="s">
        <v>130</v>
      </c>
      <c r="G58" s="52" t="s">
        <v>131</v>
      </c>
    </row>
  </sheetData>
  <mergeCells count="9">
    <mergeCell ref="A1:I1"/>
    <mergeCell ref="H2:I2"/>
    <mergeCell ref="H3:I3"/>
    <mergeCell ref="E4:H4"/>
    <mergeCell ref="A4:A5"/>
    <mergeCell ref="B4:B5"/>
    <mergeCell ref="C4:C5"/>
    <mergeCell ref="D4:D5"/>
    <mergeCell ref="I4:I5"/>
  </mergeCells>
  <printOptions horizontalCentered="1" verticalCentered="1"/>
  <pageMargins left="0.551181102362205" right="0.551181102362205" top="0.393700787401575" bottom="0.393700787401575" header="0.511811023622047" footer="0.511811023622047"/>
  <pageSetup paperSize="9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2"/>
  <sheetViews>
    <sheetView zoomScale="80" zoomScaleNormal="80" zoomScaleSheetLayoutView="60" topLeftCell="A19" workbookViewId="0">
      <selection activeCell="H61" sqref="H61"/>
    </sheetView>
  </sheetViews>
  <sheetFormatPr defaultColWidth="8.66666666666667" defaultRowHeight="15.5"/>
  <cols>
    <col min="1" max="1" width="20.5" style="3" customWidth="1"/>
    <col min="2" max="2" width="13.625" style="4" customWidth="1"/>
    <col min="3" max="3" width="14.125" style="3" customWidth="1"/>
    <col min="4" max="4" width="10.25" style="3" customWidth="1"/>
    <col min="5" max="5" width="19.5" style="3" customWidth="1"/>
    <col min="6" max="6" width="11.25" style="3" customWidth="1"/>
    <col min="7" max="7" width="13.375" style="3" customWidth="1"/>
    <col min="8" max="8" width="12.25" style="3" customWidth="1"/>
    <col min="9" max="9" width="11.75" style="3" customWidth="1"/>
    <col min="10" max="10" width="11.5" style="3" customWidth="1"/>
    <col min="11" max="11" width="12.75" style="3" customWidth="1"/>
    <col min="12" max="12" width="11" style="3" customWidth="1"/>
    <col min="13" max="13" width="11.75" style="3" customWidth="1"/>
    <col min="14" max="14" width="14.125" style="3" customWidth="1"/>
    <col min="15" max="15" width="12.75" style="3" customWidth="1"/>
    <col min="16" max="16" width="12.5" style="3" customWidth="1"/>
    <col min="17" max="17" width="12.125" style="3" customWidth="1"/>
    <col min="18" max="18" width="16.125" style="3" customWidth="1"/>
    <col min="19" max="32" width="9" style="3"/>
    <col min="33" max="16384" width="8.66666666666667" style="3"/>
  </cols>
  <sheetData>
    <row r="1" ht="18.75" customHeight="1" spans="1:18">
      <c r="B1" s="5"/>
    </row>
    <row r="2" ht="12.75" customHeight="1" spans="1:18">
      <c r="B2" s="5"/>
      <c r="C2" s="6"/>
      <c r="D2" s="6"/>
    </row>
    <row r="3" s="1" customFormat="1" ht="18" customHeight="1" spans="1:18">
      <c r="B3" s="7"/>
      <c r="C3" s="6"/>
      <c r="D3" s="6"/>
    </row>
    <row r="4" ht="18" customHeight="1" spans="1:18">
      <c r="A4" s="8" t="s">
        <v>132</v>
      </c>
      <c r="B4" s="9" t="str">
        <f>H4</f>
        <v>3月</v>
      </c>
      <c r="C4" s="10" t="s">
        <v>133</v>
      </c>
      <c r="D4" s="6"/>
      <c r="E4" s="8" t="s">
        <v>132</v>
      </c>
      <c r="F4" s="11" t="s">
        <v>134</v>
      </c>
      <c r="G4" s="11" t="s">
        <v>135</v>
      </c>
      <c r="H4" s="11" t="s">
        <v>136</v>
      </c>
      <c r="I4" s="11" t="s">
        <v>137</v>
      </c>
      <c r="J4" s="11" t="s">
        <v>138</v>
      </c>
      <c r="K4" s="11" t="s">
        <v>139</v>
      </c>
      <c r="L4" s="11" t="s">
        <v>140</v>
      </c>
      <c r="M4" s="11" t="s">
        <v>141</v>
      </c>
      <c r="N4" s="11" t="s">
        <v>142</v>
      </c>
      <c r="O4" s="11" t="s">
        <v>143</v>
      </c>
      <c r="P4" s="11" t="s">
        <v>144</v>
      </c>
      <c r="Q4" s="11" t="s">
        <v>145</v>
      </c>
      <c r="R4" s="8" t="s">
        <v>133</v>
      </c>
    </row>
    <row r="5" ht="18" customHeight="1" spans="1:18">
      <c r="A5" s="12" t="s">
        <v>18</v>
      </c>
      <c r="B5" s="9">
        <f t="shared" ref="B5:B59" si="0">H5</f>
        <v>23782080</v>
      </c>
      <c r="C5" s="13">
        <f>R5</f>
        <v>118984320</v>
      </c>
      <c r="D5" s="6"/>
      <c r="E5" s="12" t="s">
        <v>18</v>
      </c>
      <c r="F5" s="14">
        <v>57676320</v>
      </c>
      <c r="G5" s="14">
        <v>37525920</v>
      </c>
      <c r="H5" s="14">
        <v>23782080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5">
        <f t="shared" ref="R5:R10" si="1">F5+G5+H5+I5+J5+K5+L5+M5+N5+O5+P5+Q5</f>
        <v>118984320</v>
      </c>
    </row>
    <row r="6" ht="18" customHeight="1" spans="1:18">
      <c r="A6" s="12" t="s">
        <v>21</v>
      </c>
      <c r="B6" s="9">
        <f t="shared" si="0"/>
        <v>14654376</v>
      </c>
      <c r="C6" s="16">
        <f t="shared" ref="C6:C40" si="2">R6</f>
        <v>80890920</v>
      </c>
      <c r="D6" s="6"/>
      <c r="E6" s="12" t="s">
        <v>21</v>
      </c>
      <c r="F6" s="14">
        <v>41137272</v>
      </c>
      <c r="G6" s="14">
        <v>25099272</v>
      </c>
      <c r="H6" s="14">
        <v>14654376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5">
        <f t="shared" si="1"/>
        <v>80890920</v>
      </c>
    </row>
    <row r="7" ht="18" customHeight="1" spans="1:18">
      <c r="A7" s="12" t="s">
        <v>146</v>
      </c>
      <c r="B7" s="9">
        <f t="shared" si="0"/>
        <v>351721</v>
      </c>
      <c r="C7" s="17">
        <f t="shared" si="2"/>
        <v>1313983</v>
      </c>
      <c r="D7" s="6"/>
      <c r="E7" s="12" t="s">
        <v>147</v>
      </c>
      <c r="F7" s="14">
        <v>573928</v>
      </c>
      <c r="G7" s="14">
        <v>388334</v>
      </c>
      <c r="H7" s="14">
        <v>351721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5">
        <f t="shared" si="1"/>
        <v>1313983</v>
      </c>
    </row>
    <row r="8" ht="18" customHeight="1" spans="1:18">
      <c r="A8" s="12" t="s">
        <v>148</v>
      </c>
      <c r="B8" s="9">
        <f t="shared" si="0"/>
        <v>0</v>
      </c>
      <c r="C8" s="18">
        <f t="shared" si="2"/>
        <v>0</v>
      </c>
      <c r="D8" s="6"/>
      <c r="E8" s="19" t="s">
        <v>148</v>
      </c>
      <c r="F8" s="20">
        <v>0</v>
      </c>
      <c r="G8" s="20">
        <v>0</v>
      </c>
      <c r="H8" s="20">
        <v>0</v>
      </c>
      <c r="I8" s="21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15">
        <f t="shared" si="1"/>
        <v>0</v>
      </c>
    </row>
    <row r="9" ht="18" customHeight="1" spans="1:18">
      <c r="A9" s="12" t="s">
        <v>63</v>
      </c>
      <c r="B9" s="9">
        <f t="shared" si="0"/>
        <v>9127704</v>
      </c>
      <c r="C9" s="16">
        <f t="shared" si="2"/>
        <v>38093400</v>
      </c>
      <c r="D9" s="6"/>
      <c r="E9" s="12" t="s">
        <v>63</v>
      </c>
      <c r="F9" s="22">
        <f>F5-F6</f>
        <v>16539048</v>
      </c>
      <c r="G9" s="22">
        <f t="shared" ref="G9:Q9" si="3">G5-G6</f>
        <v>12426648</v>
      </c>
      <c r="H9" s="22">
        <f t="shared" si="3"/>
        <v>9127704</v>
      </c>
      <c r="I9" s="22">
        <f t="shared" si="3"/>
        <v>0</v>
      </c>
      <c r="J9" s="22">
        <f t="shared" si="3"/>
        <v>0</v>
      </c>
      <c r="K9" s="22">
        <f t="shared" si="3"/>
        <v>0</v>
      </c>
      <c r="L9" s="22">
        <f t="shared" si="3"/>
        <v>0</v>
      </c>
      <c r="M9" s="22">
        <f t="shared" si="3"/>
        <v>0</v>
      </c>
      <c r="N9" s="22">
        <f t="shared" si="3"/>
        <v>0</v>
      </c>
      <c r="O9" s="22">
        <f t="shared" si="3"/>
        <v>0</v>
      </c>
      <c r="P9" s="22">
        <f t="shared" si="3"/>
        <v>0</v>
      </c>
      <c r="Q9" s="22">
        <f t="shared" si="3"/>
        <v>0</v>
      </c>
      <c r="R9" s="23">
        <f t="shared" si="1"/>
        <v>38093400</v>
      </c>
    </row>
    <row r="10" ht="18" customHeight="1" spans="1:18">
      <c r="A10" s="12" t="s">
        <v>149</v>
      </c>
      <c r="B10" s="9">
        <f t="shared" si="0"/>
        <v>1141755.3883</v>
      </c>
      <c r="C10" s="17">
        <f t="shared" si="2"/>
        <v>5669696.0695</v>
      </c>
      <c r="D10" s="24"/>
      <c r="E10" s="12" t="s">
        <v>149</v>
      </c>
      <c r="F10" s="22">
        <f t="shared" ref="F10:Q10" si="4">(F9-F7)*(100-F41)/100</f>
        <v>2844984.384</v>
      </c>
      <c r="G10" s="22">
        <f t="shared" si="4"/>
        <v>1682956.2972</v>
      </c>
      <c r="H10" s="22">
        <f t="shared" si="4"/>
        <v>1141755.3883</v>
      </c>
      <c r="I10" s="22">
        <f t="shared" si="4"/>
        <v>0</v>
      </c>
      <c r="J10" s="22">
        <f t="shared" si="4"/>
        <v>0</v>
      </c>
      <c r="K10" s="22">
        <f t="shared" si="4"/>
        <v>0</v>
      </c>
      <c r="L10" s="22">
        <f t="shared" si="4"/>
        <v>0</v>
      </c>
      <c r="M10" s="22">
        <f t="shared" si="4"/>
        <v>0</v>
      </c>
      <c r="N10" s="22">
        <f t="shared" si="4"/>
        <v>0</v>
      </c>
      <c r="O10" s="22">
        <f t="shared" si="4"/>
        <v>0</v>
      </c>
      <c r="P10" s="22">
        <f t="shared" si="4"/>
        <v>0</v>
      </c>
      <c r="Q10" s="22">
        <f t="shared" si="4"/>
        <v>0</v>
      </c>
      <c r="R10" s="23">
        <f t="shared" si="1"/>
        <v>5669696.0695</v>
      </c>
    </row>
    <row r="11" ht="18" customHeight="1" spans="1:18">
      <c r="A11" s="12" t="s">
        <v>73</v>
      </c>
      <c r="B11" s="9">
        <f t="shared" si="0"/>
        <v>38.3805958099544</v>
      </c>
      <c r="C11" s="18">
        <f t="shared" si="2"/>
        <v>32.0154790143777</v>
      </c>
      <c r="D11" s="25"/>
      <c r="E11" s="12" t="s">
        <v>73</v>
      </c>
      <c r="F11" s="26">
        <f>F9/F5*100</f>
        <v>28.6756297905276</v>
      </c>
      <c r="G11" s="26">
        <f t="shared" ref="G11:R11" si="5">G9/G5*100</f>
        <v>33.1148390232671</v>
      </c>
      <c r="H11" s="26">
        <f t="shared" si="5"/>
        <v>38.3805958099544</v>
      </c>
      <c r="I11" s="26" t="e">
        <f t="shared" si="5"/>
        <v>#DIV/0!</v>
      </c>
      <c r="J11" s="26" t="e">
        <f t="shared" si="5"/>
        <v>#DIV/0!</v>
      </c>
      <c r="K11" s="26" t="e">
        <f t="shared" si="5"/>
        <v>#DIV/0!</v>
      </c>
      <c r="L11" s="26" t="e">
        <f t="shared" si="5"/>
        <v>#DIV/0!</v>
      </c>
      <c r="M11" s="26" t="e">
        <f t="shared" si="5"/>
        <v>#DIV/0!</v>
      </c>
      <c r="N11" s="26" t="e">
        <f t="shared" si="5"/>
        <v>#DIV/0!</v>
      </c>
      <c r="O11" s="26" t="e">
        <f t="shared" si="5"/>
        <v>#DIV/0!</v>
      </c>
      <c r="P11" s="26" t="e">
        <f t="shared" si="5"/>
        <v>#DIV/0!</v>
      </c>
      <c r="Q11" s="26" t="e">
        <f t="shared" si="5"/>
        <v>#DIV/0!</v>
      </c>
      <c r="R11" s="27">
        <f t="shared" si="5"/>
        <v>32.0154790143777</v>
      </c>
    </row>
    <row r="12" ht="18" customHeight="1" spans="1:18">
      <c r="A12" s="12" t="s">
        <v>76</v>
      </c>
      <c r="B12" s="9">
        <f t="shared" si="0"/>
        <v>4.80090634755244</v>
      </c>
      <c r="C12" s="18">
        <f t="shared" si="2"/>
        <v>4.76507834771842</v>
      </c>
      <c r="D12" s="25"/>
      <c r="E12" s="12" t="s">
        <v>76</v>
      </c>
      <c r="F12" s="26">
        <f>F10/F5*100</f>
        <v>4.9326732079994</v>
      </c>
      <c r="G12" s="26">
        <f t="shared" ref="G12:R12" si="6">G10/G5*100</f>
        <v>4.48478357679172</v>
      </c>
      <c r="H12" s="26">
        <f t="shared" si="6"/>
        <v>4.80090634755244</v>
      </c>
      <c r="I12" s="26" t="e">
        <f t="shared" si="6"/>
        <v>#DIV/0!</v>
      </c>
      <c r="J12" s="26" t="e">
        <f t="shared" si="6"/>
        <v>#DIV/0!</v>
      </c>
      <c r="K12" s="26" t="e">
        <f t="shared" si="6"/>
        <v>#DIV/0!</v>
      </c>
      <c r="L12" s="26" t="e">
        <f t="shared" si="6"/>
        <v>#DIV/0!</v>
      </c>
      <c r="M12" s="26" t="e">
        <f t="shared" si="6"/>
        <v>#DIV/0!</v>
      </c>
      <c r="N12" s="26" t="e">
        <f t="shared" si="6"/>
        <v>#DIV/0!</v>
      </c>
      <c r="O12" s="26" t="e">
        <f t="shared" si="6"/>
        <v>#DIV/0!</v>
      </c>
      <c r="P12" s="26" t="e">
        <f t="shared" si="6"/>
        <v>#DIV/0!</v>
      </c>
      <c r="Q12" s="26" t="e">
        <f t="shared" si="6"/>
        <v>#DIV/0!</v>
      </c>
      <c r="R12" s="27">
        <f t="shared" si="6"/>
        <v>4.76507834771842</v>
      </c>
    </row>
    <row r="13" ht="18" customHeight="1" spans="1:18">
      <c r="A13" s="12" t="s">
        <v>83</v>
      </c>
      <c r="B13" s="9">
        <f t="shared" si="0"/>
        <v>2848.31660142964</v>
      </c>
      <c r="C13" s="17">
        <f t="shared" si="2"/>
        <v>15970.7058982432</v>
      </c>
      <c r="D13" s="24"/>
      <c r="E13" s="12" t="s">
        <v>83</v>
      </c>
      <c r="F13" s="22">
        <f>F14+F15</f>
        <v>8551.12867688324</v>
      </c>
      <c r="G13" s="22">
        <f t="shared" ref="G13:R13" si="7">G14+G15</f>
        <v>4571.2606199303</v>
      </c>
      <c r="H13" s="22">
        <f t="shared" si="7"/>
        <v>2848.31660142964</v>
      </c>
      <c r="I13" s="22">
        <f t="shared" si="7"/>
        <v>0</v>
      </c>
      <c r="J13" s="22">
        <f t="shared" si="7"/>
        <v>0</v>
      </c>
      <c r="K13" s="22">
        <f t="shared" si="7"/>
        <v>0</v>
      </c>
      <c r="L13" s="22">
        <f t="shared" si="7"/>
        <v>0</v>
      </c>
      <c r="M13" s="22">
        <f t="shared" si="7"/>
        <v>0</v>
      </c>
      <c r="N13" s="22">
        <f t="shared" si="7"/>
        <v>0</v>
      </c>
      <c r="O13" s="22">
        <f t="shared" si="7"/>
        <v>0</v>
      </c>
      <c r="P13" s="22">
        <f t="shared" si="7"/>
        <v>0</v>
      </c>
      <c r="Q13" s="22">
        <f t="shared" si="7"/>
        <v>0</v>
      </c>
      <c r="R13" s="23">
        <f t="shared" si="7"/>
        <v>15970.7058982432</v>
      </c>
    </row>
    <row r="14" ht="18" customHeight="1" spans="1:18">
      <c r="A14" s="12" t="s">
        <v>150</v>
      </c>
      <c r="B14" s="9">
        <f t="shared" si="0"/>
        <v>2848.31660142964</v>
      </c>
      <c r="C14" s="17">
        <f t="shared" si="2"/>
        <v>15962.5848971032</v>
      </c>
      <c r="D14" s="24"/>
      <c r="E14" s="12" t="s">
        <v>150</v>
      </c>
      <c r="F14" s="22">
        <f>F20*F22/29308</f>
        <v>8544.63729638324</v>
      </c>
      <c r="G14" s="22">
        <f t="shared" ref="G14:Q14" si="8">G20*G22/29308</f>
        <v>4569.6309992903</v>
      </c>
      <c r="H14" s="22">
        <f t="shared" si="8"/>
        <v>2848.31660142964</v>
      </c>
      <c r="I14" s="22">
        <f t="shared" si="8"/>
        <v>0</v>
      </c>
      <c r="J14" s="22">
        <f t="shared" si="8"/>
        <v>0</v>
      </c>
      <c r="K14" s="22">
        <f t="shared" si="8"/>
        <v>0</v>
      </c>
      <c r="L14" s="22">
        <f t="shared" si="8"/>
        <v>0</v>
      </c>
      <c r="M14" s="22">
        <f t="shared" si="8"/>
        <v>0</v>
      </c>
      <c r="N14" s="22">
        <f t="shared" si="8"/>
        <v>0</v>
      </c>
      <c r="O14" s="22">
        <f t="shared" si="8"/>
        <v>0</v>
      </c>
      <c r="P14" s="22">
        <f t="shared" si="8"/>
        <v>0</v>
      </c>
      <c r="Q14" s="22">
        <f t="shared" si="8"/>
        <v>0</v>
      </c>
      <c r="R14" s="23">
        <f>F14+G14+H14+I14+J14+K14+L14+M14+N14+O14+P14+Q14</f>
        <v>15962.5848971032</v>
      </c>
    </row>
    <row r="15" ht="18" customHeight="1" spans="1:18">
      <c r="A15" s="12" t="s">
        <v>151</v>
      </c>
      <c r="B15" s="9">
        <f t="shared" si="0"/>
        <v>0</v>
      </c>
      <c r="C15" s="17">
        <f t="shared" si="2"/>
        <v>8.12100114</v>
      </c>
      <c r="D15" s="24"/>
      <c r="E15" s="12" t="s">
        <v>151</v>
      </c>
      <c r="F15" s="22">
        <f t="shared" ref="F15:Q15" si="9">F21*1.4571</f>
        <v>6.4913805</v>
      </c>
      <c r="G15" s="22">
        <f t="shared" si="9"/>
        <v>1.62962064</v>
      </c>
      <c r="H15" s="22">
        <f t="shared" si="9"/>
        <v>0</v>
      </c>
      <c r="I15" s="22">
        <f t="shared" si="9"/>
        <v>0</v>
      </c>
      <c r="J15" s="22">
        <f t="shared" si="9"/>
        <v>0</v>
      </c>
      <c r="K15" s="22">
        <f t="shared" si="9"/>
        <v>0</v>
      </c>
      <c r="L15" s="22">
        <f t="shared" si="9"/>
        <v>0</v>
      </c>
      <c r="M15" s="22">
        <f t="shared" si="9"/>
        <v>0</v>
      </c>
      <c r="N15" s="22">
        <f t="shared" si="9"/>
        <v>0</v>
      </c>
      <c r="O15" s="22">
        <f t="shared" si="9"/>
        <v>0</v>
      </c>
      <c r="P15" s="22">
        <f t="shared" si="9"/>
        <v>0</v>
      </c>
      <c r="Q15" s="22">
        <f t="shared" si="9"/>
        <v>0</v>
      </c>
      <c r="R15" s="23">
        <f>F15+G15+H15+I15+J15+K15+L15+M15+N15+O15+P15+Q15</f>
        <v>8.12100114</v>
      </c>
    </row>
    <row r="16" ht="18" customHeight="1" spans="1:18">
      <c r="A16" s="12" t="s">
        <v>152</v>
      </c>
      <c r="B16" s="9">
        <f t="shared" si="0"/>
        <v>22640324.6117</v>
      </c>
      <c r="C16" s="17">
        <f t="shared" si="2"/>
        <v>113314623.9305</v>
      </c>
      <c r="D16" s="24"/>
      <c r="E16" s="12" t="s">
        <v>152</v>
      </c>
      <c r="F16" s="22">
        <f>F5-F10</f>
        <v>54831335.616</v>
      </c>
      <c r="G16" s="22">
        <f t="shared" ref="G16:R16" si="10">G5-G10</f>
        <v>35842963.7028</v>
      </c>
      <c r="H16" s="22">
        <f t="shared" si="10"/>
        <v>22640324.6117</v>
      </c>
      <c r="I16" s="22">
        <f t="shared" si="10"/>
        <v>0</v>
      </c>
      <c r="J16" s="22">
        <f t="shared" si="10"/>
        <v>0</v>
      </c>
      <c r="K16" s="22">
        <f t="shared" si="10"/>
        <v>0</v>
      </c>
      <c r="L16" s="22">
        <f t="shared" si="10"/>
        <v>0</v>
      </c>
      <c r="M16" s="22">
        <f t="shared" si="10"/>
        <v>0</v>
      </c>
      <c r="N16" s="22">
        <f t="shared" si="10"/>
        <v>0</v>
      </c>
      <c r="O16" s="22">
        <f t="shared" si="10"/>
        <v>0</v>
      </c>
      <c r="P16" s="22">
        <f t="shared" si="10"/>
        <v>0</v>
      </c>
      <c r="Q16" s="22">
        <f t="shared" si="10"/>
        <v>0</v>
      </c>
      <c r="R16" s="23">
        <f t="shared" si="10"/>
        <v>113314623.9305</v>
      </c>
    </row>
    <row r="17" ht="18" customHeight="1" spans="1:18">
      <c r="A17" s="28" t="s">
        <v>93</v>
      </c>
      <c r="B17" s="9">
        <f t="shared" si="0"/>
        <v>119.767345893616</v>
      </c>
      <c r="C17" s="17">
        <f t="shared" si="2"/>
        <v>134.22529874729</v>
      </c>
      <c r="D17" s="24"/>
      <c r="E17" s="28" t="s">
        <v>93</v>
      </c>
      <c r="F17" s="22">
        <f>F13/F5*1000000</f>
        <v>148.260649723894</v>
      </c>
      <c r="G17" s="22">
        <f t="shared" ref="G17:R17" si="11">G13/G5*1000000</f>
        <v>121.816083920935</v>
      </c>
      <c r="H17" s="22">
        <f t="shared" si="11"/>
        <v>119.767345893616</v>
      </c>
      <c r="I17" s="22" t="e">
        <f t="shared" si="11"/>
        <v>#DIV/0!</v>
      </c>
      <c r="J17" s="22" t="e">
        <f t="shared" si="11"/>
        <v>#DIV/0!</v>
      </c>
      <c r="K17" s="26" t="e">
        <f t="shared" si="11"/>
        <v>#DIV/0!</v>
      </c>
      <c r="L17" s="22" t="e">
        <f t="shared" si="11"/>
        <v>#DIV/0!</v>
      </c>
      <c r="M17" s="22" t="e">
        <f t="shared" si="11"/>
        <v>#DIV/0!</v>
      </c>
      <c r="N17" s="22" t="e">
        <f t="shared" si="11"/>
        <v>#DIV/0!</v>
      </c>
      <c r="O17" s="22" t="e">
        <f t="shared" si="11"/>
        <v>#DIV/0!</v>
      </c>
      <c r="P17" s="22" t="e">
        <f t="shared" si="11"/>
        <v>#DIV/0!</v>
      </c>
      <c r="Q17" s="22" t="e">
        <f t="shared" si="11"/>
        <v>#DIV/0!</v>
      </c>
      <c r="R17" s="23">
        <f t="shared" si="11"/>
        <v>134.22529874729</v>
      </c>
    </row>
    <row r="18" ht="18" customHeight="1" spans="1:18">
      <c r="A18" s="28" t="s">
        <v>96</v>
      </c>
      <c r="B18" s="9">
        <f t="shared" si="0"/>
        <v>125.807233344954</v>
      </c>
      <c r="C18" s="17">
        <f t="shared" si="2"/>
        <v>140.941260221087</v>
      </c>
      <c r="D18" s="24"/>
      <c r="E18" s="28" t="s">
        <v>96</v>
      </c>
      <c r="F18" s="22">
        <f>F13/F16*1000000</f>
        <v>155.95331721936</v>
      </c>
      <c r="G18" s="22">
        <f t="shared" ref="G18:R18" si="12">G13/G16*1000000</f>
        <v>127.535787995489</v>
      </c>
      <c r="H18" s="22">
        <f t="shared" si="12"/>
        <v>125.807233344954</v>
      </c>
      <c r="I18" s="22" t="e">
        <f t="shared" si="12"/>
        <v>#DIV/0!</v>
      </c>
      <c r="J18" s="22" t="e">
        <f t="shared" si="12"/>
        <v>#DIV/0!</v>
      </c>
      <c r="K18" s="22" t="e">
        <f t="shared" si="12"/>
        <v>#DIV/0!</v>
      </c>
      <c r="L18" s="22" t="e">
        <f t="shared" si="12"/>
        <v>#DIV/0!</v>
      </c>
      <c r="M18" s="22" t="e">
        <f t="shared" si="12"/>
        <v>#DIV/0!</v>
      </c>
      <c r="N18" s="22" t="e">
        <f t="shared" si="12"/>
        <v>#DIV/0!</v>
      </c>
      <c r="O18" s="22" t="e">
        <f t="shared" si="12"/>
        <v>#DIV/0!</v>
      </c>
      <c r="P18" s="22" t="e">
        <f t="shared" si="12"/>
        <v>#DIV/0!</v>
      </c>
      <c r="Q18" s="22" t="e">
        <f t="shared" si="12"/>
        <v>#DIV/0!</v>
      </c>
      <c r="R18" s="23">
        <f t="shared" si="12"/>
        <v>140.941260221087</v>
      </c>
    </row>
    <row r="19" ht="18" customHeight="1" spans="1:18">
      <c r="A19" s="12" t="s">
        <v>153</v>
      </c>
      <c r="B19" s="9">
        <f t="shared" si="0"/>
        <v>2378208</v>
      </c>
      <c r="C19" s="16">
        <f t="shared" si="2"/>
        <v>23796864</v>
      </c>
      <c r="D19" s="6"/>
      <c r="E19" s="12" t="s">
        <v>153</v>
      </c>
      <c r="F19" s="11">
        <f>F5/10</f>
        <v>5767632</v>
      </c>
      <c r="G19" s="11">
        <f t="shared" ref="G19:Q19" si="13">G5/10</f>
        <v>3752592</v>
      </c>
      <c r="H19" s="11">
        <f t="shared" si="13"/>
        <v>2378208</v>
      </c>
      <c r="I19" s="11">
        <f t="shared" si="13"/>
        <v>0</v>
      </c>
      <c r="J19" s="11">
        <f t="shared" si="13"/>
        <v>0</v>
      </c>
      <c r="K19" s="11">
        <f t="shared" si="13"/>
        <v>0</v>
      </c>
      <c r="L19" s="11">
        <f t="shared" si="13"/>
        <v>0</v>
      </c>
      <c r="M19" s="11">
        <f t="shared" si="13"/>
        <v>0</v>
      </c>
      <c r="N19" s="11">
        <f t="shared" si="13"/>
        <v>0</v>
      </c>
      <c r="O19" s="11">
        <f t="shared" si="13"/>
        <v>0</v>
      </c>
      <c r="P19" s="11">
        <f t="shared" si="13"/>
        <v>0</v>
      </c>
      <c r="Q19" s="11">
        <f t="shared" si="13"/>
        <v>0</v>
      </c>
      <c r="R19" s="29">
        <f>R5/5</f>
        <v>23796864</v>
      </c>
    </row>
    <row r="20" ht="18" customHeight="1" spans="1:18">
      <c r="A20" s="12" t="s">
        <v>35</v>
      </c>
      <c r="B20" s="9">
        <f t="shared" si="0"/>
        <v>4013.1947</v>
      </c>
      <c r="C20" s="17">
        <f t="shared" si="2"/>
        <v>23799.1097</v>
      </c>
      <c r="D20" s="24"/>
      <c r="E20" s="12" t="s">
        <v>35</v>
      </c>
      <c r="F20" s="30">
        <f>F42*(100-F41)/100</f>
        <v>13051.1898</v>
      </c>
      <c r="G20" s="30">
        <f t="shared" ref="G20:Q20" si="14">G42*(100-G41)/100</f>
        <v>6734.7252</v>
      </c>
      <c r="H20" s="30">
        <f t="shared" si="14"/>
        <v>4013.1947</v>
      </c>
      <c r="I20" s="30">
        <f t="shared" si="14"/>
        <v>0</v>
      </c>
      <c r="J20" s="30">
        <f t="shared" si="14"/>
        <v>0</v>
      </c>
      <c r="K20" s="30">
        <f t="shared" si="14"/>
        <v>0</v>
      </c>
      <c r="L20" s="30">
        <f t="shared" si="14"/>
        <v>0</v>
      </c>
      <c r="M20" s="30">
        <f t="shared" si="14"/>
        <v>0</v>
      </c>
      <c r="N20" s="30">
        <f t="shared" si="14"/>
        <v>0</v>
      </c>
      <c r="O20" s="30">
        <f t="shared" si="14"/>
        <v>0</v>
      </c>
      <c r="P20" s="30">
        <f t="shared" si="14"/>
        <v>0</v>
      </c>
      <c r="Q20" s="30">
        <f t="shared" si="14"/>
        <v>0</v>
      </c>
      <c r="R20" s="23">
        <f>F20+G20+H20+I20+J20+K20+L20+M20+N20+O20+P20+Q20</f>
        <v>23799.1097</v>
      </c>
    </row>
    <row r="21" ht="18" customHeight="1" spans="1:18">
      <c r="A21" s="12" t="s">
        <v>154</v>
      </c>
      <c r="B21" s="9">
        <f t="shared" si="0"/>
        <v>0</v>
      </c>
      <c r="C21" s="17">
        <f t="shared" si="2"/>
        <v>5.5734</v>
      </c>
      <c r="D21" s="24"/>
      <c r="E21" s="12" t="s">
        <v>154</v>
      </c>
      <c r="F21" s="22">
        <f t="shared" ref="F21:Q21" si="15">F43*(100-F41)/100</f>
        <v>4.455</v>
      </c>
      <c r="G21" s="22">
        <f t="shared" si="15"/>
        <v>1.1184</v>
      </c>
      <c r="H21" s="22">
        <f t="shared" si="15"/>
        <v>0</v>
      </c>
      <c r="I21" s="22">
        <f t="shared" si="15"/>
        <v>0</v>
      </c>
      <c r="J21" s="22">
        <f t="shared" si="15"/>
        <v>0</v>
      </c>
      <c r="K21" s="22">
        <f t="shared" si="15"/>
        <v>0</v>
      </c>
      <c r="L21" s="22">
        <f t="shared" si="15"/>
        <v>0</v>
      </c>
      <c r="M21" s="22">
        <f t="shared" si="15"/>
        <v>0</v>
      </c>
      <c r="N21" s="22">
        <f t="shared" si="15"/>
        <v>0</v>
      </c>
      <c r="O21" s="22">
        <f t="shared" si="15"/>
        <v>0</v>
      </c>
      <c r="P21" s="22">
        <f t="shared" si="15"/>
        <v>0</v>
      </c>
      <c r="Q21" s="22">
        <f t="shared" si="15"/>
        <v>0</v>
      </c>
      <c r="R21" s="23">
        <f>F21+G21+H21+I21+J21+K21+L21+M21+N21+O21+P21+Q21</f>
        <v>5.5734</v>
      </c>
    </row>
    <row r="22" ht="18" customHeight="1" spans="1:18">
      <c r="A22" s="12" t="s">
        <v>101</v>
      </c>
      <c r="B22" s="9">
        <f t="shared" si="0"/>
        <v>20801</v>
      </c>
      <c r="C22" s="18">
        <f t="shared" si="2"/>
        <v>19735.6268422435</v>
      </c>
      <c r="D22" s="6"/>
      <c r="E22" s="12" t="s">
        <v>101</v>
      </c>
      <c r="F22" s="31">
        <v>19188</v>
      </c>
      <c r="G22" s="31">
        <v>19886</v>
      </c>
      <c r="H22" s="31">
        <v>20801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23">
        <f>(R14+R31)/(R20+R34)*29308</f>
        <v>19735.6268422435</v>
      </c>
    </row>
    <row r="23" ht="18" customHeight="1" spans="1:18">
      <c r="A23" s="12" t="s">
        <v>104</v>
      </c>
      <c r="B23" s="9">
        <f t="shared" si="0"/>
        <v>21355</v>
      </c>
      <c r="C23" s="18">
        <f t="shared" si="2"/>
        <v>20100.3813839342</v>
      </c>
      <c r="D23" s="6"/>
      <c r="E23" s="12" t="s">
        <v>104</v>
      </c>
      <c r="F23" s="31">
        <v>19277</v>
      </c>
      <c r="G23" s="31">
        <v>20724</v>
      </c>
      <c r="H23" s="31">
        <v>21355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23">
        <f>(F23*F36+G23*G36+H23*H36+I23*I36+J23*J36+K23*K36+L23*L36+M23*M36+N23*N36+O23*O36+P23*P36+Q23*Q36)/R36</f>
        <v>20100.3813839342</v>
      </c>
    </row>
    <row r="24" ht="18" customHeight="1" spans="1:18">
      <c r="A24" s="12" t="s">
        <v>155</v>
      </c>
      <c r="B24" s="9">
        <f t="shared" si="0"/>
        <v>494096.511096</v>
      </c>
      <c r="C24" s="16">
        <f t="shared" si="2"/>
        <v>2186932.25335</v>
      </c>
      <c r="D24" s="6"/>
      <c r="E24" s="12" t="s">
        <v>26</v>
      </c>
      <c r="F24" s="22">
        <f>F25+F26+F57</f>
        <v>967138.542272</v>
      </c>
      <c r="G24" s="22">
        <f>G25+G26+G57</f>
        <v>725697.199982</v>
      </c>
      <c r="H24" s="22">
        <f>H25+H26+H57</f>
        <v>494096.511096</v>
      </c>
      <c r="I24" s="22">
        <f t="shared" ref="I24:Q24" si="16">I25+I26+I57</f>
        <v>0</v>
      </c>
      <c r="J24" s="22">
        <f t="shared" si="16"/>
        <v>0</v>
      </c>
      <c r="K24" s="22">
        <f t="shared" si="16"/>
        <v>0</v>
      </c>
      <c r="L24" s="22">
        <f t="shared" si="16"/>
        <v>0</v>
      </c>
      <c r="M24" s="22">
        <f t="shared" si="16"/>
        <v>0</v>
      </c>
      <c r="N24" s="22">
        <f t="shared" si="16"/>
        <v>0</v>
      </c>
      <c r="O24" s="22">
        <f t="shared" si="16"/>
        <v>0</v>
      </c>
      <c r="P24" s="22">
        <f t="shared" si="16"/>
        <v>0</v>
      </c>
      <c r="Q24" s="22">
        <f t="shared" si="16"/>
        <v>0</v>
      </c>
      <c r="R24" s="29">
        <f>R25+R26+R53+R57</f>
        <v>2186932.25335</v>
      </c>
    </row>
    <row r="25" ht="18" customHeight="1" spans="1:18">
      <c r="A25" s="12" t="s">
        <v>156</v>
      </c>
      <c r="B25" s="9">
        <f t="shared" si="0"/>
        <v>133664.511096</v>
      </c>
      <c r="C25" s="16">
        <f t="shared" si="2"/>
        <v>535806.25335</v>
      </c>
      <c r="D25" s="6"/>
      <c r="E25" s="12" t="s">
        <v>156</v>
      </c>
      <c r="F25" s="22">
        <f>F49*2.951694</f>
        <v>229901.542272</v>
      </c>
      <c r="G25" s="22">
        <f t="shared" ref="G25:Q25" si="17">G49*2.951694</f>
        <v>172240.199982</v>
      </c>
      <c r="H25" s="22">
        <f t="shared" si="17"/>
        <v>133664.511096</v>
      </c>
      <c r="I25" s="22">
        <f t="shared" si="17"/>
        <v>0</v>
      </c>
      <c r="J25" s="22">
        <f t="shared" si="17"/>
        <v>0</v>
      </c>
      <c r="K25" s="22">
        <f t="shared" si="17"/>
        <v>0</v>
      </c>
      <c r="L25" s="22">
        <f t="shared" si="17"/>
        <v>0</v>
      </c>
      <c r="M25" s="22">
        <f t="shared" si="17"/>
        <v>0</v>
      </c>
      <c r="N25" s="22">
        <f t="shared" si="17"/>
        <v>0</v>
      </c>
      <c r="O25" s="22">
        <f t="shared" si="17"/>
        <v>0</v>
      </c>
      <c r="P25" s="22">
        <f t="shared" si="17"/>
        <v>0</v>
      </c>
      <c r="Q25" s="22">
        <f t="shared" si="17"/>
        <v>0</v>
      </c>
      <c r="R25" s="29">
        <f>F25+G25+H25+I25+J25+K25+L25+M25+N25+O25+P25+Q25</f>
        <v>535806.25335</v>
      </c>
    </row>
    <row r="26" ht="18" customHeight="1" spans="1:18">
      <c r="A26" s="12" t="s">
        <v>157</v>
      </c>
      <c r="B26" s="9">
        <f t="shared" si="0"/>
        <v>126938</v>
      </c>
      <c r="C26" s="16">
        <f t="shared" si="2"/>
        <v>577541</v>
      </c>
      <c r="D26" s="6"/>
      <c r="E26" s="12" t="s">
        <v>157</v>
      </c>
      <c r="F26" s="31">
        <v>264848</v>
      </c>
      <c r="G26" s="31">
        <v>185755</v>
      </c>
      <c r="H26" s="31">
        <v>126938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29">
        <f>F26+G26+H26+I26+J26+K26+L26+M26+N26+O26+P26+Q26</f>
        <v>577541</v>
      </c>
    </row>
    <row r="27" ht="18" customHeight="1" spans="1:18">
      <c r="A27" s="12" t="s">
        <v>158</v>
      </c>
      <c r="B27" s="9">
        <f t="shared" si="0"/>
        <v>0</v>
      </c>
      <c r="C27" s="16">
        <f t="shared" si="2"/>
        <v>0</v>
      </c>
      <c r="D27" s="6"/>
      <c r="E27" s="12" t="s">
        <v>158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29">
        <f>F27+G27+H27+I27+J27+K27+L27+M27+N27+O27+P27+Q27</f>
        <v>0</v>
      </c>
    </row>
    <row r="28" ht="18" customHeight="1" spans="1:18">
      <c r="A28" s="12" t="s">
        <v>159</v>
      </c>
      <c r="B28" s="9">
        <f t="shared" si="0"/>
        <v>7634227.6117</v>
      </c>
      <c r="C28" s="17">
        <f t="shared" si="2"/>
        <v>31109720.9305</v>
      </c>
      <c r="D28" s="24"/>
      <c r="E28" s="12" t="s">
        <v>159</v>
      </c>
      <c r="F28" s="22">
        <f>(F9-F7)*F41/100</f>
        <v>13120135.616</v>
      </c>
      <c r="G28" s="22">
        <f t="shared" ref="G28:Q28" si="18">(G9-G7)*G41/100</f>
        <v>10355357.7028</v>
      </c>
      <c r="H28" s="22">
        <f t="shared" si="18"/>
        <v>7634227.6117</v>
      </c>
      <c r="I28" s="22">
        <f t="shared" si="18"/>
        <v>0</v>
      </c>
      <c r="J28" s="22">
        <f t="shared" si="18"/>
        <v>0</v>
      </c>
      <c r="K28" s="22">
        <f t="shared" si="18"/>
        <v>0</v>
      </c>
      <c r="L28" s="22">
        <f t="shared" si="18"/>
        <v>0</v>
      </c>
      <c r="M28" s="22">
        <f t="shared" si="18"/>
        <v>0</v>
      </c>
      <c r="N28" s="22">
        <f t="shared" si="18"/>
        <v>0</v>
      </c>
      <c r="O28" s="22">
        <f t="shared" si="18"/>
        <v>0</v>
      </c>
      <c r="P28" s="22">
        <f t="shared" si="18"/>
        <v>0</v>
      </c>
      <c r="Q28" s="22">
        <f t="shared" si="18"/>
        <v>0</v>
      </c>
      <c r="R28" s="23">
        <f>F28+G28+H28+I28+J28+K28+L28+M28+N28+O28+P28+Q28</f>
        <v>31109720.9305</v>
      </c>
    </row>
    <row r="29" ht="18" customHeight="1" spans="1:18">
      <c r="A29" s="12" t="s">
        <v>78</v>
      </c>
      <c r="B29" s="9">
        <f t="shared" si="0"/>
        <v>15.4508834615444</v>
      </c>
      <c r="C29" s="32">
        <f t="shared" si="2"/>
        <v>14.2252787587934</v>
      </c>
      <c r="D29" s="33"/>
      <c r="E29" s="12" t="s">
        <v>78</v>
      </c>
      <c r="F29" s="26">
        <f>F28/F24</f>
        <v>13.5659319141374</v>
      </c>
      <c r="G29" s="26">
        <f t="shared" ref="G29:R29" si="19">G28/G24</f>
        <v>14.2695296372328</v>
      </c>
      <c r="H29" s="26">
        <f t="shared" si="19"/>
        <v>15.4508834615444</v>
      </c>
      <c r="I29" s="26" t="e">
        <f t="shared" si="19"/>
        <v>#DIV/0!</v>
      </c>
      <c r="J29" s="26" t="e">
        <f t="shared" si="19"/>
        <v>#DIV/0!</v>
      </c>
      <c r="K29" s="26" t="e">
        <f t="shared" si="19"/>
        <v>#DIV/0!</v>
      </c>
      <c r="L29" s="26" t="e">
        <f t="shared" si="19"/>
        <v>#DIV/0!</v>
      </c>
      <c r="M29" s="26" t="e">
        <f t="shared" si="19"/>
        <v>#DIV/0!</v>
      </c>
      <c r="N29" s="26" t="e">
        <f t="shared" si="19"/>
        <v>#DIV/0!</v>
      </c>
      <c r="O29" s="26" t="e">
        <f t="shared" si="19"/>
        <v>#DIV/0!</v>
      </c>
      <c r="P29" s="26" t="e">
        <f t="shared" si="19"/>
        <v>#DIV/0!</v>
      </c>
      <c r="Q29" s="26" t="e">
        <f t="shared" si="19"/>
        <v>#DIV/0!</v>
      </c>
      <c r="R29" s="34">
        <f t="shared" si="19"/>
        <v>14.2252787587934</v>
      </c>
    </row>
    <row r="30" ht="18" customHeight="1" spans="1:18">
      <c r="A30" s="12" t="s">
        <v>89</v>
      </c>
      <c r="B30" s="9">
        <f t="shared" si="0"/>
        <v>19044.9701120957</v>
      </c>
      <c r="C30" s="35">
        <f t="shared" si="2"/>
        <v>86607.2863791009</v>
      </c>
      <c r="D30" s="24"/>
      <c r="E30" s="12" t="s">
        <v>89</v>
      </c>
      <c r="F30" s="22">
        <f>(F31+F32)</f>
        <v>39435.0030676916</v>
      </c>
      <c r="G30" s="22">
        <f t="shared" ref="G30:R30" si="20">(G31+G32)</f>
        <v>28127.3131993136</v>
      </c>
      <c r="H30" s="22">
        <f t="shared" si="20"/>
        <v>19044.9701120957</v>
      </c>
      <c r="I30" s="22">
        <f t="shared" si="20"/>
        <v>0</v>
      </c>
      <c r="J30" s="22">
        <f t="shared" si="20"/>
        <v>0</v>
      </c>
      <c r="K30" s="22">
        <f t="shared" si="20"/>
        <v>0</v>
      </c>
      <c r="L30" s="22">
        <f t="shared" si="20"/>
        <v>0</v>
      </c>
      <c r="M30" s="22">
        <f t="shared" si="20"/>
        <v>0</v>
      </c>
      <c r="N30" s="22">
        <f t="shared" si="20"/>
        <v>0</v>
      </c>
      <c r="O30" s="22">
        <f t="shared" si="20"/>
        <v>0</v>
      </c>
      <c r="P30" s="22">
        <f t="shared" si="20"/>
        <v>0</v>
      </c>
      <c r="Q30" s="22">
        <f t="shared" si="20"/>
        <v>0</v>
      </c>
      <c r="R30" s="23">
        <f t="shared" si="20"/>
        <v>86607.2863791009</v>
      </c>
    </row>
    <row r="31" ht="18" customHeight="1" spans="1:18">
      <c r="A31" s="12" t="s">
        <v>160</v>
      </c>
      <c r="B31" s="9">
        <f t="shared" si="0"/>
        <v>19044.9701120957</v>
      </c>
      <c r="C31" s="17">
        <f t="shared" si="2"/>
        <v>86567.3230802409</v>
      </c>
      <c r="D31" s="24"/>
      <c r="E31" s="12" t="s">
        <v>160</v>
      </c>
      <c r="F31" s="22">
        <f>F34*F22/29308</f>
        <v>39405.0669481916</v>
      </c>
      <c r="G31" s="22">
        <f t="shared" ref="G31:Q31" si="21">G34*G22/29308</f>
        <v>28117.2860199536</v>
      </c>
      <c r="H31" s="22">
        <f t="shared" si="21"/>
        <v>19044.9701120957</v>
      </c>
      <c r="I31" s="22">
        <f t="shared" si="21"/>
        <v>0</v>
      </c>
      <c r="J31" s="22">
        <f t="shared" si="21"/>
        <v>0</v>
      </c>
      <c r="K31" s="22">
        <f t="shared" si="21"/>
        <v>0</v>
      </c>
      <c r="L31" s="22">
        <f t="shared" si="21"/>
        <v>0</v>
      </c>
      <c r="M31" s="22">
        <f t="shared" si="21"/>
        <v>0</v>
      </c>
      <c r="N31" s="22">
        <f t="shared" si="21"/>
        <v>0</v>
      </c>
      <c r="O31" s="22">
        <f t="shared" si="21"/>
        <v>0</v>
      </c>
      <c r="P31" s="22">
        <f t="shared" si="21"/>
        <v>0</v>
      </c>
      <c r="Q31" s="22">
        <f t="shared" si="21"/>
        <v>0</v>
      </c>
      <c r="R31" s="23">
        <f>F31+G31+H31+I31+J31+K31+L31+M31+N31+O31+P31+Q31</f>
        <v>86567.3230802409</v>
      </c>
    </row>
    <row r="32" ht="18" customHeight="1" spans="1:18">
      <c r="A32" s="12" t="s">
        <v>161</v>
      </c>
      <c r="B32" s="9">
        <f t="shared" si="0"/>
        <v>0</v>
      </c>
      <c r="C32" s="17">
        <f t="shared" si="2"/>
        <v>39.96329886</v>
      </c>
      <c r="D32" s="24"/>
      <c r="E32" s="12" t="s">
        <v>161</v>
      </c>
      <c r="F32" s="22">
        <f>F35*1.4571</f>
        <v>29.9361195</v>
      </c>
      <c r="G32" s="22">
        <f>G35*1.4571</f>
        <v>10.02717936</v>
      </c>
      <c r="H32" s="22">
        <f t="shared" ref="H32:R32" si="22">H35*1.4571</f>
        <v>0</v>
      </c>
      <c r="I32" s="22">
        <f t="shared" si="22"/>
        <v>0</v>
      </c>
      <c r="J32" s="22">
        <f t="shared" si="22"/>
        <v>0</v>
      </c>
      <c r="K32" s="22">
        <f t="shared" si="22"/>
        <v>0</v>
      </c>
      <c r="L32" s="22">
        <f t="shared" si="22"/>
        <v>0</v>
      </c>
      <c r="M32" s="22">
        <f t="shared" si="22"/>
        <v>0</v>
      </c>
      <c r="N32" s="22">
        <f t="shared" si="22"/>
        <v>0</v>
      </c>
      <c r="O32" s="22">
        <f t="shared" si="22"/>
        <v>0</v>
      </c>
      <c r="P32" s="22">
        <f t="shared" si="22"/>
        <v>0</v>
      </c>
      <c r="Q32" s="22">
        <f t="shared" si="22"/>
        <v>0</v>
      </c>
      <c r="R32" s="23">
        <f t="shared" si="22"/>
        <v>39.96329886</v>
      </c>
    </row>
    <row r="33" ht="18" customHeight="1" spans="1:18">
      <c r="A33" s="12" t="s">
        <v>98</v>
      </c>
      <c r="B33" s="9">
        <f t="shared" si="0"/>
        <v>38.5450406639187</v>
      </c>
      <c r="C33" s="18">
        <f t="shared" si="2"/>
        <v>39.6021807472242</v>
      </c>
      <c r="D33" s="25"/>
      <c r="E33" s="12" t="s">
        <v>98</v>
      </c>
      <c r="F33" s="26">
        <f>F30*1000/F24</f>
        <v>40.7749265943336</v>
      </c>
      <c r="G33" s="26">
        <f t="shared" ref="G33:R33" si="23">G30*1000/G24</f>
        <v>38.7590212557128</v>
      </c>
      <c r="H33" s="26">
        <f t="shared" si="23"/>
        <v>38.5450406639187</v>
      </c>
      <c r="I33" s="26" t="e">
        <f t="shared" si="23"/>
        <v>#DIV/0!</v>
      </c>
      <c r="J33" s="26" t="e">
        <f t="shared" si="23"/>
        <v>#DIV/0!</v>
      </c>
      <c r="K33" s="26" t="e">
        <f t="shared" si="23"/>
        <v>#DIV/0!</v>
      </c>
      <c r="L33" s="26" t="e">
        <f t="shared" si="23"/>
        <v>#DIV/0!</v>
      </c>
      <c r="M33" s="26" t="e">
        <f t="shared" si="23"/>
        <v>#DIV/0!</v>
      </c>
      <c r="N33" s="26" t="e">
        <f t="shared" si="23"/>
        <v>#DIV/0!</v>
      </c>
      <c r="O33" s="26" t="e">
        <f t="shared" si="23"/>
        <v>#DIV/0!</v>
      </c>
      <c r="P33" s="26" t="e">
        <f t="shared" si="23"/>
        <v>#DIV/0!</v>
      </c>
      <c r="Q33" s="26" t="e">
        <f t="shared" si="23"/>
        <v>#DIV/0!</v>
      </c>
      <c r="R33" s="27">
        <f t="shared" si="23"/>
        <v>39.6021807472242</v>
      </c>
    </row>
    <row r="34" ht="18" customHeight="1" spans="1:18">
      <c r="A34" s="12" t="s">
        <v>37</v>
      </c>
      <c r="B34" s="9">
        <f t="shared" si="0"/>
        <v>26833.8053</v>
      </c>
      <c r="C34" s="17">
        <f t="shared" si="2"/>
        <v>128460.8903</v>
      </c>
      <c r="D34" s="24"/>
      <c r="E34" s="12" t="s">
        <v>37</v>
      </c>
      <c r="F34" s="22">
        <f>F42*F41/100</f>
        <v>60187.8102</v>
      </c>
      <c r="G34" s="22">
        <f t="shared" ref="G34:Q34" si="24">G42*G41/100</f>
        <v>41439.2748</v>
      </c>
      <c r="H34" s="22">
        <f t="shared" si="24"/>
        <v>26833.8053</v>
      </c>
      <c r="I34" s="22">
        <f t="shared" si="24"/>
        <v>0</v>
      </c>
      <c r="J34" s="22">
        <f t="shared" si="24"/>
        <v>0</v>
      </c>
      <c r="K34" s="22">
        <f t="shared" si="24"/>
        <v>0</v>
      </c>
      <c r="L34" s="22">
        <f t="shared" si="24"/>
        <v>0</v>
      </c>
      <c r="M34" s="22">
        <f t="shared" si="24"/>
        <v>0</v>
      </c>
      <c r="N34" s="22">
        <f t="shared" si="24"/>
        <v>0</v>
      </c>
      <c r="O34" s="22">
        <f t="shared" si="24"/>
        <v>0</v>
      </c>
      <c r="P34" s="22">
        <f t="shared" si="24"/>
        <v>0</v>
      </c>
      <c r="Q34" s="22">
        <f t="shared" si="24"/>
        <v>0</v>
      </c>
      <c r="R34" s="23">
        <f>F34+G34+H34+I34+J34+K34+L34+M34+N34+O34+P34+Q34</f>
        <v>128460.8903</v>
      </c>
    </row>
    <row r="35" ht="18" customHeight="1" spans="1:18">
      <c r="A35" s="12" t="s">
        <v>162</v>
      </c>
      <c r="B35" s="9">
        <f t="shared" si="0"/>
        <v>0</v>
      </c>
      <c r="C35" s="17">
        <f t="shared" si="2"/>
        <v>27.4266</v>
      </c>
      <c r="D35" s="24"/>
      <c r="E35" s="12" t="s">
        <v>162</v>
      </c>
      <c r="F35" s="22">
        <f t="shared" ref="F35:Q35" si="25">F43*F41/100</f>
        <v>20.545</v>
      </c>
      <c r="G35" s="22">
        <f t="shared" si="25"/>
        <v>6.8816</v>
      </c>
      <c r="H35" s="22">
        <f t="shared" si="25"/>
        <v>0</v>
      </c>
      <c r="I35" s="22">
        <f t="shared" si="25"/>
        <v>0</v>
      </c>
      <c r="J35" s="22">
        <f t="shared" si="25"/>
        <v>0</v>
      </c>
      <c r="K35" s="22">
        <f t="shared" si="25"/>
        <v>0</v>
      </c>
      <c r="L35" s="22">
        <f t="shared" si="25"/>
        <v>0</v>
      </c>
      <c r="M35" s="22">
        <f t="shared" si="25"/>
        <v>0</v>
      </c>
      <c r="N35" s="22">
        <f t="shared" si="25"/>
        <v>0</v>
      </c>
      <c r="O35" s="22">
        <f t="shared" si="25"/>
        <v>0</v>
      </c>
      <c r="P35" s="22">
        <f t="shared" si="25"/>
        <v>0</v>
      </c>
      <c r="Q35" s="22">
        <f t="shared" si="25"/>
        <v>0</v>
      </c>
      <c r="R35" s="23">
        <f>F35+G35+H35+I35+J35+K35+L35+M35+N35+O35+P35+Q35</f>
        <v>27.4266</v>
      </c>
    </row>
    <row r="36" ht="18" customHeight="1" spans="1:18">
      <c r="A36" s="12" t="s">
        <v>163</v>
      </c>
      <c r="B36" s="9">
        <f t="shared" si="0"/>
        <v>19046</v>
      </c>
      <c r="C36" s="16">
        <f t="shared" si="2"/>
        <v>135281</v>
      </c>
      <c r="D36" s="6"/>
      <c r="E36" s="12" t="s">
        <v>163</v>
      </c>
      <c r="F36" s="36">
        <v>66608</v>
      </c>
      <c r="G36" s="36">
        <v>49627</v>
      </c>
      <c r="H36" s="36">
        <v>19046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23">
        <f>F36+G36+H36+I36+J36+K36+L36+M36+N36+O36+P36+Q36</f>
        <v>135281</v>
      </c>
    </row>
    <row r="37" s="2" customFormat="1" ht="18" customHeight="1" spans="1:18">
      <c r="A37" s="28" t="s">
        <v>164</v>
      </c>
      <c r="B37" s="9">
        <f t="shared" si="0"/>
        <v>1467</v>
      </c>
      <c r="C37" s="18">
        <f t="shared" si="2"/>
        <v>0</v>
      </c>
      <c r="D37" s="25"/>
      <c r="E37" s="28" t="s">
        <v>164</v>
      </c>
      <c r="F37" s="20">
        <v>11815</v>
      </c>
      <c r="G37" s="20">
        <v>13268</v>
      </c>
      <c r="H37" s="20">
        <v>1467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37"/>
    </row>
    <row r="38" ht="18" customHeight="1" spans="1:18">
      <c r="A38" s="12" t="s">
        <v>106</v>
      </c>
      <c r="B38" s="9">
        <f t="shared" si="0"/>
        <v>50400</v>
      </c>
      <c r="C38" s="18">
        <f t="shared" si="2"/>
        <v>0</v>
      </c>
      <c r="D38" s="6"/>
      <c r="E38" s="12" t="s">
        <v>106</v>
      </c>
      <c r="F38" s="36">
        <v>99840</v>
      </c>
      <c r="G38" s="36">
        <v>78240</v>
      </c>
      <c r="H38" s="36">
        <v>50400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8">
        <v>0</v>
      </c>
    </row>
    <row r="39" ht="18" customHeight="1" spans="1:18">
      <c r="A39" s="12" t="s">
        <v>109</v>
      </c>
      <c r="B39" s="9">
        <f t="shared" si="0"/>
        <v>87</v>
      </c>
      <c r="C39" s="18">
        <f t="shared" si="2"/>
        <v>0</v>
      </c>
      <c r="D39" s="6"/>
      <c r="E39" s="12" t="s">
        <v>109</v>
      </c>
      <c r="F39" s="36">
        <v>120</v>
      </c>
      <c r="G39" s="36">
        <v>120</v>
      </c>
      <c r="H39" s="36">
        <v>87</v>
      </c>
      <c r="I39" s="36">
        <v>0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  <c r="R39" s="38">
        <v>0</v>
      </c>
    </row>
    <row r="40" ht="18" customHeight="1" spans="1:18">
      <c r="A40" s="12" t="s">
        <v>165</v>
      </c>
      <c r="B40" s="9">
        <f t="shared" si="0"/>
        <v>1157695.704</v>
      </c>
      <c r="C40" s="17">
        <f t="shared" si="2"/>
        <v>6390382.68</v>
      </c>
      <c r="D40" s="24"/>
      <c r="E40" s="12" t="s">
        <v>165</v>
      </c>
      <c r="F40" s="22">
        <f>(F6*790+F27*4.3)/10000</f>
        <v>3249844.488</v>
      </c>
      <c r="G40" s="22">
        <f t="shared" ref="G40:R40" si="26">(G6*790+G27*4.3)/10000</f>
        <v>1982842.488</v>
      </c>
      <c r="H40" s="22">
        <f t="shared" si="26"/>
        <v>1157695.704</v>
      </c>
      <c r="I40" s="22">
        <f t="shared" si="26"/>
        <v>0</v>
      </c>
      <c r="J40" s="22">
        <f t="shared" si="26"/>
        <v>0</v>
      </c>
      <c r="K40" s="22">
        <f t="shared" si="26"/>
        <v>0</v>
      </c>
      <c r="L40" s="22">
        <f t="shared" si="26"/>
        <v>0</v>
      </c>
      <c r="M40" s="22">
        <f t="shared" si="26"/>
        <v>0</v>
      </c>
      <c r="N40" s="22">
        <f t="shared" si="26"/>
        <v>0</v>
      </c>
      <c r="O40" s="22">
        <f t="shared" si="26"/>
        <v>0</v>
      </c>
      <c r="P40" s="22">
        <f t="shared" si="26"/>
        <v>0</v>
      </c>
      <c r="Q40" s="22">
        <f t="shared" si="26"/>
        <v>0</v>
      </c>
      <c r="R40" s="23">
        <f t="shared" si="26"/>
        <v>6390382.68</v>
      </c>
    </row>
    <row r="41" ht="18" customHeight="1" spans="1:18">
      <c r="A41" s="39" t="s">
        <v>112</v>
      </c>
      <c r="B41" s="9">
        <f t="shared" si="0"/>
        <v>86.99</v>
      </c>
      <c r="C41" s="18">
        <f>C30*100/(C13+C30)</f>
        <v>84.4306702210913</v>
      </c>
      <c r="E41" s="39" t="s">
        <v>112</v>
      </c>
      <c r="F41" s="20">
        <v>82.18</v>
      </c>
      <c r="G41" s="20">
        <v>86.02</v>
      </c>
      <c r="H41" s="20">
        <v>86.99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7">
        <v>0</v>
      </c>
    </row>
    <row r="42" ht="18" customHeight="1" spans="1:18">
      <c r="A42" s="40" t="s">
        <v>166</v>
      </c>
      <c r="B42" s="9">
        <f t="shared" si="0"/>
        <v>30847</v>
      </c>
      <c r="C42" s="17">
        <f>R42</f>
        <v>152260</v>
      </c>
      <c r="E42" s="40" t="s">
        <v>166</v>
      </c>
      <c r="F42" s="20">
        <v>73239</v>
      </c>
      <c r="G42" s="20">
        <v>48174</v>
      </c>
      <c r="H42" s="20">
        <v>30847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9">
        <f>SUM(F42:Q42)</f>
        <v>152260</v>
      </c>
    </row>
    <row r="43" ht="18" customHeight="1" spans="1:18">
      <c r="A43" s="40" t="s">
        <v>167</v>
      </c>
      <c r="B43" s="9">
        <f t="shared" si="0"/>
        <v>0</v>
      </c>
      <c r="C43" s="17">
        <f t="shared" ref="C43:C59" si="27">R43</f>
        <v>33</v>
      </c>
      <c r="E43" s="40" t="s">
        <v>167</v>
      </c>
      <c r="F43" s="20">
        <v>25</v>
      </c>
      <c r="G43" s="20">
        <v>8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9">
        <f t="shared" ref="R43:R59" si="28">SUM(F43:Q43)</f>
        <v>33</v>
      </c>
    </row>
    <row r="44" ht="18" customHeight="1" spans="1:18">
      <c r="A44" s="12" t="s">
        <v>45</v>
      </c>
      <c r="B44" s="9">
        <f t="shared" si="0"/>
        <v>134851</v>
      </c>
      <c r="C44" s="17">
        <f t="shared" si="27"/>
        <v>480607</v>
      </c>
      <c r="E44" s="19" t="s">
        <v>45</v>
      </c>
      <c r="F44" s="20">
        <v>194774</v>
      </c>
      <c r="G44" s="20">
        <v>150982</v>
      </c>
      <c r="H44" s="20">
        <v>134851</v>
      </c>
      <c r="I44" s="21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9">
        <f t="shared" si="28"/>
        <v>480607</v>
      </c>
    </row>
    <row r="45" ht="18" customHeight="1" spans="1:18">
      <c r="A45" s="12" t="s">
        <v>47</v>
      </c>
      <c r="B45" s="9">
        <f t="shared" si="0"/>
        <v>28</v>
      </c>
      <c r="C45" s="17">
        <f t="shared" si="27"/>
        <v>107</v>
      </c>
      <c r="E45" s="12" t="s">
        <v>47</v>
      </c>
      <c r="F45" s="20">
        <v>40</v>
      </c>
      <c r="G45" s="20">
        <v>39</v>
      </c>
      <c r="H45" s="20">
        <v>28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9">
        <f t="shared" si="28"/>
        <v>107</v>
      </c>
    </row>
    <row r="46" ht="18" customHeight="1" spans="1:18">
      <c r="A46" s="12" t="s">
        <v>49</v>
      </c>
      <c r="B46" s="9">
        <f t="shared" si="0"/>
        <v>25</v>
      </c>
      <c r="C46" s="17">
        <f t="shared" si="27"/>
        <v>86</v>
      </c>
      <c r="E46" s="12" t="s">
        <v>49</v>
      </c>
      <c r="F46" s="20">
        <v>32</v>
      </c>
      <c r="G46" s="20">
        <v>29</v>
      </c>
      <c r="H46" s="20">
        <v>25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9">
        <f t="shared" si="28"/>
        <v>86</v>
      </c>
    </row>
    <row r="47" ht="18" customHeight="1" spans="1:18">
      <c r="A47" s="12" t="s">
        <v>51</v>
      </c>
      <c r="B47" s="9">
        <f t="shared" si="0"/>
        <v>511</v>
      </c>
      <c r="C47" s="17">
        <f t="shared" si="27"/>
        <v>1775</v>
      </c>
      <c r="E47" s="12" t="s">
        <v>51</v>
      </c>
      <c r="F47" s="20">
        <v>854</v>
      </c>
      <c r="G47" s="20">
        <v>410</v>
      </c>
      <c r="H47" s="20">
        <v>511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9">
        <f t="shared" si="28"/>
        <v>1775</v>
      </c>
    </row>
    <row r="48" ht="18" customHeight="1" spans="1:18">
      <c r="A48" s="12" t="s">
        <v>53</v>
      </c>
      <c r="B48" s="9">
        <f t="shared" si="0"/>
        <v>511</v>
      </c>
      <c r="C48" s="17">
        <f t="shared" si="27"/>
        <v>1775</v>
      </c>
      <c r="E48" s="12" t="s">
        <v>53</v>
      </c>
      <c r="F48" s="20">
        <v>854</v>
      </c>
      <c r="G48" s="20">
        <v>410</v>
      </c>
      <c r="H48" s="20">
        <v>511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9">
        <f t="shared" si="28"/>
        <v>1775</v>
      </c>
    </row>
    <row r="49" ht="18" customHeight="1" spans="1:18">
      <c r="A49" s="41" t="s">
        <v>23</v>
      </c>
      <c r="B49" s="9">
        <f t="shared" si="0"/>
        <v>45284</v>
      </c>
      <c r="C49" s="17">
        <f t="shared" si="27"/>
        <v>181525</v>
      </c>
      <c r="E49" s="41" t="s">
        <v>23</v>
      </c>
      <c r="F49" s="20">
        <v>77888</v>
      </c>
      <c r="G49" s="20">
        <v>58353</v>
      </c>
      <c r="H49" s="20">
        <v>45284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9">
        <f t="shared" si="28"/>
        <v>181525</v>
      </c>
    </row>
    <row r="50" ht="18" customHeight="1" spans="1:18">
      <c r="A50" s="41" t="s">
        <v>55</v>
      </c>
      <c r="B50" s="9">
        <f t="shared" si="0"/>
        <v>118</v>
      </c>
      <c r="C50" s="17">
        <f t="shared" si="27"/>
        <v>597</v>
      </c>
      <c r="E50" s="41" t="s">
        <v>55</v>
      </c>
      <c r="F50" s="20">
        <v>201</v>
      </c>
      <c r="G50" s="20">
        <v>278</v>
      </c>
      <c r="H50" s="20">
        <v>118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9">
        <f t="shared" si="28"/>
        <v>597</v>
      </c>
    </row>
    <row r="51" ht="18" customHeight="1" spans="1:18">
      <c r="A51" s="41" t="s">
        <v>57</v>
      </c>
      <c r="B51" s="9">
        <f t="shared" si="0"/>
        <v>1</v>
      </c>
      <c r="C51" s="17">
        <f t="shared" si="27"/>
        <v>3</v>
      </c>
      <c r="E51" s="41" t="s">
        <v>57</v>
      </c>
      <c r="F51" s="20">
        <v>1</v>
      </c>
      <c r="G51" s="20">
        <v>1</v>
      </c>
      <c r="H51" s="20">
        <v>1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9">
        <f t="shared" si="28"/>
        <v>3</v>
      </c>
    </row>
    <row r="52" ht="18" customHeight="1" spans="1:18">
      <c r="A52" s="41" t="s">
        <v>59</v>
      </c>
      <c r="B52" s="9">
        <f t="shared" si="0"/>
        <v>0</v>
      </c>
      <c r="C52" s="17">
        <f t="shared" si="27"/>
        <v>0</v>
      </c>
      <c r="E52" s="41" t="s">
        <v>59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9">
        <f t="shared" si="28"/>
        <v>0</v>
      </c>
    </row>
    <row r="53" spans="1:18">
      <c r="A53" s="42" t="s">
        <v>168</v>
      </c>
      <c r="B53" s="9">
        <f t="shared" si="0"/>
        <v>0</v>
      </c>
      <c r="C53" s="17">
        <f t="shared" si="27"/>
        <v>0</v>
      </c>
      <c r="E53" s="41" t="s">
        <v>169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9">
        <f t="shared" si="28"/>
        <v>0</v>
      </c>
    </row>
    <row r="54" spans="1:18">
      <c r="A54" s="42" t="s">
        <v>170</v>
      </c>
      <c r="B54" s="9">
        <f t="shared" si="0"/>
        <v>23299</v>
      </c>
      <c r="C54" s="17">
        <f t="shared" si="27"/>
        <v>71162</v>
      </c>
      <c r="E54" s="43" t="s">
        <v>171</v>
      </c>
      <c r="F54" s="20">
        <v>25920</v>
      </c>
      <c r="G54" s="20">
        <v>21943</v>
      </c>
      <c r="H54" s="20">
        <v>23299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9">
        <f t="shared" si="28"/>
        <v>71162</v>
      </c>
    </row>
    <row r="55" spans="1:18">
      <c r="A55" s="42" t="s">
        <v>124</v>
      </c>
      <c r="B55" s="9">
        <f t="shared" si="0"/>
        <v>760518</v>
      </c>
      <c r="C55" s="17">
        <f t="shared" si="27"/>
        <v>3095596</v>
      </c>
      <c r="E55" s="43" t="s">
        <v>124</v>
      </c>
      <c r="F55" s="20">
        <v>1283190</v>
      </c>
      <c r="G55" s="20">
        <v>1051888</v>
      </c>
      <c r="H55" s="20">
        <v>760518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9">
        <f t="shared" si="28"/>
        <v>3095596</v>
      </c>
    </row>
    <row r="56" spans="1:18">
      <c r="A56" s="44" t="s">
        <v>116</v>
      </c>
      <c r="B56" s="9">
        <f t="shared" si="0"/>
        <v>17352</v>
      </c>
      <c r="C56" s="17">
        <f t="shared" si="27"/>
        <v>74579</v>
      </c>
      <c r="E56" s="44" t="s">
        <v>172</v>
      </c>
      <c r="F56" s="45">
        <v>32849</v>
      </c>
      <c r="G56" s="45">
        <v>24378</v>
      </c>
      <c r="H56" s="45">
        <v>17352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0</v>
      </c>
      <c r="R56" s="29">
        <f t="shared" si="28"/>
        <v>74579</v>
      </c>
    </row>
    <row r="57" spans="1:18">
      <c r="A57" s="44" t="s">
        <v>173</v>
      </c>
      <c r="B57" s="9">
        <f t="shared" si="0"/>
        <v>233494</v>
      </c>
      <c r="C57" s="17">
        <f t="shared" si="27"/>
        <v>1073585</v>
      </c>
      <c r="E57" s="44" t="s">
        <v>173</v>
      </c>
      <c r="F57" s="45">
        <v>472389</v>
      </c>
      <c r="G57" s="45">
        <v>367702</v>
      </c>
      <c r="H57" s="45">
        <v>233494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v>0</v>
      </c>
      <c r="Q57" s="45">
        <v>0</v>
      </c>
      <c r="R57" s="29">
        <f t="shared" si="28"/>
        <v>1073585</v>
      </c>
    </row>
    <row r="58" spans="1:18">
      <c r="A58" s="46" t="s">
        <v>174</v>
      </c>
      <c r="B58" s="9">
        <f t="shared" si="0"/>
        <v>311517</v>
      </c>
      <c r="C58" s="17">
        <f t="shared" si="27"/>
        <v>1198897</v>
      </c>
      <c r="E58" s="47" t="s">
        <v>174</v>
      </c>
      <c r="F58" s="48">
        <v>533262</v>
      </c>
      <c r="G58" s="48">
        <v>354118</v>
      </c>
      <c r="H58" s="48">
        <v>311517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9">
        <f t="shared" si="28"/>
        <v>1198897</v>
      </c>
    </row>
    <row r="59" spans="1:18">
      <c r="A59" s="46" t="s">
        <v>122</v>
      </c>
      <c r="B59" s="9">
        <f t="shared" si="0"/>
        <v>581</v>
      </c>
      <c r="C59" s="17">
        <f t="shared" si="27"/>
        <v>656</v>
      </c>
      <c r="E59" s="46" t="s">
        <v>122</v>
      </c>
      <c r="F59" s="48">
        <v>0</v>
      </c>
      <c r="G59" s="48">
        <v>75</v>
      </c>
      <c r="H59" s="48">
        <v>581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  <c r="Q59" s="48">
        <v>0</v>
      </c>
      <c r="R59" s="49">
        <f t="shared" si="28"/>
        <v>656</v>
      </c>
    </row>
    <row r="62" spans="1:18">
      <c r="C62" s="44"/>
    </row>
  </sheetData>
  <pageMargins left="0.75" right="0.75" top="1" bottom="1" header="0.5" footer="0.5"/>
  <pageSetup paperSize="9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1996-12-17T01:32:42Z</dcterms:created>
  <cp:lastPrinted>2020-06-01T06:07:06Z</cp:lastPrinted>
  <dcterms:modified xsi:type="dcterms:W3CDTF">2026-04-01T14:16:28Z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679B20737B024F738DB2D6B41EF783BF_13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