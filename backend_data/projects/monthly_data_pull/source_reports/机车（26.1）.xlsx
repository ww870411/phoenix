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firstSheet="12" activeTab="13"/>
  </bookViews>
  <sheets>
    <sheet name="25.1" sheetId="30" r:id="rId1"/>
    <sheet name="25.2" sheetId="31" r:id="rId2"/>
    <sheet name="25.3" sheetId="32" r:id="rId3"/>
    <sheet name="25.4.5" sheetId="33" r:id="rId4"/>
    <sheet name="25.4" sheetId="34" r:id="rId5"/>
    <sheet name="25.5" sheetId="35" r:id="rId6"/>
    <sheet name="25.6 " sheetId="36" r:id="rId7"/>
    <sheet name="25.7" sheetId="37" r:id="rId8"/>
    <sheet name="25.8" sheetId="38" r:id="rId9"/>
    <sheet name="25.9" sheetId="39" r:id="rId10"/>
    <sheet name="25.10" sheetId="40" r:id="rId11"/>
    <sheet name="25.11" sheetId="41" r:id="rId12"/>
    <sheet name="25.12" sheetId="42" r:id="rId13"/>
    <sheet name="26.1" sheetId="43" r:id="rId14"/>
    <sheet name="Sheet1" sheetId="1" r:id="rId15"/>
    <sheet name="Sheet2" sheetId="2" r:id="rId16"/>
    <sheet name="Sheet3" sheetId="3" r:id="rId17"/>
  </sheets>
  <externalReferences>
    <externalReference r:id="rId18"/>
  </externalReferences>
  <definedNames>
    <definedName name="codeValue0">[1]codeValue!$A$1:$A$3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<sst xmlns="http://schemas.openxmlformats.org/spreadsheetml/2006/main" count="393" uniqueCount="47">
  <si>
    <r>
      <rPr>
        <b/>
        <u/>
        <sz val="18"/>
        <rFont val="宋体"/>
        <charset val="134"/>
      </rPr>
      <t xml:space="preserve">     机车技师学院      </t>
    </r>
    <r>
      <rPr>
        <b/>
        <sz val="18"/>
        <rFont val="宋体"/>
        <charset val="134"/>
      </rPr>
      <t>锅炉房生产月报表</t>
    </r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</si>
  <si>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charset val="134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charset val="134"/>
      </rPr>
      <t>B008-2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</si>
  <si>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单位名称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盖章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：</t>
    </r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</si>
  <si>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制表单位：经济运行部</t>
    </r>
  </si>
  <si>
    <t>指标名称</t>
  </si>
  <si>
    <t>计量单位</t>
  </si>
  <si>
    <t>代码</t>
  </si>
  <si>
    <t>本年实际</t>
  </si>
  <si>
    <t>上年同期</t>
  </si>
  <si>
    <r>
      <rPr>
        <sz val="11"/>
        <rFont val="宋体"/>
        <charset val="134"/>
      </rPr>
      <t>备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注</t>
    </r>
  </si>
  <si>
    <t>本月</t>
  </si>
  <si>
    <t>累计</t>
  </si>
  <si>
    <t>月计</t>
  </si>
  <si>
    <t>期末供热面积</t>
  </si>
  <si>
    <t>平方米</t>
  </si>
  <si>
    <t>002</t>
  </si>
  <si>
    <t>供热量</t>
  </si>
  <si>
    <t>吉焦</t>
  </si>
  <si>
    <t>004</t>
  </si>
  <si>
    <t>耗水量</t>
  </si>
  <si>
    <t>吨</t>
  </si>
  <si>
    <t>005</t>
  </si>
  <si>
    <t>耗电量</t>
  </si>
  <si>
    <t>千瓦时</t>
  </si>
  <si>
    <t>006</t>
  </si>
  <si>
    <t xml:space="preserve">  供热公司：                      部门负责人：                 填表人：田雨
                                                       报出日期：2025年2月6日</t>
  </si>
  <si>
    <t>供暖小时数——744</t>
  </si>
  <si>
    <t xml:space="preserve">  供热公司：                      部门负责人：                 填表人：田雨
                                                       报出日期：2025年2月28日</t>
  </si>
  <si>
    <t xml:space="preserve">  供热公司：                      部门负责人：                 填表人：田雨
                                                       报出日期：2025年3月28日</t>
  </si>
  <si>
    <t>供暖小时数——674</t>
  </si>
  <si>
    <t>2025.3.25-2025.4.5</t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</si>
  <si>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制表单位：企业策划部</t>
    </r>
  </si>
  <si>
    <t xml:space="preserve">  供热公司：                    部门负责人：                 填表人：田雨
                                                       报出日期：2025年4月9日</t>
  </si>
  <si>
    <t>供暖小时数——217.5</t>
  </si>
  <si>
    <t xml:space="preserve">  供热公司：                    部门负责人：                 填表人：田雨
                                                       报出日期：2025年4月28日</t>
  </si>
  <si>
    <t xml:space="preserve">  供热公司：                    部门负责人：                 填表人：田雨
                                                       报出日期：2025年5月28日</t>
  </si>
  <si>
    <t>供暖小时数——0</t>
  </si>
  <si>
    <t xml:space="preserve">  供热公司：                    部门负责人：                 填表人：田雨
                                                       报出日期：2025年6月27日</t>
  </si>
  <si>
    <t xml:space="preserve">  供热公司：                    部门负责人：                 填表人：田雨
                                                       报出日期：2025年7月28日</t>
  </si>
  <si>
    <t xml:space="preserve">  供热公司：                    部门负责人：                 填表人：田雨
                                                       报出日期：2025年8月28日</t>
  </si>
  <si>
    <t xml:space="preserve">  供热公司：                    部门负责人：                 填表人：田雨
                                                       报出日期：2025年9月28日</t>
  </si>
  <si>
    <t xml:space="preserve">  供热公司：                    部门负责人：                 填表人：田雨
                                                       报出日期：2025年10月28日</t>
  </si>
  <si>
    <t xml:space="preserve">  供热公司：                    部门负责人：                 填表人：田雨
                                                       报出日期：2025年12月1日</t>
  </si>
  <si>
    <t>供暖小时数——544</t>
  </si>
  <si>
    <t xml:space="preserve">  供热公司：                    部门负责人：                 填表人：田雨
                                                       报出日期：2026年1月1日</t>
  </si>
  <si>
    <t>供暖小时数——720</t>
  </si>
  <si>
    <t xml:space="preserve">  供热公司：                    部门负责人：                 填表人：田雨
                                                       报出日期：2026年1月28日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</si>
</sst>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_);\(0.0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b/>
      <u/>
      <sz val="18"/>
      <name val="宋体"/>
      <charset val="134"/>
    </font>
    <font>
      <b/>
      <sz val="18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57" fontId="5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177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 2 4" xfId="49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jhb8956\&#26700;&#38754;\IV501_&#32852;&#32593;&#30452;&#25253;&#27861;&#20154;&#21333;&#20301;&#38750;&#37329;&#34701;&#36164;&#20135;&#25237;&#36164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codeValu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6" sqref="D6:E9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45682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f>D6</f>
        <v>7592.12</v>
      </c>
      <c r="F6" s="19">
        <v>4712.11</v>
      </c>
      <c r="G6" s="19">
        <f t="shared" ref="G6:G9" si="0">F6</f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397</v>
      </c>
      <c r="E7" s="28">
        <f>D7</f>
        <v>397</v>
      </c>
      <c r="F7" s="15">
        <v>292</v>
      </c>
      <c r="G7" s="28">
        <f t="shared" si="0"/>
        <v>292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42</v>
      </c>
      <c r="E8" s="28">
        <f>D8</f>
        <v>42</v>
      </c>
      <c r="F8" s="15">
        <v>0</v>
      </c>
      <c r="G8" s="28">
        <f t="shared" si="0"/>
        <v>0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118320</v>
      </c>
      <c r="E9" s="19">
        <f>D9</f>
        <v>118320</v>
      </c>
      <c r="F9" s="29">
        <v>89968</v>
      </c>
      <c r="G9" s="19">
        <f t="shared" si="0"/>
        <v>89968</v>
      </c>
      <c r="H9" s="16"/>
    </row>
    <row r="10" s="4" customFormat="1" ht="74.25" customHeight="1" spans="1:8">
      <c r="A10" s="25" t="s">
        <v>25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N10" sqref="N10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45713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f>D6</f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435</v>
      </c>
      <c r="E7" s="28">
        <f>D7+'25.1'!E7</f>
        <v>832</v>
      </c>
      <c r="F7" s="15">
        <v>306</v>
      </c>
      <c r="G7" s="28">
        <v>598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50</v>
      </c>
      <c r="E8" s="28">
        <f>D8+'25.1'!E8</f>
        <v>92</v>
      </c>
      <c r="F8" s="15">
        <v>49</v>
      </c>
      <c r="G8" s="28">
        <v>49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131160</v>
      </c>
      <c r="E9" s="19">
        <f>D9+'25.1'!E9</f>
        <v>249480</v>
      </c>
      <c r="F9" s="29">
        <v>94176.0000000002</v>
      </c>
      <c r="G9" s="19">
        <v>184144</v>
      </c>
      <c r="H9" s="16"/>
    </row>
    <row r="10" s="4" customFormat="1" ht="74.25" customHeight="1" spans="1:8">
      <c r="A10" s="25" t="s">
        <v>27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3" sqref="D3:E3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45741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f>D6</f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257</v>
      </c>
      <c r="E7" s="28">
        <f>D7+'25.2'!E7</f>
        <v>1089</v>
      </c>
      <c r="F7" s="15">
        <v>202</v>
      </c>
      <c r="G7" s="28">
        <v>800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73</v>
      </c>
      <c r="E8" s="28">
        <f>D8+'25.2'!E8</f>
        <v>165</v>
      </c>
      <c r="F8" s="15">
        <v>87</v>
      </c>
      <c r="G8" s="28">
        <v>136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78776.0000000002</v>
      </c>
      <c r="E9" s="19">
        <f>D9+'25.2'!E9</f>
        <v>328256</v>
      </c>
      <c r="F9" s="29">
        <v>60976.0000000002</v>
      </c>
      <c r="G9" s="19">
        <v>245120</v>
      </c>
      <c r="H9" s="16"/>
    </row>
    <row r="10" s="4" customFormat="1" ht="74.25" customHeight="1" spans="1:8">
      <c r="A10" s="25" t="s">
        <v>28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29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H20" sqref="H20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 t="s">
        <v>30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72</v>
      </c>
      <c r="E7" s="28">
        <f>D7+'25.3'!E7</f>
        <v>1161</v>
      </c>
      <c r="F7" s="15">
        <v>20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35</v>
      </c>
      <c r="E8" s="28">
        <f>D8+'25.3'!E8</f>
        <v>200</v>
      </c>
      <c r="F8" s="15">
        <v>38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23727.9999999999</v>
      </c>
      <c r="E9" s="19">
        <f>D9+'25.3'!E9</f>
        <v>351984</v>
      </c>
      <c r="F9" s="24">
        <v>7944.00000000023</v>
      </c>
      <c r="G9" s="24">
        <v>253064</v>
      </c>
      <c r="H9" s="16"/>
    </row>
    <row r="10" s="4" customFormat="1" ht="74.25" customHeight="1" spans="1:8">
      <c r="A10" s="25" t="s">
        <v>32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M13" sqref="M13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45772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72</v>
      </c>
      <c r="E7" s="28">
        <f>D7+'25.3'!E7</f>
        <v>1161</v>
      </c>
      <c r="F7" s="15">
        <v>20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35</v>
      </c>
      <c r="E8" s="28">
        <f>D8+'25.3'!E8</f>
        <v>200</v>
      </c>
      <c r="F8" s="15">
        <v>38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23727.9999999999</v>
      </c>
      <c r="E9" s="19">
        <f>D9+'25.3'!E9</f>
        <v>351984</v>
      </c>
      <c r="F9" s="24">
        <v>7944.00000000023</v>
      </c>
      <c r="G9" s="24">
        <v>253064</v>
      </c>
      <c r="H9" s="16"/>
    </row>
    <row r="10" s="4" customFormat="1" ht="74.25" customHeight="1" spans="1:8">
      <c r="A10" s="25" t="s">
        <v>34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9" sqref="E9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45802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D8+'25.4'!E8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0</v>
      </c>
      <c r="E9" s="19">
        <f>D9+'25.4'!E9</f>
        <v>351984</v>
      </c>
      <c r="F9" s="24">
        <v>0</v>
      </c>
      <c r="G9" s="24">
        <v>253064</v>
      </c>
      <c r="H9" s="16"/>
    </row>
    <row r="10" s="4" customFormat="1" ht="74.25" customHeight="1" spans="1:8">
      <c r="A10" s="25" t="s">
        <v>35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R10" sqref="R10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45833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D8+'25.5'!E8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408.000000000175</v>
      </c>
      <c r="E9" s="19">
        <f>D9+'25.5'!E9</f>
        <v>352392</v>
      </c>
      <c r="F9" s="24">
        <v>0</v>
      </c>
      <c r="G9" s="24">
        <v>253064</v>
      </c>
      <c r="H9" s="16"/>
    </row>
    <row r="10" s="4" customFormat="1" ht="74.25" customHeight="1" spans="1:8">
      <c r="A10" s="25" t="s">
        <v>37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13" sqref="G13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45863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D8+'25.6 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55.9999999997672</v>
      </c>
      <c r="E9" s="19">
        <f>D9+'25.6 '!E9</f>
        <v>352448</v>
      </c>
      <c r="F9" s="24">
        <v>0</v>
      </c>
      <c r="G9" s="24">
        <v>253064</v>
      </c>
      <c r="H9" s="16"/>
    </row>
    <row r="10" s="4" customFormat="1" ht="74.25" customHeight="1" spans="1:8">
      <c r="A10" s="25" t="s">
        <v>38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N9" sqref="N9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45894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D8+'25.7'!E8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72.0000000001164</v>
      </c>
      <c r="E9" s="19">
        <f>D9+'25.7'!E9</f>
        <v>352520</v>
      </c>
      <c r="F9" s="24">
        <v>0</v>
      </c>
      <c r="G9" s="24">
        <v>253064</v>
      </c>
      <c r="H9" s="16"/>
    </row>
    <row r="10" s="4" customFormat="1" ht="74.25" customHeight="1" spans="1:8">
      <c r="A10" s="25" t="s">
        <v>39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7" sqref="E7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45925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D8+'25.8'!E8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31.9999999999709</v>
      </c>
      <c r="E9" s="19">
        <f>D9+'25.8'!E9</f>
        <v>352552</v>
      </c>
      <c r="F9" s="24">
        <v>0</v>
      </c>
      <c r="G9" s="24">
        <v>253064</v>
      </c>
      <c r="H9" s="16"/>
    </row>
    <row r="10" s="4" customFormat="1" ht="74.25" customHeight="1" spans="1:8">
      <c r="A10" s="25" t="s">
        <v>40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9" sqref="E9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45955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7592.12</v>
      </c>
      <c r="E6" s="19">
        <v>7592.12</v>
      </c>
      <c r="F6" s="19">
        <v>4712.11</v>
      </c>
      <c r="G6" s="19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D7+'25.9'!E7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125</v>
      </c>
      <c r="E8" s="28">
        <f>D8+'25.9'!E8</f>
        <v>325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136</v>
      </c>
      <c r="E9" s="19">
        <f>D9+'25.9'!E9</f>
        <v>352688</v>
      </c>
      <c r="F9" s="24">
        <v>431.999999999971</v>
      </c>
      <c r="G9" s="24">
        <v>253496</v>
      </c>
      <c r="H9" s="16"/>
    </row>
    <row r="10" s="4" customFormat="1" ht="74.25" customHeight="1" spans="1:8">
      <c r="A10" s="25" t="s">
        <v>41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L17" sqref="L17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45986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7625.06</v>
      </c>
      <c r="E6" s="19">
        <f>(7592.12*102+D6*24)/(102+24)</f>
        <v>7598.39428571429</v>
      </c>
      <c r="F6" s="19">
        <v>7592.12</v>
      </c>
      <c r="G6" s="19">
        <v>5260.68333333333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150</v>
      </c>
      <c r="E7" s="28">
        <f>D7+'25.10'!E7</f>
        <v>1311</v>
      </c>
      <c r="F7" s="15">
        <v>151</v>
      </c>
      <c r="G7" s="15">
        <v>971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7</v>
      </c>
      <c r="E8" s="28">
        <f>D8+'25.10'!E8</f>
        <v>332</v>
      </c>
      <c r="F8" s="15">
        <v>63</v>
      </c>
      <c r="G8" s="15">
        <v>237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52136.0000000001</v>
      </c>
      <c r="E9" s="19">
        <f>D9+'25.10'!E9</f>
        <v>404824</v>
      </c>
      <c r="F9" s="24">
        <v>57103.9999999994</v>
      </c>
      <c r="G9" s="24">
        <v>310599.999999999</v>
      </c>
      <c r="H9" s="16"/>
    </row>
    <row r="10" s="4" customFormat="1" ht="74.25" customHeight="1" spans="1:8">
      <c r="A10" s="25" t="s">
        <v>42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43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3" sqref="D3:E3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46016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9">
        <v>7625.06</v>
      </c>
      <c r="E6" s="19">
        <f>(7592.12*102+'25.11'!D6*24+D6*30)/(102+24+30)</f>
        <v>7603.52230769231</v>
      </c>
      <c r="F6" s="19">
        <v>7592.12</v>
      </c>
      <c r="G6" s="19">
        <v>5709.03653846154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357</v>
      </c>
      <c r="E7" s="28">
        <f>D7+'25.11'!E7</f>
        <v>1668</v>
      </c>
      <c r="F7" s="15">
        <v>364</v>
      </c>
      <c r="G7" s="15">
        <v>1335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6</v>
      </c>
      <c r="E8" s="28">
        <f>D8+'25.11'!E8</f>
        <v>338</v>
      </c>
      <c r="F8" s="15">
        <v>30</v>
      </c>
      <c r="G8" s="15">
        <v>267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9">
        <v>108856</v>
      </c>
      <c r="E9" s="19">
        <f>D9+'25.11'!E9</f>
        <v>513680</v>
      </c>
      <c r="F9" s="24">
        <v>111456</v>
      </c>
      <c r="G9" s="24">
        <v>422055.999999999</v>
      </c>
      <c r="H9" s="16"/>
    </row>
    <row r="10" s="4" customFormat="1" ht="74.25" customHeight="1" spans="1:8">
      <c r="A10" s="25" t="s">
        <v>44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45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D6" sqref="D6:E9"/>
    </sheetView>
  </sheetViews>
  <sheetFormatPr defaultColWidth="9" defaultRowHeight="15" outlineLevelCol="7"/>
  <cols>
    <col min="1" max="1" width="16.8727272727273" style="5" customWidth="1"/>
    <col min="2" max="2" width="12.6272727272727" style="5" customWidth="1"/>
    <col min="3" max="3" width="7.12727272727273" style="5" customWidth="1"/>
    <col min="4" max="4" width="9.62727272727273" style="5"/>
    <col min="5" max="5" width="9.5" style="5" customWidth="1"/>
    <col min="6" max="6" width="9.25454545454545" style="5" customWidth="1"/>
    <col min="7" max="7" width="9.5" style="5" customWidth="1"/>
    <col min="8" max="8" width="11.5" style="5" customWidth="1"/>
    <col min="9" max="16384" width="9" style="5"/>
  </cols>
  <sheetData>
    <row r="1" ht="23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46047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8">
        <f>D6</f>
        <v>7625.06</v>
      </c>
      <c r="F6" s="19">
        <v>7592.12</v>
      </c>
      <c r="G6" s="19">
        <v>7592.12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20">
        <v>441</v>
      </c>
      <c r="E7" s="21">
        <f>D7</f>
        <v>441</v>
      </c>
      <c r="F7" s="15">
        <v>397</v>
      </c>
      <c r="G7" s="15">
        <v>397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20">
        <v>3</v>
      </c>
      <c r="E8" s="21">
        <f>D8</f>
        <v>3</v>
      </c>
      <c r="F8" s="15">
        <v>42</v>
      </c>
      <c r="G8" s="15">
        <v>42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132840.000000001</v>
      </c>
      <c r="E9" s="18">
        <f>D9</f>
        <v>132840.000000001</v>
      </c>
      <c r="F9" s="24">
        <v>118320</v>
      </c>
      <c r="G9" s="24">
        <v>118320</v>
      </c>
      <c r="H9" s="16"/>
    </row>
    <row r="10" s="4" customFormat="1" ht="74.25" customHeight="1" spans="1:8">
      <c r="A10" s="25" t="s">
        <v>46</v>
      </c>
      <c r="B10" s="5"/>
      <c r="C10" s="5"/>
      <c r="D10" s="5"/>
      <c r="E10" s="5"/>
      <c r="F10" s="5"/>
      <c r="G10" s="5"/>
      <c r="H10" s="5"/>
    </row>
    <row r="11" spans="1:8">
      <c r="A11" s="9"/>
    </row>
    <row r="12" spans="1:8">
      <c r="G12" s="26"/>
    </row>
    <row r="13" spans="1:8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25.1</vt:lpstr>
      <vt:lpstr>25.2</vt:lpstr>
      <vt:lpstr>25.3</vt:lpstr>
      <vt:lpstr>25.4.5</vt:lpstr>
      <vt:lpstr>25.4</vt:lpstr>
      <vt:lpstr>25.5</vt:lpstr>
      <vt:lpstr>25.6 </vt:lpstr>
      <vt:lpstr>25.7</vt:lpstr>
      <vt:lpstr>25.8</vt:lpstr>
      <vt:lpstr>25.9</vt:lpstr>
      <vt:lpstr>25.10</vt:lpstr>
      <vt:lpstr>25.11</vt:lpstr>
      <vt:lpstr>25.12</vt:lpstr>
      <vt:lpstr>26.1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2023-01-29T05:56:00Z</dcterms:created>
  <dcterms:modified xsi:type="dcterms:W3CDTF">2026-01-29T07:13:49Z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D1385FE3B53844488604A32ED7F0559F_12</vt:lpwstr>
  </property>
  <property fmtid="{D5CDD505-2E9C-101B-9397-08002B2CF9AE}" pid="4" name="CalculationRule">
    <vt:i4>0</vt:i4>
  </property>
</Properties>
</file>