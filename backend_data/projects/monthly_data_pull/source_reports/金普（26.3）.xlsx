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6590"/>
  </bookViews>
  <sheets>
    <sheet name="Sheet1" sheetId="1" r:id="rId1"/>
    <sheet name="Sheet2" sheetId="2" r:id="rId2"/>
    <sheet name="Sheet3" sheetId="3" r:id="rId3"/>
  </sheets>
  <externalReferences>
    <externalReference r:id="rId4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<sst xmlns="http://schemas.openxmlformats.org/spreadsheetml/2006/main" count="114" uniqueCount="57">
  <si>
    <r>
      <t>金普</t>
    </r>
    <r>
      <rPr>
        <sz val="16"/>
        <rFont val="Times New Roman"/>
        <family val="1"/>
        <charset val="0"/>
      </rPr>
      <t>2026</t>
    </r>
    <r>
      <rPr>
        <sz val="16"/>
        <rFont val="宋体"/>
        <charset val="134"/>
      </rPr>
      <t>年3月生产统计表</t>
    </r>
  </si>
  <si>
    <t>序号</t>
  </si>
  <si>
    <t>项  目</t>
  </si>
  <si>
    <t>计量单位</t>
  </si>
  <si>
    <t>本年计划</t>
  </si>
  <si>
    <t>本月计划</t>
  </si>
  <si>
    <t>上年同期</t>
  </si>
  <si>
    <t>本月实际</t>
  </si>
  <si>
    <t>本年累计</t>
  </si>
  <si>
    <t>年计划  完成率</t>
  </si>
  <si>
    <t>与月计划比较</t>
  </si>
  <si>
    <t>与上年同期比较</t>
  </si>
  <si>
    <t>差异</t>
  </si>
  <si>
    <t>%</t>
  </si>
  <si>
    <t>装机总容量</t>
  </si>
  <si>
    <t>兆瓦</t>
  </si>
  <si>
    <t>期末供热面积</t>
  </si>
  <si>
    <t>平方米</t>
  </si>
  <si>
    <t>其中：高温水面积</t>
  </si>
  <si>
    <t>实际平均供热面积</t>
  </si>
  <si>
    <t>供汽量</t>
  </si>
  <si>
    <t>吨</t>
  </si>
  <si>
    <t>-</t>
  </si>
  <si>
    <t>供热量</t>
  </si>
  <si>
    <t>吉焦</t>
  </si>
  <si>
    <t>高温水销售量</t>
  </si>
  <si>
    <t>生产耗原煤量</t>
  </si>
  <si>
    <t>生产耗油量</t>
  </si>
  <si>
    <t>耗标煤总量</t>
  </si>
  <si>
    <t>耗水量</t>
  </si>
  <si>
    <t>其中：耗井水量</t>
  </si>
  <si>
    <t>用电量</t>
  </si>
  <si>
    <t>千瓦时</t>
  </si>
  <si>
    <t>耗氧化镁量</t>
  </si>
  <si>
    <t>耗脱硝剂量</t>
  </si>
  <si>
    <t>供热用电率</t>
  </si>
  <si>
    <r>
      <t>千瓦时</t>
    </r>
    <r>
      <rPr>
        <sz val="10"/>
        <rFont val="Times New Roman"/>
        <family val="1"/>
        <charset val="0"/>
      </rPr>
      <t>/</t>
    </r>
    <r>
      <rPr>
        <sz val="10"/>
        <rFont val="宋体"/>
        <charset val="134"/>
      </rPr>
      <t>吉焦</t>
    </r>
  </si>
  <si>
    <t>供热煤耗率</t>
  </si>
  <si>
    <r>
      <t>千克</t>
    </r>
    <r>
      <rPr>
        <sz val="10"/>
        <rFont val="Times New Roman"/>
        <family val="1"/>
        <charset val="0"/>
      </rPr>
      <t>/</t>
    </r>
    <r>
      <rPr>
        <sz val="10"/>
        <rFont val="宋体"/>
        <charset val="134"/>
      </rPr>
      <t>吉焦</t>
    </r>
  </si>
  <si>
    <t>入厂煤量</t>
  </si>
  <si>
    <t>期末库存煤量</t>
  </si>
  <si>
    <t>入炉煤低位发热量</t>
  </si>
  <si>
    <r>
      <t>千焦</t>
    </r>
    <r>
      <rPr>
        <sz val="10"/>
        <rFont val="Times New Roman"/>
        <family val="1"/>
        <charset val="0"/>
      </rPr>
      <t>/</t>
    </r>
    <r>
      <rPr>
        <sz val="10"/>
        <rFont val="宋体"/>
        <charset val="134"/>
      </rPr>
      <t>千克</t>
    </r>
  </si>
  <si>
    <t>入厂煤低位发热量</t>
  </si>
  <si>
    <t>锅炉热效率</t>
  </si>
  <si>
    <t>锅炉设备利用率</t>
  </si>
  <si>
    <t>供暖功耗率</t>
  </si>
  <si>
    <t>瓦/平方米</t>
  </si>
  <si>
    <t>单位面积耗标准煤量</t>
  </si>
  <si>
    <t>千克/平方米</t>
  </si>
  <si>
    <t>单位面积耗电量</t>
  </si>
  <si>
    <t>千瓦时/平方米</t>
  </si>
  <si>
    <t>单位面积耗水量</t>
  </si>
  <si>
    <r>
      <t xml:space="preserve">          </t>
    </r>
    <r>
      <rPr>
        <sz val="12"/>
        <rFont val="宋体"/>
        <charset val="134"/>
      </rPr>
      <t>审核：</t>
    </r>
  </si>
  <si>
    <r>
      <t xml:space="preserve">                                </t>
    </r>
    <r>
      <rPr>
        <sz val="12"/>
        <rFont val="宋体"/>
        <charset val="134"/>
      </rPr>
      <t>填表：</t>
    </r>
  </si>
  <si>
    <r>
      <t xml:space="preserve">                             </t>
    </r>
    <r>
      <rPr>
        <sz val="12"/>
        <rFont val="宋体"/>
        <charset val="134"/>
      </rPr>
      <t>报出日期：</t>
    </r>
    <r>
      <rPr>
        <sz val="12"/>
        <rFont val="Times New Roman"/>
        <family val="1"/>
        <charset val="0"/>
      </rPr>
      <t>2015</t>
    </r>
    <r>
      <rPr>
        <sz val="12"/>
        <rFont val="宋体"/>
        <charset val="134"/>
      </rPr>
      <t>年</t>
    </r>
    <r>
      <rPr>
        <sz val="12"/>
        <rFont val="Times New Roman"/>
        <family val="1"/>
        <charset val="0"/>
      </rPr>
      <t>12</t>
    </r>
    <r>
      <rPr>
        <sz val="12"/>
        <rFont val="宋体"/>
        <charset val="134"/>
      </rPr>
      <t>月</t>
    </r>
    <r>
      <rPr>
        <sz val="12"/>
        <rFont val="Times New Roman"/>
        <family val="1"/>
        <charset val="0"/>
      </rPr>
      <t>1</t>
    </r>
    <r>
      <rPr>
        <sz val="12"/>
        <rFont val="宋体"/>
        <charset val="134"/>
      </rPr>
      <t>日</t>
    </r>
  </si>
  <si>
    <t>报出时间：2026年3月31日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</si>
</sst>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.00_ "/>
    <numFmt numFmtId="177" formatCode="0.0%"/>
    <numFmt numFmtId="178" formatCode="#,##0_ "/>
    <numFmt numFmtId="179" formatCode="#,##0_);[Red]\(#,##0\)"/>
    <numFmt numFmtId="180" formatCode="0_ "/>
    <numFmt numFmtId="181" formatCode="0.00_ "/>
    <numFmt numFmtId="182" formatCode="0.0_ "/>
    <numFmt numFmtId="183" formatCode="#,##0.0_ "/>
    <numFmt numFmtId="184" formatCode="0.0"/>
    <numFmt numFmtId="185" formatCode="_ * #,##0_ ;_ * \-#,##0_ ;_ * &quot;-&quot;??_ ;_ @_ "/>
    <numFmt numFmtId="186" formatCode="_ * #,##0.0_ ;_ * \-#,##0.0_ ;_ * &quot;-&quot;??_ ;_ @_ "/>
  </numFmts>
  <fonts count="26">
    <font>
      <sz val="12"/>
      <name val="宋体"/>
      <charset val="134"/>
    </font>
    <font>
      <sz val="10"/>
      <name val="Times New Roman"/>
      <family val="1"/>
      <charset val="0"/>
    </font>
    <font>
      <sz val="16"/>
      <name val="宋体"/>
      <charset val="134"/>
    </font>
    <font>
      <sz val="16"/>
      <name val="Times New Roman"/>
      <family val="1"/>
      <charset val="0"/>
    </font>
    <font>
      <b/>
      <sz val="11"/>
      <name val="黑体"/>
      <family val="3"/>
      <charset val="134"/>
    </font>
    <font>
      <sz val="10"/>
      <name val="宋体"/>
      <charset val="134"/>
    </font>
    <font>
      <sz val="12"/>
      <name val="Times New Roman"/>
      <family val="1"/>
      <charset val="0"/>
    </font>
    <font>
      <u/>
      <sz val="11"/>
      <color indexed="12"/>
      <name val="宋体"/>
      <charset val="134"/>
    </font>
    <font>
      <u/>
      <sz val="11"/>
      <color rgb="FF800080"/>
      <name val="宋体"/>
      <charset val="134"/>
    </font>
    <font>
      <sz val="11"/>
      <color indexed="8"/>
      <name val="宋体"/>
      <charset val="134"/>
    </font>
    <font>
      <sz val="11"/>
      <color indexed="10"/>
      <name val="宋体"/>
      <charset val="134"/>
    </font>
    <font>
      <b/>
      <sz val="18"/>
      <color rgb="FF44546A"/>
      <name val="宋体"/>
      <charset val="134"/>
    </font>
    <font>
      <i/>
      <sz val="11"/>
      <color indexed="23"/>
      <name val="宋体"/>
      <charset val="134"/>
    </font>
    <font>
      <b/>
      <sz val="15"/>
      <color rgb="FF44546A"/>
      <name val="宋体"/>
      <charset val="134"/>
    </font>
    <font>
      <b/>
      <sz val="13"/>
      <color rgb="FF44546A"/>
      <name val="宋体"/>
      <charset val="134"/>
    </font>
    <font>
      <b/>
      <sz val="11"/>
      <color rgb="FF44546A"/>
      <name val="宋体"/>
      <charset val="134"/>
    </font>
    <font>
      <sz val="11"/>
      <color rgb="FF3F3F76"/>
      <name val="宋体"/>
      <charset val="134"/>
    </font>
    <font>
      <b/>
      <sz val="11"/>
      <color rgb="FF3F3F3F"/>
      <name val="宋体"/>
      <charset val="134"/>
    </font>
    <font>
      <b/>
      <sz val="11"/>
      <color rgb="FFFA7D00"/>
      <name val="宋体"/>
      <charset val="134"/>
    </font>
    <font>
      <b/>
      <sz val="11"/>
      <color indexed="9"/>
      <name val="宋体"/>
      <charset val="134"/>
    </font>
    <font>
      <sz val="11"/>
      <color rgb="FFFA7D00"/>
      <name val="宋体"/>
      <charset val="134"/>
    </font>
    <font>
      <b/>
      <sz val="11"/>
      <color indexed="8"/>
      <name val="宋体"/>
      <charset val="134"/>
    </font>
    <font>
      <sz val="11"/>
      <color rgb="FF006100"/>
      <name val="宋体"/>
      <charset val="134"/>
    </font>
    <font>
      <sz val="11"/>
      <color rgb="FF9C0006"/>
      <name val="宋体"/>
      <charset val="134"/>
    </font>
    <font>
      <sz val="11"/>
      <color rgb="FF9C6500"/>
      <name val="宋体"/>
      <charset val="134"/>
    </font>
    <font>
      <sz val="11"/>
      <color indexed="9"/>
      <name val="宋体"/>
      <charset val="134"/>
    </font>
  </fonts>
  <fills count="35">
    <fill>
      <patternFill patternType="none"/>
    </fill>
    <fill>
      <patternFill patternType="gray125"/>
    </fill>
    <fill>
      <patternFill patternType="gray125">
        <bgColor indexed="9"/>
      </patternFill>
    </fill>
    <fill>
      <patternFill patternType="solid">
        <fgColor indexed="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5B9BD5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9BC2E6"/>
        <bgColor indexed="64"/>
      </patternFill>
    </fill>
    <fill>
      <patternFill patternType="solid">
        <fgColor rgb="FFED7D31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F4B084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DBDBDB"/>
        <bgColor indexed="64"/>
      </patternFill>
    </fill>
    <fill>
      <patternFill patternType="solid">
        <fgColor rgb="FFC9C9C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FFD966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B4C6E7"/>
        <bgColor indexed="64"/>
      </patternFill>
    </fill>
    <fill>
      <patternFill patternType="solid">
        <fgColor rgb="FF8EA9DB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rgb="FFA9D08E"/>
        <bgColor indexed="64"/>
      </patternFill>
    </fill>
  </fills>
  <borders count="30">
    <border>
      <left/>
      <right/>
      <top/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 style="thin">
        <color auto="1"/>
      </left>
      <right/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rgb="FF000000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rgb="FF5B9BD5"/>
      </bottom>
      <diagonal/>
    </border>
    <border>
      <left/>
      <right/>
      <top/>
      <bottom style="medium">
        <color rgb="FFACCCEA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rgb="FF5B9BD5"/>
      </top>
      <bottom style="double">
        <color rgb="FF5B9BD5"/>
      </bottom>
      <diagonal/>
    </border>
  </borders>
  <cellStyleXfs count="52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5" borderId="22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23" applyNumberFormat="0" applyFill="0" applyAlignment="0" applyProtection="0">
      <alignment vertical="center"/>
    </xf>
    <xf numFmtId="0" fontId="14" fillId="0" borderId="23" applyNumberFormat="0" applyFill="0" applyAlignment="0" applyProtection="0">
      <alignment vertical="center"/>
    </xf>
    <xf numFmtId="0" fontId="15" fillId="0" borderId="2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6" borderId="25" applyNumberFormat="0" applyAlignment="0" applyProtection="0">
      <alignment vertical="center"/>
    </xf>
    <xf numFmtId="0" fontId="17" fillId="7" borderId="26" applyNumberFormat="0" applyAlignment="0" applyProtection="0">
      <alignment vertical="center"/>
    </xf>
    <xf numFmtId="0" fontId="18" fillId="7" borderId="25" applyNumberFormat="0" applyAlignment="0" applyProtection="0">
      <alignment vertical="center"/>
    </xf>
    <xf numFmtId="0" fontId="19" fillId="8" borderId="27" applyNumberFormat="0" applyAlignment="0" applyProtection="0">
      <alignment vertical="center"/>
    </xf>
    <xf numFmtId="0" fontId="20" fillId="0" borderId="28" applyNumberFormat="0" applyFill="0" applyAlignment="0" applyProtection="0">
      <alignment vertical="center"/>
    </xf>
    <xf numFmtId="0" fontId="21" fillId="0" borderId="29" applyNumberFormat="0" applyFill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9" fillId="0" borderId="0">
      <alignment vertical="center"/>
    </xf>
  </cellStyleXfs>
  <cellXfs count="128">
    <xf numFmtId="0" fontId="0" fillId="0" borderId="0" xfId="0">
      <alignment vertical="center"/>
    </xf>
    <xf numFmtId="0" fontId="1" fillId="0" borderId="0" xfId="49" applyFont="1" applyAlignment="1">
      <alignment vertical="center"/>
    </xf>
    <xf numFmtId="0" fontId="1" fillId="0" borderId="0" xfId="49" applyFont="1" applyFill="1" applyAlignment="1">
      <alignment vertical="center"/>
    </xf>
    <xf numFmtId="0" fontId="1" fillId="0" borderId="0" xfId="49" applyFont="1" applyAlignment="1">
      <alignment horizontal="center"/>
    </xf>
    <xf numFmtId="0" fontId="1" fillId="0" borderId="0" xfId="49" applyFont="1"/>
    <xf numFmtId="0" fontId="0" fillId="0" borderId="0" xfId="0" applyFont="1" applyFill="1">
      <alignment vertical="center"/>
    </xf>
    <xf numFmtId="0" fontId="2" fillId="0" borderId="0" xfId="49" applyFont="1" applyAlignment="1">
      <alignment horizontal="center" vertical="center"/>
    </xf>
    <xf numFmtId="0" fontId="3" fillId="0" borderId="0" xfId="49" applyFont="1" applyAlignment="1">
      <alignment horizontal="center" vertical="center"/>
    </xf>
    <xf numFmtId="0" fontId="3" fillId="0" borderId="0" xfId="49" applyFont="1" applyFill="1" applyAlignment="1">
      <alignment horizontal="center" vertical="center"/>
    </xf>
    <xf numFmtId="1" fontId="4" fillId="2" borderId="1" xfId="49" applyNumberFormat="1" applyFont="1" applyFill="1" applyBorder="1" applyAlignment="1">
      <alignment horizontal="center" vertical="center" wrapText="1"/>
    </xf>
    <xf numFmtId="1" fontId="4" fillId="2" borderId="2" xfId="49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1" fontId="4" fillId="2" borderId="6" xfId="49" applyNumberFormat="1" applyFont="1" applyFill="1" applyBorder="1" applyAlignment="1">
      <alignment horizontal="center" vertical="center" wrapText="1"/>
    </xf>
    <xf numFmtId="0" fontId="4" fillId="2" borderId="7" xfId="49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1" fontId="1" fillId="0" borderId="0" xfId="49" applyNumberFormat="1" applyFont="1" applyBorder="1" applyAlignment="1">
      <alignment horizontal="center" vertical="center"/>
    </xf>
    <xf numFmtId="43" fontId="5" fillId="0" borderId="11" xfId="1" applyNumberFormat="1" applyFont="1" applyBorder="1" applyAlignment="1">
      <alignment vertical="center"/>
    </xf>
    <xf numFmtId="1" fontId="5" fillId="0" borderId="12" xfId="49" applyNumberFormat="1" applyFont="1" applyBorder="1" applyAlignment="1">
      <alignment horizontal="center" vertical="center"/>
    </xf>
    <xf numFmtId="176" fontId="1" fillId="0" borderId="13" xfId="0" applyNumberFormat="1" applyFont="1" applyFill="1" applyBorder="1" applyAlignment="1">
      <alignment vertical="center"/>
    </xf>
    <xf numFmtId="176" fontId="1" fillId="0" borderId="14" xfId="0" applyNumberFormat="1" applyFont="1" applyFill="1" applyBorder="1" applyAlignment="1">
      <alignment vertical="center"/>
    </xf>
    <xf numFmtId="176" fontId="1" fillId="0" borderId="15" xfId="0" applyNumberFormat="1" applyFont="1" applyFill="1" applyBorder="1" applyAlignment="1">
      <alignment vertical="center"/>
    </xf>
    <xf numFmtId="177" fontId="1" fillId="0" borderId="0" xfId="0" applyNumberFormat="1" applyFont="1" applyFill="1" applyAlignment="1">
      <alignment vertical="center"/>
    </xf>
    <xf numFmtId="177" fontId="1" fillId="0" borderId="16" xfId="0" applyNumberFormat="1" applyFont="1" applyFill="1" applyBorder="1" applyAlignment="1">
      <alignment vertical="center"/>
    </xf>
    <xf numFmtId="1" fontId="1" fillId="0" borderId="0" xfId="49" applyNumberFormat="1" applyFont="1" applyFill="1" applyBorder="1" applyAlignment="1">
      <alignment horizontal="center" vertical="center"/>
    </xf>
    <xf numFmtId="43" fontId="5" fillId="0" borderId="15" xfId="1" applyNumberFormat="1" applyFont="1" applyFill="1" applyBorder="1" applyAlignment="1">
      <alignment vertical="center"/>
    </xf>
    <xf numFmtId="1" fontId="5" fillId="0" borderId="12" xfId="49" applyNumberFormat="1" applyFont="1" applyFill="1" applyBorder="1" applyAlignment="1">
      <alignment horizontal="center" vertical="center"/>
    </xf>
    <xf numFmtId="178" fontId="1" fillId="0" borderId="17" xfId="1" applyNumberFormat="1" applyFont="1" applyFill="1" applyBorder="1" applyAlignment="1">
      <alignment horizontal="right" vertical="center"/>
    </xf>
    <xf numFmtId="178" fontId="1" fillId="0" borderId="12" xfId="1" applyNumberFormat="1" applyFont="1" applyFill="1" applyBorder="1" applyAlignment="1">
      <alignment horizontal="right" vertical="center"/>
    </xf>
    <xf numFmtId="179" fontId="1" fillId="0" borderId="15" xfId="0" applyNumberFormat="1" applyFont="1" applyFill="1" applyBorder="1" applyAlignment="1">
      <alignment vertical="center"/>
    </xf>
    <xf numFmtId="177" fontId="1" fillId="0" borderId="0" xfId="0" applyNumberFormat="1" applyFont="1" applyFill="1" applyBorder="1" applyAlignment="1">
      <alignment vertical="center"/>
    </xf>
    <xf numFmtId="178" fontId="1" fillId="0" borderId="15" xfId="0" applyNumberFormat="1" applyFont="1" applyFill="1" applyBorder="1" applyAlignment="1">
      <alignment vertical="center"/>
    </xf>
    <xf numFmtId="3" fontId="1" fillId="0" borderId="0" xfId="49" applyNumberFormat="1" applyFont="1" applyFill="1" applyAlignment="1">
      <alignment vertical="center"/>
    </xf>
    <xf numFmtId="43" fontId="5" fillId="0" borderId="15" xfId="1" applyNumberFormat="1" applyFont="1" applyBorder="1" applyAlignment="1">
      <alignment vertical="center"/>
    </xf>
    <xf numFmtId="180" fontId="1" fillId="0" borderId="13" xfId="49" applyNumberFormat="1" applyFont="1" applyBorder="1" applyAlignment="1">
      <alignment vertical="center"/>
    </xf>
    <xf numFmtId="180" fontId="1" fillId="0" borderId="0" xfId="49" applyNumberFormat="1" applyFont="1" applyFill="1" applyAlignment="1">
      <alignment vertical="center"/>
    </xf>
    <xf numFmtId="180" fontId="1" fillId="0" borderId="15" xfId="49" applyNumberFormat="1" applyFont="1" applyFill="1" applyBorder="1" applyAlignment="1">
      <alignment vertical="center"/>
    </xf>
    <xf numFmtId="178" fontId="1" fillId="0" borderId="17" xfId="1" applyNumberFormat="1" applyFont="1" applyBorder="1" applyAlignment="1">
      <alignment horizontal="right" vertical="center"/>
    </xf>
    <xf numFmtId="3" fontId="1" fillId="0" borderId="0" xfId="49" applyNumberFormat="1" applyFont="1" applyAlignment="1">
      <alignment vertical="center"/>
    </xf>
    <xf numFmtId="178" fontId="1" fillId="0" borderId="17" xfId="1" applyNumberFormat="1" applyFont="1" applyFill="1" applyBorder="1" applyAlignment="1">
      <alignment horizontal="right" vertical="center" shrinkToFit="1"/>
    </xf>
    <xf numFmtId="178" fontId="1" fillId="0" borderId="12" xfId="1" applyNumberFormat="1" applyFont="1" applyFill="1" applyBorder="1" applyAlignment="1">
      <alignment horizontal="right" vertical="center" shrinkToFit="1"/>
    </xf>
    <xf numFmtId="179" fontId="1" fillId="0" borderId="15" xfId="0" applyNumberFormat="1" applyFont="1" applyFill="1" applyBorder="1" applyAlignment="1">
      <alignment horizontal="right" vertical="center"/>
    </xf>
    <xf numFmtId="43" fontId="1" fillId="0" borderId="15" xfId="1" applyNumberFormat="1" applyFont="1" applyFill="1" applyBorder="1" applyAlignment="1">
      <alignment horizontal="right" vertical="center" shrinkToFit="1"/>
    </xf>
    <xf numFmtId="43" fontId="5" fillId="3" borderId="15" xfId="1" applyNumberFormat="1" applyFont="1" applyFill="1" applyBorder="1" applyAlignment="1">
      <alignment vertical="center"/>
    </xf>
    <xf numFmtId="1" fontId="5" fillId="3" borderId="12" xfId="49" applyNumberFormat="1" applyFont="1" applyFill="1" applyBorder="1" applyAlignment="1">
      <alignment horizontal="center" vertical="center"/>
    </xf>
    <xf numFmtId="178" fontId="1" fillId="0" borderId="17" xfId="1" applyNumberFormat="1" applyFont="1" applyBorder="1" applyAlignment="1">
      <alignment vertical="center"/>
    </xf>
    <xf numFmtId="178" fontId="1" fillId="0" borderId="12" xfId="1" applyNumberFormat="1" applyFont="1" applyFill="1" applyBorder="1" applyAlignment="1">
      <alignment vertical="center"/>
    </xf>
    <xf numFmtId="178" fontId="1" fillId="0" borderId="15" xfId="1" applyNumberFormat="1" applyFont="1" applyFill="1" applyBorder="1" applyAlignment="1">
      <alignment horizontal="right" vertical="center" shrinkToFit="1"/>
    </xf>
    <xf numFmtId="178" fontId="1" fillId="0" borderId="13" xfId="0" applyNumberFormat="1" applyFont="1" applyFill="1" applyBorder="1" applyAlignment="1">
      <alignment horizontal="right" vertical="center"/>
    </xf>
    <xf numFmtId="43" fontId="1" fillId="0" borderId="12" xfId="1" applyNumberFormat="1" applyFont="1" applyFill="1" applyBorder="1" applyAlignment="1">
      <alignment horizontal="right" vertical="center" shrinkToFit="1"/>
    </xf>
    <xf numFmtId="43" fontId="1" fillId="4" borderId="12" xfId="1" applyNumberFormat="1" applyFont="1" applyFill="1" applyBorder="1" applyAlignment="1">
      <alignment horizontal="right" vertical="center" shrinkToFit="1"/>
    </xf>
    <xf numFmtId="179" fontId="1" fillId="4" borderId="15" xfId="0" applyNumberFormat="1" applyFont="1" applyFill="1" applyBorder="1" applyAlignment="1">
      <alignment vertical="center"/>
    </xf>
    <xf numFmtId="43" fontId="1" fillId="0" borderId="17" xfId="1" applyNumberFormat="1" applyFont="1" applyFill="1" applyBorder="1" applyAlignment="1">
      <alignment horizontal="right" vertical="center" shrinkToFit="1"/>
    </xf>
    <xf numFmtId="178" fontId="1" fillId="0" borderId="0" xfId="0" applyNumberFormat="1" applyFont="1" applyFill="1" applyBorder="1" applyAlignment="1">
      <alignment horizontal="right" vertical="center"/>
    </xf>
    <xf numFmtId="179" fontId="1" fillId="0" borderId="13" xfId="0" applyNumberFormat="1" applyFont="1" applyFill="1" applyBorder="1" applyAlignment="1">
      <alignment vertical="center"/>
    </xf>
    <xf numFmtId="178" fontId="1" fillId="0" borderId="12" xfId="0" applyNumberFormat="1" applyFont="1" applyFill="1" applyBorder="1" applyAlignment="1">
      <alignment horizontal="right" vertical="center"/>
    </xf>
    <xf numFmtId="181" fontId="1" fillId="0" borderId="13" xfId="49" applyNumberFormat="1" applyFont="1" applyFill="1" applyBorder="1" applyAlignment="1">
      <alignment vertical="center"/>
    </xf>
    <xf numFmtId="181" fontId="1" fillId="0" borderId="0" xfId="49" applyNumberFormat="1" applyFont="1" applyFill="1" applyAlignment="1">
      <alignment vertical="center"/>
    </xf>
    <xf numFmtId="181" fontId="1" fillId="0" borderId="15" xfId="0" applyNumberFormat="1" applyFont="1" applyFill="1" applyBorder="1" applyAlignment="1">
      <alignment vertical="center"/>
    </xf>
    <xf numFmtId="181" fontId="1" fillId="0" borderId="17" xfId="3" applyNumberFormat="1" applyFont="1" applyFill="1" applyBorder="1" applyAlignment="1">
      <alignment vertical="center" shrinkToFit="1"/>
    </xf>
    <xf numFmtId="181" fontId="1" fillId="0" borderId="12" xfId="3" applyNumberFormat="1" applyFont="1" applyFill="1" applyBorder="1" applyAlignment="1">
      <alignment vertical="center" shrinkToFit="1"/>
    </xf>
    <xf numFmtId="181" fontId="1" fillId="0" borderId="15" xfId="3" applyNumberFormat="1" applyFont="1" applyFill="1" applyBorder="1" applyAlignment="1">
      <alignment vertical="center" shrinkToFit="1"/>
    </xf>
    <xf numFmtId="182" fontId="1" fillId="0" borderId="0" xfId="0" applyNumberFormat="1" applyFont="1" applyFill="1" applyAlignment="1">
      <alignment horizontal="right" vertical="center"/>
    </xf>
    <xf numFmtId="183" fontId="1" fillId="0" borderId="15" xfId="0" applyNumberFormat="1" applyFont="1" applyFill="1" applyBorder="1" applyAlignment="1">
      <alignment vertical="center"/>
    </xf>
    <xf numFmtId="182" fontId="1" fillId="0" borderId="16" xfId="0" applyNumberFormat="1" applyFont="1" applyFill="1" applyBorder="1" applyAlignment="1">
      <alignment horizontal="right" vertical="center"/>
    </xf>
    <xf numFmtId="182" fontId="1" fillId="0" borderId="15" xfId="0" applyNumberFormat="1" applyFont="1" applyFill="1" applyBorder="1" applyAlignment="1">
      <alignment vertical="center"/>
    </xf>
    <xf numFmtId="182" fontId="1" fillId="0" borderId="17" xfId="1" applyNumberFormat="1" applyFont="1" applyBorder="1" applyAlignment="1">
      <alignment vertical="center"/>
    </xf>
    <xf numFmtId="182" fontId="1" fillId="0" borderId="0" xfId="1" applyNumberFormat="1" applyFont="1" applyFill="1" applyBorder="1" applyAlignment="1">
      <alignment vertical="center"/>
    </xf>
    <xf numFmtId="184" fontId="1" fillId="0" borderId="15" xfId="3" applyNumberFormat="1" applyFont="1" applyFill="1" applyBorder="1" applyAlignment="1">
      <alignment vertical="center" shrinkToFit="1"/>
    </xf>
    <xf numFmtId="0" fontId="1" fillId="0" borderId="0" xfId="49" applyFont="1" applyBorder="1" applyAlignment="1">
      <alignment vertical="center"/>
    </xf>
    <xf numFmtId="0" fontId="1" fillId="0" borderId="0" xfId="49" applyFont="1" applyFill="1" applyBorder="1" applyAlignment="1">
      <alignment vertical="center"/>
    </xf>
    <xf numFmtId="176" fontId="1" fillId="0" borderId="0" xfId="0" applyNumberFormat="1" applyFont="1" applyFill="1" applyBorder="1" applyAlignment="1">
      <alignment vertical="center"/>
    </xf>
    <xf numFmtId="179" fontId="1" fillId="0" borderId="0" xfId="0" applyNumberFormat="1" applyFont="1" applyFill="1" applyBorder="1" applyAlignment="1">
      <alignment vertical="center"/>
    </xf>
    <xf numFmtId="179" fontId="1" fillId="0" borderId="17" xfId="1" applyNumberFormat="1" applyFont="1" applyFill="1" applyBorder="1" applyAlignment="1">
      <alignment vertical="center"/>
    </xf>
    <xf numFmtId="179" fontId="1" fillId="0" borderId="12" xfId="1" applyNumberFormat="1" applyFont="1" applyFill="1" applyBorder="1" applyAlignment="1">
      <alignment vertical="center"/>
    </xf>
    <xf numFmtId="179" fontId="1" fillId="0" borderId="15" xfId="1" applyNumberFormat="1" applyFont="1" applyFill="1" applyBorder="1" applyAlignment="1">
      <alignment vertical="center"/>
    </xf>
    <xf numFmtId="0" fontId="1" fillId="0" borderId="0" xfId="0" applyFont="1" applyFill="1" applyAlignment="1">
      <alignment horizontal="right" vertical="center"/>
    </xf>
    <xf numFmtId="178" fontId="1" fillId="0" borderId="16" xfId="0" applyNumberFormat="1" applyFont="1" applyFill="1" applyBorder="1" applyAlignment="1">
      <alignment horizontal="right" vertical="center"/>
    </xf>
    <xf numFmtId="180" fontId="1" fillId="0" borderId="0" xfId="49" applyNumberFormat="1" applyFont="1" applyFill="1" applyBorder="1" applyAlignment="1">
      <alignment vertical="center"/>
    </xf>
    <xf numFmtId="185" fontId="1" fillId="0" borderId="15" xfId="0" applyNumberFormat="1" applyFont="1" applyFill="1" applyBorder="1" applyAlignment="1">
      <alignment horizontal="right" vertical="center"/>
    </xf>
    <xf numFmtId="0" fontId="1" fillId="0" borderId="15" xfId="0" applyFont="1" applyFill="1" applyBorder="1" applyAlignment="1">
      <alignment horizontal="right" vertical="center"/>
    </xf>
    <xf numFmtId="43" fontId="5" fillId="0" borderId="15" xfId="1" applyNumberFormat="1" applyFont="1" applyBorder="1" applyAlignment="1">
      <alignment horizontal="left" vertical="center"/>
    </xf>
    <xf numFmtId="177" fontId="1" fillId="0" borderId="17" xfId="3" applyNumberFormat="1" applyFont="1" applyFill="1" applyBorder="1" applyAlignment="1">
      <alignment vertical="center" shrinkToFit="1"/>
    </xf>
    <xf numFmtId="177" fontId="1" fillId="0" borderId="12" xfId="3" applyNumberFormat="1" applyFont="1" applyFill="1" applyBorder="1" applyAlignment="1">
      <alignment vertical="center" shrinkToFit="1"/>
    </xf>
    <xf numFmtId="177" fontId="1" fillId="0" borderId="15" xfId="3" applyNumberFormat="1" applyFont="1" applyFill="1" applyBorder="1" applyAlignment="1">
      <alignment vertical="center" shrinkToFit="1"/>
    </xf>
    <xf numFmtId="177" fontId="1" fillId="0" borderId="0" xfId="0" applyNumberFormat="1" applyFont="1" applyFill="1" applyAlignment="1">
      <alignment horizontal="right" vertical="center"/>
    </xf>
    <xf numFmtId="177" fontId="1" fillId="0" borderId="15" xfId="0" applyNumberFormat="1" applyFont="1" applyFill="1" applyBorder="1" applyAlignment="1">
      <alignment vertical="center"/>
    </xf>
    <xf numFmtId="177" fontId="1" fillId="0" borderId="16" xfId="0" applyNumberFormat="1" applyFont="1" applyFill="1" applyBorder="1" applyAlignment="1">
      <alignment horizontal="right" vertical="center"/>
    </xf>
    <xf numFmtId="10" fontId="1" fillId="0" borderId="0" xfId="49" applyNumberFormat="1" applyFont="1" applyAlignment="1">
      <alignment vertical="center"/>
    </xf>
    <xf numFmtId="43" fontId="1" fillId="0" borderId="0" xfId="1" applyNumberFormat="1" applyFont="1" applyFill="1" applyBorder="1" applyAlignment="1">
      <alignment horizontal="right" vertical="center" shrinkToFit="1"/>
    </xf>
    <xf numFmtId="177" fontId="1" fillId="0" borderId="17" xfId="3" applyNumberFormat="1" applyFont="1" applyFill="1" applyBorder="1">
      <alignment vertical="center"/>
    </xf>
    <xf numFmtId="177" fontId="1" fillId="0" borderId="12" xfId="3" applyNumberFormat="1" applyFont="1" applyFill="1" applyBorder="1">
      <alignment vertical="center"/>
    </xf>
    <xf numFmtId="177" fontId="1" fillId="0" borderId="15" xfId="3" applyNumberFormat="1" applyFont="1" applyFill="1" applyBorder="1">
      <alignment vertical="center"/>
    </xf>
    <xf numFmtId="178" fontId="1" fillId="0" borderId="0" xfId="1" applyNumberFormat="1" applyFont="1" applyFill="1" applyBorder="1" applyAlignment="1">
      <alignment horizontal="right" vertical="center" shrinkToFit="1"/>
    </xf>
    <xf numFmtId="183" fontId="1" fillId="0" borderId="17" xfId="3" applyNumberFormat="1" applyFont="1" applyFill="1" applyBorder="1">
      <alignment vertical="center"/>
    </xf>
    <xf numFmtId="183" fontId="1" fillId="0" borderId="15" xfId="3" applyNumberFormat="1" applyFont="1" applyFill="1" applyBorder="1">
      <alignment vertical="center"/>
    </xf>
    <xf numFmtId="186" fontId="1" fillId="0" borderId="17" xfId="1" applyNumberFormat="1" applyFont="1" applyFill="1" applyBorder="1">
      <alignment vertical="center"/>
    </xf>
    <xf numFmtId="186" fontId="1" fillId="0" borderId="12" xfId="1" applyNumberFormat="1" applyFont="1" applyFill="1" applyBorder="1" applyAlignment="1">
      <alignment vertical="center"/>
    </xf>
    <xf numFmtId="186" fontId="1" fillId="0" borderId="15" xfId="1" applyNumberFormat="1" applyFont="1" applyFill="1" applyBorder="1">
      <alignment vertical="center"/>
    </xf>
    <xf numFmtId="186" fontId="1" fillId="0" borderId="17" xfId="1" applyNumberFormat="1" applyFont="1" applyFill="1" applyBorder="1" applyAlignment="1">
      <alignment vertical="center"/>
    </xf>
    <xf numFmtId="186" fontId="1" fillId="0" borderId="15" xfId="1" applyNumberFormat="1" applyFont="1" applyFill="1" applyBorder="1" applyAlignment="1">
      <alignment vertical="center"/>
    </xf>
    <xf numFmtId="0" fontId="1" fillId="0" borderId="18" xfId="49" applyFont="1" applyFill="1" applyBorder="1" applyAlignment="1">
      <alignment horizontal="center" vertical="center"/>
    </xf>
    <xf numFmtId="43" fontId="5" fillId="0" borderId="19" xfId="1" applyNumberFormat="1" applyFont="1" applyFill="1" applyBorder="1" applyAlignment="1">
      <alignment vertical="center"/>
    </xf>
    <xf numFmtId="1" fontId="5" fillId="3" borderId="19" xfId="49" applyNumberFormat="1" applyFont="1" applyFill="1" applyBorder="1" applyAlignment="1">
      <alignment horizontal="center" vertical="center"/>
    </xf>
    <xf numFmtId="183" fontId="1" fillId="0" borderId="20" xfId="1" applyNumberFormat="1" applyFont="1" applyFill="1" applyBorder="1">
      <alignment vertical="center"/>
    </xf>
    <xf numFmtId="183" fontId="1" fillId="0" borderId="21" xfId="1" applyNumberFormat="1" applyFont="1" applyFill="1" applyBorder="1">
      <alignment vertical="center"/>
    </xf>
    <xf numFmtId="183" fontId="1" fillId="0" borderId="19" xfId="1" applyNumberFormat="1" applyFont="1" applyFill="1" applyBorder="1">
      <alignment vertical="center"/>
    </xf>
    <xf numFmtId="183" fontId="1" fillId="0" borderId="18" xfId="1" applyNumberFormat="1" applyFont="1" applyBorder="1" applyAlignment="1">
      <alignment horizontal="right" vertical="center"/>
    </xf>
    <xf numFmtId="183" fontId="1" fillId="0" borderId="19" xfId="1" applyNumberFormat="1" applyFont="1" applyBorder="1" applyAlignment="1">
      <alignment vertical="center"/>
    </xf>
    <xf numFmtId="183" fontId="1" fillId="0" borderId="18" xfId="0" applyNumberFormat="1" applyFont="1" applyBorder="1" applyAlignment="1">
      <alignment horizontal="right" vertical="center"/>
    </xf>
    <xf numFmtId="0" fontId="6" fillId="0" borderId="0" xfId="49" applyFont="1" applyAlignment="1"/>
    <xf numFmtId="0" fontId="6" fillId="0" borderId="0" xfId="49" applyFont="1" applyAlignment="1">
      <alignment horizontal="center"/>
    </xf>
    <xf numFmtId="43" fontId="6" fillId="0" borderId="0" xfId="1" applyNumberFormat="1" applyFont="1" applyAlignment="1"/>
    <xf numFmtId="43" fontId="6" fillId="0" borderId="0" xfId="1" applyNumberFormat="1" applyFont="1" applyFill="1" applyAlignment="1"/>
    <xf numFmtId="0" fontId="6" fillId="0" borderId="0" xfId="49" applyFont="1" applyFill="1" applyAlignment="1"/>
    <xf numFmtId="43" fontId="0" fillId="0" borderId="3" xfId="1" applyNumberFormat="1" applyFont="1" applyBorder="1" applyAlignment="1">
      <alignment horizontal="center"/>
    </xf>
    <xf numFmtId="43" fontId="6" fillId="0" borderId="3" xfId="1" applyNumberFormat="1" applyFont="1" applyBorder="1" applyAlignment="1">
      <alignment horizontal="center"/>
    </xf>
    <xf numFmtId="0" fontId="1" fillId="0" borderId="0" xfId="49" applyFont="1" applyBorder="1"/>
    <xf numFmtId="0" fontId="0" fillId="0" borderId="0" xfId="49" applyFont="1" applyAlignment="1">
      <alignment horizontal="center" vertical="center" wrapText="1"/>
    </xf>
    <xf numFmtId="0" fontId="6" fillId="0" borderId="0" xfId="49" applyFont="1" applyAlignment="1">
      <alignment horizontal="center" vertical="center" wrapText="1"/>
    </xf>
    <xf numFmtId="0" fontId="6" fillId="0" borderId="0" xfId="49" applyFont="1" applyFill="1" applyAlignment="1">
      <alignment horizontal="center" vertical="center" wrapText="1"/>
    </xf>
    <xf numFmtId="181" fontId="1" fillId="0" borderId="0" xfId="0" applyNumberFormat="1" applyFont="1" applyFill="1" applyBorder="1" applyAlignment="1">
      <alignment vertical="center"/>
    </xf>
    <xf numFmtId="181" fontId="1" fillId="0" borderId="0" xfId="3" applyNumberFormat="1" applyFont="1" applyFill="1" applyBorder="1" applyAlignment="1">
      <alignment vertical="center" shrinkToFit="1"/>
    </xf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_power" xfId="49"/>
    <cellStyle name="常规_Sheet1" xfId="50"/>
    <cellStyle name="常规 2" xfId="51"/>
  </cellStyles>
  <tableStyles count="0" defaultTableStyle="TableStyleMedium2" defaultPivotStyle="PivotStyleLight16"/>
  <colors>
    <mruColors>
      <color rgb="0092D050"/>
      <color rgb="00FFFFFF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&#35745;&#31639;&#26426;\&#29983;&#25216;&#22788;\&#32463;&#33829;&#35745;&#21010;&#21644;&#20135;&#38144;&#35745;&#21010;\2026&#24180;&#24230;&#29983;&#20135;&#32463;&#33829;&#35745;&#21010;\&#29983;&#20135;&#32463;&#33829;&#21333;&#20301;&#24180;&#24230;&#39044;&#31639;&#32534;&#21046;&#27169;&#26495;\&#38468;&#20214;&#19977;&#65306;&#20135;&#38144;&#35745;&#21010;&#27169;&#26495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集团汇总"/>
      <sheetName val="主城区"/>
      <sheetName val="股份公司"/>
      <sheetName val="股份本部"/>
      <sheetName val="北海汇总"/>
      <sheetName val="北海热电联产"/>
      <sheetName val="北海水炉"/>
      <sheetName val="北海天然气炉"/>
      <sheetName val="香海热电厂"/>
      <sheetName val="供热公司"/>
      <sheetName val="主城区电锅炉"/>
      <sheetName val="金州热电"/>
      <sheetName val="北方热电"/>
      <sheetName val="金普热电"/>
      <sheetName val="庄河环海"/>
      <sheetName val="研究院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7">
          <cell r="E7">
            <v>531097.62060491</v>
          </cell>
        </row>
        <row r="11">
          <cell r="E11">
            <v>18614.7605633803</v>
          </cell>
        </row>
        <row r="17">
          <cell r="E17">
            <v>1716497.83</v>
          </cell>
        </row>
        <row r="19">
          <cell r="E19">
            <v>42525.9153205631</v>
          </cell>
        </row>
        <row r="22">
          <cell r="E22">
            <v>25555.5878147839</v>
          </cell>
        </row>
        <row r="34">
          <cell r="E34">
            <v>104393.155</v>
          </cell>
        </row>
        <row r="43">
          <cell r="E43">
            <v>206.665189095836</v>
          </cell>
        </row>
        <row r="44">
          <cell r="E44">
            <v>112.970305635977</v>
          </cell>
        </row>
        <row r="55">
          <cell r="E55">
            <v>725.981511865304</v>
          </cell>
        </row>
      </sheetData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40"/>
  <sheetViews>
    <sheetView showGridLines="0" tabSelected="1" zoomScale="115" zoomScaleNormal="115" zoomScaleSheetLayoutView="60" workbookViewId="0">
      <selection activeCell="G11" sqref="G11"/>
    </sheetView>
  </sheetViews>
  <sheetFormatPr defaultColWidth="9" defaultRowHeight="15"/>
  <cols>
    <col min="1" max="1" width="4.875" style="3" customWidth="1"/>
    <col min="2" max="2" width="16.75" style="4" customWidth="1"/>
    <col min="3" max="3" width="13.625" style="3" customWidth="1"/>
    <col min="4" max="4" width="10.125" customWidth="1"/>
    <col min="5" max="5" width="10.125" style="5" customWidth="1"/>
    <col min="6" max="8" width="9.625" style="5" customWidth="1"/>
    <col min="9" max="13" width="8.125" customWidth="1"/>
    <col min="14" max="14" width="9" style="4"/>
    <col min="15" max="16" width="10.375" style="4"/>
    <col min="17" max="17" width="9.625" style="4"/>
    <col min="18" max="23" width="9" style="4"/>
    <col min="24" max="24" width="9.625" style="4"/>
    <col min="25" max="16384" width="9" style="4"/>
  </cols>
  <sheetData>
    <row r="1" spans="1:16">
      <c r="A1" s="6" t="s">
        <v>0</v>
      </c>
      <c r="B1" s="7"/>
      <c r="C1" s="7"/>
      <c r="D1" s="7"/>
      <c r="E1" s="8"/>
      <c r="F1" s="8"/>
      <c r="G1" s="8"/>
      <c r="H1" s="8"/>
      <c r="I1" s="7"/>
      <c r="J1" s="7"/>
      <c r="K1" s="7"/>
      <c r="L1" s="7"/>
      <c r="M1" s="7"/>
    </row>
    <row r="2" ht="11" customHeight="1" spans="1:16">
      <c r="A2" s="7"/>
      <c r="B2" s="7"/>
      <c r="C2" s="7"/>
      <c r="D2" s="7"/>
      <c r="E2" s="8"/>
      <c r="F2" s="8"/>
      <c r="G2" s="8"/>
      <c r="H2" s="8"/>
      <c r="I2" s="7"/>
      <c r="J2" s="7"/>
      <c r="K2" s="7"/>
      <c r="L2" s="7"/>
      <c r="M2" s="7"/>
    </row>
    <row r="3" s="1" customFormat="1" ht="18" customHeight="1" spans="1:16">
      <c r="A3" s="9" t="s">
        <v>1</v>
      </c>
      <c r="B3" s="10" t="s">
        <v>2</v>
      </c>
      <c r="C3" s="10" t="s">
        <v>3</v>
      </c>
      <c r="D3" s="11" t="s">
        <v>4</v>
      </c>
      <c r="E3" s="11" t="s">
        <v>5</v>
      </c>
      <c r="F3" s="11" t="s">
        <v>6</v>
      </c>
      <c r="G3" s="11" t="s">
        <v>7</v>
      </c>
      <c r="H3" s="11" t="s">
        <v>8</v>
      </c>
      <c r="I3" s="12" t="s">
        <v>9</v>
      </c>
      <c r="J3" s="13" t="s">
        <v>10</v>
      </c>
      <c r="K3" s="14"/>
      <c r="L3" s="13" t="s">
        <v>11</v>
      </c>
      <c r="M3" s="14"/>
    </row>
    <row r="4" s="1" customFormat="1" ht="19.5" customHeight="1" spans="1:16">
      <c r="A4" s="15"/>
      <c r="B4" s="16"/>
      <c r="C4" s="16"/>
      <c r="D4" s="17"/>
      <c r="E4" s="17"/>
      <c r="F4" s="17"/>
      <c r="G4" s="17"/>
      <c r="H4" s="17"/>
      <c r="I4" s="18"/>
      <c r="J4" s="19" t="s">
        <v>12</v>
      </c>
      <c r="K4" s="20" t="s">
        <v>13</v>
      </c>
      <c r="L4" s="20" t="s">
        <v>12</v>
      </c>
      <c r="M4" s="18" t="s">
        <v>13</v>
      </c>
    </row>
    <row r="5" s="1" customFormat="1" ht="14.85" customHeight="1" spans="1:16">
      <c r="A5" s="21">
        <v>1</v>
      </c>
      <c r="B5" s="22" t="s">
        <v>14</v>
      </c>
      <c r="C5" s="23" t="s">
        <v>15</v>
      </c>
      <c r="D5" s="24">
        <f>99+63</f>
        <v>162</v>
      </c>
      <c r="E5" s="25">
        <v>162</v>
      </c>
      <c r="F5" s="26">
        <v>162</v>
      </c>
      <c r="G5" s="26">
        <f>E5</f>
        <v>162</v>
      </c>
      <c r="H5" s="26">
        <f>D5</f>
        <v>162</v>
      </c>
      <c r="I5" s="27">
        <f t="shared" ref="I5:I19" si="0">H5/D5</f>
        <v>1</v>
      </c>
      <c r="J5" s="26">
        <f t="shared" ref="J5:J22" si="1">G5-E5</f>
        <v>0</v>
      </c>
      <c r="K5" s="28">
        <f t="shared" ref="K5:K19" si="2">J5/E5</f>
        <v>0</v>
      </c>
      <c r="L5" s="26">
        <f>G5-F5</f>
        <v>0</v>
      </c>
      <c r="M5" s="28">
        <f t="shared" ref="M5:M19" si="3">L5/F5</f>
        <v>0</v>
      </c>
    </row>
    <row r="6" s="2" customFormat="1" ht="14.85" customHeight="1" spans="1:16">
      <c r="A6" s="29">
        <v>2</v>
      </c>
      <c r="B6" s="30" t="s">
        <v>16</v>
      </c>
      <c r="C6" s="31" t="s">
        <v>17</v>
      </c>
      <c r="D6" s="32">
        <f>[1]金普热电!$E$17+D7</f>
        <v>1771497.83</v>
      </c>
      <c r="E6" s="33">
        <v>1796212.42717</v>
      </c>
      <c r="F6" s="34">
        <v>1759025.25</v>
      </c>
      <c r="G6" s="34">
        <f>1714458.54+G7</f>
        <v>1769458.54</v>
      </c>
      <c r="H6" s="34">
        <f>G6</f>
        <v>1769458.54</v>
      </c>
      <c r="I6" s="35">
        <f t="shared" si="0"/>
        <v>0.998848832911074</v>
      </c>
      <c r="J6" s="36">
        <f t="shared" si="1"/>
        <v>-26753.88717</v>
      </c>
      <c r="K6" s="28">
        <f t="shared" si="2"/>
        <v>-0.0148946119987332</v>
      </c>
      <c r="L6" s="36">
        <f t="shared" ref="L6:L22" si="4">G6-F6</f>
        <v>10433.29</v>
      </c>
      <c r="M6" s="28">
        <f t="shared" si="3"/>
        <v>0.00593129063951756</v>
      </c>
      <c r="N6" s="37"/>
      <c r="O6" s="1"/>
    </row>
    <row r="7" s="1" customFormat="1" ht="14.85" customHeight="1" spans="1:16">
      <c r="A7" s="21"/>
      <c r="B7" s="38" t="s">
        <v>18</v>
      </c>
      <c r="C7" s="23" t="s">
        <v>17</v>
      </c>
      <c r="D7" s="39">
        <v>55000</v>
      </c>
      <c r="E7" s="40">
        <v>55000</v>
      </c>
      <c r="F7" s="41">
        <v>55000</v>
      </c>
      <c r="G7" s="41">
        <v>55000</v>
      </c>
      <c r="H7" s="41">
        <v>55000</v>
      </c>
      <c r="I7" s="35">
        <f t="shared" si="0"/>
        <v>1</v>
      </c>
      <c r="J7" s="36">
        <f t="shared" si="1"/>
        <v>0</v>
      </c>
      <c r="K7" s="28">
        <f t="shared" si="2"/>
        <v>0</v>
      </c>
      <c r="L7" s="36">
        <f t="shared" si="4"/>
        <v>0</v>
      </c>
      <c r="M7" s="28">
        <f t="shared" si="3"/>
        <v>0</v>
      </c>
    </row>
    <row r="8" s="1" customFormat="1" ht="14.85" customHeight="1" spans="1:16">
      <c r="A8" s="21">
        <v>3</v>
      </c>
      <c r="B8" s="38" t="s">
        <v>19</v>
      </c>
      <c r="C8" s="23" t="s">
        <v>17</v>
      </c>
      <c r="D8" s="42">
        <f>D6</f>
        <v>1771497.83</v>
      </c>
      <c r="E8" s="33">
        <f>E6</f>
        <v>1796212.42717</v>
      </c>
      <c r="F8" s="34">
        <v>1759025.25</v>
      </c>
      <c r="G8" s="34">
        <f>G6</f>
        <v>1769458.54</v>
      </c>
      <c r="H8" s="34">
        <f>H6</f>
        <v>1769458.54</v>
      </c>
      <c r="I8" s="35">
        <f t="shared" si="0"/>
        <v>0.998848832911074</v>
      </c>
      <c r="J8" s="36">
        <f t="shared" si="1"/>
        <v>-26753.88717</v>
      </c>
      <c r="K8" s="28">
        <f t="shared" si="2"/>
        <v>-0.0148946119987332</v>
      </c>
      <c r="L8" s="36">
        <f t="shared" si="4"/>
        <v>10433.29</v>
      </c>
      <c r="M8" s="28">
        <f t="shared" si="3"/>
        <v>0.00593129063951756</v>
      </c>
      <c r="N8" s="43"/>
    </row>
    <row r="9" s="1" customFormat="1" ht="14.85" customHeight="1" spans="1:16">
      <c r="A9" s="21">
        <v>4</v>
      </c>
      <c r="B9" s="38" t="s">
        <v>20</v>
      </c>
      <c r="C9" s="23" t="s">
        <v>21</v>
      </c>
      <c r="D9" s="44" t="s">
        <v>22</v>
      </c>
      <c r="E9" s="45" t="s">
        <v>22</v>
      </c>
      <c r="F9" s="46"/>
      <c r="G9" s="47"/>
      <c r="H9" s="47"/>
      <c r="I9" s="35"/>
      <c r="J9" s="36"/>
      <c r="K9" s="28"/>
      <c r="L9" s="36"/>
      <c r="M9" s="28"/>
    </row>
    <row r="10" s="1" customFormat="1" ht="14.85" customHeight="1" spans="1:16">
      <c r="A10" s="21">
        <v>5</v>
      </c>
      <c r="B10" s="48" t="s">
        <v>23</v>
      </c>
      <c r="C10" s="49" t="s">
        <v>24</v>
      </c>
      <c r="D10" s="50">
        <f>[1]金普热电!$E$7</f>
        <v>531097.62060491</v>
      </c>
      <c r="E10" s="51">
        <v>47148.5221987391</v>
      </c>
      <c r="F10" s="52">
        <v>47207.8404844</v>
      </c>
      <c r="G10" s="52">
        <v>47008.0507792</v>
      </c>
      <c r="H10" s="34">
        <f>267460.1467164+G10</f>
        <v>314468.1974956</v>
      </c>
      <c r="I10" s="35">
        <f t="shared" si="0"/>
        <v>0.59210997243299</v>
      </c>
      <c r="J10" s="36">
        <f t="shared" si="1"/>
        <v>-140.471419539106</v>
      </c>
      <c r="K10" s="28">
        <f t="shared" si="2"/>
        <v>-0.00297933875736328</v>
      </c>
      <c r="L10" s="36">
        <f t="shared" si="4"/>
        <v>-199.789705200012</v>
      </c>
      <c r="M10" s="28">
        <f t="shared" si="3"/>
        <v>-0.00423212972993401</v>
      </c>
      <c r="N10" s="43"/>
    </row>
    <row r="11" s="1" customFormat="1" ht="14.85" customHeight="1" spans="1:16">
      <c r="A11" s="21">
        <v>6</v>
      </c>
      <c r="B11" s="48" t="s">
        <v>25</v>
      </c>
      <c r="C11" s="49" t="s">
        <v>24</v>
      </c>
      <c r="D11" s="53">
        <f>[1]金普热电!$E$11</f>
        <v>18614.7605633803</v>
      </c>
      <c r="E11" s="54">
        <v>2960.03521126761</v>
      </c>
      <c r="F11" s="54">
        <v>2990</v>
      </c>
      <c r="G11" s="55">
        <v>1308</v>
      </c>
      <c r="H11" s="56">
        <f>7520+G11</f>
        <v>8828</v>
      </c>
      <c r="I11" s="35">
        <f t="shared" si="0"/>
        <v>0.474247303366705</v>
      </c>
      <c r="J11" s="36">
        <f t="shared" si="1"/>
        <v>-1652.03521126761</v>
      </c>
      <c r="K11" s="28">
        <f t="shared" si="2"/>
        <v>-0.558113364658301</v>
      </c>
      <c r="L11" s="36">
        <f t="shared" si="4"/>
        <v>-1682</v>
      </c>
      <c r="M11" s="28">
        <f t="shared" si="3"/>
        <v>-0.562541806020067</v>
      </c>
      <c r="N11" s="43"/>
    </row>
    <row r="12" s="1" customFormat="1" ht="14.85" customHeight="1" spans="1:16">
      <c r="A12" s="21">
        <v>7</v>
      </c>
      <c r="B12" s="38" t="s">
        <v>26</v>
      </c>
      <c r="C12" s="23" t="s">
        <v>21</v>
      </c>
      <c r="D12" s="39">
        <f>[1]金普热电!$E$19</f>
        <v>42525.9153205631</v>
      </c>
      <c r="E12" s="40">
        <v>3940.05715833629</v>
      </c>
      <c r="F12" s="34">
        <v>3907</v>
      </c>
      <c r="G12" s="34">
        <v>4061</v>
      </c>
      <c r="H12" s="34">
        <f>21656+G12</f>
        <v>25717</v>
      </c>
      <c r="I12" s="35">
        <f t="shared" si="0"/>
        <v>0.604737130433139</v>
      </c>
      <c r="J12" s="36">
        <f t="shared" si="1"/>
        <v>120.94284166371</v>
      </c>
      <c r="K12" s="28">
        <f t="shared" si="2"/>
        <v>0.0306957073980061</v>
      </c>
      <c r="L12" s="36">
        <f t="shared" si="4"/>
        <v>154</v>
      </c>
      <c r="M12" s="28">
        <f t="shared" si="3"/>
        <v>0.0394164320450473</v>
      </c>
      <c r="N12" s="43"/>
    </row>
    <row r="13" s="1" customFormat="1" ht="14.85" customHeight="1" spans="1:16">
      <c r="A13" s="21">
        <v>8</v>
      </c>
      <c r="B13" s="38" t="s">
        <v>27</v>
      </c>
      <c r="C13" s="23" t="s">
        <v>21</v>
      </c>
      <c r="D13" s="57"/>
      <c r="E13" s="54"/>
      <c r="F13" s="34"/>
      <c r="G13" s="34"/>
      <c r="H13" s="34">
        <v>0</v>
      </c>
      <c r="I13" s="58" t="s">
        <v>22</v>
      </c>
      <c r="J13" s="36">
        <f t="shared" si="1"/>
        <v>0</v>
      </c>
      <c r="K13" s="28" t="e">
        <f t="shared" si="2"/>
        <v>#DIV/0!</v>
      </c>
      <c r="L13" s="36">
        <f t="shared" si="4"/>
        <v>0</v>
      </c>
      <c r="M13" s="28" t="e">
        <f t="shared" si="3"/>
        <v>#DIV/0!</v>
      </c>
    </row>
    <row r="14" s="1" customFormat="1" ht="14.85" customHeight="1" spans="1:16">
      <c r="A14" s="21">
        <v>9</v>
      </c>
      <c r="B14" s="48" t="s">
        <v>28</v>
      </c>
      <c r="C14" s="49" t="s">
        <v>21</v>
      </c>
      <c r="D14" s="59">
        <f>[1]金普热电!$E$22</f>
        <v>25555.5878147839</v>
      </c>
      <c r="E14" s="54">
        <v>2314.40107971259</v>
      </c>
      <c r="F14" s="54">
        <v>2291.01842857143</v>
      </c>
      <c r="G14" s="54">
        <v>2291.332</v>
      </c>
      <c r="H14" s="34">
        <f>13036.719+G14</f>
        <v>15328.051</v>
      </c>
      <c r="I14" s="27">
        <f t="shared" si="0"/>
        <v>0.599792542871298</v>
      </c>
      <c r="J14" s="36">
        <f t="shared" si="1"/>
        <v>-23.069079712589</v>
      </c>
      <c r="K14" s="28">
        <f t="shared" si="2"/>
        <v>-0.00996762398479946</v>
      </c>
      <c r="L14" s="36">
        <f t="shared" si="4"/>
        <v>0.313571428571322</v>
      </c>
      <c r="M14" s="28">
        <f t="shared" si="3"/>
        <v>0.000136869884877727</v>
      </c>
      <c r="N14" s="43"/>
    </row>
    <row r="15" s="2" customFormat="1" ht="14.85" customHeight="1" spans="1:16">
      <c r="A15" s="29">
        <v>10</v>
      </c>
      <c r="B15" s="30" t="s">
        <v>29</v>
      </c>
      <c r="C15" s="31" t="s">
        <v>21</v>
      </c>
      <c r="D15" s="59">
        <f>[1]金普热电!$E$34</f>
        <v>104393.155</v>
      </c>
      <c r="E15" s="59">
        <v>15733.075</v>
      </c>
      <c r="F15" s="34">
        <v>18509.5</v>
      </c>
      <c r="G15" s="34">
        <v>19928</v>
      </c>
      <c r="H15" s="34">
        <f>43463+G15</f>
        <v>63391</v>
      </c>
      <c r="I15" s="27">
        <f t="shared" si="0"/>
        <v>0.607233299922778</v>
      </c>
      <c r="J15" s="36">
        <f t="shared" si="1"/>
        <v>4194.925</v>
      </c>
      <c r="K15" s="28">
        <f t="shared" si="2"/>
        <v>0.266630966927953</v>
      </c>
      <c r="L15" s="36">
        <f t="shared" si="4"/>
        <v>1418.5</v>
      </c>
      <c r="M15" s="28">
        <f t="shared" si="3"/>
        <v>0.0766363218887598</v>
      </c>
      <c r="N15" s="37"/>
      <c r="O15" s="1"/>
      <c r="P15" s="1"/>
    </row>
    <row r="16" s="2" customFormat="1" ht="14.85" customHeight="1" spans="1:16">
      <c r="A16" s="29"/>
      <c r="B16" s="30" t="s">
        <v>30</v>
      </c>
      <c r="C16" s="31" t="s">
        <v>21</v>
      </c>
      <c r="D16" s="54">
        <v>0</v>
      </c>
      <c r="E16" s="54">
        <v>0</v>
      </c>
      <c r="F16" s="54">
        <v>0</v>
      </c>
      <c r="G16" s="54">
        <v>0</v>
      </c>
      <c r="H16" s="34">
        <v>0</v>
      </c>
      <c r="I16" s="27" t="e">
        <f t="shared" si="0"/>
        <v>#DIV/0!</v>
      </c>
      <c r="J16" s="36">
        <f t="shared" si="1"/>
        <v>0</v>
      </c>
      <c r="K16" s="28" t="e">
        <f t="shared" si="2"/>
        <v>#DIV/0!</v>
      </c>
      <c r="L16" s="36">
        <f t="shared" si="4"/>
        <v>0</v>
      </c>
      <c r="M16" s="28" t="e">
        <f t="shared" si="3"/>
        <v>#DIV/0!</v>
      </c>
      <c r="O16" s="1"/>
      <c r="P16" s="1"/>
    </row>
    <row r="17" s="2" customFormat="1" ht="14.85" customHeight="1" spans="1:27">
      <c r="A17" s="29">
        <v>11</v>
      </c>
      <c r="B17" s="30" t="s">
        <v>31</v>
      </c>
      <c r="C17" s="31" t="s">
        <v>32</v>
      </c>
      <c r="D17" s="60">
        <f>[1]金普热电!$E$55*10000</f>
        <v>7259815.11865304</v>
      </c>
      <c r="E17" s="60">
        <f>114.472603013507*10000</f>
        <v>1144726.03013507</v>
      </c>
      <c r="F17" s="34">
        <v>1184673.1</v>
      </c>
      <c r="G17" s="34">
        <v>1095806.72</v>
      </c>
      <c r="H17" s="34">
        <f>3287587.9+G17</f>
        <v>4383394.62</v>
      </c>
      <c r="I17" s="27">
        <f t="shared" si="0"/>
        <v>0.603788739569621</v>
      </c>
      <c r="J17" s="36">
        <f t="shared" si="1"/>
        <v>-48919.31013507</v>
      </c>
      <c r="K17" s="28">
        <f t="shared" si="2"/>
        <v>-0.0427345136279445</v>
      </c>
      <c r="L17" s="36">
        <f t="shared" si="4"/>
        <v>-88866.3800000001</v>
      </c>
      <c r="M17" s="28">
        <f t="shared" si="3"/>
        <v>-0.0750134193137331</v>
      </c>
      <c r="N17" s="37"/>
      <c r="O17" s="1"/>
      <c r="P17" s="1"/>
    </row>
    <row r="18" s="2" customFormat="1" ht="14.85" customHeight="1" spans="1:27">
      <c r="A18" s="29">
        <v>12</v>
      </c>
      <c r="B18" s="30" t="s">
        <v>33</v>
      </c>
      <c r="C18" s="31" t="s">
        <v>21</v>
      </c>
      <c r="D18" s="61">
        <f>[1]金普热电!$E$43</f>
        <v>206.665189095836</v>
      </c>
      <c r="E18" s="62">
        <v>28.5651276325243</v>
      </c>
      <c r="F18" s="63">
        <v>31.0625</v>
      </c>
      <c r="G18" s="63">
        <v>35.23</v>
      </c>
      <c r="H18" s="34">
        <f>69.18+G18</f>
        <v>104.41</v>
      </c>
      <c r="I18" s="27">
        <f t="shared" si="0"/>
        <v>0.505213289460096</v>
      </c>
      <c r="J18" s="36">
        <f t="shared" si="1"/>
        <v>6.6648723674757</v>
      </c>
      <c r="K18" s="28">
        <f t="shared" si="2"/>
        <v>0.233321988027355</v>
      </c>
      <c r="L18" s="36">
        <f t="shared" si="4"/>
        <v>4.1675</v>
      </c>
      <c r="M18" s="28">
        <f t="shared" si="3"/>
        <v>0.134164989939638</v>
      </c>
      <c r="O18" s="1"/>
      <c r="P18" s="1"/>
    </row>
    <row r="19" s="2" customFormat="1" ht="14.85" customHeight="1" spans="1:27">
      <c r="A19" s="29">
        <v>13</v>
      </c>
      <c r="B19" s="30" t="s">
        <v>34</v>
      </c>
      <c r="C19" s="31" t="s">
        <v>21</v>
      </c>
      <c r="D19" s="61">
        <f>[1]金普热电!$E$44</f>
        <v>112.970305635977</v>
      </c>
      <c r="E19" s="62">
        <v>22.0706198447656</v>
      </c>
      <c r="F19" s="63">
        <v>24.04</v>
      </c>
      <c r="G19" s="63">
        <v>12.725</v>
      </c>
      <c r="H19" s="34">
        <f>49.65+G19</f>
        <v>62.375</v>
      </c>
      <c r="I19" s="27">
        <f t="shared" si="0"/>
        <v>0.552136241898737</v>
      </c>
      <c r="J19" s="36">
        <f t="shared" si="1"/>
        <v>-9.34561984476559</v>
      </c>
      <c r="K19" s="28">
        <f t="shared" si="2"/>
        <v>-0.423441657302709</v>
      </c>
      <c r="L19" s="36">
        <f t="shared" si="4"/>
        <v>-11.315</v>
      </c>
      <c r="M19" s="28">
        <f t="shared" si="3"/>
        <v>-0.47067387687188</v>
      </c>
      <c r="O19" s="1"/>
      <c r="P19" s="1"/>
    </row>
    <row r="20" s="1" customFormat="1" ht="14.85" customHeight="1" spans="1:27">
      <c r="A20" s="21">
        <v>14</v>
      </c>
      <c r="B20" s="38" t="s">
        <v>35</v>
      </c>
      <c r="C20" s="23" t="s">
        <v>36</v>
      </c>
      <c r="D20" s="64">
        <f>D17/D10</f>
        <v>13.6694551754614</v>
      </c>
      <c r="E20" s="65">
        <f>E17/E10</f>
        <v>24.2791497326227</v>
      </c>
      <c r="F20" s="66">
        <v>25.0948378032984</v>
      </c>
      <c r="G20" s="66">
        <f>G17/G10</f>
        <v>23.3110435730909</v>
      </c>
      <c r="H20" s="63">
        <f>H17/H10</f>
        <v>13.939071279414</v>
      </c>
      <c r="I20" s="67" t="s">
        <v>22</v>
      </c>
      <c r="J20" s="68">
        <f t="shared" si="1"/>
        <v>-0.968106159531775</v>
      </c>
      <c r="K20" s="69" t="s">
        <v>22</v>
      </c>
      <c r="L20" s="70">
        <f t="shared" si="4"/>
        <v>-1.78379423020748</v>
      </c>
      <c r="M20" s="69" t="s">
        <v>22</v>
      </c>
    </row>
    <row r="21" s="1" customFormat="1" ht="14.85" customHeight="1" spans="1:27">
      <c r="A21" s="21">
        <v>15</v>
      </c>
      <c r="B21" s="38" t="s">
        <v>37</v>
      </c>
      <c r="C21" s="23" t="s">
        <v>38</v>
      </c>
      <c r="D21" s="71">
        <f>D14*1000/D10</f>
        <v>48.1184377848965</v>
      </c>
      <c r="E21" s="72">
        <f>E14*1000/E10</f>
        <v>49.0874575019975</v>
      </c>
      <c r="F21" s="66">
        <v>48.5304645385867</v>
      </c>
      <c r="G21" s="73">
        <f t="shared" ref="F21:H21" si="5">SUM(G14*1000/G10)</f>
        <v>48.743395269941</v>
      </c>
      <c r="H21" s="73">
        <f t="shared" si="5"/>
        <v>48.7427699273612</v>
      </c>
      <c r="I21" s="67" t="s">
        <v>22</v>
      </c>
      <c r="J21" s="68">
        <f t="shared" si="1"/>
        <v>-0.344062232056515</v>
      </c>
      <c r="K21" s="69" t="s">
        <v>22</v>
      </c>
      <c r="L21" s="70">
        <f t="shared" si="4"/>
        <v>0.212930731354305</v>
      </c>
      <c r="M21" s="69" t="s">
        <v>22</v>
      </c>
      <c r="X21" s="74"/>
      <c r="Y21" s="74"/>
      <c r="Z21" s="74"/>
      <c r="AA21" s="74"/>
    </row>
    <row r="22" s="2" customFormat="1" ht="14.85" customHeight="1" spans="1:27">
      <c r="A22" s="29">
        <v>16</v>
      </c>
      <c r="B22" s="30" t="s">
        <v>39</v>
      </c>
      <c r="C22" s="31" t="s">
        <v>21</v>
      </c>
      <c r="D22" s="53" t="s">
        <v>22</v>
      </c>
      <c r="E22" s="60" t="s">
        <v>22</v>
      </c>
      <c r="F22" s="66">
        <v>178</v>
      </c>
      <c r="G22" s="54">
        <v>0</v>
      </c>
      <c r="H22" s="73">
        <v>13379</v>
      </c>
      <c r="I22" s="27" t="e">
        <f>H22/D22</f>
        <v>#VALUE!</v>
      </c>
      <c r="J22" s="36" t="e">
        <f t="shared" si="1"/>
        <v>#VALUE!</v>
      </c>
      <c r="K22" s="28" t="e">
        <f>J22/E22</f>
        <v>#VALUE!</v>
      </c>
      <c r="L22" s="36">
        <f t="shared" si="4"/>
        <v>-178</v>
      </c>
      <c r="M22" s="28">
        <f>L22/F22</f>
        <v>-1</v>
      </c>
      <c r="N22" s="37"/>
      <c r="O22" s="1"/>
      <c r="X22" s="75"/>
      <c r="Y22" s="76"/>
      <c r="Z22" s="75"/>
      <c r="AA22" s="75"/>
    </row>
    <row r="23" s="1" customFormat="1" ht="14.85" customHeight="1" spans="1:27">
      <c r="A23" s="21">
        <v>17</v>
      </c>
      <c r="B23" s="38" t="s">
        <v>40</v>
      </c>
      <c r="C23" s="23" t="s">
        <v>21</v>
      </c>
      <c r="D23" s="53" t="s">
        <v>22</v>
      </c>
      <c r="E23" s="54">
        <v>0</v>
      </c>
      <c r="F23" s="66">
        <v>21</v>
      </c>
      <c r="G23" s="54">
        <v>232</v>
      </c>
      <c r="H23" s="73">
        <f>G23</f>
        <v>232</v>
      </c>
      <c r="I23" s="27" t="e">
        <f>H23/D23</f>
        <v>#VALUE!</v>
      </c>
      <c r="J23" s="36">
        <f>H23-E23</f>
        <v>232</v>
      </c>
      <c r="K23" s="28" t="e">
        <f>J23/E23</f>
        <v>#DIV/0!</v>
      </c>
      <c r="L23" s="36">
        <f>H23-F23</f>
        <v>211</v>
      </c>
      <c r="M23" s="28">
        <f>L23/F23</f>
        <v>10.047619047619</v>
      </c>
      <c r="N23" s="43"/>
      <c r="X23" s="75"/>
      <c r="Y23" s="77"/>
      <c r="Z23" s="74"/>
      <c r="AA23" s="74"/>
    </row>
    <row r="24" s="1" customFormat="1" ht="14.85" customHeight="1" spans="1:27">
      <c r="A24" s="21">
        <v>18</v>
      </c>
      <c r="B24" s="38" t="s">
        <v>41</v>
      </c>
      <c r="C24" s="23" t="s">
        <v>42</v>
      </c>
      <c r="D24" s="78">
        <f>D14*29308/D12</f>
        <v>17612.3938081004</v>
      </c>
      <c r="E24" s="79">
        <f>E14*29308/E12</f>
        <v>17215.6047789059</v>
      </c>
      <c r="F24" s="79">
        <v>17185.8633490073</v>
      </c>
      <c r="G24" s="80">
        <f>G14*29308/G12</f>
        <v>16536.4093218419</v>
      </c>
      <c r="H24" s="80">
        <f>H14*29308/H12</f>
        <v>17468.3873977525</v>
      </c>
      <c r="I24" s="81" t="s">
        <v>22</v>
      </c>
      <c r="J24" s="36">
        <f>G24-E24</f>
        <v>-679.195457063968</v>
      </c>
      <c r="K24" s="82" t="s">
        <v>22</v>
      </c>
      <c r="L24" s="36">
        <f>G24-F24</f>
        <v>-649.454027165364</v>
      </c>
      <c r="M24" s="82" t="s">
        <v>22</v>
      </c>
      <c r="N24" s="43"/>
      <c r="X24" s="75"/>
      <c r="Y24" s="83"/>
      <c r="Z24" s="74"/>
      <c r="AA24" s="74"/>
    </row>
    <row r="25" s="1" customFormat="1" ht="14.85" customHeight="1" spans="1:27">
      <c r="A25" s="21">
        <v>19</v>
      </c>
      <c r="B25" s="38" t="s">
        <v>43</v>
      </c>
      <c r="C25" s="23" t="s">
        <v>42</v>
      </c>
      <c r="D25" s="53" t="s">
        <v>22</v>
      </c>
      <c r="E25" s="60" t="s">
        <v>22</v>
      </c>
      <c r="F25" s="84">
        <v>17636</v>
      </c>
      <c r="G25" s="80">
        <f>G24</f>
        <v>16536.4093218419</v>
      </c>
      <c r="H25" s="80">
        <f>H24</f>
        <v>17468.3873977525</v>
      </c>
      <c r="I25" s="81" t="s">
        <v>22</v>
      </c>
      <c r="J25" s="85" t="s">
        <v>22</v>
      </c>
      <c r="K25" s="82" t="s">
        <v>22</v>
      </c>
      <c r="L25" s="85" t="s">
        <v>22</v>
      </c>
      <c r="M25" s="82" t="s">
        <v>22</v>
      </c>
      <c r="N25" s="43"/>
      <c r="X25" s="75"/>
      <c r="Y25" s="77"/>
      <c r="Z25" s="74"/>
      <c r="AA25" s="74"/>
    </row>
    <row r="26" s="1" customFormat="1" ht="14.85" customHeight="1" spans="1:27">
      <c r="A26" s="21">
        <v>20</v>
      </c>
      <c r="B26" s="86" t="s">
        <v>44</v>
      </c>
      <c r="C26" s="49" t="s">
        <v>13</v>
      </c>
      <c r="D26" s="87">
        <f>D10/(D14*29.308)</f>
        <v>0.709091530391879</v>
      </c>
      <c r="E26" s="88">
        <f>E10/(E14*29.308)</f>
        <v>0.69509358246086</v>
      </c>
      <c r="F26" s="89">
        <v>0.703071297861356</v>
      </c>
      <c r="G26" s="89">
        <f>G10/(G14*29.308)</f>
        <v>0.7</v>
      </c>
      <c r="H26" s="89">
        <f>H10/(H14*29.308)</f>
        <v>0.700008980609975</v>
      </c>
      <c r="I26" s="90" t="s">
        <v>22</v>
      </c>
      <c r="J26" s="91">
        <f t="shared" ref="J26:J31" si="6">G26-E26</f>
        <v>0.00490641753913956</v>
      </c>
      <c r="K26" s="92" t="s">
        <v>22</v>
      </c>
      <c r="L26" s="91">
        <f t="shared" ref="L26:L31" si="7">G26-F26</f>
        <v>-0.00307129786135674</v>
      </c>
      <c r="M26" s="92" t="s">
        <v>22</v>
      </c>
      <c r="N26" s="93"/>
      <c r="X26" s="75"/>
      <c r="Y26" s="94"/>
      <c r="Z26" s="74"/>
      <c r="AA26" s="74"/>
    </row>
    <row r="27" s="1" customFormat="1" ht="14.85" customHeight="1" spans="1:27">
      <c r="A27" s="21">
        <v>21</v>
      </c>
      <c r="B27" s="86" t="s">
        <v>45</v>
      </c>
      <c r="C27" s="49" t="s">
        <v>13</v>
      </c>
      <c r="D27" s="95">
        <f>D10/3.6/D5/8760</f>
        <v>0.103956759706506</v>
      </c>
      <c r="E27" s="96">
        <f>E10/3.6/E5/(24*31)</f>
        <v>0.108661984948493</v>
      </c>
      <c r="F27" s="97">
        <v>0.108798694273899</v>
      </c>
      <c r="G27" s="97">
        <f>G10/3.6/G5/(24*31)</f>
        <v>0.108338244085284</v>
      </c>
      <c r="H27" s="97">
        <f>H10/3.6/H5/(24*(31+28+31))</f>
        <v>0.249634993947505</v>
      </c>
      <c r="I27" s="90" t="s">
        <v>22</v>
      </c>
      <c r="J27" s="91">
        <f t="shared" si="6"/>
        <v>-0.000323740863209077</v>
      </c>
      <c r="K27" s="92" t="s">
        <v>22</v>
      </c>
      <c r="L27" s="91">
        <f t="shared" si="7"/>
        <v>-0.000460450188614583</v>
      </c>
      <c r="M27" s="92" t="s">
        <v>22</v>
      </c>
      <c r="N27" s="93"/>
      <c r="X27" s="75"/>
      <c r="Y27" s="98"/>
      <c r="Z27" s="74"/>
      <c r="AA27" s="74"/>
    </row>
    <row r="28" s="1" customFormat="1" ht="14.85" customHeight="1" spans="1:27">
      <c r="A28" s="21">
        <v>22</v>
      </c>
      <c r="B28" s="86" t="s">
        <v>46</v>
      </c>
      <c r="C28" s="49" t="s">
        <v>47</v>
      </c>
      <c r="D28" s="99">
        <f>SUM(D10*1000000000/(153*24*3600*D8))</f>
        <v>22.6792431774012</v>
      </c>
      <c r="E28" s="99">
        <f>SUM(E10*1000000000/(24*31*3600*E8))</f>
        <v>9.80020029668231</v>
      </c>
      <c r="F28" s="100">
        <v>10.019974683349</v>
      </c>
      <c r="G28" s="100">
        <f>SUM(G10*1000000000/(24*31)/3600/G8)</f>
        <v>9.91873793313971</v>
      </c>
      <c r="H28" s="100">
        <f>SUM(H10*1000000000/(24*31+24*28+24*31)/3600/H8)</f>
        <v>22.8549401442861</v>
      </c>
      <c r="I28" s="90" t="s">
        <v>22</v>
      </c>
      <c r="J28" s="70">
        <f t="shared" si="6"/>
        <v>0.118537636457404</v>
      </c>
      <c r="K28" s="92" t="s">
        <v>22</v>
      </c>
      <c r="L28" s="68">
        <f t="shared" si="7"/>
        <v>-0.101236750209246</v>
      </c>
      <c r="M28" s="92" t="s">
        <v>22</v>
      </c>
      <c r="X28" s="75"/>
      <c r="Y28" s="94"/>
      <c r="Z28" s="74"/>
      <c r="AA28" s="74"/>
    </row>
    <row r="29" s="1" customFormat="1" ht="14.85" customHeight="1" spans="1:27">
      <c r="A29" s="21">
        <v>23</v>
      </c>
      <c r="B29" s="86" t="s">
        <v>48</v>
      </c>
      <c r="C29" s="49" t="s">
        <v>49</v>
      </c>
      <c r="D29" s="101">
        <f>D14*1000/D8</f>
        <v>14.4259774875275</v>
      </c>
      <c r="E29" s="102">
        <f>E14*1000/E8</f>
        <v>1.28848962667462</v>
      </c>
      <c r="F29" s="102">
        <v>1.30243635136643</v>
      </c>
      <c r="G29" s="102">
        <f>G14*1000/G8</f>
        <v>1.29493398585084</v>
      </c>
      <c r="H29" s="103">
        <f>H14*1000/H8</f>
        <v>8.66256578128132</v>
      </c>
      <c r="I29" s="90" t="s">
        <v>22</v>
      </c>
      <c r="J29" s="70">
        <f t="shared" si="6"/>
        <v>0.006444359176214</v>
      </c>
      <c r="K29" s="92" t="s">
        <v>22</v>
      </c>
      <c r="L29" s="68">
        <f t="shared" si="7"/>
        <v>-0.00750236551559813</v>
      </c>
      <c r="M29" s="92" t="s">
        <v>22</v>
      </c>
      <c r="X29" s="75"/>
      <c r="Y29" s="77"/>
      <c r="Z29" s="74"/>
      <c r="AA29" s="74"/>
    </row>
    <row r="30" s="1" customFormat="1" ht="14.85" customHeight="1" spans="1:27">
      <c r="A30" s="21">
        <v>24</v>
      </c>
      <c r="B30" s="86" t="s">
        <v>50</v>
      </c>
      <c r="C30" s="49" t="s">
        <v>51</v>
      </c>
      <c r="D30" s="104">
        <f>D17/D8</f>
        <v>4.09812250159688</v>
      </c>
      <c r="E30" s="102">
        <f>E17/E8</f>
        <v>0.637299916657758</v>
      </c>
      <c r="F30" s="105">
        <v>0.673482714361264</v>
      </c>
      <c r="G30" s="105">
        <f>G17/G8</f>
        <v>0.619289288349192</v>
      </c>
      <c r="H30" s="105">
        <f>H17/H8</f>
        <v>2.47725195075777</v>
      </c>
      <c r="I30" s="90" t="s">
        <v>22</v>
      </c>
      <c r="J30" s="70">
        <f t="shared" si="6"/>
        <v>-0.018010628308566</v>
      </c>
      <c r="K30" s="92" t="s">
        <v>22</v>
      </c>
      <c r="L30" s="68">
        <f t="shared" si="7"/>
        <v>-0.0541934260120717</v>
      </c>
      <c r="M30" s="92" t="s">
        <v>22</v>
      </c>
      <c r="X30" s="75"/>
      <c r="Y30" s="77"/>
      <c r="Z30" s="74"/>
      <c r="AA30" s="74"/>
    </row>
    <row r="31" s="1" customFormat="1" ht="14.85" customHeight="1" spans="1:27">
      <c r="A31" s="106">
        <v>25</v>
      </c>
      <c r="B31" s="107" t="s">
        <v>52</v>
      </c>
      <c r="C31" s="108" t="s">
        <v>49</v>
      </c>
      <c r="D31" s="109">
        <f>D15*1000/D8</f>
        <v>58.9293157643891</v>
      </c>
      <c r="E31" s="110">
        <f>E15*1000/E8</f>
        <v>8.75902803143838</v>
      </c>
      <c r="F31" s="111">
        <v>10.5225891441865</v>
      </c>
      <c r="G31" s="111">
        <f>G15*1000/G6</f>
        <v>11.2622022779918</v>
      </c>
      <c r="H31" s="111">
        <f>H15*1000/H6</f>
        <v>35.8250835309201</v>
      </c>
      <c r="I31" s="112" t="s">
        <v>22</v>
      </c>
      <c r="J31" s="113">
        <f t="shared" si="6"/>
        <v>2.50317424655339</v>
      </c>
      <c r="K31" s="114" t="s">
        <v>22</v>
      </c>
      <c r="L31" s="113">
        <f t="shared" si="7"/>
        <v>0.739613133805243</v>
      </c>
      <c r="M31" s="114" t="s">
        <v>22</v>
      </c>
      <c r="X31" s="75"/>
      <c r="Y31" s="94"/>
      <c r="Z31" s="74"/>
      <c r="AA31" s="74"/>
    </row>
    <row r="32" ht="15.5" spans="1:27">
      <c r="A32" s="115" t="s">
        <v>53</v>
      </c>
      <c r="B32" s="115"/>
      <c r="C32" s="116"/>
      <c r="D32" s="117" t="s">
        <v>54</v>
      </c>
      <c r="E32" s="118"/>
      <c r="F32" s="119"/>
      <c r="G32" s="118"/>
      <c r="H32" s="118"/>
      <c r="I32" s="117" t="s">
        <v>55</v>
      </c>
      <c r="J32" s="120" t="s">
        <v>56</v>
      </c>
      <c r="K32" s="121"/>
      <c r="L32" s="121"/>
      <c r="M32" s="121"/>
      <c r="X32" s="122"/>
      <c r="Y32" s="77"/>
      <c r="Z32" s="122"/>
      <c r="AA32" s="122"/>
    </row>
    <row r="33" spans="1:27">
      <c r="A33" s="123"/>
      <c r="B33" s="124"/>
      <c r="C33" s="124"/>
      <c r="D33" s="124"/>
      <c r="E33" s="125"/>
      <c r="F33" s="125"/>
      <c r="G33" s="125"/>
      <c r="H33" s="125"/>
      <c r="I33" s="124"/>
      <c r="J33" s="124"/>
      <c r="K33" s="124"/>
      <c r="L33" s="124"/>
      <c r="M33" s="124"/>
      <c r="X33" s="122"/>
      <c r="Y33" s="94"/>
      <c r="Z33" s="122"/>
      <c r="AA33" s="122"/>
    </row>
    <row r="34" spans="1:27">
      <c r="A34" s="124"/>
      <c r="B34" s="124"/>
      <c r="C34" s="124"/>
      <c r="D34" s="124"/>
      <c r="E34" s="125"/>
      <c r="F34" s="125"/>
      <c r="G34" s="125"/>
      <c r="H34" s="125"/>
      <c r="I34" s="124"/>
      <c r="J34" s="124"/>
      <c r="K34" s="124"/>
      <c r="L34" s="124"/>
      <c r="M34" s="124"/>
      <c r="X34" s="122"/>
      <c r="Y34" s="77"/>
      <c r="Z34" s="122"/>
      <c r="AA34" s="122"/>
    </row>
    <row r="35" spans="1:27">
      <c r="A35" s="124"/>
      <c r="B35" s="124"/>
      <c r="C35" s="124"/>
      <c r="D35" s="124"/>
      <c r="E35" s="125"/>
      <c r="F35" s="125"/>
      <c r="G35" s="125"/>
      <c r="H35" s="125"/>
      <c r="I35" s="124"/>
      <c r="J35" s="124"/>
      <c r="K35" s="124"/>
      <c r="L35" s="124"/>
      <c r="M35" s="124"/>
      <c r="X35" s="122"/>
      <c r="Y35" s="126"/>
      <c r="Z35" s="122"/>
      <c r="AA35" s="122"/>
    </row>
    <row r="36" spans="1:27">
      <c r="X36" s="122"/>
      <c r="Y36" s="126"/>
      <c r="Z36" s="122"/>
      <c r="AA36" s="122"/>
    </row>
    <row r="37" spans="1:27">
      <c r="X37" s="122"/>
      <c r="Y37" s="127"/>
      <c r="Z37" s="122"/>
      <c r="AA37" s="122"/>
    </row>
    <row r="38" spans="1:27">
      <c r="X38" s="122"/>
      <c r="Y38" s="122"/>
      <c r="Z38" s="122"/>
      <c r="AA38" s="122"/>
    </row>
    <row r="39" spans="1:27">
      <c r="X39" s="122"/>
      <c r="Y39" s="122"/>
      <c r="Z39" s="122"/>
      <c r="AA39" s="122"/>
    </row>
    <row r="40" spans="1:27">
      <c r="X40" s="122"/>
      <c r="Y40" s="122"/>
      <c r="Z40" s="122"/>
      <c r="AA40" s="122"/>
    </row>
  </sheetData>
  <mergeCells count="14">
    <mergeCell ref="J3:K3"/>
    <mergeCell ref="L3:M3"/>
    <mergeCell ref="J32:M32"/>
    <mergeCell ref="A3:A4"/>
    <mergeCell ref="B3:B4"/>
    <mergeCell ref="C3:C4"/>
    <mergeCell ref="D3:D4"/>
    <mergeCell ref="E3:E4"/>
    <mergeCell ref="F3:F4"/>
    <mergeCell ref="G3:G4"/>
    <mergeCell ref="H3:H4"/>
    <mergeCell ref="I3:I4"/>
    <mergeCell ref="A33:M35"/>
    <mergeCell ref="A1:M2"/>
  </mergeCells>
  <pageMargins left="0.63" right="0.43" top="0.28" bottom="0.24" header="0.12" footer="0.12"/>
  <pageSetup paperSize="9" orientation="landscape" horizontalDpi="200" verticalDpi="300"/>
  <headerFooter alignWithMargins="0" scaleWithDoc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zoomScaleSheetLayoutView="60" workbookViewId="0">
      <selection activeCell="J26" sqref="J26"/>
    </sheetView>
  </sheetViews>
  <sheetFormatPr defaultColWidth="9" defaultRowHeight="15"/>
  <sheetData/>
  <pageMargins left="0.75" right="0.75" top="1" bottom="1" header="0.5" footer="0.5"/>
  <headerFooter alignWithMargins="0" scaleWithDoc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zoomScaleSheetLayoutView="60" workbookViewId="0">
      <selection activeCell="A1" sqref="A1"/>
    </sheetView>
  </sheetViews>
  <sheetFormatPr defaultColWidth="9" defaultRowHeight="15"/>
  <sheetData/>
  <pageMargins left="0.75" right="0.75" top="1" bottom="1" header="0.5" footer="0.5"/>
  <headerFooter alignWithMargins="0" scaleWithDoc="0"/>
</worksheet>
</file>

<file path=docProps/app.xml><?xml version="1.0" encoding="utf-8"?>
<Properties xmlns="http://schemas.openxmlformats.org/officeDocument/2006/extended-properties" xmlns:vt="http://schemas.openxmlformats.org/officeDocument/2006/docPropsVTypes">
  <Company>微软中国</Company>
  <Application>WPS Office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王巍</cp:lastModifiedBy>
  <dcterms:created xsi:type="dcterms:W3CDTF">2015-12-14T11:07:03Z</dcterms:created>
  <dcterms:modified xsi:type="dcterms:W3CDTF">2026-04-01T14:14:06Z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alculationRule">
    <vt:i4>0</vt:i4>
  </property>
  <property fmtid="{D5CDD505-2E9C-101B-9397-08002B2CF9AE}" pid="3" name="ICV">
    <vt:lpwstr>B69B268DF0824B7DBC125FD8ACCEE97C_13</vt:lpwstr>
  </property>
  <property fmtid="{D5CDD505-2E9C-101B-9397-08002B2CF9AE}" pid="4" name="KSOProductBuildVer">
    <vt:lpwstr>2052-12.1.0.25225</vt:lpwstr>
  </property>
</Properties>
</file>