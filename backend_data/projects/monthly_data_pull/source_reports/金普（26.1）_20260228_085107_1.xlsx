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<sst xmlns="http://schemas.openxmlformats.org/spreadsheetml/2006/main" count="114" uniqueCount="57">
  <si>
    <r>
      <t>金普</t>
    </r>
    <r>
      <rPr>
        <sz val="16"/>
        <rFont val="Times New Roman"/>
        <family val="1"/>
        <charset val="0"/>
      </rPr>
      <t>2026</t>
    </r>
    <r>
      <rPr>
        <sz val="16"/>
        <rFont val="宋体"/>
        <charset val="134"/>
      </rPr>
      <t>年1月生产统计表</t>
    </r>
  </si>
  <si>
    <t>序号</t>
  </si>
  <si>
    <t>项  目</t>
  </si>
  <si>
    <t>计量单位</t>
  </si>
  <si>
    <t>本年计划</t>
  </si>
  <si>
    <t>本月计划</t>
  </si>
  <si>
    <t>上年同期</t>
  </si>
  <si>
    <t>本月实际</t>
  </si>
  <si>
    <t>本年累计</t>
  </si>
  <si>
    <t>年计划  完成率</t>
  </si>
  <si>
    <t>与月计划比较</t>
  </si>
  <si>
    <t>与上年同期比较</t>
  </si>
  <si>
    <t>差异</t>
  </si>
  <si>
    <t>%</t>
  </si>
  <si>
    <t>装机总容量</t>
  </si>
  <si>
    <t>兆瓦</t>
  </si>
  <si>
    <t>期末供热面积</t>
  </si>
  <si>
    <t>平方米</t>
  </si>
  <si>
    <t>其中：高温水面积</t>
  </si>
  <si>
    <t>实际平均供热面积</t>
  </si>
  <si>
    <t>供汽量</t>
  </si>
  <si>
    <t>吨</t>
  </si>
  <si>
    <t>-</t>
  </si>
  <si>
    <t>供热量</t>
  </si>
  <si>
    <t>吉焦</t>
  </si>
  <si>
    <t>高温水销售量</t>
  </si>
  <si>
    <t>生产耗原煤量</t>
  </si>
  <si>
    <t>生产耗油量</t>
  </si>
  <si>
    <t>耗标煤总量</t>
  </si>
  <si>
    <t>耗水量</t>
  </si>
  <si>
    <t>其中：耗井水量</t>
  </si>
  <si>
    <t>用电量</t>
  </si>
  <si>
    <t>千瓦时</t>
  </si>
  <si>
    <t>耗氧化镁量</t>
  </si>
  <si>
    <t>耗脱硝剂量</t>
  </si>
  <si>
    <t>供热用电率</t>
  </si>
  <si>
    <r>
      <t>千瓦时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</si>
  <si>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供热煤耗率</t>
  </si>
  <si>
    <r>
      <t>千克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</si>
  <si>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入厂煤量</t>
  </si>
  <si>
    <t>期末库存煤量</t>
  </si>
  <si>
    <t>入炉煤低位发热量</t>
  </si>
  <si>
    <r>
      <t>千焦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千克</t>
    </r>
  </si>
  <si>
    <t>入厂煤低位发热量</t>
  </si>
  <si>
    <t>锅炉热效率</t>
  </si>
  <si>
    <t>锅炉设备利用率</t>
  </si>
  <si>
    <t>供暖功耗率</t>
  </si>
  <si>
    <t>瓦/平方米</t>
  </si>
  <si>
    <t>单位面积耗标准煤量</t>
  </si>
  <si>
    <t>千克/平方米</t>
  </si>
  <si>
    <t>单位面积耗电量</t>
  </si>
  <si>
    <t>千瓦时/平方米</t>
  </si>
  <si>
    <t>单位面积耗水量</t>
  </si>
  <si>
    <r>
      <t xml:space="preserve">          </t>
    </r>
    <r>
      <rPr>
        <sz val="12"/>
        <rFont val="宋体"/>
        <charset val="134"/>
      </rPr>
      <t>审核：</t>
    </r>
  </si>
  <si>
    <r>
      <t xml:space="preserve">                                </t>
    </r>
    <r>
      <rPr>
        <sz val="12"/>
        <rFont val="宋体"/>
        <charset val="134"/>
      </rPr>
      <t>填表：</t>
    </r>
  </si>
  <si>
    <r>
      <t xml:space="preserve">                             </t>
    </r>
    <r>
      <rPr>
        <sz val="12"/>
        <rFont val="宋体"/>
        <charset val="134"/>
      </rPr>
      <t>报出日期：</t>
    </r>
    <r>
      <rPr>
        <sz val="12"/>
        <rFont val="Times New Roman"/>
        <family val="1"/>
        <charset val="0"/>
      </rPr>
      <t>2015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>12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</t>
    </r>
  </si>
  <si>
    <r>
      <t>报出时间：</t>
    </r>
    <r>
      <rPr>
        <sz val="12"/>
        <rFont val="Times New Roman"/>
        <family val="1"/>
        <charset val="0"/>
      </rPr>
      <t>2026</t>
    </r>
    <r>
      <rPr>
        <sz val="12"/>
        <rFont val="宋体"/>
        <charset val="134"/>
      </rPr>
      <t>年1月31日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</si>
</sst>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%"/>
    <numFmt numFmtId="178" formatCode="#,##0_ "/>
    <numFmt numFmtId="179" formatCode="#,##0_);[Red]\(#,##0\)"/>
    <numFmt numFmtId="180" formatCode="0_ "/>
    <numFmt numFmtId="181" formatCode="0.00_ "/>
    <numFmt numFmtId="182" formatCode="0.0_ "/>
    <numFmt numFmtId="183" formatCode="#,##0.0_ "/>
    <numFmt numFmtId="184" formatCode="0.0"/>
    <numFmt numFmtId="185" formatCode="_ * #,##0_ ;_ * \-#,##0_ ;_ * &quot;-&quot;??_ ;_ @_ "/>
    <numFmt numFmtId="186" formatCode="_ * #,##0.0_ ;_ * \-#,##0.0_ ;_ * &quot;-&quot;??_ ;_ @_ "/>
  </numFmts>
  <fonts count="28">
    <font>
      <sz val="12"/>
      <name val="宋体"/>
      <charset val="134"/>
    </font>
    <font>
      <sz val="10"/>
      <name val="Times New Roman"/>
      <family val="1"/>
      <charset val="0"/>
    </font>
    <font>
      <sz val="16"/>
      <name val="宋体"/>
      <charset val="134"/>
    </font>
    <font>
      <sz val="16"/>
      <name val="Times New Roman"/>
      <family val="1"/>
      <charset val="0"/>
    </font>
    <font>
      <b/>
      <sz val="11"/>
      <name val="黑体"/>
      <family val="3"/>
      <charset val="134"/>
    </font>
    <font>
      <sz val="10"/>
      <name val="宋体"/>
      <charset val="134"/>
    </font>
    <font>
      <sz val="12"/>
      <name val="Times New Roman"/>
      <family val="1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5" applyNumberFormat="0" applyAlignment="0" applyProtection="0">
      <alignment vertical="center"/>
    </xf>
    <xf numFmtId="0" fontId="17" fillId="6" borderId="26" applyNumberFormat="0" applyAlignment="0" applyProtection="0">
      <alignment vertical="center"/>
    </xf>
    <xf numFmtId="0" fontId="18" fillId="6" borderId="25" applyNumberFormat="0" applyAlignment="0" applyProtection="0">
      <alignment vertical="center"/>
    </xf>
    <xf numFmtId="0" fontId="19" fillId="7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49" applyFont="1" applyAlignment="1">
      <alignment horizontal="center"/>
    </xf>
    <xf numFmtId="0" fontId="1" fillId="0" borderId="0" xfId="49" applyFont="1"/>
    <xf numFmtId="0" fontId="0" fillId="0" borderId="0" xfId="0" applyFont="1" applyFill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1" fontId="4" fillId="2" borderId="1" xfId="49" applyNumberFormat="1" applyFont="1" applyFill="1" applyBorder="1" applyAlignment="1">
      <alignment horizontal="center" vertical="center" wrapText="1"/>
    </xf>
    <xf numFmtId="1" fontId="4" fillId="2" borderId="2" xfId="49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6" xfId="49" applyNumberFormat="1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1" fillId="0" borderId="0" xfId="49" applyNumberFormat="1" applyFont="1" applyBorder="1" applyAlignment="1">
      <alignment horizontal="center" vertical="center"/>
    </xf>
    <xf numFmtId="43" fontId="5" fillId="0" borderId="11" xfId="1" applyNumberFormat="1" applyFont="1" applyBorder="1" applyAlignment="1">
      <alignment vertical="center"/>
    </xf>
    <xf numFmtId="1" fontId="5" fillId="0" borderId="12" xfId="49" applyNumberFormat="1" applyFont="1" applyBorder="1" applyAlignment="1">
      <alignment horizontal="center" vertical="center"/>
    </xf>
    <xf numFmtId="176" fontId="1" fillId="0" borderId="13" xfId="0" applyNumberFormat="1" applyFont="1" applyFill="1" applyBorder="1" applyAlignment="1">
      <alignment vertical="center"/>
    </xf>
    <xf numFmtId="176" fontId="1" fillId="0" borderId="14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177" fontId="1" fillId="0" borderId="0" xfId="0" applyNumberFormat="1" applyFont="1" applyFill="1" applyAlignment="1">
      <alignment vertical="center"/>
    </xf>
    <xf numFmtId="177" fontId="1" fillId="0" borderId="16" xfId="0" applyNumberFormat="1" applyFont="1" applyFill="1" applyBorder="1" applyAlignment="1">
      <alignment vertical="center"/>
    </xf>
    <xf numFmtId="1" fontId="1" fillId="0" borderId="0" xfId="49" applyNumberFormat="1" applyFont="1" applyFill="1" applyBorder="1" applyAlignment="1">
      <alignment horizontal="center" vertical="center"/>
    </xf>
    <xf numFmtId="43" fontId="5" fillId="0" borderId="15" xfId="1" applyNumberFormat="1" applyFont="1" applyFill="1" applyBorder="1" applyAlignment="1">
      <alignment vertical="center"/>
    </xf>
    <xf numFmtId="1" fontId="5" fillId="0" borderId="12" xfId="49" applyNumberFormat="1" applyFont="1" applyFill="1" applyBorder="1" applyAlignment="1">
      <alignment horizontal="center" vertical="center"/>
    </xf>
    <xf numFmtId="178" fontId="1" fillId="0" borderId="17" xfId="1" applyNumberFormat="1" applyFont="1" applyFill="1" applyBorder="1" applyAlignment="1">
      <alignment horizontal="right" vertical="center"/>
    </xf>
    <xf numFmtId="178" fontId="1" fillId="0" borderId="12" xfId="1" applyNumberFormat="1" applyFont="1" applyFill="1" applyBorder="1" applyAlignment="1">
      <alignment horizontal="right" vertical="center"/>
    </xf>
    <xf numFmtId="179" fontId="1" fillId="0" borderId="15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15" xfId="0" applyNumberFormat="1" applyFont="1" applyFill="1" applyBorder="1" applyAlignment="1">
      <alignment vertical="center"/>
    </xf>
    <xf numFmtId="43" fontId="5" fillId="0" borderId="15" xfId="1" applyNumberFormat="1" applyFont="1" applyBorder="1" applyAlignment="1">
      <alignment vertical="center"/>
    </xf>
    <xf numFmtId="180" fontId="1" fillId="0" borderId="13" xfId="49" applyNumberFormat="1" applyFont="1" applyBorder="1" applyAlignment="1">
      <alignment vertical="center"/>
    </xf>
    <xf numFmtId="180" fontId="1" fillId="0" borderId="0" xfId="49" applyNumberFormat="1" applyFont="1" applyFill="1" applyAlignment="1">
      <alignment vertical="center"/>
    </xf>
    <xf numFmtId="180" fontId="1" fillId="0" borderId="15" xfId="49" applyNumberFormat="1" applyFont="1" applyFill="1" applyBorder="1" applyAlignment="1">
      <alignment vertical="center"/>
    </xf>
    <xf numFmtId="178" fontId="1" fillId="0" borderId="17" xfId="1" applyNumberFormat="1" applyFont="1" applyBorder="1" applyAlignment="1">
      <alignment horizontal="right" vertical="center"/>
    </xf>
    <xf numFmtId="178" fontId="1" fillId="0" borderId="17" xfId="1" applyNumberFormat="1" applyFont="1" applyFill="1" applyBorder="1" applyAlignment="1">
      <alignment horizontal="right" vertical="center" shrinkToFit="1"/>
    </xf>
    <xf numFmtId="178" fontId="1" fillId="0" borderId="12" xfId="1" applyNumberFormat="1" applyFont="1" applyFill="1" applyBorder="1" applyAlignment="1">
      <alignment horizontal="right" vertical="center" shrinkToFit="1"/>
    </xf>
    <xf numFmtId="179" fontId="1" fillId="0" borderId="15" xfId="0" applyNumberFormat="1" applyFont="1" applyFill="1" applyBorder="1" applyAlignment="1">
      <alignment horizontal="right" vertical="center"/>
    </xf>
    <xf numFmtId="43" fontId="1" fillId="0" borderId="15" xfId="1" applyNumberFormat="1" applyFont="1" applyFill="1" applyBorder="1" applyAlignment="1">
      <alignment horizontal="right" vertical="center" shrinkToFit="1"/>
    </xf>
    <xf numFmtId="43" fontId="5" fillId="3" borderId="15" xfId="1" applyNumberFormat="1" applyFont="1" applyFill="1" applyBorder="1" applyAlignment="1">
      <alignment vertical="center"/>
    </xf>
    <xf numFmtId="1" fontId="5" fillId="3" borderId="12" xfId="49" applyNumberFormat="1" applyFont="1" applyFill="1" applyBorder="1" applyAlignment="1">
      <alignment horizontal="center" vertical="center"/>
    </xf>
    <xf numFmtId="178" fontId="1" fillId="0" borderId="17" xfId="1" applyNumberFormat="1" applyFont="1" applyBorder="1" applyAlignment="1">
      <alignment vertical="center"/>
    </xf>
    <xf numFmtId="178" fontId="1" fillId="0" borderId="12" xfId="1" applyNumberFormat="1" applyFont="1" applyFill="1" applyBorder="1" applyAlignment="1">
      <alignment vertical="center"/>
    </xf>
    <xf numFmtId="178" fontId="1" fillId="0" borderId="15" xfId="1" applyNumberFormat="1" applyFont="1" applyFill="1" applyBorder="1" applyAlignment="1">
      <alignment horizontal="right" vertical="center" shrinkToFit="1"/>
    </xf>
    <xf numFmtId="178" fontId="1" fillId="0" borderId="13" xfId="0" applyNumberFormat="1" applyFont="1" applyFill="1" applyBorder="1" applyAlignment="1">
      <alignment horizontal="right" vertical="center"/>
    </xf>
    <xf numFmtId="43" fontId="1" fillId="0" borderId="12" xfId="1" applyNumberFormat="1" applyFont="1" applyFill="1" applyBorder="1" applyAlignment="1">
      <alignment horizontal="right" vertical="center" shrinkToFit="1"/>
    </xf>
    <xf numFmtId="43" fontId="1" fillId="0" borderId="17" xfId="1" applyNumberFormat="1" applyFont="1" applyFill="1" applyBorder="1" applyAlignment="1">
      <alignment horizontal="right" vertical="center" shrinkToFit="1"/>
    </xf>
    <xf numFmtId="178" fontId="1" fillId="0" borderId="0" xfId="0" applyNumberFormat="1" applyFont="1" applyFill="1" applyBorder="1" applyAlignment="1">
      <alignment horizontal="right" vertical="center"/>
    </xf>
    <xf numFmtId="179" fontId="1" fillId="0" borderId="13" xfId="0" applyNumberFormat="1" applyFont="1" applyFill="1" applyBorder="1" applyAlignment="1">
      <alignment vertical="center"/>
    </xf>
    <xf numFmtId="178" fontId="1" fillId="0" borderId="12" xfId="0" applyNumberFormat="1" applyFont="1" applyFill="1" applyBorder="1" applyAlignment="1">
      <alignment horizontal="right" vertical="center"/>
    </xf>
    <xf numFmtId="1" fontId="1" fillId="0" borderId="0" xfId="49" applyNumberFormat="1" applyFont="1" applyFill="1" applyBorder="1" applyAlignment="1">
      <alignment horizontal="center" vertical="center"/>
    </xf>
    <xf numFmtId="43" fontId="5" fillId="0" borderId="15" xfId="1" applyNumberFormat="1" applyFont="1" applyFill="1" applyBorder="1" applyAlignment="1">
      <alignment vertical="center"/>
    </xf>
    <xf numFmtId="1" fontId="5" fillId="0" borderId="12" xfId="49" applyNumberFormat="1" applyFont="1" applyFill="1" applyBorder="1" applyAlignment="1">
      <alignment horizontal="center" vertical="center"/>
    </xf>
    <xf numFmtId="181" fontId="1" fillId="0" borderId="13" xfId="49" applyNumberFormat="1" applyFont="1" applyFill="1" applyBorder="1" applyAlignment="1">
      <alignment vertical="center"/>
    </xf>
    <xf numFmtId="181" fontId="1" fillId="0" borderId="0" xfId="49" applyNumberFormat="1" applyFont="1" applyFill="1" applyAlignment="1">
      <alignment vertical="center"/>
    </xf>
    <xf numFmtId="181" fontId="1" fillId="0" borderId="15" xfId="0" applyNumberFormat="1" applyFont="1" applyFill="1" applyBorder="1" applyAlignment="1">
      <alignment vertical="center"/>
    </xf>
    <xf numFmtId="181" fontId="1" fillId="0" borderId="13" xfId="49" applyNumberFormat="1" applyFont="1" applyFill="1" applyBorder="1" applyAlignment="1">
      <alignment vertical="center"/>
    </xf>
    <xf numFmtId="181" fontId="1" fillId="0" borderId="17" xfId="3" applyNumberFormat="1" applyFont="1" applyFill="1" applyBorder="1" applyAlignment="1">
      <alignment vertical="center" shrinkToFit="1"/>
    </xf>
    <xf numFmtId="181" fontId="1" fillId="0" borderId="12" xfId="3" applyNumberFormat="1" applyFont="1" applyFill="1" applyBorder="1" applyAlignment="1">
      <alignment vertical="center" shrinkToFit="1"/>
    </xf>
    <xf numFmtId="181" fontId="1" fillId="0" borderId="15" xfId="3" applyNumberFormat="1" applyFont="1" applyFill="1" applyBorder="1" applyAlignment="1">
      <alignment vertical="center" shrinkToFit="1"/>
    </xf>
    <xf numFmtId="182" fontId="1" fillId="0" borderId="0" xfId="0" applyNumberFormat="1" applyFont="1" applyFill="1" applyAlignment="1">
      <alignment horizontal="right" vertical="center"/>
    </xf>
    <xf numFmtId="183" fontId="1" fillId="0" borderId="15" xfId="0" applyNumberFormat="1" applyFont="1" applyFill="1" applyBorder="1" applyAlignment="1">
      <alignment vertical="center"/>
    </xf>
    <xf numFmtId="182" fontId="1" fillId="0" borderId="16" xfId="0" applyNumberFormat="1" applyFont="1" applyFill="1" applyBorder="1" applyAlignment="1">
      <alignment horizontal="right" vertical="center"/>
    </xf>
    <xf numFmtId="182" fontId="1" fillId="0" borderId="15" xfId="0" applyNumberFormat="1" applyFont="1" applyFill="1" applyBorder="1" applyAlignment="1">
      <alignment vertical="center"/>
    </xf>
    <xf numFmtId="182" fontId="1" fillId="0" borderId="17" xfId="1" applyNumberFormat="1" applyFont="1" applyBorder="1" applyAlignment="1">
      <alignment vertical="center"/>
    </xf>
    <xf numFmtId="182" fontId="1" fillId="0" borderId="0" xfId="1" applyNumberFormat="1" applyFont="1" applyFill="1" applyBorder="1" applyAlignment="1">
      <alignment vertical="center"/>
    </xf>
    <xf numFmtId="184" fontId="1" fillId="0" borderId="15" xfId="3" applyNumberFormat="1" applyFont="1" applyFill="1" applyBorder="1" applyAlignment="1">
      <alignment vertical="center" shrinkToFit="1"/>
    </xf>
    <xf numFmtId="179" fontId="1" fillId="0" borderId="17" xfId="1" applyNumberFormat="1" applyFont="1" applyFill="1" applyBorder="1" applyAlignment="1">
      <alignment vertical="center"/>
    </xf>
    <xf numFmtId="179" fontId="1" fillId="0" borderId="12" xfId="1" applyNumberFormat="1" applyFont="1" applyFill="1" applyBorder="1" applyAlignment="1">
      <alignment vertical="center"/>
    </xf>
    <xf numFmtId="179" fontId="1" fillId="0" borderId="15" xfId="1" applyNumberFormat="1" applyFont="1" applyFill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178" fontId="1" fillId="0" borderId="16" xfId="0" applyNumberFormat="1" applyFont="1" applyFill="1" applyBorder="1" applyAlignment="1">
      <alignment horizontal="right" vertical="center"/>
    </xf>
    <xf numFmtId="185" fontId="1" fillId="0" borderId="15" xfId="0" applyNumberFormat="1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43" fontId="5" fillId="0" borderId="15" xfId="1" applyNumberFormat="1" applyFont="1" applyBorder="1" applyAlignment="1">
      <alignment horizontal="left" vertical="center"/>
    </xf>
    <xf numFmtId="177" fontId="1" fillId="0" borderId="17" xfId="3" applyNumberFormat="1" applyFont="1" applyFill="1" applyBorder="1" applyAlignment="1">
      <alignment vertical="center" shrinkToFit="1"/>
    </xf>
    <xf numFmtId="177" fontId="1" fillId="0" borderId="12" xfId="3" applyNumberFormat="1" applyFont="1" applyFill="1" applyBorder="1" applyAlignment="1">
      <alignment vertical="center" shrinkToFit="1"/>
    </xf>
    <xf numFmtId="177" fontId="1" fillId="0" borderId="15" xfId="3" applyNumberFormat="1" applyFont="1" applyFill="1" applyBorder="1" applyAlignment="1">
      <alignment vertical="center" shrinkToFit="1"/>
    </xf>
    <xf numFmtId="177" fontId="1" fillId="0" borderId="0" xfId="0" applyNumberFormat="1" applyFont="1" applyFill="1" applyAlignment="1">
      <alignment horizontal="right" vertical="center"/>
    </xf>
    <xf numFmtId="177" fontId="1" fillId="0" borderId="15" xfId="0" applyNumberFormat="1" applyFont="1" applyFill="1" applyBorder="1" applyAlignment="1">
      <alignment vertical="center"/>
    </xf>
    <xf numFmtId="177" fontId="1" fillId="0" borderId="16" xfId="0" applyNumberFormat="1" applyFont="1" applyFill="1" applyBorder="1" applyAlignment="1">
      <alignment horizontal="right" vertical="center"/>
    </xf>
    <xf numFmtId="177" fontId="1" fillId="0" borderId="17" xfId="3" applyNumberFormat="1" applyFont="1" applyFill="1" applyBorder="1">
      <alignment vertical="center"/>
    </xf>
    <xf numFmtId="177" fontId="1" fillId="0" borderId="12" xfId="3" applyNumberFormat="1" applyFont="1" applyFill="1" applyBorder="1">
      <alignment vertical="center"/>
    </xf>
    <xf numFmtId="177" fontId="1" fillId="0" borderId="15" xfId="3" applyNumberFormat="1" applyFont="1" applyFill="1" applyBorder="1">
      <alignment vertical="center"/>
    </xf>
    <xf numFmtId="183" fontId="1" fillId="0" borderId="17" xfId="3" applyNumberFormat="1" applyFont="1" applyFill="1" applyBorder="1">
      <alignment vertical="center"/>
    </xf>
    <xf numFmtId="183" fontId="1" fillId="0" borderId="15" xfId="3" applyNumberFormat="1" applyFont="1" applyFill="1" applyBorder="1">
      <alignment vertical="center"/>
    </xf>
    <xf numFmtId="186" fontId="1" fillId="0" borderId="17" xfId="1" applyNumberFormat="1" applyFont="1" applyFill="1" applyBorder="1">
      <alignment vertical="center"/>
    </xf>
    <xf numFmtId="186" fontId="1" fillId="0" borderId="12" xfId="1" applyNumberFormat="1" applyFont="1" applyFill="1" applyBorder="1" applyAlignment="1">
      <alignment vertical="center"/>
    </xf>
    <xf numFmtId="186" fontId="1" fillId="0" borderId="15" xfId="1" applyNumberFormat="1" applyFont="1" applyFill="1" applyBorder="1">
      <alignment vertical="center"/>
    </xf>
    <xf numFmtId="186" fontId="1" fillId="0" borderId="17" xfId="1" applyNumberFormat="1" applyFont="1" applyFill="1" applyBorder="1" applyAlignment="1">
      <alignment vertical="center"/>
    </xf>
    <xf numFmtId="186" fontId="1" fillId="0" borderId="15" xfId="1" applyNumberFormat="1" applyFont="1" applyFill="1" applyBorder="1" applyAlignment="1">
      <alignment vertical="center"/>
    </xf>
    <xf numFmtId="0" fontId="1" fillId="0" borderId="18" xfId="49" applyFont="1" applyFill="1" applyBorder="1" applyAlignment="1">
      <alignment horizontal="center" vertical="center"/>
    </xf>
    <xf numFmtId="43" fontId="5" fillId="0" borderId="19" xfId="1" applyNumberFormat="1" applyFont="1" applyFill="1" applyBorder="1" applyAlignment="1">
      <alignment vertical="center"/>
    </xf>
    <xf numFmtId="1" fontId="5" fillId="3" borderId="19" xfId="49" applyNumberFormat="1" applyFont="1" applyFill="1" applyBorder="1" applyAlignment="1">
      <alignment horizontal="center" vertical="center"/>
    </xf>
    <xf numFmtId="183" fontId="1" fillId="0" borderId="20" xfId="1" applyNumberFormat="1" applyFont="1" applyFill="1" applyBorder="1">
      <alignment vertical="center"/>
    </xf>
    <xf numFmtId="183" fontId="1" fillId="0" borderId="21" xfId="1" applyNumberFormat="1" applyFont="1" applyFill="1" applyBorder="1">
      <alignment vertical="center"/>
    </xf>
    <xf numFmtId="183" fontId="1" fillId="0" borderId="19" xfId="1" applyNumberFormat="1" applyFont="1" applyFill="1" applyBorder="1">
      <alignment vertical="center"/>
    </xf>
    <xf numFmtId="183" fontId="1" fillId="0" borderId="18" xfId="1" applyNumberFormat="1" applyFont="1" applyBorder="1" applyAlignment="1">
      <alignment horizontal="right" vertical="center"/>
    </xf>
    <xf numFmtId="183" fontId="1" fillId="0" borderId="19" xfId="1" applyNumberFormat="1" applyFont="1" applyBorder="1" applyAlignment="1">
      <alignment vertical="center"/>
    </xf>
    <xf numFmtId="183" fontId="1" fillId="0" borderId="18" xfId="0" applyNumberFormat="1" applyFont="1" applyBorder="1" applyAlignment="1">
      <alignment horizontal="right" vertical="center"/>
    </xf>
    <xf numFmtId="0" fontId="6" fillId="0" borderId="0" xfId="49" applyFont="1" applyAlignment="1"/>
    <xf numFmtId="0" fontId="6" fillId="0" borderId="0" xfId="49" applyFont="1" applyAlignment="1">
      <alignment horizontal="center"/>
    </xf>
    <xf numFmtId="43" fontId="6" fillId="0" borderId="0" xfId="1" applyNumberFormat="1" applyFont="1" applyAlignment="1"/>
    <xf numFmtId="43" fontId="6" fillId="0" borderId="0" xfId="1" applyNumberFormat="1" applyFont="1" applyFill="1" applyAlignment="1"/>
    <xf numFmtId="0" fontId="6" fillId="0" borderId="0" xfId="49" applyFont="1" applyFill="1" applyAlignment="1"/>
    <xf numFmtId="43" fontId="0" fillId="0" borderId="3" xfId="1" applyNumberFormat="1" applyFont="1" applyBorder="1" applyAlignment="1">
      <alignment horizontal="center"/>
    </xf>
    <xf numFmtId="43" fontId="6" fillId="0" borderId="3" xfId="1" applyNumberFormat="1" applyFont="1" applyBorder="1" applyAlignment="1">
      <alignment horizontal="center"/>
    </xf>
    <xf numFmtId="0" fontId="0" fillId="0" borderId="0" xfId="49" applyFont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6" fillId="0" borderId="0" xfId="49" applyFont="1" applyFill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Sheet1" xfId="50"/>
    <cellStyle name="常规 2" xfId="51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745;&#31639;&#26426;\&#29983;&#25216;&#22788;\&#32463;&#33829;&#35745;&#21010;&#21644;&#20135;&#38144;&#35745;&#21010;\2026&#24180;&#24230;&#29983;&#20135;&#32463;&#33829;&#35745;&#21010;\&#29983;&#20135;&#32463;&#33829;&#21333;&#20301;&#24180;&#24230;&#39044;&#31639;&#32534;&#21046;&#27169;&#26495;\&#38468;&#20214;&#19977;&#65306;&#20135;&#38144;&#35745;&#21010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745;&#31639;&#26426;\2024-2025&#29983;&#20135;&#25253;&#34920;\2024-2025&#25253;&#34920;\&#37329;&#26222;23-24&#26085;&#28040;&#32791;+&#26376;&#25253;&#34920;-&#25253;&#34081;&#24635;\&#37329;&#26222;&#28909;&#30005;&#27599;&#26085;&#28040;&#32791;&#25253;&#34920;&#65288;2026.1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团汇总"/>
      <sheetName val="主城区"/>
      <sheetName val="股份公司"/>
      <sheetName val="股份本部"/>
      <sheetName val="北海汇总"/>
      <sheetName val="北海热电联产"/>
      <sheetName val="北海水炉"/>
      <sheetName val="北海天然气炉"/>
      <sheetName val="香海热电厂"/>
      <sheetName val="供热公司"/>
      <sheetName val="主城区电锅炉"/>
      <sheetName val="金州热电"/>
      <sheetName val="北方热电"/>
      <sheetName val="金普热电"/>
      <sheetName val="庄河环海"/>
      <sheetName val="研究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E7">
            <v>531097.62060491</v>
          </cell>
        </row>
        <row r="7">
          <cell r="L7">
            <v>151085.494937713</v>
          </cell>
        </row>
        <row r="11">
          <cell r="E11">
            <v>18614.7605633803</v>
          </cell>
        </row>
        <row r="11">
          <cell r="L11">
            <v>3989.61267605634</v>
          </cell>
        </row>
        <row r="17">
          <cell r="E17">
            <v>1716497.83</v>
          </cell>
        </row>
        <row r="17">
          <cell r="L17">
            <v>1716497.83</v>
          </cell>
        </row>
        <row r="19">
          <cell r="E19">
            <v>42525.9153205631</v>
          </cell>
        </row>
        <row r="19">
          <cell r="L19">
            <v>12625.7506723304</v>
          </cell>
        </row>
        <row r="22">
          <cell r="E22">
            <v>25555.5878147839</v>
          </cell>
        </row>
        <row r="22">
          <cell r="L22">
            <v>7627.61576209852</v>
          </cell>
        </row>
        <row r="34">
          <cell r="E34">
            <v>104393.155</v>
          </cell>
        </row>
        <row r="34">
          <cell r="L34">
            <v>19720</v>
          </cell>
        </row>
        <row r="43">
          <cell r="E43">
            <v>206.665189095836</v>
          </cell>
        </row>
        <row r="43">
          <cell r="L43">
            <v>59.5183455451692</v>
          </cell>
        </row>
        <row r="44">
          <cell r="E44">
            <v>112.970305635977</v>
          </cell>
        </row>
        <row r="44">
          <cell r="L44">
            <v>22.4623181194099</v>
          </cell>
        </row>
        <row r="55">
          <cell r="E55">
            <v>725.981511865304</v>
          </cell>
        </row>
        <row r="55">
          <cell r="L55">
            <v>166.277689567395</v>
          </cell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煤量"/>
      <sheetName val="电量"/>
      <sheetName val="水量"/>
      <sheetName val="一方换热站水电"/>
      <sheetName val="环保"/>
      <sheetName val="Sheet1"/>
      <sheetName val="Sheet2"/>
      <sheetName val="Sheet3"/>
    </sheetNames>
    <sheetDataSet>
      <sheetData sheetId="0">
        <row r="34">
          <cell r="L34">
            <v>12660</v>
          </cell>
          <cell r="M34">
            <v>7626.19</v>
          </cell>
          <cell r="N34">
            <v>156456.25</v>
          </cell>
        </row>
      </sheetData>
      <sheetData sheetId="1">
        <row r="34">
          <cell r="Z34">
            <v>1787714.1</v>
          </cell>
        </row>
      </sheetData>
      <sheetData sheetId="2">
        <row r="34">
          <cell r="AE34">
            <v>22828</v>
          </cell>
        </row>
      </sheetData>
      <sheetData sheetId="3"/>
      <sheetData sheetId="4">
        <row r="34">
          <cell r="M34">
            <v>43.975</v>
          </cell>
          <cell r="N34">
            <v>28.64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showGridLines="0" tabSelected="1" zoomScaleSheetLayoutView="60" workbookViewId="0">
      <selection activeCell="P11" sqref="P11"/>
    </sheetView>
  </sheetViews>
  <sheetFormatPr defaultColWidth="9" defaultRowHeight="15"/>
  <cols>
    <col min="1" max="1" width="4.875" style="4" customWidth="1"/>
    <col min="2" max="2" width="16.75" style="5" customWidth="1"/>
    <col min="3" max="3" width="13.625" style="4" customWidth="1"/>
    <col min="4" max="4" width="10.125" customWidth="1"/>
    <col min="5" max="5" width="10.125" style="6" customWidth="1"/>
    <col min="6" max="8" width="9.625" style="6" customWidth="1"/>
    <col min="9" max="13" width="8.125" customWidth="1"/>
    <col min="14" max="14" width="9" style="5"/>
    <col min="15" max="17" width="9.625" style="5"/>
    <col min="18" max="16384" width="9" style="5"/>
  </cols>
  <sheetData>
    <row r="1" spans="1:13">
      <c r="A1" s="7" t="s">
        <v>0</v>
      </c>
      <c r="B1" s="8"/>
      <c r="C1" s="8"/>
      <c r="D1" s="8"/>
      <c r="E1" s="9"/>
      <c r="F1" s="9"/>
      <c r="G1" s="9"/>
      <c r="H1" s="9"/>
      <c r="I1" s="8"/>
      <c r="J1" s="8"/>
      <c r="K1" s="8"/>
      <c r="L1" s="8"/>
      <c r="M1" s="8"/>
    </row>
    <row r="2" ht="11" customHeight="1" spans="1:13">
      <c r="A2" s="8"/>
      <c r="B2" s="8"/>
      <c r="C2" s="8"/>
      <c r="D2" s="8"/>
      <c r="E2" s="9"/>
      <c r="F2" s="9"/>
      <c r="G2" s="9"/>
      <c r="H2" s="9"/>
      <c r="I2" s="8"/>
      <c r="J2" s="8"/>
      <c r="K2" s="8"/>
      <c r="L2" s="8"/>
      <c r="M2" s="8"/>
    </row>
    <row r="3" s="1" customFormat="1" ht="18" customHeight="1" spans="1:13">
      <c r="A3" s="10" t="s">
        <v>1</v>
      </c>
      <c r="B3" s="11" t="s">
        <v>2</v>
      </c>
      <c r="C3" s="11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3" t="s">
        <v>9</v>
      </c>
      <c r="J3" s="14" t="s">
        <v>10</v>
      </c>
      <c r="K3" s="15"/>
      <c r="L3" s="14" t="s">
        <v>11</v>
      </c>
      <c r="M3" s="15"/>
    </row>
    <row r="4" s="1" customFormat="1" ht="19.5" customHeight="1" spans="1:13">
      <c r="A4" s="16"/>
      <c r="B4" s="17"/>
      <c r="C4" s="17"/>
      <c r="D4" s="18"/>
      <c r="E4" s="18"/>
      <c r="F4" s="18"/>
      <c r="G4" s="18"/>
      <c r="H4" s="18"/>
      <c r="I4" s="19"/>
      <c r="J4" s="20" t="s">
        <v>12</v>
      </c>
      <c r="K4" s="21" t="s">
        <v>13</v>
      </c>
      <c r="L4" s="21" t="s">
        <v>12</v>
      </c>
      <c r="M4" s="19" t="s">
        <v>13</v>
      </c>
    </row>
    <row r="5" s="1" customFormat="1" ht="14.85" customHeight="1" spans="1:13">
      <c r="A5" s="22">
        <v>1</v>
      </c>
      <c r="B5" s="23" t="s">
        <v>14</v>
      </c>
      <c r="C5" s="24" t="s">
        <v>15</v>
      </c>
      <c r="D5" s="25">
        <f>99+63</f>
        <v>162</v>
      </c>
      <c r="E5" s="26">
        <v>162</v>
      </c>
      <c r="F5" s="27">
        <v>162</v>
      </c>
      <c r="G5" s="27">
        <f>E5</f>
        <v>162</v>
      </c>
      <c r="H5" s="27">
        <f>D5</f>
        <v>162</v>
      </c>
      <c r="I5" s="28">
        <f t="shared" ref="I5:I17" si="0">H5/D5</f>
        <v>1</v>
      </c>
      <c r="J5" s="27">
        <f t="shared" ref="J5:J17" si="1">G5-E5</f>
        <v>0</v>
      </c>
      <c r="K5" s="29">
        <f t="shared" ref="K5:K17" si="2">J5/E5</f>
        <v>0</v>
      </c>
      <c r="L5" s="27">
        <f>G5-F5</f>
        <v>0</v>
      </c>
      <c r="M5" s="29">
        <f t="shared" ref="M5:M17" si="3">L5/F5</f>
        <v>0</v>
      </c>
    </row>
    <row r="6" s="2" customFormat="1" ht="14.85" customHeight="1" spans="1:13">
      <c r="A6" s="30">
        <v>2</v>
      </c>
      <c r="B6" s="31" t="s">
        <v>16</v>
      </c>
      <c r="C6" s="32" t="s">
        <v>17</v>
      </c>
      <c r="D6" s="33">
        <f>[1]金普热电!$E$17+D7</f>
        <v>1771497.83</v>
      </c>
      <c r="E6" s="34">
        <f>[1]金普热电!$L$17+E7</f>
        <v>1771497.83</v>
      </c>
      <c r="F6" s="35">
        <v>1759025.25</v>
      </c>
      <c r="G6" s="35">
        <f>1714458.54+G7</f>
        <v>1769458.54</v>
      </c>
      <c r="H6" s="35">
        <f>G6</f>
        <v>1769458.54</v>
      </c>
      <c r="I6" s="36">
        <f t="shared" si="0"/>
        <v>0.998848832911074</v>
      </c>
      <c r="J6" s="37">
        <f t="shared" si="1"/>
        <v>-2039.29000000004</v>
      </c>
      <c r="K6" s="29">
        <f t="shared" si="2"/>
        <v>-0.00115116708892612</v>
      </c>
      <c r="L6" s="37">
        <f t="shared" ref="L6:L22" si="4">G6-F6</f>
        <v>10433.29</v>
      </c>
      <c r="M6" s="29">
        <f t="shared" si="3"/>
        <v>0.00593129063951756</v>
      </c>
    </row>
    <row r="7" s="1" customFormat="1" ht="14.85" customHeight="1" spans="1:13">
      <c r="A7" s="22"/>
      <c r="B7" s="38" t="s">
        <v>18</v>
      </c>
      <c r="C7" s="24" t="s">
        <v>17</v>
      </c>
      <c r="D7" s="39">
        <v>55000</v>
      </c>
      <c r="E7" s="40">
        <v>55000</v>
      </c>
      <c r="F7" s="41">
        <v>55000</v>
      </c>
      <c r="G7" s="41">
        <v>55000</v>
      </c>
      <c r="H7" s="41">
        <v>55000</v>
      </c>
      <c r="I7" s="36">
        <f t="shared" si="0"/>
        <v>1</v>
      </c>
      <c r="J7" s="37">
        <f t="shared" si="1"/>
        <v>0</v>
      </c>
      <c r="K7" s="29">
        <f t="shared" si="2"/>
        <v>0</v>
      </c>
      <c r="L7" s="37">
        <f t="shared" si="4"/>
        <v>0</v>
      </c>
      <c r="M7" s="29">
        <f t="shared" si="3"/>
        <v>0</v>
      </c>
    </row>
    <row r="8" s="1" customFormat="1" ht="14.85" customHeight="1" spans="1:13">
      <c r="A8" s="22">
        <v>3</v>
      </c>
      <c r="B8" s="38" t="s">
        <v>19</v>
      </c>
      <c r="C8" s="24" t="s">
        <v>17</v>
      </c>
      <c r="D8" s="42">
        <f>D6</f>
        <v>1771497.83</v>
      </c>
      <c r="E8" s="34">
        <f>E6</f>
        <v>1771497.83</v>
      </c>
      <c r="F8" s="35">
        <v>1759025.25</v>
      </c>
      <c r="G8" s="35">
        <f>G6</f>
        <v>1769458.54</v>
      </c>
      <c r="H8" s="35">
        <f>H6</f>
        <v>1769458.54</v>
      </c>
      <c r="I8" s="36">
        <f t="shared" si="0"/>
        <v>0.998848832911074</v>
      </c>
      <c r="J8" s="37">
        <f t="shared" si="1"/>
        <v>-2039.29000000004</v>
      </c>
      <c r="K8" s="29">
        <f t="shared" si="2"/>
        <v>-0.00115116708892612</v>
      </c>
      <c r="L8" s="37">
        <f t="shared" si="4"/>
        <v>10433.29</v>
      </c>
      <c r="M8" s="29">
        <f t="shared" si="3"/>
        <v>0.00593129063951756</v>
      </c>
    </row>
    <row r="9" s="1" customFormat="1" ht="14.85" customHeight="1" spans="1:13">
      <c r="A9" s="22">
        <v>4</v>
      </c>
      <c r="B9" s="38" t="s">
        <v>20</v>
      </c>
      <c r="C9" s="24" t="s">
        <v>21</v>
      </c>
      <c r="D9" s="43" t="s">
        <v>22</v>
      </c>
      <c r="E9" s="44" t="s">
        <v>22</v>
      </c>
      <c r="F9" s="45"/>
      <c r="G9" s="46"/>
      <c r="H9" s="46"/>
      <c r="I9" s="36"/>
      <c r="J9" s="37"/>
      <c r="K9" s="29"/>
      <c r="L9" s="37"/>
      <c r="M9" s="29"/>
    </row>
    <row r="10" s="1" customFormat="1" ht="14.85" customHeight="1" spans="1:13">
      <c r="A10" s="22">
        <v>5</v>
      </c>
      <c r="B10" s="47" t="s">
        <v>23</v>
      </c>
      <c r="C10" s="48" t="s">
        <v>24</v>
      </c>
      <c r="D10" s="49">
        <f>[1]金普热电!$E$7</f>
        <v>531097.62060491</v>
      </c>
      <c r="E10" s="50">
        <f>[1]金普热电!$L$7</f>
        <v>151085.494937713</v>
      </c>
      <c r="F10" s="51">
        <v>148201.192094</v>
      </c>
      <c r="G10" s="51">
        <f>[2]煤量!$N$34</f>
        <v>156456.25</v>
      </c>
      <c r="H10" s="51">
        <f>G10</f>
        <v>156456.25</v>
      </c>
      <c r="I10" s="36">
        <f t="shared" si="0"/>
        <v>0.294590380242712</v>
      </c>
      <c r="J10" s="37">
        <f t="shared" si="1"/>
        <v>5370.755062287</v>
      </c>
      <c r="K10" s="29">
        <f t="shared" si="2"/>
        <v>0.0355477874596841</v>
      </c>
      <c r="L10" s="37">
        <f t="shared" si="4"/>
        <v>8255.057906</v>
      </c>
      <c r="M10" s="29">
        <f t="shared" si="3"/>
        <v>0.0557016970603316</v>
      </c>
    </row>
    <row r="11" s="1" customFormat="1" ht="14.85" customHeight="1" spans="1:13">
      <c r="A11" s="22">
        <v>6</v>
      </c>
      <c r="B11" s="47" t="s">
        <v>25</v>
      </c>
      <c r="C11" s="48" t="s">
        <v>24</v>
      </c>
      <c r="D11" s="52">
        <f>[1]金普热电!$E$11</f>
        <v>18614.7605633803</v>
      </c>
      <c r="E11" s="53">
        <f>[1]金普热电!$L$11</f>
        <v>3989.61267605634</v>
      </c>
      <c r="F11" s="53">
        <v>4030</v>
      </c>
      <c r="G11" s="53">
        <v>4030</v>
      </c>
      <c r="H11" s="51">
        <f t="shared" ref="H11:H19" si="5">G11</f>
        <v>4030</v>
      </c>
      <c r="I11" s="36">
        <f t="shared" si="0"/>
        <v>0.216494860961466</v>
      </c>
      <c r="J11" s="37">
        <f t="shared" si="1"/>
        <v>40.3873239436598</v>
      </c>
      <c r="K11" s="29">
        <f t="shared" si="2"/>
        <v>0.0101231190150473</v>
      </c>
      <c r="L11" s="37">
        <f t="shared" si="4"/>
        <v>0</v>
      </c>
      <c r="M11" s="29">
        <f t="shared" si="3"/>
        <v>0</v>
      </c>
    </row>
    <row r="12" s="1" customFormat="1" ht="14.85" customHeight="1" spans="1:13">
      <c r="A12" s="22">
        <v>7</v>
      </c>
      <c r="B12" s="38" t="s">
        <v>26</v>
      </c>
      <c r="C12" s="24" t="s">
        <v>21</v>
      </c>
      <c r="D12" s="39">
        <f>[1]金普热电!$E$19</f>
        <v>42525.9153205631</v>
      </c>
      <c r="E12" s="40">
        <f>[1]金普热电!$L$19</f>
        <v>12625.7506723304</v>
      </c>
      <c r="F12" s="35">
        <v>12005</v>
      </c>
      <c r="G12" s="35">
        <f>[2]煤量!$L$34</f>
        <v>12660</v>
      </c>
      <c r="H12" s="51">
        <f t="shared" si="5"/>
        <v>12660</v>
      </c>
      <c r="I12" s="36">
        <f t="shared" si="0"/>
        <v>0.297700823240796</v>
      </c>
      <c r="J12" s="37">
        <f t="shared" si="1"/>
        <v>34.2493276696005</v>
      </c>
      <c r="K12" s="29">
        <f t="shared" si="2"/>
        <v>0.00271265674085095</v>
      </c>
      <c r="L12" s="37">
        <f t="shared" si="4"/>
        <v>655</v>
      </c>
      <c r="M12" s="29">
        <f t="shared" si="3"/>
        <v>0.0545605997501041</v>
      </c>
    </row>
    <row r="13" s="1" customFormat="1" ht="14.85" customHeight="1" spans="1:13">
      <c r="A13" s="22">
        <v>8</v>
      </c>
      <c r="B13" s="38" t="s">
        <v>27</v>
      </c>
      <c r="C13" s="24" t="s">
        <v>21</v>
      </c>
      <c r="D13" s="54"/>
      <c r="E13" s="53"/>
      <c r="F13" s="35"/>
      <c r="G13" s="35"/>
      <c r="H13" s="51">
        <f t="shared" si="5"/>
        <v>0</v>
      </c>
      <c r="I13" s="55" t="s">
        <v>22</v>
      </c>
      <c r="J13" s="37">
        <f t="shared" si="1"/>
        <v>0</v>
      </c>
      <c r="K13" s="29" t="e">
        <f t="shared" si="2"/>
        <v>#DIV/0!</v>
      </c>
      <c r="L13" s="37">
        <f t="shared" si="4"/>
        <v>0</v>
      </c>
      <c r="M13" s="29" t="e">
        <f t="shared" si="3"/>
        <v>#DIV/0!</v>
      </c>
    </row>
    <row r="14" s="1" customFormat="1" ht="14.85" customHeight="1" spans="1:13">
      <c r="A14" s="22">
        <v>9</v>
      </c>
      <c r="B14" s="47" t="s">
        <v>28</v>
      </c>
      <c r="C14" s="48" t="s">
        <v>21</v>
      </c>
      <c r="D14" s="56">
        <f>[1]金普热电!$E$22</f>
        <v>25555.5878147839</v>
      </c>
      <c r="E14" s="53">
        <f>[1]金普热电!$L$22</f>
        <v>7627.61576209852</v>
      </c>
      <c r="F14" s="53">
        <v>7223.82928571429</v>
      </c>
      <c r="G14" s="53">
        <f>[2]煤量!$M$34</f>
        <v>7626.19</v>
      </c>
      <c r="H14" s="51">
        <f t="shared" si="5"/>
        <v>7626.19</v>
      </c>
      <c r="I14" s="28">
        <f t="shared" si="0"/>
        <v>0.298415753739315</v>
      </c>
      <c r="J14" s="37">
        <f t="shared" si="1"/>
        <v>-1.42576209851995</v>
      </c>
      <c r="K14" s="29">
        <f t="shared" si="2"/>
        <v>-0.000186921069832141</v>
      </c>
      <c r="L14" s="37">
        <f t="shared" si="4"/>
        <v>402.36071428571</v>
      </c>
      <c r="M14" s="29">
        <f t="shared" si="3"/>
        <v>0.0556990895509409</v>
      </c>
    </row>
    <row r="15" s="2" customFormat="1" ht="14.85" customHeight="1" spans="1:13">
      <c r="A15" s="30">
        <v>10</v>
      </c>
      <c r="B15" s="31" t="s">
        <v>29</v>
      </c>
      <c r="C15" s="32" t="s">
        <v>21</v>
      </c>
      <c r="D15" s="56">
        <f>[1]金普热电!$E$34</f>
        <v>104393.155</v>
      </c>
      <c r="E15" s="56">
        <f>[1]金普热电!$L$34</f>
        <v>19720</v>
      </c>
      <c r="F15" s="35">
        <v>23200</v>
      </c>
      <c r="G15" s="35">
        <f>[2]水量!$AE$34</f>
        <v>22828</v>
      </c>
      <c r="H15" s="51">
        <f t="shared" si="5"/>
        <v>22828</v>
      </c>
      <c r="I15" s="28">
        <f t="shared" si="0"/>
        <v>0.218673341178356</v>
      </c>
      <c r="J15" s="37">
        <f t="shared" si="1"/>
        <v>3108</v>
      </c>
      <c r="K15" s="29">
        <f t="shared" si="2"/>
        <v>0.157606490872211</v>
      </c>
      <c r="L15" s="37">
        <f t="shared" si="4"/>
        <v>-372</v>
      </c>
      <c r="M15" s="29">
        <f t="shared" si="3"/>
        <v>-0.0160344827586207</v>
      </c>
    </row>
    <row r="16" s="2" customFormat="1" ht="14.85" customHeight="1" spans="1:13">
      <c r="A16" s="30"/>
      <c r="B16" s="31" t="s">
        <v>30</v>
      </c>
      <c r="C16" s="32" t="s">
        <v>21</v>
      </c>
      <c r="D16" s="53">
        <v>0</v>
      </c>
      <c r="E16" s="53">
        <v>0</v>
      </c>
      <c r="F16" s="53">
        <v>0</v>
      </c>
      <c r="G16" s="53">
        <v>0</v>
      </c>
      <c r="H16" s="51">
        <f t="shared" si="5"/>
        <v>0</v>
      </c>
      <c r="I16" s="28" t="e">
        <f t="shared" si="0"/>
        <v>#DIV/0!</v>
      </c>
      <c r="J16" s="37">
        <f t="shared" si="1"/>
        <v>0</v>
      </c>
      <c r="K16" s="29" t="e">
        <f t="shared" si="2"/>
        <v>#DIV/0!</v>
      </c>
      <c r="L16" s="37">
        <f t="shared" si="4"/>
        <v>0</v>
      </c>
      <c r="M16" s="29" t="e">
        <f t="shared" si="3"/>
        <v>#DIV/0!</v>
      </c>
    </row>
    <row r="17" s="2" customFormat="1" ht="14.85" customHeight="1" spans="1:13">
      <c r="A17" s="30">
        <v>11</v>
      </c>
      <c r="B17" s="31" t="s">
        <v>31</v>
      </c>
      <c r="C17" s="32" t="s">
        <v>32</v>
      </c>
      <c r="D17" s="57">
        <f>[1]金普热电!$E$55*10000</f>
        <v>7259815.11865304</v>
      </c>
      <c r="E17" s="57">
        <f>[1]金普热电!$L$55*10000</f>
        <v>1662776.89567395</v>
      </c>
      <c r="F17" s="35">
        <v>1720833.69</v>
      </c>
      <c r="G17" s="35">
        <f>[2]电量!$Z$34</f>
        <v>1787714.1</v>
      </c>
      <c r="H17" s="51">
        <f t="shared" si="5"/>
        <v>1787714.1</v>
      </c>
      <c r="I17" s="28">
        <f t="shared" si="0"/>
        <v>0.246247882457327</v>
      </c>
      <c r="J17" s="37">
        <f t="shared" si="1"/>
        <v>124937.20432605</v>
      </c>
      <c r="K17" s="29">
        <f t="shared" si="2"/>
        <v>0.0751376836249644</v>
      </c>
      <c r="L17" s="37">
        <f t="shared" si="4"/>
        <v>66880.4099999997</v>
      </c>
      <c r="M17" s="29">
        <f t="shared" si="3"/>
        <v>0.0388651212424832</v>
      </c>
    </row>
    <row r="18" s="3" customFormat="1" ht="14.85" customHeight="1" spans="1:13">
      <c r="A18" s="58">
        <v>12</v>
      </c>
      <c r="B18" s="59" t="s">
        <v>33</v>
      </c>
      <c r="C18" s="60" t="s">
        <v>21</v>
      </c>
      <c r="D18" s="61">
        <f>[1]金普热电!$E$43</f>
        <v>206.665189095836</v>
      </c>
      <c r="E18" s="62">
        <f>[1]金普热电!$L$43</f>
        <v>59.5183455451692</v>
      </c>
      <c r="F18" s="63">
        <v>64.725</v>
      </c>
      <c r="G18" s="63">
        <f>[2]环保!$M$34</f>
        <v>43.975</v>
      </c>
      <c r="H18" s="51">
        <f t="shared" si="5"/>
        <v>43.975</v>
      </c>
      <c r="I18" s="28"/>
      <c r="J18" s="37"/>
      <c r="K18" s="29"/>
      <c r="L18" s="37"/>
      <c r="M18" s="29"/>
    </row>
    <row r="19" s="2" customFormat="1" ht="14.85" customHeight="1" spans="1:13">
      <c r="A19" s="30">
        <v>13</v>
      </c>
      <c r="B19" s="31" t="s">
        <v>34</v>
      </c>
      <c r="C19" s="32" t="s">
        <v>21</v>
      </c>
      <c r="D19" s="64">
        <f>[1]金普热电!$E$44</f>
        <v>112.970305635977</v>
      </c>
      <c r="E19" s="62">
        <f>[1]金普热电!$L$44</f>
        <v>22.4623181194099</v>
      </c>
      <c r="F19" s="63">
        <v>24.825</v>
      </c>
      <c r="G19" s="63">
        <f>[2]环保!$N$34</f>
        <v>28.64</v>
      </c>
      <c r="H19" s="51">
        <f t="shared" si="5"/>
        <v>28.64</v>
      </c>
      <c r="I19" s="28"/>
      <c r="J19" s="37"/>
      <c r="K19" s="29"/>
      <c r="L19" s="37"/>
      <c r="M19" s="29"/>
    </row>
    <row r="20" s="1" customFormat="1" ht="14.85" customHeight="1" spans="1:13">
      <c r="A20" s="22">
        <v>14</v>
      </c>
      <c r="B20" s="38" t="s">
        <v>35</v>
      </c>
      <c r="C20" s="24" t="s">
        <v>36</v>
      </c>
      <c r="D20" s="65">
        <f>D17/D10</f>
        <v>13.6694551754614</v>
      </c>
      <c r="E20" s="66">
        <f>E17/E10</f>
        <v>11.0055362783797</v>
      </c>
      <c r="F20" s="67">
        <v>11.6114699597593</v>
      </c>
      <c r="G20" s="67">
        <f>G17/G10</f>
        <v>11.4262875404466</v>
      </c>
      <c r="H20" s="63">
        <f>H17/H10</f>
        <v>11.4262875404466</v>
      </c>
      <c r="I20" s="68" t="s">
        <v>22</v>
      </c>
      <c r="J20" s="69">
        <f>G20-E20</f>
        <v>0.420751262066927</v>
      </c>
      <c r="K20" s="70" t="s">
        <v>22</v>
      </c>
      <c r="L20" s="71">
        <f>G20-F20</f>
        <v>-0.185182419312701</v>
      </c>
      <c r="M20" s="70" t="s">
        <v>22</v>
      </c>
    </row>
    <row r="21" s="1" customFormat="1" ht="14.85" customHeight="1" spans="1:13">
      <c r="A21" s="22">
        <v>15</v>
      </c>
      <c r="B21" s="38" t="s">
        <v>37</v>
      </c>
      <c r="C21" s="24" t="s">
        <v>38</v>
      </c>
      <c r="D21" s="72">
        <f>D14*1000/D10</f>
        <v>48.1184377848965</v>
      </c>
      <c r="E21" s="73">
        <f>E14*1000/E10</f>
        <v>50.4854272426556</v>
      </c>
      <c r="F21" s="74">
        <v>48.743395269941</v>
      </c>
      <c r="G21" s="74">
        <f t="shared" ref="F21:H21" si="6">SUM(G14*1000/G10)</f>
        <v>48.7432748771621</v>
      </c>
      <c r="H21" s="74">
        <f t="shared" si="6"/>
        <v>48.7432748771621</v>
      </c>
      <c r="I21" s="68" t="s">
        <v>22</v>
      </c>
      <c r="J21" s="69">
        <f>G21-E21</f>
        <v>-1.74215236549345</v>
      </c>
      <c r="K21" s="70" t="s">
        <v>22</v>
      </c>
      <c r="L21" s="71">
        <f>G21-F21</f>
        <v>-0.000120392778811151</v>
      </c>
      <c r="M21" s="70" t="s">
        <v>22</v>
      </c>
    </row>
    <row r="22" s="2" customFormat="1" ht="14.85" customHeight="1" spans="1:13">
      <c r="A22" s="30">
        <v>16</v>
      </c>
      <c r="B22" s="31" t="s">
        <v>39</v>
      </c>
      <c r="C22" s="32" t="s">
        <v>21</v>
      </c>
      <c r="D22" s="52" t="s">
        <v>22</v>
      </c>
      <c r="E22" s="57" t="s">
        <v>22</v>
      </c>
      <c r="F22" s="53">
        <v>12984</v>
      </c>
      <c r="G22" s="53">
        <f>7953+1+1317+325</f>
        <v>9596</v>
      </c>
      <c r="H22" s="74">
        <f>G22</f>
        <v>9596</v>
      </c>
      <c r="I22" s="28" t="e">
        <f>H22/D22</f>
        <v>#VALUE!</v>
      </c>
      <c r="J22" s="37" t="e">
        <f>G22-E22</f>
        <v>#VALUE!</v>
      </c>
      <c r="K22" s="29" t="e">
        <f>J22/E22</f>
        <v>#VALUE!</v>
      </c>
      <c r="L22" s="37">
        <f>G22-F22</f>
        <v>-3388</v>
      </c>
      <c r="M22" s="29">
        <f>L22/F22</f>
        <v>-0.260936537276648</v>
      </c>
    </row>
    <row r="23" s="1" customFormat="1" ht="14.85" customHeight="1" spans="1:13">
      <c r="A23" s="22">
        <v>17</v>
      </c>
      <c r="B23" s="38" t="s">
        <v>40</v>
      </c>
      <c r="C23" s="24" t="s">
        <v>21</v>
      </c>
      <c r="D23" s="52" t="s">
        <v>22</v>
      </c>
      <c r="E23" s="53">
        <v>0</v>
      </c>
      <c r="F23" s="53">
        <v>8181</v>
      </c>
      <c r="G23" s="53">
        <f>12570+G22-G12</f>
        <v>9506</v>
      </c>
      <c r="H23" s="74">
        <f>G23</f>
        <v>9506</v>
      </c>
      <c r="I23" s="28" t="e">
        <f>H23/D23</f>
        <v>#VALUE!</v>
      </c>
      <c r="J23" s="37">
        <f>H23-E23</f>
        <v>9506</v>
      </c>
      <c r="K23" s="29" t="e">
        <f>J23/E23</f>
        <v>#DIV/0!</v>
      </c>
      <c r="L23" s="37">
        <f>H23-F23</f>
        <v>1325</v>
      </c>
      <c r="M23" s="29">
        <f>L23/F23</f>
        <v>0.161960640508495</v>
      </c>
    </row>
    <row r="24" s="1" customFormat="1" ht="14.85" customHeight="1" spans="1:13">
      <c r="A24" s="22">
        <v>18</v>
      </c>
      <c r="B24" s="38" t="s">
        <v>41</v>
      </c>
      <c r="C24" s="24" t="s">
        <v>42</v>
      </c>
      <c r="D24" s="75">
        <f>D14*29308/D12</f>
        <v>17612.3938081004</v>
      </c>
      <c r="E24" s="76">
        <f>E14*29308/E12</f>
        <v>17705.8908065956</v>
      </c>
      <c r="F24" s="74">
        <v>17635.6508709466</v>
      </c>
      <c r="G24" s="77">
        <f>G14*29308/G12</f>
        <v>17654.6900884676</v>
      </c>
      <c r="H24" s="77">
        <f>H14*29308/H12</f>
        <v>17654.6900884676</v>
      </c>
      <c r="I24" s="78" t="s">
        <v>22</v>
      </c>
      <c r="J24" s="37">
        <f>G24-E24</f>
        <v>-51.2007181280132</v>
      </c>
      <c r="K24" s="79" t="s">
        <v>22</v>
      </c>
      <c r="L24" s="37">
        <f>G24-F24</f>
        <v>19.0392175209745</v>
      </c>
      <c r="M24" s="79" t="s">
        <v>22</v>
      </c>
    </row>
    <row r="25" s="1" customFormat="1" ht="14.85" customHeight="1" spans="1:13">
      <c r="A25" s="22">
        <v>19</v>
      </c>
      <c r="B25" s="38" t="s">
        <v>43</v>
      </c>
      <c r="C25" s="24" t="s">
        <v>42</v>
      </c>
      <c r="D25" s="52" t="s">
        <v>22</v>
      </c>
      <c r="E25" s="57" t="s">
        <v>22</v>
      </c>
      <c r="F25" s="80">
        <v>17636</v>
      </c>
      <c r="G25" s="77">
        <f>G24</f>
        <v>17654.6900884676</v>
      </c>
      <c r="H25" s="77">
        <f>H24</f>
        <v>17654.6900884676</v>
      </c>
      <c r="I25" s="78" t="s">
        <v>22</v>
      </c>
      <c r="J25" s="81" t="s">
        <v>22</v>
      </c>
      <c r="K25" s="79" t="s">
        <v>22</v>
      </c>
      <c r="L25" s="81" t="s">
        <v>22</v>
      </c>
      <c r="M25" s="79" t="s">
        <v>22</v>
      </c>
    </row>
    <row r="26" s="1" customFormat="1" ht="14.85" customHeight="1" spans="1:13">
      <c r="A26" s="22">
        <v>20</v>
      </c>
      <c r="B26" s="82" t="s">
        <v>44</v>
      </c>
      <c r="C26" s="48" t="s">
        <v>13</v>
      </c>
      <c r="D26" s="83">
        <f>D10/(D14*29.308)</f>
        <v>0.709091530391879</v>
      </c>
      <c r="E26" s="84">
        <f>E10/(E14*29.308)</f>
        <v>0.675846052068864</v>
      </c>
      <c r="F26" s="85">
        <v>0.7</v>
      </c>
      <c r="G26" s="85">
        <f>G10/(G14*29.308)</f>
        <v>0.700001728955335</v>
      </c>
      <c r="H26" s="85">
        <f>H10/(H14*29.308)</f>
        <v>0.700001728955335</v>
      </c>
      <c r="I26" s="86" t="s">
        <v>22</v>
      </c>
      <c r="J26" s="87">
        <f t="shared" ref="J26:J31" si="7">G26-E26</f>
        <v>0.0241556768864712</v>
      </c>
      <c r="K26" s="88" t="s">
        <v>22</v>
      </c>
      <c r="L26" s="87">
        <f t="shared" ref="L26:L31" si="8">G26-F26</f>
        <v>1.72895533534501e-6</v>
      </c>
      <c r="M26" s="88" t="s">
        <v>22</v>
      </c>
    </row>
    <row r="27" s="1" customFormat="1" ht="14.85" customHeight="1" spans="1:13">
      <c r="A27" s="22">
        <v>21</v>
      </c>
      <c r="B27" s="82" t="s">
        <v>45</v>
      </c>
      <c r="C27" s="48" t="s">
        <v>13</v>
      </c>
      <c r="D27" s="89">
        <f>D10/3.6/D5/8760</f>
        <v>0.103956759706506</v>
      </c>
      <c r="E27" s="90">
        <f>E10/3.6/E5/(24*31)</f>
        <v>0.348202849447876</v>
      </c>
      <c r="F27" s="91">
        <v>0.341555470960183</v>
      </c>
      <c r="G27" s="91">
        <f>G10/3.6/G5/(24*31)</f>
        <v>0.360580690332906</v>
      </c>
      <c r="H27" s="91">
        <f>H10/3.6/H5/(24*(31+0))</f>
        <v>0.360580690332906</v>
      </c>
      <c r="I27" s="86" t="s">
        <v>22</v>
      </c>
      <c r="J27" s="87">
        <f t="shared" si="7"/>
        <v>0.0123778408850295</v>
      </c>
      <c r="K27" s="88" t="s">
        <v>22</v>
      </c>
      <c r="L27" s="87">
        <f t="shared" si="8"/>
        <v>0.019025219372723</v>
      </c>
      <c r="M27" s="88" t="s">
        <v>22</v>
      </c>
    </row>
    <row r="28" s="1" customFormat="1" ht="14.85" customHeight="1" spans="1:13">
      <c r="A28" s="22">
        <v>22</v>
      </c>
      <c r="B28" s="82" t="s">
        <v>46</v>
      </c>
      <c r="C28" s="48" t="s">
        <v>47</v>
      </c>
      <c r="D28" s="92">
        <f>SUM(D10*1000000000/(153*24*3600*D8))</f>
        <v>22.6792431774012</v>
      </c>
      <c r="E28" s="92">
        <f>SUM(E10*1000000000/(31*24*3600*E8))</f>
        <v>31.8424672360767</v>
      </c>
      <c r="F28" s="93">
        <v>31.4560500456429</v>
      </c>
      <c r="G28" s="93">
        <f>SUM(G10*1000000000/(24*31)/3600/G8)</f>
        <v>33.0123992811556</v>
      </c>
      <c r="H28" s="93">
        <f>SUM(H10*1000000000/(24*31+0)/3600/H8)</f>
        <v>33.0123992811556</v>
      </c>
      <c r="I28" s="86" t="s">
        <v>22</v>
      </c>
      <c r="J28" s="71">
        <f t="shared" si="7"/>
        <v>1.16993204507896</v>
      </c>
      <c r="K28" s="88" t="s">
        <v>22</v>
      </c>
      <c r="L28" s="69">
        <f t="shared" si="8"/>
        <v>1.5563492355127</v>
      </c>
      <c r="M28" s="88" t="s">
        <v>22</v>
      </c>
    </row>
    <row r="29" s="1" customFormat="1" ht="14.85" customHeight="1" spans="1:13">
      <c r="A29" s="22">
        <v>23</v>
      </c>
      <c r="B29" s="82" t="s">
        <v>48</v>
      </c>
      <c r="C29" s="48" t="s">
        <v>49</v>
      </c>
      <c r="D29" s="94">
        <f>D14*1000/D8</f>
        <v>14.4259774875275</v>
      </c>
      <c r="E29" s="95">
        <f>E14*1000/E8</f>
        <v>4.30574377960063</v>
      </c>
      <c r="F29" s="95">
        <v>4.10672290560598</v>
      </c>
      <c r="G29" s="95">
        <f>G14*1000/G8</f>
        <v>4.30990036081885</v>
      </c>
      <c r="H29" s="96">
        <f>H14*1000/H8</f>
        <v>4.30990036081885</v>
      </c>
      <c r="I29" s="86" t="s">
        <v>22</v>
      </c>
      <c r="J29" s="71">
        <f t="shared" si="7"/>
        <v>0.00415658121822027</v>
      </c>
      <c r="K29" s="88" t="s">
        <v>22</v>
      </c>
      <c r="L29" s="69">
        <f t="shared" si="8"/>
        <v>0.20317745521287</v>
      </c>
      <c r="M29" s="88" t="s">
        <v>22</v>
      </c>
    </row>
    <row r="30" s="1" customFormat="1" ht="14.85" customHeight="1" spans="1:13">
      <c r="A30" s="22">
        <v>24</v>
      </c>
      <c r="B30" s="82" t="s">
        <v>50</v>
      </c>
      <c r="C30" s="48" t="s">
        <v>51</v>
      </c>
      <c r="D30" s="97">
        <f>D17/D8</f>
        <v>4.09812250159688</v>
      </c>
      <c r="E30" s="95">
        <f>E17/E8</f>
        <v>0.938627678518776</v>
      </c>
      <c r="F30" s="98">
        <v>0.978288225254299</v>
      </c>
      <c r="G30" s="98">
        <f>G17/G8</f>
        <v>1.01031703178533</v>
      </c>
      <c r="H30" s="98">
        <f>H17/H8</f>
        <v>1.01031703178533</v>
      </c>
      <c r="I30" s="86" t="s">
        <v>22</v>
      </c>
      <c r="J30" s="71">
        <f t="shared" si="7"/>
        <v>0.0716893532665515</v>
      </c>
      <c r="K30" s="88" t="s">
        <v>22</v>
      </c>
      <c r="L30" s="69">
        <f t="shared" si="8"/>
        <v>0.0320288065310287</v>
      </c>
      <c r="M30" s="88" t="s">
        <v>22</v>
      </c>
    </row>
    <row r="31" s="1" customFormat="1" ht="14.85" customHeight="1" spans="1:13">
      <c r="A31" s="99">
        <v>25</v>
      </c>
      <c r="B31" s="100" t="s">
        <v>52</v>
      </c>
      <c r="C31" s="101" t="s">
        <v>49</v>
      </c>
      <c r="D31" s="102">
        <f>D15*1000/D8</f>
        <v>58.9293157643891</v>
      </c>
      <c r="E31" s="103">
        <f>E15*1000/E8</f>
        <v>11.131822837175</v>
      </c>
      <c r="F31" s="104">
        <v>13.189122782632</v>
      </c>
      <c r="G31" s="104">
        <f>G15*1000/G6</f>
        <v>12.9011217182856</v>
      </c>
      <c r="H31" s="104">
        <f>H15*1000/H6</f>
        <v>12.9011217182856</v>
      </c>
      <c r="I31" s="105" t="s">
        <v>22</v>
      </c>
      <c r="J31" s="106">
        <f t="shared" si="7"/>
        <v>1.76929888111062</v>
      </c>
      <c r="K31" s="107" t="s">
        <v>22</v>
      </c>
      <c r="L31" s="106">
        <f t="shared" si="8"/>
        <v>-0.288001064346387</v>
      </c>
      <c r="M31" s="107" t="s">
        <v>22</v>
      </c>
    </row>
    <row r="32" ht="15.5" spans="1:13">
      <c r="A32" s="108" t="s">
        <v>53</v>
      </c>
      <c r="B32" s="108"/>
      <c r="C32" s="109"/>
      <c r="D32" s="110" t="s">
        <v>54</v>
      </c>
      <c r="E32" s="111"/>
      <c r="F32" s="112"/>
      <c r="G32" s="111"/>
      <c r="H32" s="111"/>
      <c r="I32" s="110" t="s">
        <v>55</v>
      </c>
      <c r="J32" s="113" t="s">
        <v>56</v>
      </c>
      <c r="K32" s="114"/>
      <c r="L32" s="114"/>
      <c r="M32" s="114"/>
    </row>
    <row r="33" spans="1:13">
      <c r="A33" s="115"/>
      <c r="B33" s="116"/>
      <c r="C33" s="116"/>
      <c r="D33" s="116"/>
      <c r="E33" s="117"/>
      <c r="F33" s="117"/>
      <c r="G33" s="117"/>
      <c r="H33" s="117"/>
      <c r="I33" s="116"/>
      <c r="J33" s="116"/>
      <c r="K33" s="116"/>
      <c r="L33" s="116"/>
      <c r="M33" s="116"/>
    </row>
    <row r="34" spans="1:13">
      <c r="A34" s="116"/>
      <c r="B34" s="116"/>
      <c r="C34" s="116"/>
      <c r="D34" s="116"/>
      <c r="E34" s="117"/>
      <c r="F34" s="117"/>
      <c r="G34" s="117"/>
      <c r="H34" s="117"/>
      <c r="I34" s="116"/>
      <c r="J34" s="116"/>
      <c r="K34" s="116"/>
      <c r="L34" s="116"/>
      <c r="M34" s="116"/>
    </row>
    <row r="35" spans="1:13">
      <c r="A35" s="116"/>
      <c r="B35" s="116"/>
      <c r="C35" s="116"/>
      <c r="D35" s="116"/>
      <c r="E35" s="117"/>
      <c r="F35" s="117"/>
      <c r="G35" s="117"/>
      <c r="H35" s="117"/>
      <c r="I35" s="116"/>
      <c r="J35" s="116"/>
      <c r="K35" s="116"/>
      <c r="L35" s="116"/>
      <c r="M35" s="116"/>
    </row>
  </sheetData>
  <mergeCells count="14">
    <mergeCell ref="J3:K3"/>
    <mergeCell ref="L3:M3"/>
    <mergeCell ref="J32:M3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1:M2"/>
    <mergeCell ref="A33:M35"/>
  </mergeCells>
  <pageMargins left="0.63" right="0.43" top="0.28" bottom="0.24" header="0.12" footer="0.12"/>
  <pageSetup paperSize="9" orientation="landscape" horizontalDpi="2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王巍</cp:lastModifiedBy>
  <cp:revision>1</cp:revision>
  <dcterms:created xsi:type="dcterms:W3CDTF">2015-12-14T11:07:03Z</dcterms:created>
  <dcterms:modified xsi:type="dcterms:W3CDTF">2026-02-28T07:21:58Z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4A179B64B7D647EDB0403A9EE37BECD6_13</vt:lpwstr>
  </property>
  <property fmtid="{D5CDD505-2E9C-101B-9397-08002B2CF9AE}" pid="4" name="CalculationRule">
    <vt:i4>0</vt:i4>
  </property>
</Properties>
</file>