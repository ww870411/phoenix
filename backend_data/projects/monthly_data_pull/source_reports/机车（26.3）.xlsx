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20" windowHeight="11475" firstSheet="2" activeTab="15"/>
  </bookViews>
  <sheets>
    <sheet name="25.1" sheetId="30" r:id="rId1"/>
    <sheet name="25.2" sheetId="31" r:id="rId2"/>
    <sheet name="25.3" sheetId="32" r:id="rId3"/>
    <sheet name="25.4.5" sheetId="33" r:id="rId4"/>
    <sheet name="25.4" sheetId="34" r:id="rId5"/>
    <sheet name="25.5" sheetId="35" r:id="rId6"/>
    <sheet name="25.6 " sheetId="36" r:id="rId7"/>
    <sheet name="25.7" sheetId="37" r:id="rId8"/>
    <sheet name="25.8" sheetId="38" r:id="rId9"/>
    <sheet name="25.9" sheetId="39" r:id="rId10"/>
    <sheet name="25.10" sheetId="40" r:id="rId11"/>
    <sheet name="25.11" sheetId="41" r:id="rId12"/>
    <sheet name="25.12" sheetId="42" r:id="rId13"/>
    <sheet name="26.1" sheetId="43" r:id="rId14"/>
    <sheet name="26.2" sheetId="44" r:id="rId15"/>
    <sheet name="26.3" sheetId="45" r:id="rId16"/>
    <sheet name="Sheet1" sheetId="1" r:id="rId17"/>
    <sheet name="Sheet2" sheetId="2" r:id="rId18"/>
    <sheet name="Sheet3" sheetId="3" r:id="rId19"/>
  </sheets>
  <externalReferences>
    <externalReference r:id="rId20"/>
  </externalReferences>
  <definedNames>
    <definedName name="codeValue0">[1]codeValue!$A$1:$A$3</definedName>
  </definedNames>
  <calcPr calcId="144525"/>
</workbook>
</file>

<file path=xl/sharedStrings.xml><?xml version="1.0" encoding="utf-8"?>
<sst xmlns="http://schemas.openxmlformats.org/spreadsheetml/2006/main" count="449" uniqueCount="49">
  <si>
    <r>
      <rPr>
        <b/>
        <u/>
        <sz val="18"/>
        <rFont val="宋体"/>
        <charset val="134"/>
      </rPr>
      <t xml:space="preserve">     机车技师学院      </t>
    </r>
    <r>
      <rPr>
        <b/>
        <sz val="18"/>
        <rFont val="宋体"/>
        <charset val="134"/>
      </rPr>
      <t>锅炉房生产月报表</t>
    </r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</si>
  <si>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charset val="134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charset val="134"/>
      </rPr>
      <t>B008-2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</si>
  <si>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单位名称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盖章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：</t>
    </r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</si>
  <si>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制表单位：经济运行部</t>
    </r>
  </si>
  <si>
    <t>指标名称</t>
  </si>
  <si>
    <t>计量单位</t>
  </si>
  <si>
    <t>代码</t>
  </si>
  <si>
    <t>本年实际</t>
  </si>
  <si>
    <t>上年同期</t>
  </si>
  <si>
    <r>
      <rPr>
        <sz val="11"/>
        <rFont val="宋体"/>
        <charset val="134"/>
      </rPr>
      <t>备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注</t>
    </r>
  </si>
  <si>
    <t>本月</t>
  </si>
  <si>
    <t>累计</t>
  </si>
  <si>
    <t>月计</t>
  </si>
  <si>
    <t>期末供热面积</t>
  </si>
  <si>
    <t>平方米</t>
  </si>
  <si>
    <t>002</t>
  </si>
  <si>
    <t>供热量</t>
  </si>
  <si>
    <t>吉焦</t>
  </si>
  <si>
    <t>004</t>
  </si>
  <si>
    <t>耗水量</t>
  </si>
  <si>
    <t>吨</t>
  </si>
  <si>
    <t>005</t>
  </si>
  <si>
    <t>耗电量</t>
  </si>
  <si>
    <t>千瓦时</t>
  </si>
  <si>
    <t>006</t>
  </si>
  <si>
    <t xml:space="preserve">  供热公司：                      部门负责人：                 填表人：田雨
                                                       报出日期：2025年2月6日</t>
  </si>
  <si>
    <t>供暖小时数——744</t>
  </si>
  <si>
    <t xml:space="preserve">  供热公司：                      部门负责人：                 填表人：田雨
                                                       报出日期：2025年2月28日</t>
  </si>
  <si>
    <t xml:space="preserve">  供热公司：                      部门负责人：                 填表人：田雨
                                                       报出日期：2025年3月28日</t>
  </si>
  <si>
    <t>供暖小时数——674</t>
  </si>
  <si>
    <t>2025.3.25-2025.4.5</t>
  </si>
  <si>
    <r>
      <rPr>
        <sz val="11"/>
        <rFont val="Times New Roman"/>
        <charset val="134"/>
      </rPr>
      <t xml:space="preserve">                    </t>
    </r>
    <r>
      <rPr>
        <sz val="11"/>
        <rFont val="宋体"/>
        <charset val="134"/>
      </rPr>
      <t>制表单位：企业策划部</t>
    </r>
  </si>
  <si>
    <t xml:space="preserve">  供热公司：                    部门负责人：                 填表人：田雨
                                                       报出日期：2025年4月9日</t>
  </si>
  <si>
    <t>供暖小时数——217.5</t>
  </si>
  <si>
    <t xml:space="preserve">  供热公司：                    部门负责人：                 填表人：田雨
                                                       报出日期：2025年4月28日</t>
  </si>
  <si>
    <t xml:space="preserve">  供热公司：                    部门负责人：                 填表人：田雨
                                                       报出日期：2025年5月28日</t>
  </si>
  <si>
    <t>供暖小时数——0</t>
  </si>
  <si>
    <t xml:space="preserve">  供热公司：                    部门负责人：                 填表人：田雨
                                                       报出日期：2025年6月27日</t>
  </si>
  <si>
    <t xml:space="preserve">  供热公司：                    部门负责人：                 填表人：田雨
                                                       报出日期：2025年7月28日</t>
  </si>
  <si>
    <t xml:space="preserve">  供热公司：                    部门负责人：                 填表人：田雨
                                                       报出日期：2025年8月28日</t>
  </si>
  <si>
    <t xml:space="preserve">  供热公司：                    部门负责人：                 填表人：田雨
                                                       报出日期：2025年9月28日</t>
  </si>
  <si>
    <t xml:space="preserve">  供热公司：                    部门负责人：                 填表人：田雨
                                                       报出日期：2025年10月28日</t>
  </si>
  <si>
    <t xml:space="preserve">  供热公司：                    部门负责人：                 填表人：田雨
                                                       报出日期：2025年12月1日</t>
  </si>
  <si>
    <t>供暖小时数——544</t>
  </si>
  <si>
    <t xml:space="preserve">  供热公司：                    部门负责人：                 填表人：田雨
                                                       报出日期：2026年1月1日</t>
  </si>
  <si>
    <t>供暖小时数——720</t>
  </si>
  <si>
    <t xml:space="preserve">  供热公司：                    部门负责人：                 填表人：田雨
                                                       报出日期：2026年1月28日</t>
  </si>
  <si>
    <t xml:space="preserve">  供热公司：                    部门负责人：                 填表人：田雨
                                                       报出日期：2026年2月27日</t>
  </si>
  <si>
    <t xml:space="preserve">  供热公司：                    部门负责人：                 填表人：田雨
                                                       报出日期：2026年3月27日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</si>
</sst>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41" formatCode="_ * #,##0_ ;_ * \-#,##0_ ;_ * &quot;-&quot;_ ;_ @_ "/>
    <numFmt numFmtId="177" formatCode="0_ "/>
    <numFmt numFmtId="178" formatCode="0.00_);\(0.0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b/>
      <u/>
      <sz val="18"/>
      <name val="宋体"/>
      <charset val="134"/>
    </font>
    <font>
      <b/>
      <sz val="18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24" fillId="10" borderId="2" applyNumberFormat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57" fontId="5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177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常规 13 2 4" xf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jhb8956\&#26700;&#38754;\IV501_&#32852;&#32593;&#30452;&#25253;&#27861;&#20154;&#21333;&#20301;&#38750;&#37329;&#34701;&#36164;&#20135;&#25237;&#36164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codeValu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6" sqref="D6:E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45682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f>D6</f>
        <v>7592.12</v>
      </c>
      <c r="F6" s="18">
        <v>4712.11</v>
      </c>
      <c r="G6" s="18">
        <f t="shared" ref="G6:G9" si="0">F6</f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397</v>
      </c>
      <c r="E7" s="28">
        <f>D7</f>
        <v>397</v>
      </c>
      <c r="F7" s="15">
        <v>292</v>
      </c>
      <c r="G7" s="28">
        <f t="shared" si="0"/>
        <v>292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42</v>
      </c>
      <c r="E8" s="28">
        <f>D8</f>
        <v>42</v>
      </c>
      <c r="F8" s="15">
        <v>0</v>
      </c>
      <c r="G8" s="28">
        <f t="shared" si="0"/>
        <v>0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118320</v>
      </c>
      <c r="E9" s="18">
        <f>D9</f>
        <v>118320</v>
      </c>
      <c r="F9" s="23">
        <v>89968</v>
      </c>
      <c r="G9" s="18">
        <f t="shared" si="0"/>
        <v>89968</v>
      </c>
      <c r="H9" s="16"/>
    </row>
    <row r="10" s="4" customFormat="1" ht="74.25" customHeight="1" spans="1:8">
      <c r="A10" s="25" t="s">
        <v>25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6" sqref="D6:E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45713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f>D6</f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435</v>
      </c>
      <c r="E7" s="28">
        <f>D7+'25.1'!E7</f>
        <v>832</v>
      </c>
      <c r="F7" s="15">
        <v>306</v>
      </c>
      <c r="G7" s="28">
        <v>598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50</v>
      </c>
      <c r="E8" s="28">
        <f>D8+'25.1'!E8</f>
        <v>92</v>
      </c>
      <c r="F8" s="15">
        <v>49</v>
      </c>
      <c r="G8" s="28">
        <v>49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131160</v>
      </c>
      <c r="E9" s="18">
        <f>D9+'25.1'!E9</f>
        <v>249480</v>
      </c>
      <c r="F9" s="23">
        <v>94176.0000000002</v>
      </c>
      <c r="G9" s="18">
        <v>184144</v>
      </c>
      <c r="H9" s="16"/>
    </row>
    <row r="10" s="4" customFormat="1" ht="74.25" customHeight="1" spans="1:8">
      <c r="A10" s="25" t="s">
        <v>27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6" sqref="D6:E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45741</v>
      </c>
      <c r="E3" s="13"/>
      <c r="F3" s="9" t="s">
        <v>3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f>D6</f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257</v>
      </c>
      <c r="E7" s="28">
        <f>D7+'25.2'!E7</f>
        <v>1089</v>
      </c>
      <c r="F7" s="15">
        <v>202</v>
      </c>
      <c r="G7" s="28">
        <v>800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73</v>
      </c>
      <c r="E8" s="28">
        <f>D8+'25.2'!E8</f>
        <v>165</v>
      </c>
      <c r="F8" s="15">
        <v>87</v>
      </c>
      <c r="G8" s="28">
        <v>136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78776.0000000002</v>
      </c>
      <c r="E9" s="18">
        <f>D9+'25.2'!E9</f>
        <v>328256</v>
      </c>
      <c r="F9" s="23">
        <v>60976.0000000002</v>
      </c>
      <c r="G9" s="18">
        <v>245120</v>
      </c>
      <c r="H9" s="16"/>
    </row>
    <row r="10" s="4" customFormat="1" ht="74.25" customHeight="1" spans="1:8">
      <c r="A10" s="25" t="s">
        <v>28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29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H20" sqref="H20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 t="s">
        <v>30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72</v>
      </c>
      <c r="E7" s="28">
        <f>D7+'25.3'!E7</f>
        <v>1161</v>
      </c>
      <c r="F7" s="15">
        <v>20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35</v>
      </c>
      <c r="E8" s="28">
        <f>D8+'25.3'!E8</f>
        <v>200</v>
      </c>
      <c r="F8" s="15">
        <v>38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23727.9999999999</v>
      </c>
      <c r="E9" s="18">
        <f>D9+'25.3'!E9</f>
        <v>351984</v>
      </c>
      <c r="F9" s="29">
        <v>7944.00000000023</v>
      </c>
      <c r="G9" s="29">
        <v>253064</v>
      </c>
      <c r="H9" s="16"/>
    </row>
    <row r="10" s="4" customFormat="1" ht="74.25" customHeight="1" spans="1:8">
      <c r="A10" s="25" t="s">
        <v>32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M13" sqref="M13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45772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72</v>
      </c>
      <c r="E7" s="28">
        <f>D7+'25.3'!E7</f>
        <v>1161</v>
      </c>
      <c r="F7" s="15">
        <v>20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35</v>
      </c>
      <c r="E8" s="28">
        <f>D8+'25.3'!E8</f>
        <v>200</v>
      </c>
      <c r="F8" s="15">
        <v>38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23727.9999999999</v>
      </c>
      <c r="E9" s="18">
        <f>D9+'25.3'!E9</f>
        <v>351984</v>
      </c>
      <c r="F9" s="29">
        <v>7944.00000000023</v>
      </c>
      <c r="G9" s="29">
        <v>253064</v>
      </c>
      <c r="H9" s="16"/>
    </row>
    <row r="10" s="4" customFormat="1" ht="74.25" customHeight="1" spans="1:8">
      <c r="A10" s="25" t="s">
        <v>34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9" sqref="E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45802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D8+'25.4'!E8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0</v>
      </c>
      <c r="E9" s="18">
        <f>D9+'25.4'!E9</f>
        <v>351984</v>
      </c>
      <c r="F9" s="29">
        <v>0</v>
      </c>
      <c r="G9" s="29">
        <v>253064</v>
      </c>
      <c r="H9" s="16"/>
    </row>
    <row r="10" s="4" customFormat="1" ht="74.25" customHeight="1" spans="1:8">
      <c r="A10" s="25" t="s">
        <v>35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R10" sqref="R10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45833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D8+'25.5'!E8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408.000000000175</v>
      </c>
      <c r="E9" s="18">
        <f>D9+'25.5'!E9</f>
        <v>352392</v>
      </c>
      <c r="F9" s="29">
        <v>0</v>
      </c>
      <c r="G9" s="29">
        <v>253064</v>
      </c>
      <c r="H9" s="16"/>
    </row>
    <row r="10" s="4" customFormat="1" ht="74.25" customHeight="1" spans="1:8">
      <c r="A10" s="25" t="s">
        <v>37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13" sqref="G13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45863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D8+'25.6 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55.9999999997672</v>
      </c>
      <c r="E9" s="18">
        <f>D9+'25.6 '!E9</f>
        <v>352448</v>
      </c>
      <c r="F9" s="29">
        <v>0</v>
      </c>
      <c r="G9" s="29">
        <v>253064</v>
      </c>
      <c r="H9" s="16"/>
    </row>
    <row r="10" s="4" customFormat="1" ht="74.25" customHeight="1" spans="1:8">
      <c r="A10" s="25" t="s">
        <v>38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N9" sqref="N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45894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D8+'25.7'!E8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72.0000000001164</v>
      </c>
      <c r="E9" s="18">
        <f>D9+'25.7'!E9</f>
        <v>352520</v>
      </c>
      <c r="F9" s="29">
        <v>0</v>
      </c>
      <c r="G9" s="29">
        <v>253064</v>
      </c>
      <c r="H9" s="16"/>
    </row>
    <row r="10" s="4" customFormat="1" ht="74.25" customHeight="1" spans="1:8">
      <c r="A10" s="25" t="s">
        <v>39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7" sqref="E7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45925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D7+'25.4'!E7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8">
        <f>D8+'25.8'!E8</f>
        <v>200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31.9999999999709</v>
      </c>
      <c r="E9" s="18">
        <f>D9+'25.8'!E9</f>
        <v>352552</v>
      </c>
      <c r="F9" s="29">
        <v>0</v>
      </c>
      <c r="G9" s="29">
        <v>253064</v>
      </c>
      <c r="H9" s="16"/>
    </row>
    <row r="10" s="4" customFormat="1" ht="74.25" customHeight="1" spans="1:8">
      <c r="A10" s="25" t="s">
        <v>40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9" sqref="E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45955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7592.12</v>
      </c>
      <c r="E6" s="18">
        <v>7592.12</v>
      </c>
      <c r="F6" s="18">
        <v>4712.11</v>
      </c>
      <c r="G6" s="18">
        <v>4712.11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0</v>
      </c>
      <c r="E7" s="28">
        <f>D7+'25.9'!E7</f>
        <v>1161</v>
      </c>
      <c r="F7" s="15">
        <v>0</v>
      </c>
      <c r="G7" s="15">
        <v>820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125</v>
      </c>
      <c r="E8" s="28">
        <f>D8+'25.9'!E8</f>
        <v>325</v>
      </c>
      <c r="F8" s="15">
        <v>0</v>
      </c>
      <c r="G8" s="15">
        <v>174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136</v>
      </c>
      <c r="E9" s="18">
        <f>D9+'25.9'!E9</f>
        <v>352688</v>
      </c>
      <c r="F9" s="29">
        <v>431.999999999971</v>
      </c>
      <c r="G9" s="29">
        <v>253496</v>
      </c>
      <c r="H9" s="16"/>
    </row>
    <row r="10" s="4" customFormat="1" ht="74.25" customHeight="1" spans="1:8">
      <c r="A10" s="25" t="s">
        <v>41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36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L17" sqref="L17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45986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8">
        <f>(7592.12*102+D6*24)/(102+24)</f>
        <v>7598.39428571429</v>
      </c>
      <c r="F6" s="18">
        <v>7592.12</v>
      </c>
      <c r="G6" s="18">
        <v>5260.68333333333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150</v>
      </c>
      <c r="E7" s="28">
        <f>D7+'25.10'!E7</f>
        <v>1311</v>
      </c>
      <c r="F7" s="15">
        <v>151</v>
      </c>
      <c r="G7" s="15">
        <v>971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7</v>
      </c>
      <c r="E8" s="28">
        <f>D8+'25.10'!E8</f>
        <v>332</v>
      </c>
      <c r="F8" s="15">
        <v>63</v>
      </c>
      <c r="G8" s="15">
        <v>237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52136.0000000001</v>
      </c>
      <c r="E9" s="18">
        <f>D9+'25.10'!E9</f>
        <v>404824</v>
      </c>
      <c r="F9" s="29">
        <v>57103.9999999994</v>
      </c>
      <c r="G9" s="29">
        <v>310599.999999999</v>
      </c>
      <c r="H9" s="16"/>
    </row>
    <row r="10" s="4" customFormat="1" ht="74.25" customHeight="1" spans="1:8">
      <c r="A10" s="25" t="s">
        <v>42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43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3" sqref="D3:E3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46016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8">
        <f>(7592.12*102+'25.11'!D6*24+D6*30)/(102+24+30)</f>
        <v>7603.52230769231</v>
      </c>
      <c r="F6" s="18">
        <v>7592.12</v>
      </c>
      <c r="G6" s="18">
        <v>5709.03653846154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357</v>
      </c>
      <c r="E7" s="28">
        <f>D7+'25.11'!E7</f>
        <v>1668</v>
      </c>
      <c r="F7" s="15">
        <v>364</v>
      </c>
      <c r="G7" s="15">
        <v>1335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6</v>
      </c>
      <c r="E8" s="28">
        <f>D8+'25.11'!E8</f>
        <v>338</v>
      </c>
      <c r="F8" s="15">
        <v>30</v>
      </c>
      <c r="G8" s="15">
        <v>267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108856</v>
      </c>
      <c r="E9" s="18">
        <f>D9+'25.11'!E9</f>
        <v>513680</v>
      </c>
      <c r="F9" s="29">
        <v>111456</v>
      </c>
      <c r="G9" s="29">
        <v>422055.999999999</v>
      </c>
      <c r="H9" s="16"/>
    </row>
    <row r="10" s="4" customFormat="1" ht="74.25" customHeight="1" spans="1:8">
      <c r="A10" s="25" t="s">
        <v>44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45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7" sqref="E7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46047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8">
        <f>D6</f>
        <v>7625.06</v>
      </c>
      <c r="F6" s="18">
        <v>7592.12</v>
      </c>
      <c r="G6" s="18">
        <v>7592.12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441</v>
      </c>
      <c r="E7" s="28">
        <f>D7</f>
        <v>441</v>
      </c>
      <c r="F7" s="15">
        <v>397</v>
      </c>
      <c r="G7" s="15">
        <v>397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3</v>
      </c>
      <c r="E8" s="28">
        <f>D8</f>
        <v>3</v>
      </c>
      <c r="F8" s="15">
        <v>42</v>
      </c>
      <c r="G8" s="15">
        <v>42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132840.000000001</v>
      </c>
      <c r="E9" s="18">
        <f>D9</f>
        <v>132840.000000001</v>
      </c>
      <c r="F9" s="29">
        <v>118320</v>
      </c>
      <c r="G9" s="29">
        <v>118320</v>
      </c>
      <c r="H9" s="16"/>
    </row>
    <row r="10" s="4" customFormat="1" ht="74.25" customHeight="1" spans="1:8">
      <c r="A10" s="25" t="s">
        <v>46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8" sqref="E8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46078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8">
        <f>D6</f>
        <v>7625.06</v>
      </c>
      <c r="F6" s="18">
        <v>7592.12</v>
      </c>
      <c r="G6" s="18">
        <v>7592.12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448</v>
      </c>
      <c r="E7" s="28">
        <f>D7+'26.1'!E7</f>
        <v>889</v>
      </c>
      <c r="F7" s="15">
        <v>435</v>
      </c>
      <c r="G7" s="15">
        <v>832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7</v>
      </c>
      <c r="E8" s="28">
        <f>D8+'26.1'!E8</f>
        <v>10</v>
      </c>
      <c r="F8" s="15">
        <v>50</v>
      </c>
      <c r="G8" s="15">
        <v>92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134823.999999999</v>
      </c>
      <c r="E9" s="18">
        <f>D9+'26.1'!E9</f>
        <v>267664</v>
      </c>
      <c r="F9" s="29">
        <v>131160</v>
      </c>
      <c r="G9" s="29">
        <v>249480</v>
      </c>
      <c r="H9" s="16"/>
    </row>
    <row r="10" s="4" customFormat="1" ht="74.25" customHeight="1" spans="1:8">
      <c r="A10" s="25" t="s">
        <v>47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26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E6" sqref="E6:G9"/>
    </sheetView>
  </sheetViews>
  <sheetFormatPr defaultColWidth="9" defaultRowHeight="14.25" outlineLevelCol="7"/>
  <cols>
    <col min="1" max="1" width="16.875" style="5" customWidth="1"/>
    <col min="2" max="2" width="12.625" style="5" customWidth="1"/>
    <col min="3" max="3" width="7.125" style="5" customWidth="1"/>
    <col min="4" max="4" width="9.625" style="5"/>
    <col min="5" max="5" width="9.5" style="5" customWidth="1"/>
    <col min="6" max="6" width="9.25" style="5" customWidth="1"/>
    <col min="7" max="7" width="9.5" style="5" customWidth="1"/>
    <col min="8" max="8" width="11.5" style="5" customWidth="1"/>
    <col min="9" max="16384" width="9" style="5"/>
  </cols>
  <sheetData>
    <row r="1" ht="22.5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21.95" customHeight="1" spans="1:8">
      <c r="A2" s="8"/>
      <c r="B2" s="8"/>
      <c r="C2" s="8"/>
      <c r="D2" s="8"/>
      <c r="E2" s="8"/>
      <c r="F2" s="9" t="s">
        <v>1</v>
      </c>
      <c r="G2" s="10"/>
      <c r="H2" s="10"/>
    </row>
    <row r="3" s="2" customFormat="1" ht="21.95" customHeight="1" spans="1:8">
      <c r="A3" s="11" t="s">
        <v>2</v>
      </c>
      <c r="B3" s="12"/>
      <c r="C3" s="12"/>
      <c r="D3" s="13">
        <v>46106</v>
      </c>
      <c r="E3" s="13"/>
      <c r="F3" s="9" t="s">
        <v>31</v>
      </c>
      <c r="G3" s="10"/>
      <c r="H3" s="10"/>
    </row>
    <row r="4" s="3" customFormat="1" ht="27.95" customHeight="1" spans="1:8">
      <c r="A4" s="14" t="s">
        <v>4</v>
      </c>
      <c r="B4" s="14" t="s">
        <v>5</v>
      </c>
      <c r="C4" s="14" t="s">
        <v>6</v>
      </c>
      <c r="D4" s="14" t="s">
        <v>7</v>
      </c>
      <c r="E4" s="15"/>
      <c r="F4" s="14" t="s">
        <v>8</v>
      </c>
      <c r="G4" s="15"/>
      <c r="H4" s="14" t="s">
        <v>9</v>
      </c>
    </row>
    <row r="5" s="3" customFormat="1" ht="27.95" customHeight="1" spans="1:8">
      <c r="A5" s="15"/>
      <c r="B5" s="15"/>
      <c r="C5" s="14"/>
      <c r="D5" s="14" t="s">
        <v>10</v>
      </c>
      <c r="E5" s="14" t="s">
        <v>11</v>
      </c>
      <c r="F5" s="14" t="s">
        <v>12</v>
      </c>
      <c r="G5" s="14" t="s">
        <v>11</v>
      </c>
      <c r="H5" s="14"/>
    </row>
    <row r="6" s="3" customFormat="1" ht="27.95" customHeight="1" spans="1:8">
      <c r="A6" s="16" t="s">
        <v>13</v>
      </c>
      <c r="B6" s="14" t="s">
        <v>14</v>
      </c>
      <c r="C6" s="17" t="s">
        <v>15</v>
      </c>
      <c r="D6" s="18">
        <v>7625.06</v>
      </c>
      <c r="E6" s="19">
        <f>D6</f>
        <v>7625.06</v>
      </c>
      <c r="F6" s="19">
        <v>7592.12</v>
      </c>
      <c r="G6" s="19">
        <v>7592.12</v>
      </c>
      <c r="H6" s="14"/>
    </row>
    <row r="7" s="1" customFormat="1" ht="27.95" customHeight="1" spans="1:8">
      <c r="A7" s="16" t="s">
        <v>16</v>
      </c>
      <c r="B7" s="14" t="s">
        <v>17</v>
      </c>
      <c r="C7" s="17" t="s">
        <v>18</v>
      </c>
      <c r="D7" s="15">
        <v>289</v>
      </c>
      <c r="E7" s="20">
        <f>D7+'26.2'!E7</f>
        <v>1178</v>
      </c>
      <c r="F7" s="21">
        <v>257</v>
      </c>
      <c r="G7" s="21">
        <v>1089</v>
      </c>
      <c r="H7" s="22"/>
    </row>
    <row r="8" s="1" customFormat="1" ht="27.95" customHeight="1" spans="1:8">
      <c r="A8" s="16" t="s">
        <v>19</v>
      </c>
      <c r="B8" s="14" t="s">
        <v>20</v>
      </c>
      <c r="C8" s="17" t="s">
        <v>21</v>
      </c>
      <c r="D8" s="15">
        <v>0</v>
      </c>
      <c r="E8" s="20">
        <f>D8+'26.2'!E8</f>
        <v>10</v>
      </c>
      <c r="F8" s="21">
        <v>73</v>
      </c>
      <c r="G8" s="21">
        <v>165</v>
      </c>
      <c r="H8" s="16"/>
    </row>
    <row r="9" s="1" customFormat="1" ht="27.95" customHeight="1" spans="1:8">
      <c r="A9" s="16" t="s">
        <v>22</v>
      </c>
      <c r="B9" s="14" t="s">
        <v>23</v>
      </c>
      <c r="C9" s="17" t="s">
        <v>24</v>
      </c>
      <c r="D9" s="23">
        <v>89424.0000000005</v>
      </c>
      <c r="E9" s="19">
        <f>D9+'26.2'!E9</f>
        <v>357088.000000001</v>
      </c>
      <c r="F9" s="24">
        <v>78776.0000000002</v>
      </c>
      <c r="G9" s="24">
        <v>328256</v>
      </c>
      <c r="H9" s="16"/>
    </row>
    <row r="10" s="4" customFormat="1" ht="74.25" customHeight="1" spans="1:8">
      <c r="A10" s="25" t="s">
        <v>48</v>
      </c>
      <c r="B10" s="5"/>
      <c r="C10" s="5"/>
      <c r="D10" s="5"/>
      <c r="E10" s="5"/>
      <c r="F10" s="5"/>
      <c r="G10" s="5"/>
      <c r="H10" s="5"/>
    </row>
    <row r="11" ht="15" spans="1:1">
      <c r="A11" s="9"/>
    </row>
    <row r="12" ht="15" spans="7:7">
      <c r="G12" s="26"/>
    </row>
    <row r="13" ht="15" spans="7:7">
      <c r="G13" s="26"/>
    </row>
    <row r="14" spans="1:8">
      <c r="A14" s="27" t="s">
        <v>29</v>
      </c>
      <c r="B14" s="27"/>
      <c r="C14" s="27"/>
      <c r="D14" s="27"/>
      <c r="E14" s="27"/>
      <c r="F14" s="27"/>
      <c r="G14" s="27"/>
      <c r="H14" s="27"/>
    </row>
  </sheetData>
  <mergeCells count="12">
    <mergeCell ref="A1:H1"/>
    <mergeCell ref="F2:H2"/>
    <mergeCell ref="D3:E3"/>
    <mergeCell ref="F3:H3"/>
    <mergeCell ref="D4:E4"/>
    <mergeCell ref="F4:G4"/>
    <mergeCell ref="A10:H10"/>
    <mergeCell ref="A14:H14"/>
    <mergeCell ref="A4:A5"/>
    <mergeCell ref="B4:B5"/>
    <mergeCell ref="C4:C5"/>
    <mergeCell ref="H4:H5"/>
  </mergeCells>
  <printOptions horizontalCentered="1" verticalCentered="1"/>
  <pageMargins left="0.551181102362205" right="0.34" top="0.78740157480315" bottom="0.78740157480315" header="0.511811023622047" footer="0.511811023622047"/>
  <pageSetup paperSize="9" orientation="portrait" verticalDpi="6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25.1</vt:lpstr>
      <vt:lpstr>25.2</vt:lpstr>
      <vt:lpstr>25.3</vt:lpstr>
      <vt:lpstr>25.4.5</vt:lpstr>
      <vt:lpstr>25.4</vt:lpstr>
      <vt:lpstr>25.5</vt:lpstr>
      <vt:lpstr>25.6 </vt:lpstr>
      <vt:lpstr>25.7</vt:lpstr>
      <vt:lpstr>25.8</vt:lpstr>
      <vt:lpstr>25.9</vt:lpstr>
      <vt:lpstr>25.10</vt:lpstr>
      <vt:lpstr>25.11</vt:lpstr>
      <vt:lpstr>25.12</vt:lpstr>
      <vt:lpstr>26.1</vt:lpstr>
      <vt:lpstr>26.2</vt:lpstr>
      <vt:lpstr>26.3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鲁西西</cp:lastModifiedBy>
  <dcterms:created xsi:type="dcterms:W3CDTF">2023-01-29T05:56:00Z</dcterms:created>
  <dcterms:modified xsi:type="dcterms:W3CDTF">2026-03-26T05:44:53Z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