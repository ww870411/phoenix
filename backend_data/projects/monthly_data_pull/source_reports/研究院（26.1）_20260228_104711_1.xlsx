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旅顺电锅炉房12月" sheetId="4" r:id="rId1"/>
    <sheet name="复洲湾电锅炉房12月" sheetId="5" r:id="rId2"/>
    <sheet name="碧流河空气源热泵12月" sheetId="6" r:id="rId3"/>
  </sheets>
  <externalReferences>
    <externalReference r:id="rId4"/>
  </externalReferences>
  <definedNames>
    <definedName name="codeValue0">[1]codeValue!$A$1:$A$3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<sst xmlns="http://schemas.openxmlformats.org/spreadsheetml/2006/main" count="218" uniqueCount="72">
  <si>
    <r>
      <rPr>
        <b/>
        <u/>
        <sz val="18"/>
        <rFont val="宋体"/>
        <charset val="134"/>
      </rPr>
      <t xml:space="preserve">   旅顺  电</t>
    </r>
    <r>
      <rPr>
        <b/>
        <sz val="18"/>
        <rFont val="宋体"/>
        <charset val="134"/>
      </rPr>
      <t>锅炉房生产月报表</t>
    </r>
  </si>
  <si>
    <t>往年同期</t>
  </si>
  <si>
    <t>热</t>
  </si>
  <si>
    <t>水</t>
  </si>
  <si>
    <t>电</t>
  </si>
  <si>
    <t>今年</t>
  </si>
  <si>
    <r>
      <rPr>
        <sz val="11"/>
        <rFont val="Times New Roman"/>
        <charset val="0"/>
      </rPr>
      <t xml:space="preserve">                    </t>
    </r>
    <r>
      <rPr>
        <sz val="11"/>
        <rFont val="宋体"/>
        <charset val="134"/>
      </rPr>
      <t>表</t>
    </r>
    <r>
      <rPr>
        <sz val="11"/>
        <rFont val="Times New Roman"/>
        <charset val="0"/>
      </rPr>
      <t xml:space="preserve">        </t>
    </r>
    <r>
      <rPr>
        <sz val="11"/>
        <rFont val="宋体"/>
        <charset val="134"/>
      </rPr>
      <t>号：J</t>
    </r>
    <r>
      <rPr>
        <sz val="11"/>
        <rFont val="Times New Roman"/>
        <charset val="0"/>
      </rPr>
      <t>B005-1</t>
    </r>
    <r>
      <rPr>
        <sz val="11"/>
        <rFont val="宋体"/>
        <charset val="134"/>
      </rPr>
      <t>表</t>
    </r>
  </si>
  <si>
    <r>
      <rPr>
        <sz val="11"/>
        <rFont val="宋体"/>
        <charset val="134"/>
      </rPr>
      <t>单位名称</t>
    </r>
    <r>
      <rPr>
        <sz val="11"/>
        <rFont val="Times New Roman"/>
        <charset val="0"/>
      </rPr>
      <t>(</t>
    </r>
    <r>
      <rPr>
        <sz val="11"/>
        <rFont val="宋体"/>
        <charset val="134"/>
      </rPr>
      <t>盖章</t>
    </r>
    <r>
      <rPr>
        <sz val="11"/>
        <rFont val="Times New Roman"/>
        <charset val="0"/>
      </rPr>
      <t>)</t>
    </r>
    <r>
      <rPr>
        <sz val="11"/>
        <rFont val="宋体"/>
        <charset val="134"/>
      </rPr>
      <t>：</t>
    </r>
  </si>
  <si>
    <r>
      <rPr>
        <sz val="11"/>
        <rFont val="Times New Roman"/>
        <charset val="0"/>
      </rPr>
      <t>2026/1</t>
    </r>
    <r>
      <rPr>
        <sz val="11"/>
        <rFont val="宋体"/>
        <charset val="0"/>
      </rPr>
      <t>月</t>
    </r>
  </si>
  <si>
    <r>
      <rPr>
        <sz val="11"/>
        <rFont val="Times New Roman"/>
        <charset val="0"/>
      </rPr>
      <t xml:space="preserve">                    </t>
    </r>
    <r>
      <rPr>
        <sz val="11"/>
        <rFont val="宋体"/>
        <charset val="134"/>
      </rPr>
      <t>制表单位：企业策划部</t>
    </r>
  </si>
  <si>
    <t>指标名称</t>
  </si>
  <si>
    <t>计量单位</t>
  </si>
  <si>
    <t>代码</t>
  </si>
  <si>
    <t>上年同期</t>
  </si>
  <si>
    <t>本年实际</t>
  </si>
  <si>
    <r>
      <rPr>
        <sz val="11"/>
        <rFont val="宋体"/>
        <charset val="134"/>
      </rPr>
      <t>备</t>
    </r>
    <r>
      <rPr>
        <sz val="11"/>
        <rFont val="Times New Roman"/>
        <charset val="0"/>
      </rPr>
      <t xml:space="preserve"> </t>
    </r>
    <r>
      <rPr>
        <sz val="11"/>
        <rFont val="宋体"/>
        <charset val="134"/>
      </rPr>
      <t>注</t>
    </r>
  </si>
  <si>
    <t>月计</t>
  </si>
  <si>
    <t>累计</t>
  </si>
  <si>
    <t>本月</t>
  </si>
  <si>
    <t>装机总容量</t>
  </si>
  <si>
    <t>兆瓦</t>
  </si>
  <si>
    <t>001</t>
  </si>
  <si>
    <t>期末供热面积</t>
  </si>
  <si>
    <t>平方米</t>
  </si>
  <si>
    <t>002</t>
  </si>
  <si>
    <t>实际平均供热面积</t>
  </si>
  <si>
    <t>003</t>
  </si>
  <si>
    <t>供热量</t>
  </si>
  <si>
    <t>吉焦</t>
  </si>
  <si>
    <t>004</t>
  </si>
  <si>
    <t>耗水量</t>
  </si>
  <si>
    <t>吨</t>
  </si>
  <si>
    <t>005</t>
  </si>
  <si>
    <t>耗电量</t>
  </si>
  <si>
    <t>千瓦时</t>
  </si>
  <si>
    <t>006</t>
  </si>
  <si>
    <t>其中：高压电量</t>
  </si>
  <si>
    <t>007</t>
  </si>
  <si>
    <t>供热用电率</t>
  </si>
  <si>
    <r>
      <rPr>
        <sz val="11"/>
        <rFont val="宋体"/>
        <charset val="134"/>
      </rPr>
      <t>千瓦时</t>
    </r>
    <r>
      <rPr>
        <sz val="11"/>
        <rFont val="Times New Roman"/>
        <charset val="0"/>
      </rPr>
      <t>/</t>
    </r>
    <r>
      <rPr>
        <sz val="11"/>
        <rFont val="宋体"/>
        <charset val="134"/>
      </rPr>
      <t>吉焦</t>
    </r>
  </si>
  <si>
    <t>锅炉热效率</t>
  </si>
  <si>
    <t>%</t>
  </si>
  <si>
    <t>008</t>
  </si>
  <si>
    <t>锅炉设备利用率</t>
  </si>
  <si>
    <t>009</t>
  </si>
  <si>
    <t>供暖功耗率</t>
  </si>
  <si>
    <t>瓦/平方米</t>
  </si>
  <si>
    <t>010</t>
  </si>
  <si>
    <t>单位面积耗电量</t>
  </si>
  <si>
    <t>千瓦时/平方米</t>
  </si>
  <si>
    <t>011</t>
  </si>
  <si>
    <t>单位面积耗水量</t>
  </si>
  <si>
    <t>千克/平方米</t>
  </si>
  <si>
    <t>012</t>
  </si>
  <si>
    <t xml:space="preserve">  单位负责人：</t>
  </si>
  <si>
    <t>填表人：</t>
  </si>
  <si>
    <r>
      <rPr>
        <sz val="12"/>
        <rFont val="Times New Roman"/>
        <charset val="0"/>
      </rPr>
      <t xml:space="preserve">      </t>
    </r>
    <r>
      <rPr>
        <sz val="12"/>
        <rFont val="宋体"/>
        <charset val="0"/>
      </rPr>
      <t>报出日期：</t>
    </r>
    <r>
      <rPr>
        <sz val="12"/>
        <rFont val="Times New Roman"/>
        <charset val="0"/>
      </rPr>
      <t>2026</t>
    </r>
    <r>
      <rPr>
        <sz val="12"/>
        <rFont val="宋体"/>
        <charset val="0"/>
      </rPr>
      <t>年</t>
    </r>
    <r>
      <rPr>
        <sz val="12"/>
        <rFont val="Times New Roman"/>
        <charset val="0"/>
      </rPr>
      <t>2</t>
    </r>
    <r>
      <rPr>
        <sz val="12"/>
        <rFont val="宋体"/>
        <charset val="0"/>
      </rPr>
      <t>月</t>
    </r>
    <r>
      <rPr>
        <sz val="12"/>
        <rFont val="Times New Roman"/>
        <charset val="0"/>
      </rPr>
      <t>1</t>
    </r>
    <r>
      <rPr>
        <sz val="12"/>
        <rFont val="宋体"/>
        <charset val="0"/>
      </rPr>
      <t>日</t>
    </r>
  </si>
  <si>
    <t>注：部分指标计算方法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</si>
  <si>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供热用电率</t>
    </r>
    <r>
      <rPr>
        <sz val="11"/>
        <rFont val="Times New Roman"/>
        <charset val="0"/>
      </rPr>
      <t>(</t>
    </r>
    <r>
      <rPr>
        <sz val="11"/>
        <rFont val="宋体"/>
        <charset val="134"/>
      </rPr>
      <t>千瓦时</t>
    </r>
    <r>
      <rPr>
        <sz val="11"/>
        <rFont val="Times New Roman"/>
        <charset val="0"/>
      </rPr>
      <t>/</t>
    </r>
    <r>
      <rPr>
        <sz val="11"/>
        <rFont val="宋体"/>
        <charset val="134"/>
      </rPr>
      <t>吉焦</t>
    </r>
    <r>
      <rPr>
        <sz val="11"/>
        <rFont val="Times New Roman"/>
        <charset val="0"/>
      </rPr>
      <t>)=</t>
    </r>
    <r>
      <rPr>
        <sz val="11"/>
        <rFont val="宋体"/>
        <charset val="134"/>
      </rPr>
      <t>供热耗用电量</t>
    </r>
    <r>
      <rPr>
        <sz val="11"/>
        <rFont val="Times New Roman"/>
        <charset val="0"/>
      </rPr>
      <t>(</t>
    </r>
    <r>
      <rPr>
        <sz val="11"/>
        <rFont val="宋体"/>
        <charset val="134"/>
      </rPr>
      <t>千瓦时</t>
    </r>
    <r>
      <rPr>
        <sz val="11"/>
        <rFont val="Times New Roman"/>
        <charset val="0"/>
      </rPr>
      <t>)÷</t>
    </r>
    <r>
      <rPr>
        <sz val="11"/>
        <rFont val="宋体"/>
        <charset val="134"/>
      </rPr>
      <t>供热量</t>
    </r>
    <r>
      <rPr>
        <sz val="11"/>
        <rFont val="Times New Roman"/>
        <charset val="0"/>
      </rPr>
      <t>(</t>
    </r>
    <r>
      <rPr>
        <sz val="11"/>
        <rFont val="宋体"/>
        <charset val="134"/>
      </rPr>
      <t>吉焦</t>
    </r>
    <r>
      <rPr>
        <sz val="11"/>
        <rFont val="Times New Roman"/>
        <charset val="0"/>
      </rPr>
      <t>)</t>
    </r>
  </si>
  <si>
    <r>
      <rPr>
        <sz val="11"/>
        <rFont val="Times New Roman"/>
        <charset val="0"/>
      </rPr>
      <t>2.</t>
    </r>
    <r>
      <rPr>
        <sz val="11"/>
        <rFont val="宋体"/>
        <charset val="134"/>
      </rPr>
      <t>锅炉热效率</t>
    </r>
    <r>
      <rPr>
        <sz val="11"/>
        <rFont val="Times New Roman"/>
        <charset val="0"/>
      </rPr>
      <t>(%)=</t>
    </r>
    <r>
      <rPr>
        <sz val="11"/>
        <rFont val="宋体"/>
        <charset val="134"/>
      </rPr>
      <t>供热量</t>
    </r>
    <r>
      <rPr>
        <sz val="11"/>
        <rFont val="Times New Roman"/>
        <charset val="0"/>
      </rPr>
      <t>(</t>
    </r>
    <r>
      <rPr>
        <sz val="11"/>
        <rFont val="宋体"/>
        <charset val="134"/>
      </rPr>
      <t>千焦</t>
    </r>
    <r>
      <rPr>
        <sz val="11"/>
        <rFont val="Times New Roman"/>
        <charset val="0"/>
      </rPr>
      <t>)÷(</t>
    </r>
    <r>
      <rPr>
        <sz val="11"/>
        <rFont val="宋体"/>
        <charset val="134"/>
      </rPr>
      <t>耗电量</t>
    </r>
    <r>
      <rPr>
        <sz val="11"/>
        <rFont val="Times New Roman"/>
        <charset val="0"/>
      </rPr>
      <t>(</t>
    </r>
    <r>
      <rPr>
        <sz val="11"/>
        <rFont val="宋体"/>
        <charset val="134"/>
      </rPr>
      <t>千瓦时</t>
    </r>
    <r>
      <rPr>
        <sz val="11"/>
        <rFont val="Times New Roman"/>
        <charset val="0"/>
      </rPr>
      <t>)×3600(</t>
    </r>
    <r>
      <rPr>
        <sz val="11"/>
        <rFont val="宋体"/>
        <charset val="134"/>
      </rPr>
      <t>千焦</t>
    </r>
    <r>
      <rPr>
        <sz val="11"/>
        <rFont val="Times New Roman"/>
        <charset val="0"/>
      </rPr>
      <t>/</t>
    </r>
    <r>
      <rPr>
        <sz val="11"/>
        <rFont val="宋体"/>
        <charset val="134"/>
      </rPr>
      <t>千瓦时</t>
    </r>
    <r>
      <rPr>
        <sz val="11"/>
        <rFont val="Times New Roman"/>
        <charset val="0"/>
      </rPr>
      <t>))</t>
    </r>
  </si>
  <si>
    <r>
      <rPr>
        <sz val="11"/>
        <rFont val="Times New Roman"/>
        <charset val="0"/>
      </rPr>
      <t>3.</t>
    </r>
    <r>
      <rPr>
        <sz val="11"/>
        <rFont val="宋体"/>
        <charset val="134"/>
      </rPr>
      <t>锅炉设备利用率</t>
    </r>
    <r>
      <rPr>
        <sz val="11"/>
        <rFont val="Times New Roman"/>
        <charset val="0"/>
      </rPr>
      <t>(%)=</t>
    </r>
    <r>
      <rPr>
        <sz val="11"/>
        <rFont val="宋体"/>
        <charset val="134"/>
      </rPr>
      <t>供热量</t>
    </r>
    <r>
      <rPr>
        <sz val="11"/>
        <rFont val="Times New Roman"/>
        <charset val="0"/>
      </rPr>
      <t>(</t>
    </r>
    <r>
      <rPr>
        <sz val="11"/>
        <rFont val="宋体"/>
        <charset val="134"/>
      </rPr>
      <t>吉焦</t>
    </r>
    <r>
      <rPr>
        <sz val="11"/>
        <rFont val="Times New Roman"/>
        <charset val="0"/>
      </rPr>
      <t>)×1000÷</t>
    </r>
    <r>
      <rPr>
        <sz val="11"/>
        <rFont val="宋体"/>
        <charset val="134"/>
      </rPr>
      <t>供热能力</t>
    </r>
    <r>
      <rPr>
        <sz val="11"/>
        <rFont val="Times New Roman"/>
        <charset val="0"/>
      </rPr>
      <t>(</t>
    </r>
    <r>
      <rPr>
        <sz val="11"/>
        <rFont val="宋体"/>
        <charset val="134"/>
      </rPr>
      <t>兆瓦</t>
    </r>
    <r>
      <rPr>
        <sz val="11"/>
        <rFont val="Times New Roman"/>
        <charset val="0"/>
      </rPr>
      <t>)÷</t>
    </r>
    <r>
      <rPr>
        <sz val="11"/>
        <rFont val="宋体"/>
        <charset val="134"/>
      </rPr>
      <t>报告期日历秒数</t>
    </r>
    <r>
      <rPr>
        <sz val="11"/>
        <rFont val="Times New Roman"/>
        <charset val="0"/>
      </rPr>
      <t>(</t>
    </r>
    <r>
      <rPr>
        <sz val="11"/>
        <rFont val="宋体"/>
        <charset val="134"/>
      </rPr>
      <t>秒</t>
    </r>
    <r>
      <rPr>
        <sz val="11"/>
        <rFont val="Times New Roman"/>
        <charset val="0"/>
      </rPr>
      <t>)</t>
    </r>
  </si>
  <si>
    <r>
      <rPr>
        <sz val="11"/>
        <rFont val="Times New Roman"/>
        <charset val="0"/>
      </rPr>
      <t>4.</t>
    </r>
    <r>
      <rPr>
        <sz val="11"/>
        <rFont val="宋体"/>
        <charset val="134"/>
      </rPr>
      <t>以上指标中的</t>
    </r>
    <r>
      <rPr>
        <sz val="11"/>
        <rFont val="Times New Roman"/>
        <charset val="0"/>
      </rPr>
      <t>008</t>
    </r>
    <r>
      <rPr>
        <sz val="11"/>
        <rFont val="宋体"/>
        <charset val="134"/>
      </rPr>
      <t>、</t>
    </r>
    <r>
      <rPr>
        <sz val="11"/>
        <rFont val="Times New Roman"/>
        <charset val="0"/>
      </rPr>
      <t>009</t>
    </r>
    <r>
      <rPr>
        <sz val="11"/>
        <rFont val="宋体"/>
        <charset val="134"/>
      </rPr>
      <t>、</t>
    </r>
    <r>
      <rPr>
        <sz val="11"/>
        <rFont val="Times New Roman"/>
        <charset val="0"/>
      </rPr>
      <t>010</t>
    </r>
    <r>
      <rPr>
        <sz val="11"/>
        <rFont val="宋体"/>
        <charset val="134"/>
      </rPr>
      <t>、</t>
    </r>
    <r>
      <rPr>
        <sz val="11"/>
        <rFont val="Times New Roman"/>
        <charset val="0"/>
      </rPr>
      <t>011</t>
    </r>
    <r>
      <rPr>
        <sz val="11"/>
        <rFont val="宋体"/>
        <charset val="134"/>
      </rPr>
      <t>、</t>
    </r>
    <r>
      <rPr>
        <sz val="11"/>
        <rFont val="Times New Roman"/>
        <charset val="0"/>
      </rPr>
      <t>012</t>
    </r>
    <r>
      <rPr>
        <sz val="11"/>
        <rFont val="宋体"/>
        <charset val="134"/>
      </rPr>
      <t>、</t>
    </r>
    <r>
      <rPr>
        <sz val="11"/>
        <rFont val="Times New Roman"/>
        <charset val="0"/>
      </rPr>
      <t>013</t>
    </r>
    <r>
      <rPr>
        <sz val="11"/>
        <rFont val="宋体"/>
        <charset val="134"/>
      </rPr>
      <t>项，均保留小数点后</t>
    </r>
    <r>
      <rPr>
        <sz val="11"/>
        <rFont val="Times New Roman"/>
        <charset val="0"/>
      </rPr>
      <t>1</t>
    </r>
    <r>
      <rPr>
        <sz val="11"/>
        <rFont val="宋体"/>
        <charset val="134"/>
      </rPr>
      <t>位。</t>
    </r>
  </si>
  <si>
    <t>上月累计</t>
  </si>
  <si>
    <t>年累计</t>
  </si>
  <si>
    <r>
      <rPr>
        <b/>
        <u/>
        <sz val="18"/>
        <rFont val="宋体"/>
        <charset val="134"/>
      </rPr>
      <t xml:space="preserve">   复洲湾  电</t>
    </r>
    <r>
      <rPr>
        <b/>
        <sz val="18"/>
        <rFont val="宋体"/>
        <charset val="134"/>
      </rPr>
      <t>锅炉房生产月报表</t>
    </r>
  </si>
  <si>
    <t>往期</t>
  </si>
  <si>
    <t>同期</t>
  </si>
  <si>
    <t>013</t>
  </si>
  <si>
    <r>
      <rPr>
        <b/>
        <u/>
        <sz val="18"/>
        <rFont val="宋体"/>
        <charset val="134"/>
      </rPr>
      <t xml:space="preserve">   碧流河、桂云花  空气源热泵</t>
    </r>
    <r>
      <rPr>
        <b/>
        <sz val="18"/>
        <rFont val="宋体"/>
        <charset val="134"/>
      </rPr>
      <t>生产月报表</t>
    </r>
  </si>
  <si>
    <t>不属于高压电  为方便于计算</t>
  </si>
  <si>
    <r>
      <rPr>
        <sz val="11"/>
        <rFont val="Times New Roman"/>
        <charset val="0"/>
      </rPr>
      <t>2.</t>
    </r>
    <r>
      <rPr>
        <sz val="11"/>
        <rFont val="宋体"/>
        <charset val="0"/>
      </rPr>
      <t>热效率</t>
    </r>
    <r>
      <rPr>
        <sz val="11"/>
        <rFont val="Times New Roman"/>
        <charset val="0"/>
      </rPr>
      <t>(%)=</t>
    </r>
    <r>
      <rPr>
        <sz val="11"/>
        <rFont val="宋体"/>
        <charset val="0"/>
      </rPr>
      <t>供热量</t>
    </r>
    <r>
      <rPr>
        <sz val="11"/>
        <rFont val="Times New Roman"/>
        <charset val="0"/>
      </rPr>
      <t>(</t>
    </r>
    <r>
      <rPr>
        <sz val="11"/>
        <rFont val="宋体"/>
        <charset val="0"/>
      </rPr>
      <t>千焦</t>
    </r>
    <r>
      <rPr>
        <sz val="11"/>
        <rFont val="Times New Roman"/>
        <charset val="0"/>
      </rPr>
      <t>)÷(</t>
    </r>
    <r>
      <rPr>
        <sz val="11"/>
        <rFont val="宋体"/>
        <charset val="0"/>
      </rPr>
      <t>耗电量</t>
    </r>
    <r>
      <rPr>
        <sz val="11"/>
        <rFont val="Times New Roman"/>
        <charset val="0"/>
      </rPr>
      <t>(</t>
    </r>
    <r>
      <rPr>
        <sz val="11"/>
        <rFont val="宋体"/>
        <charset val="0"/>
      </rPr>
      <t>千瓦时</t>
    </r>
    <r>
      <rPr>
        <sz val="11"/>
        <rFont val="Times New Roman"/>
        <charset val="0"/>
      </rPr>
      <t>)×3600(</t>
    </r>
    <r>
      <rPr>
        <sz val="11"/>
        <rFont val="宋体"/>
        <charset val="0"/>
      </rPr>
      <t>千焦</t>
    </r>
    <r>
      <rPr>
        <sz val="11"/>
        <rFont val="Times New Roman"/>
        <charset val="0"/>
      </rPr>
      <t>/</t>
    </r>
    <r>
      <rPr>
        <sz val="11"/>
        <rFont val="宋体"/>
        <charset val="0"/>
      </rPr>
      <t>千瓦时</t>
    </r>
    <r>
      <rPr>
        <sz val="11"/>
        <rFont val="Times New Roman"/>
        <charset val="0"/>
      </rPr>
      <t>))</t>
    </r>
  </si>
  <si>
    <r>
      <rPr>
        <sz val="11"/>
        <rFont val="Times New Roman"/>
        <charset val="0"/>
      </rPr>
      <t>3.</t>
    </r>
    <r>
      <rPr>
        <sz val="11"/>
        <rFont val="宋体"/>
        <charset val="0"/>
      </rPr>
      <t>设备利用率</t>
    </r>
    <r>
      <rPr>
        <sz val="11"/>
        <rFont val="Times New Roman"/>
        <charset val="0"/>
      </rPr>
      <t>(%)=</t>
    </r>
    <r>
      <rPr>
        <sz val="11"/>
        <rFont val="宋体"/>
        <charset val="0"/>
      </rPr>
      <t>供热量</t>
    </r>
    <r>
      <rPr>
        <sz val="11"/>
        <rFont val="Times New Roman"/>
        <charset val="0"/>
      </rPr>
      <t>(</t>
    </r>
    <r>
      <rPr>
        <sz val="11"/>
        <rFont val="宋体"/>
        <charset val="0"/>
      </rPr>
      <t>吉焦</t>
    </r>
    <r>
      <rPr>
        <sz val="11"/>
        <rFont val="Times New Roman"/>
        <charset val="0"/>
      </rPr>
      <t>)×1000÷</t>
    </r>
    <r>
      <rPr>
        <sz val="11"/>
        <rFont val="宋体"/>
        <charset val="0"/>
      </rPr>
      <t>供热能力</t>
    </r>
    <r>
      <rPr>
        <sz val="11"/>
        <rFont val="Times New Roman"/>
        <charset val="0"/>
      </rPr>
      <t>(</t>
    </r>
    <r>
      <rPr>
        <sz val="11"/>
        <rFont val="宋体"/>
        <charset val="0"/>
      </rPr>
      <t>兆瓦</t>
    </r>
    <r>
      <rPr>
        <sz val="11"/>
        <rFont val="Times New Roman"/>
        <charset val="0"/>
      </rPr>
      <t>)÷</t>
    </r>
    <r>
      <rPr>
        <sz val="11"/>
        <rFont val="宋体"/>
        <charset val="0"/>
      </rPr>
      <t>报告期日历秒数</t>
    </r>
    <r>
      <rPr>
        <sz val="11"/>
        <rFont val="Times New Roman"/>
        <charset val="0"/>
      </rPr>
      <t>(</t>
    </r>
    <r>
      <rPr>
        <sz val="11"/>
        <rFont val="宋体"/>
        <charset val="0"/>
      </rPr>
      <t>秒</t>
    </r>
    <r>
      <rPr>
        <sz val="11"/>
        <rFont val="Times New Roman"/>
        <charset val="0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</si>
</sst>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  <numFmt numFmtId="178" formatCode="0.0%"/>
    <numFmt numFmtId="179" formatCode="0_ "/>
  </numFmts>
  <fonts count="37">
    <font>
      <sz val="11"/>
      <color theme="1"/>
      <name val="宋体"/>
      <charset val="134"/>
      <scheme val="minor"/>
    </font>
    <font>
      <b/>
      <u/>
      <sz val="18"/>
      <name val="宋体"/>
      <charset val="134"/>
    </font>
    <font>
      <b/>
      <sz val="18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sz val="11"/>
      <name val="宋体"/>
      <charset val="134"/>
    </font>
    <font>
      <sz val="12"/>
      <name val="Times New Roman"/>
      <charset val="0"/>
    </font>
    <font>
      <sz val="11"/>
      <name val="Times New Roman"/>
      <charset val="0"/>
    </font>
    <font>
      <b/>
      <sz val="11"/>
      <name val="Times New Roman"/>
      <charset val="0"/>
    </font>
    <font>
      <sz val="10"/>
      <name val="宋体"/>
      <charset val="134"/>
    </font>
    <font>
      <sz val="11"/>
      <color rgb="FFFF0000"/>
      <name val="Times New Roman"/>
      <charset val="0"/>
    </font>
    <font>
      <b/>
      <sz val="11"/>
      <color rgb="FFFF0000"/>
      <name val="Times New Roman"/>
      <charset val="0"/>
    </font>
    <font>
      <sz val="11"/>
      <color rgb="FFFF0000"/>
      <name val="宋体"/>
      <charset val="0"/>
    </font>
    <font>
      <b/>
      <sz val="11"/>
      <color rgb="FFFF0000"/>
      <name val="宋体"/>
      <charset val="0"/>
    </font>
    <font>
      <sz val="10"/>
      <color rgb="FFFF0000"/>
      <name val="宋体"/>
      <charset val="134"/>
    </font>
    <font>
      <b/>
      <sz val="11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0"/>
    </font>
    <font>
      <sz val="12"/>
      <name val="宋体"/>
      <charset val="0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20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23" applyNumberFormat="0" applyAlignment="0" applyProtection="0">
      <alignment vertical="center"/>
    </xf>
    <xf numFmtId="0" fontId="25" fillId="10" borderId="24" applyNumberFormat="0" applyAlignment="0" applyProtection="0">
      <alignment vertical="center"/>
    </xf>
    <xf numFmtId="0" fontId="26" fillId="10" borderId="23" applyNumberFormat="0" applyAlignment="0" applyProtection="0">
      <alignment vertical="center"/>
    </xf>
    <xf numFmtId="0" fontId="27" fillId="11" borderId="25" applyNumberFormat="0" applyAlignment="0" applyProtection="0">
      <alignment vertical="center"/>
    </xf>
    <xf numFmtId="0" fontId="28" fillId="0" borderId="26" applyNumberFormat="0" applyFill="0" applyAlignment="0" applyProtection="0">
      <alignment vertical="center"/>
    </xf>
    <xf numFmtId="0" fontId="29" fillId="0" borderId="27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" fillId="0" borderId="0"/>
  </cellStyleXfs>
  <cellXfs count="1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2" borderId="1" xfId="0" applyFont="1" applyFill="1" applyBorder="1" applyAlignment="1"/>
    <xf numFmtId="0" fontId="3" fillId="4" borderId="1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/>
    <xf numFmtId="58" fontId="5" fillId="2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57" fontId="7" fillId="0" borderId="0" xfId="0" applyNumberFormat="1" applyFont="1" applyFill="1" applyAlignment="1">
      <alignment horizontal="left" vertical="center"/>
    </xf>
    <xf numFmtId="0" fontId="5" fillId="0" borderId="2" xfId="0" applyFont="1" applyFill="1" applyBorder="1" applyAlignment="1"/>
    <xf numFmtId="0" fontId="6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5" fillId="6" borderId="7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49" fontId="7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76" fontId="7" fillId="6" borderId="1" xfId="0" applyNumberFormat="1" applyFont="1" applyFill="1" applyBorder="1" applyAlignment="1">
      <alignment horizontal="center" vertical="center"/>
    </xf>
    <xf numFmtId="176" fontId="8" fillId="6" borderId="1" xfId="0" applyNumberFormat="1" applyFont="1" applyFill="1" applyBorder="1" applyAlignment="1">
      <alignment horizontal="center" vertical="center"/>
    </xf>
    <xf numFmtId="0" fontId="5" fillId="0" borderId="7" xfId="0" applyFont="1" applyFill="1" applyBorder="1" applyAlignment="1">
      <alignment vertical="center"/>
    </xf>
    <xf numFmtId="49" fontId="7" fillId="0" borderId="1" xfId="0" applyNumberFormat="1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/>
    </xf>
    <xf numFmtId="177" fontId="8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43" fontId="9" fillId="0" borderId="11" xfId="1" applyNumberFormat="1" applyFont="1" applyFill="1" applyBorder="1" applyAlignment="1">
      <alignment vertical="center" shrinkToFit="1"/>
    </xf>
    <xf numFmtId="0" fontId="9" fillId="0" borderId="11" xfId="0" applyFont="1" applyFill="1" applyBorder="1" applyAlignment="1">
      <alignment horizontal="center" vertical="center" shrinkToFit="1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4" fillId="0" borderId="10" xfId="0" applyFont="1" applyFill="1" applyBorder="1" applyAlignment="1">
      <alignment horizontal="center" vertical="center" wrapText="1"/>
    </xf>
    <xf numFmtId="1" fontId="5" fillId="6" borderId="1" xfId="49" applyNumberFormat="1" applyFont="1" applyFill="1" applyBorder="1" applyAlignment="1">
      <alignment horizontal="center" vertical="center"/>
    </xf>
    <xf numFmtId="178" fontId="7" fillId="6" borderId="1" xfId="3" applyNumberFormat="1" applyFont="1" applyFill="1" applyBorder="1" applyAlignment="1">
      <alignment horizontal="center" vertical="center"/>
    </xf>
    <xf numFmtId="178" fontId="8" fillId="6" borderId="1" xfId="3" applyNumberFormat="1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vertical="center"/>
    </xf>
    <xf numFmtId="0" fontId="5" fillId="6" borderId="13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vertical="center"/>
    </xf>
    <xf numFmtId="0" fontId="5" fillId="6" borderId="15" xfId="0" applyFont="1" applyFill="1" applyBorder="1" applyAlignment="1">
      <alignment vertical="center"/>
    </xf>
    <xf numFmtId="0" fontId="5" fillId="6" borderId="16" xfId="0" applyFont="1" applyFill="1" applyBorder="1" applyAlignment="1">
      <alignment horizontal="center" vertical="center"/>
    </xf>
    <xf numFmtId="49" fontId="7" fillId="6" borderId="16" xfId="0" applyNumberFormat="1" applyFont="1" applyFill="1" applyBorder="1" applyAlignment="1">
      <alignment horizontal="center" vertical="center"/>
    </xf>
    <xf numFmtId="176" fontId="7" fillId="6" borderId="16" xfId="0" applyNumberFormat="1" applyFont="1" applyFill="1" applyBorder="1" applyAlignment="1">
      <alignment horizontal="center" vertical="center"/>
    </xf>
    <xf numFmtId="176" fontId="8" fillId="6" borderId="16" xfId="0" applyNumberFormat="1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vertical="center"/>
    </xf>
    <xf numFmtId="0" fontId="6" fillId="0" borderId="0" xfId="0" applyFont="1" applyFill="1" applyBorder="1" applyAlignment="1"/>
    <xf numFmtId="0" fontId="3" fillId="0" borderId="0" xfId="0" applyFont="1" applyFill="1" applyBorder="1" applyAlignment="1"/>
    <xf numFmtId="0" fontId="6" fillId="3" borderId="1" xfId="0" applyFont="1" applyFill="1" applyBorder="1" applyAlignment="1"/>
    <xf numFmtId="0" fontId="6" fillId="5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1" xfId="0" applyFont="1" applyFill="1" applyBorder="1" applyAlignment="1"/>
    <xf numFmtId="0" fontId="7" fillId="0" borderId="0" xfId="0" applyFont="1" applyFill="1" applyBorder="1" applyAlignment="1"/>
    <xf numFmtId="0" fontId="7" fillId="3" borderId="1" xfId="0" applyFont="1" applyFill="1" applyBorder="1" applyAlignment="1"/>
    <xf numFmtId="0" fontId="7" fillId="5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4" borderId="1" xfId="0" applyFont="1" applyFill="1" applyBorder="1" applyAlignment="1"/>
    <xf numFmtId="0" fontId="7" fillId="0" borderId="0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5" fillId="3" borderId="1" xfId="0" applyFont="1" applyFill="1" applyBorder="1" applyAlignment="1"/>
    <xf numFmtId="0" fontId="5" fillId="5" borderId="1" xfId="0" applyFont="1" applyFill="1" applyBorder="1" applyAlignment="1">
      <alignment horizontal="center"/>
    </xf>
    <xf numFmtId="0" fontId="5" fillId="4" borderId="1" xfId="0" applyFont="1" applyFill="1" applyBorder="1" applyAlignment="1"/>
    <xf numFmtId="0" fontId="3" fillId="3" borderId="1" xfId="0" applyFont="1" applyFill="1" applyBorder="1" applyAlignment="1"/>
    <xf numFmtId="0" fontId="3" fillId="5" borderId="1" xfId="0" applyFont="1" applyFill="1" applyBorder="1" applyAlignment="1">
      <alignment horizontal="center"/>
    </xf>
    <xf numFmtId="0" fontId="3" fillId="4" borderId="1" xfId="0" applyFont="1" applyFill="1" applyBorder="1" applyAlignment="1"/>
    <xf numFmtId="0" fontId="3" fillId="5" borderId="1" xfId="0" applyFont="1" applyFill="1" applyBorder="1" applyAlignment="1"/>
    <xf numFmtId="0" fontId="3" fillId="2" borderId="1" xfId="0" applyFont="1" applyFill="1" applyBorder="1" applyAlignment="1"/>
    <xf numFmtId="177" fontId="3" fillId="4" borderId="1" xfId="0" applyNumberFormat="1" applyFont="1" applyFill="1" applyBorder="1" applyAlignment="1"/>
    <xf numFmtId="0" fontId="0" fillId="3" borderId="1" xfId="0" applyFill="1" applyBorder="1"/>
    <xf numFmtId="177" fontId="4" fillId="3" borderId="1" xfId="0" applyNumberFormat="1" applyFont="1" applyFill="1" applyBorder="1" applyAlignment="1"/>
    <xf numFmtId="0" fontId="4" fillId="3" borderId="1" xfId="0" applyFont="1" applyFill="1" applyBorder="1" applyAlignment="1"/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/>
    <xf numFmtId="177" fontId="4" fillId="4" borderId="1" xfId="0" applyNumberFormat="1" applyFont="1" applyFill="1" applyBorder="1" applyAlignment="1"/>
    <xf numFmtId="0" fontId="3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57" fontId="7" fillId="0" borderId="0" xfId="0" applyNumberFormat="1" applyFont="1" applyFill="1" applyBorder="1" applyAlignment="1">
      <alignment vertical="center"/>
    </xf>
    <xf numFmtId="0" fontId="7" fillId="0" borderId="2" xfId="0" applyFont="1" applyFill="1" applyBorder="1" applyAlignment="1"/>
    <xf numFmtId="0" fontId="4" fillId="2" borderId="1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8" xfId="0" applyFont="1" applyFill="1" applyBorder="1" applyAlignment="1">
      <alignment horizontal="center"/>
    </xf>
    <xf numFmtId="0" fontId="3" fillId="0" borderId="19" xfId="0" applyFont="1" applyFill="1" applyBorder="1" applyAlignment="1">
      <alignment horizontal="center"/>
    </xf>
    <xf numFmtId="179" fontId="4" fillId="0" borderId="18" xfId="0" applyNumberFormat="1" applyFont="1" applyFill="1" applyBorder="1" applyAlignment="1">
      <alignment horizontal="center"/>
    </xf>
    <xf numFmtId="179" fontId="4" fillId="0" borderId="19" xfId="0" applyNumberFormat="1" applyFont="1" applyFill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power" xfId="49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ZQB8182\AppData\Local\kingsoft\WPS%20Cloud%20Files\userdata\qing\filecache\.318532066\cachedata\C867453F0A4540D2B6AF2B5580D523D7\IV501_&#32852;&#32593;&#30452;&#25253;&#27861;&#20154;&#21333;&#20301;&#38750;&#37329;&#34701;&#36164;&#20135;&#25237;&#36164;&#24773;&#20917;&#34920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"/>
      <sheetName val="codeValue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W40"/>
  <sheetViews>
    <sheetView tabSelected="1" workbookViewId="0">
      <pane ySplit="1" topLeftCell="A2" activePane="bottomLeft" state="frozen"/>
      <selection/>
      <selection pane="bottomLeft" activeCell="D15" sqref="D15"/>
    </sheetView>
  </sheetViews>
  <sheetFormatPr defaultColWidth="9.81818181818182" defaultRowHeight="15"/>
  <cols>
    <col min="1" max="1" width="22" style="74" customWidth="1"/>
    <col min="2" max="2" width="16.0909090909091" style="74" customWidth="1"/>
    <col min="3" max="3" width="7.77272727272727" style="74" customWidth="1"/>
    <col min="4" max="7" width="9.68181818181818" style="74" customWidth="1"/>
    <col min="8" max="9" width="12.4090909090909" style="74" customWidth="1"/>
    <col min="10" max="10" width="9" style="74" customWidth="1"/>
    <col min="11" max="11" width="9.75454545454545" style="74" customWidth="1"/>
    <col min="12" max="15" width="8" style="74" customWidth="1"/>
    <col min="16" max="16" width="11.1272727272727" style="74" customWidth="1"/>
    <col min="17" max="17" width="9.36363636363636" style="74" customWidth="1"/>
    <col min="18" max="22" width="8" style="74" customWidth="1"/>
    <col min="23" max="23" width="10.2545454545455" style="74" customWidth="1"/>
    <col min="24" max="16384" width="9.81818181818182" style="74"/>
  </cols>
  <sheetData>
    <row r="1" s="74" customFormat="1" ht="23" spans="1:23">
      <c r="A1" s="2" t="s">
        <v>0</v>
      </c>
      <c r="B1" s="3"/>
      <c r="C1" s="3"/>
      <c r="D1" s="3"/>
      <c r="E1" s="3"/>
      <c r="F1" s="3"/>
      <c r="G1" s="3"/>
      <c r="H1" s="3"/>
      <c r="I1" s="3"/>
      <c r="J1" s="107" t="s">
        <v>1</v>
      </c>
      <c r="K1" s="5" t="s">
        <v>2</v>
      </c>
      <c r="L1" s="5"/>
      <c r="M1" s="6" t="s">
        <v>3</v>
      </c>
      <c r="N1" s="6"/>
      <c r="O1" s="6" t="s">
        <v>4</v>
      </c>
      <c r="P1" s="6"/>
      <c r="Q1" s="100" t="s">
        <v>5</v>
      </c>
      <c r="R1" s="8" t="s">
        <v>2</v>
      </c>
      <c r="S1" s="8"/>
      <c r="T1" s="8" t="s">
        <v>3</v>
      </c>
      <c r="U1" s="8"/>
      <c r="V1" s="8" t="s">
        <v>4</v>
      </c>
      <c r="W1" s="8"/>
    </row>
    <row r="2" s="102" customFormat="1" ht="21.95" customHeight="1" spans="1:23">
      <c r="A2" s="9"/>
      <c r="B2" s="9"/>
      <c r="C2" s="9"/>
      <c r="D2" s="9"/>
      <c r="E2" s="9"/>
      <c r="F2" s="79" t="s">
        <v>6</v>
      </c>
      <c r="G2" s="10"/>
      <c r="H2" s="10"/>
      <c r="I2" s="10"/>
      <c r="J2" s="11">
        <v>45658</v>
      </c>
      <c r="K2" s="13">
        <v>32</v>
      </c>
      <c r="L2" s="13">
        <v>31.5</v>
      </c>
      <c r="M2" s="13">
        <v>1.19999999999982</v>
      </c>
      <c r="N2" s="13">
        <v>11</v>
      </c>
      <c r="O2" s="13">
        <v>9679.99999999847</v>
      </c>
      <c r="P2" s="13">
        <v>11960</v>
      </c>
      <c r="Q2" s="11">
        <v>46023</v>
      </c>
      <c r="R2" s="15">
        <v>39</v>
      </c>
      <c r="S2" s="15">
        <v>32.1999999999971</v>
      </c>
      <c r="T2" s="15">
        <v>0.100000000000364</v>
      </c>
      <c r="U2" s="15">
        <v>4.89999999999964</v>
      </c>
      <c r="V2" s="15">
        <v>11360</v>
      </c>
      <c r="W2" s="15">
        <v>9840</v>
      </c>
    </row>
    <row r="3" s="103" customFormat="1" ht="21.95" customHeight="1" spans="1:23">
      <c r="A3" s="17" t="s">
        <v>7</v>
      </c>
      <c r="B3" s="18"/>
      <c r="C3" s="18"/>
      <c r="D3" s="19" t="s">
        <v>8</v>
      </c>
      <c r="E3" s="19"/>
      <c r="F3" s="106" t="s">
        <v>9</v>
      </c>
      <c r="G3" s="20"/>
      <c r="H3" s="20"/>
      <c r="I3" s="10"/>
      <c r="J3" s="11">
        <v>45659</v>
      </c>
      <c r="K3" s="30">
        <v>32.6000000000022</v>
      </c>
      <c r="L3" s="30">
        <v>38.2000000000007</v>
      </c>
      <c r="M3" s="21">
        <v>1</v>
      </c>
      <c r="N3" s="21">
        <v>7</v>
      </c>
      <c r="O3" s="21">
        <v>9760.00000000022</v>
      </c>
      <c r="P3" s="21">
        <v>13200.0000000007</v>
      </c>
      <c r="Q3" s="11">
        <v>46024</v>
      </c>
      <c r="R3" s="23">
        <v>38.4000000000015</v>
      </c>
      <c r="S3" s="23">
        <v>13.8000000000029</v>
      </c>
      <c r="T3" s="23">
        <v>0.399999999999636</v>
      </c>
      <c r="U3" s="23">
        <v>5.60000000000036</v>
      </c>
      <c r="V3" s="23">
        <v>11760</v>
      </c>
      <c r="W3" s="23">
        <v>200.000000000003</v>
      </c>
    </row>
    <row r="4" s="104" customFormat="1" ht="27.95" customHeight="1" spans="1:23">
      <c r="A4" s="25" t="s">
        <v>10</v>
      </c>
      <c r="B4" s="26" t="s">
        <v>11</v>
      </c>
      <c r="C4" s="27" t="s">
        <v>12</v>
      </c>
      <c r="D4" s="26" t="s">
        <v>13</v>
      </c>
      <c r="E4" s="28"/>
      <c r="F4" s="26" t="s">
        <v>14</v>
      </c>
      <c r="G4" s="28"/>
      <c r="H4" s="29" t="s">
        <v>15</v>
      </c>
      <c r="I4" s="108"/>
      <c r="J4" s="11">
        <v>45660</v>
      </c>
      <c r="K4" s="30">
        <v>32.0999999999985</v>
      </c>
      <c r="L4" s="30">
        <v>8.79999999999927</v>
      </c>
      <c r="M4" s="13">
        <v>0.100000000000364</v>
      </c>
      <c r="N4" s="13">
        <v>11.9000000000001</v>
      </c>
      <c r="O4" s="13">
        <v>9760.00000000022</v>
      </c>
      <c r="P4" s="13">
        <v>439.9999999996</v>
      </c>
      <c r="Q4" s="11">
        <v>46025</v>
      </c>
      <c r="R4" s="15">
        <v>37.0999999999985</v>
      </c>
      <c r="S4" s="15">
        <v>22.8999999999978</v>
      </c>
      <c r="T4" s="15">
        <v>1</v>
      </c>
      <c r="U4" s="15">
        <v>5</v>
      </c>
      <c r="V4" s="15">
        <v>12200</v>
      </c>
      <c r="W4" s="15">
        <v>11680</v>
      </c>
    </row>
    <row r="5" s="104" customFormat="1" ht="27.95" customHeight="1" spans="1:23">
      <c r="A5" s="31"/>
      <c r="B5" s="32"/>
      <c r="C5" s="33"/>
      <c r="D5" s="34" t="s">
        <v>16</v>
      </c>
      <c r="E5" s="34" t="s">
        <v>17</v>
      </c>
      <c r="F5" s="34" t="s">
        <v>18</v>
      </c>
      <c r="G5" s="34" t="s">
        <v>17</v>
      </c>
      <c r="H5" s="35"/>
      <c r="I5" s="108"/>
      <c r="J5" s="11">
        <v>45661</v>
      </c>
      <c r="K5" s="30">
        <v>31.7999999999993</v>
      </c>
      <c r="L5" s="30">
        <v>1.59999999999854</v>
      </c>
      <c r="M5" s="13">
        <v>2.29999999999927</v>
      </c>
      <c r="N5" s="13">
        <v>15.5999999999999</v>
      </c>
      <c r="O5" s="13">
        <v>9639.99999999942</v>
      </c>
      <c r="P5" s="13">
        <v>399.999999999636</v>
      </c>
      <c r="Q5" s="11">
        <v>46026</v>
      </c>
      <c r="R5" s="15">
        <v>37.7000000000007</v>
      </c>
      <c r="S5" s="15">
        <v>35.4000000000015</v>
      </c>
      <c r="T5" s="15">
        <v>0.5</v>
      </c>
      <c r="U5" s="15">
        <v>4.5</v>
      </c>
      <c r="V5" s="15">
        <v>10720</v>
      </c>
      <c r="W5" s="15">
        <v>11080</v>
      </c>
    </row>
    <row r="6" s="104" customFormat="1" ht="27.95" customHeight="1" spans="1:23">
      <c r="A6" s="37" t="s">
        <v>19</v>
      </c>
      <c r="B6" s="38" t="s">
        <v>20</v>
      </c>
      <c r="C6" s="39" t="s">
        <v>21</v>
      </c>
      <c r="D6" s="40">
        <v>6</v>
      </c>
      <c r="E6" s="41">
        <v>6</v>
      </c>
      <c r="F6" s="40">
        <v>6</v>
      </c>
      <c r="G6" s="41">
        <v>6</v>
      </c>
      <c r="H6" s="35"/>
      <c r="I6" s="108"/>
      <c r="J6" s="11">
        <v>45662</v>
      </c>
      <c r="K6" s="30">
        <v>33</v>
      </c>
      <c r="L6" s="30">
        <v>36.2999999999993</v>
      </c>
      <c r="M6" s="13">
        <v>2.60000000000036</v>
      </c>
      <c r="N6" s="13">
        <v>11.5</v>
      </c>
      <c r="O6" s="13">
        <v>9760.00000000022</v>
      </c>
      <c r="P6" s="13">
        <v>14760.0000000002</v>
      </c>
      <c r="Q6" s="11">
        <v>46027</v>
      </c>
      <c r="R6" s="15">
        <v>37.2000000000007</v>
      </c>
      <c r="S6" s="15">
        <v>32.3999999999978</v>
      </c>
      <c r="T6" s="15">
        <v>0.5</v>
      </c>
      <c r="U6" s="15">
        <v>5.5</v>
      </c>
      <c r="V6" s="15">
        <v>12840</v>
      </c>
      <c r="W6" s="15">
        <v>11640</v>
      </c>
    </row>
    <row r="7" s="104" customFormat="1" ht="27.95" customHeight="1" spans="1:23">
      <c r="A7" s="37" t="s">
        <v>22</v>
      </c>
      <c r="B7" s="38" t="s">
        <v>23</v>
      </c>
      <c r="C7" s="39" t="s">
        <v>24</v>
      </c>
      <c r="D7" s="40">
        <v>34948.34</v>
      </c>
      <c r="E7" s="41">
        <f>D7</f>
        <v>34948.34</v>
      </c>
      <c r="F7" s="40">
        <v>28895.6</v>
      </c>
      <c r="G7" s="41">
        <f>F7</f>
        <v>28895.6</v>
      </c>
      <c r="H7" s="35"/>
      <c r="I7" s="108"/>
      <c r="J7" s="11">
        <v>45663</v>
      </c>
      <c r="K7" s="50">
        <v>32.9000000000015</v>
      </c>
      <c r="L7" s="50">
        <v>38.4000000000015</v>
      </c>
      <c r="M7" s="13">
        <v>0.199999999999818</v>
      </c>
      <c r="N7" s="13">
        <v>9.80000000000018</v>
      </c>
      <c r="O7" s="13">
        <v>10040.0000000009</v>
      </c>
      <c r="P7" s="13">
        <v>12279.9999999997</v>
      </c>
      <c r="Q7" s="11">
        <v>46028</v>
      </c>
      <c r="R7" s="15">
        <v>36.7999999999993</v>
      </c>
      <c r="S7" s="15">
        <v>33.2000000000007</v>
      </c>
      <c r="T7" s="15">
        <v>1.5</v>
      </c>
      <c r="U7" s="15">
        <v>4.5</v>
      </c>
      <c r="V7" s="15">
        <v>10360</v>
      </c>
      <c r="W7" s="15">
        <v>10080</v>
      </c>
    </row>
    <row r="8" s="104" customFormat="1" ht="27.95" customHeight="1" spans="1:23">
      <c r="A8" s="37" t="s">
        <v>25</v>
      </c>
      <c r="B8" s="38" t="s">
        <v>23</v>
      </c>
      <c r="C8" s="39" t="s">
        <v>26</v>
      </c>
      <c r="D8" s="42">
        <v>34948.34</v>
      </c>
      <c r="E8" s="43">
        <f>D8</f>
        <v>34948.34</v>
      </c>
      <c r="F8" s="42">
        <v>28895.6</v>
      </c>
      <c r="G8" s="43">
        <f>F8</f>
        <v>28895.6</v>
      </c>
      <c r="H8" s="35"/>
      <c r="I8" s="108"/>
      <c r="J8" s="11">
        <v>45664</v>
      </c>
      <c r="K8" s="50">
        <v>33.2000000000007</v>
      </c>
      <c r="L8" s="50">
        <v>38.0999999999985</v>
      </c>
      <c r="M8" s="13">
        <v>1.30000000000018</v>
      </c>
      <c r="N8" s="13">
        <v>8.19999999999982</v>
      </c>
      <c r="O8" s="13">
        <v>9799.99999999927</v>
      </c>
      <c r="P8" s="13">
        <v>11440.0000000005</v>
      </c>
      <c r="Q8" s="11">
        <v>46029</v>
      </c>
      <c r="R8" s="15">
        <v>36.6000000000022</v>
      </c>
      <c r="S8" s="15">
        <v>28.5</v>
      </c>
      <c r="T8" s="15">
        <v>0.5</v>
      </c>
      <c r="U8" s="15">
        <v>5.5</v>
      </c>
      <c r="V8" s="15">
        <v>10760</v>
      </c>
      <c r="W8" s="15">
        <v>8319.99999999999</v>
      </c>
    </row>
    <row r="9" s="102" customFormat="1" ht="27.95" customHeight="1" spans="1:23">
      <c r="A9" s="44" t="s">
        <v>27</v>
      </c>
      <c r="B9" s="34" t="s">
        <v>28</v>
      </c>
      <c r="C9" s="45" t="s">
        <v>29</v>
      </c>
      <c r="D9" s="104">
        <f>L36</f>
        <v>1872.9</v>
      </c>
      <c r="E9" s="53">
        <f>L40</f>
        <v>1872.9</v>
      </c>
      <c r="F9" s="104">
        <f>S36</f>
        <v>2295.5</v>
      </c>
      <c r="G9" s="53">
        <f>S40</f>
        <v>2295.5</v>
      </c>
      <c r="H9" s="49"/>
      <c r="I9" s="17"/>
      <c r="J9" s="11">
        <v>45665</v>
      </c>
      <c r="K9" s="50">
        <v>38.7999999999993</v>
      </c>
      <c r="L9" s="50">
        <v>39.7000000000007</v>
      </c>
      <c r="M9" s="51">
        <v>2.5</v>
      </c>
      <c r="N9" s="51">
        <v>8</v>
      </c>
      <c r="O9" s="51">
        <v>11200.0000000007</v>
      </c>
      <c r="P9" s="51">
        <v>11519.9999999995</v>
      </c>
      <c r="Q9" s="11">
        <v>46030</v>
      </c>
      <c r="R9" s="52">
        <v>36.2999999999993</v>
      </c>
      <c r="S9" s="52">
        <v>28.2000000000007</v>
      </c>
      <c r="T9" s="52">
        <v>0.5</v>
      </c>
      <c r="U9" s="52">
        <v>4.5</v>
      </c>
      <c r="V9" s="52">
        <v>11280</v>
      </c>
      <c r="W9" s="52">
        <v>8840</v>
      </c>
    </row>
    <row r="10" s="102" customFormat="1" ht="27.95" customHeight="1" spans="1:23">
      <c r="A10" s="44" t="s">
        <v>30</v>
      </c>
      <c r="B10" s="34" t="s">
        <v>31</v>
      </c>
      <c r="C10" s="45" t="s">
        <v>32</v>
      </c>
      <c r="D10" s="109">
        <f>N36</f>
        <v>566.2</v>
      </c>
      <c r="E10" s="110">
        <f>N40</f>
        <v>566.2</v>
      </c>
      <c r="F10" s="32">
        <f>U36</f>
        <v>235</v>
      </c>
      <c r="G10" s="53">
        <f>U40</f>
        <v>235</v>
      </c>
      <c r="H10" s="49"/>
      <c r="I10" s="17"/>
      <c r="J10" s="11">
        <v>45666</v>
      </c>
      <c r="K10" s="50">
        <v>40.4000000000015</v>
      </c>
      <c r="L10" s="50">
        <v>36</v>
      </c>
      <c r="M10" s="51">
        <v>1</v>
      </c>
      <c r="N10" s="51">
        <v>9</v>
      </c>
      <c r="O10" s="51">
        <v>12039.9999999991</v>
      </c>
      <c r="P10" s="51">
        <v>5960.00000000004</v>
      </c>
      <c r="Q10" s="11">
        <v>46031</v>
      </c>
      <c r="R10" s="52">
        <v>35.5</v>
      </c>
      <c r="S10" s="52">
        <v>8.29999999999927</v>
      </c>
      <c r="T10" s="52">
        <v>0.5</v>
      </c>
      <c r="U10" s="52">
        <v>6.5</v>
      </c>
      <c r="V10" s="52">
        <v>11600</v>
      </c>
      <c r="W10" s="52">
        <v>239.999999999995</v>
      </c>
    </row>
    <row r="11" s="102" customFormat="1" ht="27.95" customHeight="1" spans="1:23">
      <c r="A11" s="44" t="s">
        <v>33</v>
      </c>
      <c r="B11" s="34" t="s">
        <v>34</v>
      </c>
      <c r="C11" s="45" t="s">
        <v>35</v>
      </c>
      <c r="D11" s="32">
        <f>P36</f>
        <v>579519.999999999</v>
      </c>
      <c r="E11" s="53">
        <f>P40</f>
        <v>579519.999999999</v>
      </c>
      <c r="F11" s="32">
        <f>W36</f>
        <v>706680</v>
      </c>
      <c r="G11" s="53">
        <f>W40</f>
        <v>706680</v>
      </c>
      <c r="H11" s="49"/>
      <c r="I11" s="17"/>
      <c r="J11" s="11">
        <v>45667</v>
      </c>
      <c r="K11" s="50">
        <v>40.3999999999978</v>
      </c>
      <c r="L11" s="50">
        <v>9.10000000000218</v>
      </c>
      <c r="M11" s="51">
        <v>1.5</v>
      </c>
      <c r="N11" s="51">
        <v>13.5</v>
      </c>
      <c r="O11" s="51">
        <v>13159.9999999999</v>
      </c>
      <c r="P11" s="51">
        <v>440.000000000509</v>
      </c>
      <c r="Q11" s="11">
        <v>46032</v>
      </c>
      <c r="R11" s="52">
        <v>37.7000000000007</v>
      </c>
      <c r="S11" s="52">
        <v>1.70000000000073</v>
      </c>
      <c r="T11" s="52">
        <v>0.399999999999636</v>
      </c>
      <c r="U11" s="52">
        <v>5.60000000000036</v>
      </c>
      <c r="V11" s="52">
        <v>10600</v>
      </c>
      <c r="W11" s="52">
        <v>280.000000000001</v>
      </c>
    </row>
    <row r="12" s="102" customFormat="1" ht="27.95" customHeight="1" spans="1:23">
      <c r="A12" s="54" t="s">
        <v>36</v>
      </c>
      <c r="B12" s="55" t="s">
        <v>34</v>
      </c>
      <c r="C12" s="45" t="s">
        <v>37</v>
      </c>
      <c r="D12" s="32">
        <f>D11</f>
        <v>579519.999999999</v>
      </c>
      <c r="E12" s="53">
        <f>E11</f>
        <v>579519.999999999</v>
      </c>
      <c r="F12" s="32">
        <f>F11</f>
        <v>706680</v>
      </c>
      <c r="G12" s="53">
        <f>G11</f>
        <v>706680</v>
      </c>
      <c r="H12" s="49"/>
      <c r="I12" s="17"/>
      <c r="J12" s="11">
        <v>45668</v>
      </c>
      <c r="K12" s="50">
        <v>36.1000000000022</v>
      </c>
      <c r="L12" s="50">
        <v>1.29999999999927</v>
      </c>
      <c r="M12" s="51">
        <v>3.5</v>
      </c>
      <c r="N12" s="51">
        <v>20.4000000000001</v>
      </c>
      <c r="O12" s="51">
        <v>11360.0000000006</v>
      </c>
      <c r="P12" s="51">
        <v>439.9999999996</v>
      </c>
      <c r="Q12" s="11">
        <v>46033</v>
      </c>
      <c r="R12" s="52">
        <v>37.5</v>
      </c>
      <c r="S12" s="52">
        <v>26.4000000000015</v>
      </c>
      <c r="T12" s="52">
        <v>0.600000000000364</v>
      </c>
      <c r="U12" s="52">
        <v>6.39999999999964</v>
      </c>
      <c r="V12" s="52">
        <v>12200</v>
      </c>
      <c r="W12" s="52">
        <v>12760</v>
      </c>
    </row>
    <row r="13" s="102" customFormat="1" ht="27.95" customHeight="1" spans="1:23">
      <c r="A13" s="37" t="s">
        <v>38</v>
      </c>
      <c r="B13" s="61" t="s">
        <v>39</v>
      </c>
      <c r="C13" s="39" t="s">
        <v>37</v>
      </c>
      <c r="D13" s="42">
        <f t="shared" ref="D13:G13" si="0">D11/D9</f>
        <v>309.423888087991</v>
      </c>
      <c r="E13" s="43">
        <f t="shared" si="0"/>
        <v>309.423888087991</v>
      </c>
      <c r="F13" s="42">
        <f t="shared" si="0"/>
        <v>307.854497930734</v>
      </c>
      <c r="G13" s="43">
        <f t="shared" si="0"/>
        <v>307.854497930734</v>
      </c>
      <c r="H13" s="49"/>
      <c r="I13" s="17"/>
      <c r="J13" s="11">
        <v>45669</v>
      </c>
      <c r="K13" s="50">
        <v>36.0999999999985</v>
      </c>
      <c r="L13" s="50">
        <v>40</v>
      </c>
      <c r="M13" s="51">
        <v>3</v>
      </c>
      <c r="N13" s="51">
        <v>15.0999999999999</v>
      </c>
      <c r="O13" s="51">
        <v>11079.9999999999</v>
      </c>
      <c r="P13" s="51">
        <v>10320.0000000006</v>
      </c>
      <c r="Q13" s="11">
        <v>46034</v>
      </c>
      <c r="R13" s="52">
        <v>38.1999999999971</v>
      </c>
      <c r="S13" s="52">
        <v>32.5999999999985</v>
      </c>
      <c r="T13" s="52">
        <v>1</v>
      </c>
      <c r="U13" s="52">
        <v>5.5</v>
      </c>
      <c r="V13" s="52">
        <v>11920</v>
      </c>
      <c r="W13" s="52">
        <v>9760.00000000002</v>
      </c>
    </row>
    <row r="14" s="102" customFormat="1" ht="27.95" customHeight="1" spans="1:23">
      <c r="A14" s="37" t="s">
        <v>40</v>
      </c>
      <c r="B14" s="38" t="s">
        <v>41</v>
      </c>
      <c r="C14" s="39" t="s">
        <v>42</v>
      </c>
      <c r="D14" s="62">
        <f t="shared" ref="D14:G14" si="1">D9*1000/(D11*3.6)</f>
        <v>0.897725704030924</v>
      </c>
      <c r="E14" s="63">
        <f t="shared" si="1"/>
        <v>0.897725704030924</v>
      </c>
      <c r="F14" s="62">
        <f t="shared" si="1"/>
        <v>0.902302157820921</v>
      </c>
      <c r="G14" s="63">
        <f t="shared" si="1"/>
        <v>0.902302157820921</v>
      </c>
      <c r="H14" s="49"/>
      <c r="I14" s="17"/>
      <c r="J14" s="11">
        <v>45670</v>
      </c>
      <c r="K14" s="50">
        <v>31.7000000000007</v>
      </c>
      <c r="L14" s="50">
        <v>42.0999999999985</v>
      </c>
      <c r="M14" s="51">
        <v>3.80000000000018</v>
      </c>
      <c r="N14" s="51">
        <v>11.5</v>
      </c>
      <c r="O14" s="51">
        <v>8920.00000000007</v>
      </c>
      <c r="P14" s="51">
        <v>13439.9999999996</v>
      </c>
      <c r="Q14" s="11">
        <v>46035</v>
      </c>
      <c r="R14" s="52">
        <v>36.7000000000007</v>
      </c>
      <c r="S14" s="52">
        <v>29.0999999999985</v>
      </c>
      <c r="T14" s="52">
        <v>1.5</v>
      </c>
      <c r="U14" s="52">
        <v>6</v>
      </c>
      <c r="V14" s="52">
        <v>11400</v>
      </c>
      <c r="W14" s="52">
        <v>10280</v>
      </c>
    </row>
    <row r="15" s="102" customFormat="1" ht="27.95" customHeight="1" spans="1:23">
      <c r="A15" s="37" t="s">
        <v>43</v>
      </c>
      <c r="B15" s="38" t="s">
        <v>41</v>
      </c>
      <c r="C15" s="39" t="s">
        <v>44</v>
      </c>
      <c r="D15" s="62">
        <f t="shared" ref="D15:G15" si="2">D9/3.6/D6/720</f>
        <v>0.120428240740741</v>
      </c>
      <c r="E15" s="63">
        <f t="shared" si="2"/>
        <v>0.120428240740741</v>
      </c>
      <c r="F15" s="62">
        <f t="shared" si="2"/>
        <v>0.147601594650206</v>
      </c>
      <c r="G15" s="63">
        <f t="shared" si="2"/>
        <v>0.147601594650206</v>
      </c>
      <c r="H15" s="49"/>
      <c r="I15" s="17"/>
      <c r="J15" s="11">
        <v>45671</v>
      </c>
      <c r="K15" s="50">
        <v>38.5999999999985</v>
      </c>
      <c r="L15" s="50">
        <v>6.10000000000218</v>
      </c>
      <c r="M15" s="51">
        <v>3.19999999999982</v>
      </c>
      <c r="N15" s="51">
        <v>15.5</v>
      </c>
      <c r="O15" s="51">
        <v>13399.9999999996</v>
      </c>
      <c r="P15" s="51">
        <v>439.9999999996</v>
      </c>
      <c r="Q15" s="11">
        <v>46036</v>
      </c>
      <c r="R15" s="52">
        <v>33.7999999999993</v>
      </c>
      <c r="S15" s="52">
        <v>26.2000000000007</v>
      </c>
      <c r="T15" s="52">
        <v>2</v>
      </c>
      <c r="U15" s="52">
        <v>6.5</v>
      </c>
      <c r="V15" s="52">
        <v>11360</v>
      </c>
      <c r="W15" s="52">
        <v>6519.99999999998</v>
      </c>
    </row>
    <row r="16" s="102" customFormat="1" ht="27.95" customHeight="1" spans="1:23">
      <c r="A16" s="37" t="s">
        <v>45</v>
      </c>
      <c r="B16" s="38" t="s">
        <v>46</v>
      </c>
      <c r="C16" s="39" t="s">
        <v>47</v>
      </c>
      <c r="D16" s="42">
        <f t="shared" ref="D16:G16" si="3">D9*1000000000/104/3600/D8</f>
        <v>143.137094527347</v>
      </c>
      <c r="E16" s="43">
        <f t="shared" si="3"/>
        <v>143.137094527347</v>
      </c>
      <c r="F16" s="42">
        <f t="shared" si="3"/>
        <v>212.182587051079</v>
      </c>
      <c r="G16" s="43">
        <f t="shared" si="3"/>
        <v>212.182587051079</v>
      </c>
      <c r="H16" s="49"/>
      <c r="I16" s="17"/>
      <c r="J16" s="11">
        <v>45672</v>
      </c>
      <c r="K16" s="50">
        <v>37.7999999999993</v>
      </c>
      <c r="L16" s="50">
        <v>36</v>
      </c>
      <c r="M16" s="51">
        <v>4</v>
      </c>
      <c r="N16" s="51">
        <v>17</v>
      </c>
      <c r="O16" s="51">
        <v>8880.00000000102</v>
      </c>
      <c r="P16" s="51">
        <v>14960</v>
      </c>
      <c r="Q16" s="11">
        <v>46037</v>
      </c>
      <c r="R16" s="52">
        <v>33</v>
      </c>
      <c r="S16" s="52">
        <v>26</v>
      </c>
      <c r="T16" s="52">
        <v>0.699999999999818</v>
      </c>
      <c r="U16" s="52">
        <v>6.39999999999964</v>
      </c>
      <c r="V16" s="52">
        <v>9479.99999999999</v>
      </c>
      <c r="W16" s="52">
        <v>8840</v>
      </c>
    </row>
    <row r="17" s="102" customFormat="1" ht="27.95" customHeight="1" spans="1:23">
      <c r="A17" s="64" t="s">
        <v>48</v>
      </c>
      <c r="B17" s="65" t="s">
        <v>49</v>
      </c>
      <c r="C17" s="39" t="s">
        <v>50</v>
      </c>
      <c r="D17" s="42">
        <f t="shared" ref="D17:G17" si="4">D11/D8</f>
        <v>16.5821895975603</v>
      </c>
      <c r="E17" s="43">
        <f t="shared" si="4"/>
        <v>16.5821895975603</v>
      </c>
      <c r="F17" s="42">
        <f t="shared" si="4"/>
        <v>24.4563186090616</v>
      </c>
      <c r="G17" s="43">
        <f t="shared" si="4"/>
        <v>24.4563186090616</v>
      </c>
      <c r="H17" s="66"/>
      <c r="I17" s="17"/>
      <c r="J17" s="11">
        <v>45673</v>
      </c>
      <c r="K17" s="75">
        <v>35.7000000000007</v>
      </c>
      <c r="L17" s="75">
        <v>15.2999999999993</v>
      </c>
      <c r="M17" s="51">
        <v>2</v>
      </c>
      <c r="N17" s="51">
        <v>14</v>
      </c>
      <c r="O17" s="51">
        <v>11959.9999999991</v>
      </c>
      <c r="P17" s="51">
        <v>12680.0000000003</v>
      </c>
      <c r="Q17" s="11">
        <v>46038</v>
      </c>
      <c r="R17" s="52">
        <v>39.5</v>
      </c>
      <c r="S17" s="52">
        <v>8.70000000000073</v>
      </c>
      <c r="T17" s="52">
        <v>1.30000000000018</v>
      </c>
      <c r="U17" s="52">
        <v>7.10000000000036</v>
      </c>
      <c r="V17" s="52">
        <v>12160</v>
      </c>
      <c r="W17" s="52">
        <v>280.000000000001</v>
      </c>
    </row>
    <row r="18" s="102" customFormat="1" ht="27.95" customHeight="1" spans="1:23">
      <c r="A18" s="67" t="s">
        <v>51</v>
      </c>
      <c r="B18" s="68" t="s">
        <v>52</v>
      </c>
      <c r="C18" s="39" t="s">
        <v>53</v>
      </c>
      <c r="D18" s="70">
        <f t="shared" ref="D18:G18" si="5">D10*1000/D8</f>
        <v>16.2010556152309</v>
      </c>
      <c r="E18" s="71">
        <f t="shared" si="5"/>
        <v>16.2010556152309</v>
      </c>
      <c r="F18" s="70">
        <f t="shared" si="5"/>
        <v>8.1327260897853</v>
      </c>
      <c r="G18" s="71">
        <f t="shared" si="5"/>
        <v>8.1327260897853</v>
      </c>
      <c r="H18" s="72"/>
      <c r="I18" s="17"/>
      <c r="J18" s="11">
        <v>45674</v>
      </c>
      <c r="K18" s="80">
        <v>34.7000000000007</v>
      </c>
      <c r="L18" s="80">
        <v>19.2999999999993</v>
      </c>
      <c r="M18" s="51">
        <v>3</v>
      </c>
      <c r="N18" s="51">
        <v>15</v>
      </c>
      <c r="O18" s="51">
        <v>10000</v>
      </c>
      <c r="P18" s="51">
        <v>480.000000000473</v>
      </c>
      <c r="Q18" s="11">
        <v>46039</v>
      </c>
      <c r="R18" s="52">
        <v>39.6000000000022</v>
      </c>
      <c r="S18" s="52">
        <v>1.5</v>
      </c>
      <c r="T18" s="52">
        <v>1.80000000000018</v>
      </c>
      <c r="U18" s="52">
        <v>8.10000000000036</v>
      </c>
      <c r="V18" s="52">
        <v>12520</v>
      </c>
      <c r="W18" s="52">
        <v>240.000000000009</v>
      </c>
    </row>
    <row r="19" s="73" customFormat="1" ht="28.5" customHeight="1" spans="1:23">
      <c r="A19" s="10" t="s">
        <v>54</v>
      </c>
      <c r="C19" s="74" t="s">
        <v>55</v>
      </c>
      <c r="F19" s="73" t="s">
        <v>56</v>
      </c>
      <c r="J19" s="11">
        <v>45675</v>
      </c>
      <c r="K19" s="50">
        <v>34</v>
      </c>
      <c r="L19" s="50">
        <v>1.29999999999927</v>
      </c>
      <c r="M19" s="75">
        <v>4.80000000000018</v>
      </c>
      <c r="N19" s="75">
        <v>22.5</v>
      </c>
      <c r="O19" s="75">
        <v>9680.00000000029</v>
      </c>
      <c r="P19" s="75">
        <v>439.9999999996</v>
      </c>
      <c r="Q19" s="11">
        <v>46040</v>
      </c>
      <c r="R19" s="78">
        <v>43.8999999999978</v>
      </c>
      <c r="S19" s="78">
        <v>49.9000000000015</v>
      </c>
      <c r="T19" s="78">
        <v>1.80000000000018</v>
      </c>
      <c r="U19" s="78">
        <v>6.79999999999927</v>
      </c>
      <c r="V19" s="78">
        <v>12920</v>
      </c>
      <c r="W19" s="78">
        <v>20600</v>
      </c>
    </row>
    <row r="20" s="79" customFormat="1" ht="18.95" customHeight="1" spans="1:23">
      <c r="A20" s="10" t="s">
        <v>57</v>
      </c>
      <c r="J20" s="11">
        <v>45676</v>
      </c>
      <c r="K20" s="87">
        <v>34.2999999999993</v>
      </c>
      <c r="L20" s="87">
        <v>40.5</v>
      </c>
      <c r="M20" s="80">
        <v>3.69999999999982</v>
      </c>
      <c r="N20" s="80">
        <v>16.5</v>
      </c>
      <c r="O20" s="80">
        <v>10479.9999999996</v>
      </c>
      <c r="P20" s="80">
        <v>11760.0000000002</v>
      </c>
      <c r="Q20" s="11">
        <v>46041</v>
      </c>
      <c r="R20" s="83">
        <v>47.2000000000007</v>
      </c>
      <c r="S20" s="83">
        <v>51.7999999999993</v>
      </c>
      <c r="T20" s="83">
        <v>1.39999999999964</v>
      </c>
      <c r="U20" s="83">
        <v>6.10000000000036</v>
      </c>
      <c r="V20" s="83">
        <v>14960</v>
      </c>
      <c r="W20" s="83">
        <v>15040</v>
      </c>
    </row>
    <row r="21" s="17" customFormat="1" ht="18.95" customHeight="1" spans="1:23">
      <c r="A21" s="84" t="s">
        <v>58</v>
      </c>
      <c r="J21" s="11">
        <v>45677</v>
      </c>
      <c r="K21" s="90">
        <v>33.7999999999993</v>
      </c>
      <c r="L21" s="90">
        <v>45</v>
      </c>
      <c r="M21" s="50">
        <v>2.39999999999964</v>
      </c>
      <c r="N21" s="50">
        <v>9</v>
      </c>
      <c r="O21" s="50">
        <v>10120.0000000008</v>
      </c>
      <c r="P21" s="50">
        <v>11880.0000000001</v>
      </c>
      <c r="Q21" s="11">
        <v>46042</v>
      </c>
      <c r="R21" s="86">
        <v>49.4000000000015</v>
      </c>
      <c r="S21" s="86">
        <v>55.7999999999993</v>
      </c>
      <c r="T21" s="86">
        <v>1.5</v>
      </c>
      <c r="U21" s="86">
        <v>7</v>
      </c>
      <c r="V21" s="86">
        <v>15000</v>
      </c>
      <c r="W21" s="86">
        <v>14400</v>
      </c>
    </row>
    <row r="22" s="10" customFormat="1" ht="18.95" customHeight="1" spans="1:23">
      <c r="A22" s="79" t="s">
        <v>59</v>
      </c>
      <c r="J22" s="11">
        <v>45678</v>
      </c>
      <c r="K22" s="90">
        <v>34.4000000000015</v>
      </c>
      <c r="L22" s="90">
        <v>12.4000000000015</v>
      </c>
      <c r="M22" s="87">
        <v>2.10000000000036</v>
      </c>
      <c r="N22" s="87">
        <v>15</v>
      </c>
      <c r="O22" s="87">
        <v>10239.9999999998</v>
      </c>
      <c r="P22" s="87">
        <v>1559.99999999949</v>
      </c>
      <c r="Q22" s="11">
        <v>46043</v>
      </c>
      <c r="R22" s="89">
        <v>46.8999999999978</v>
      </c>
      <c r="S22" s="89">
        <v>54.9000000000015</v>
      </c>
      <c r="T22" s="89">
        <v>2</v>
      </c>
      <c r="U22" s="89">
        <v>6.5</v>
      </c>
      <c r="V22" s="89">
        <v>14400</v>
      </c>
      <c r="W22" s="89">
        <v>17600</v>
      </c>
    </row>
    <row r="23" s="74" customFormat="1" ht="18.95" customHeight="1" spans="1:23">
      <c r="A23" s="79" t="s">
        <v>60</v>
      </c>
      <c r="J23" s="11">
        <v>45679</v>
      </c>
      <c r="K23" s="90">
        <v>34.5999999999985</v>
      </c>
      <c r="L23" s="90">
        <v>44.5</v>
      </c>
      <c r="M23" s="90">
        <v>2.5</v>
      </c>
      <c r="N23" s="90">
        <v>13.5</v>
      </c>
      <c r="O23" s="90">
        <v>11559.9999999995</v>
      </c>
      <c r="P23" s="90">
        <v>23880.0000000001</v>
      </c>
      <c r="Q23" s="11">
        <v>46044</v>
      </c>
      <c r="R23" s="92">
        <v>46.9000000000015</v>
      </c>
      <c r="S23" s="92">
        <v>53.0999999999985</v>
      </c>
      <c r="T23" s="92">
        <v>2.10000000000036</v>
      </c>
      <c r="U23" s="92">
        <v>6.39999999999964</v>
      </c>
      <c r="V23" s="92">
        <v>14560</v>
      </c>
      <c r="W23" s="92">
        <v>13600</v>
      </c>
    </row>
    <row r="24" s="74" customFormat="1" ht="18.95" customHeight="1" spans="1:23">
      <c r="A24" s="79" t="s">
        <v>61</v>
      </c>
      <c r="J24" s="11">
        <v>45680</v>
      </c>
      <c r="K24" s="90">
        <v>34.1000000000022</v>
      </c>
      <c r="L24" s="90">
        <v>46.0999999999985</v>
      </c>
      <c r="M24" s="90">
        <v>1.5</v>
      </c>
      <c r="N24" s="90">
        <v>9.5</v>
      </c>
      <c r="O24" s="90">
        <v>10120.0000000008</v>
      </c>
      <c r="P24" s="90">
        <v>9520.00000000044</v>
      </c>
      <c r="Q24" s="11">
        <v>46045</v>
      </c>
      <c r="R24" s="92">
        <v>42.5</v>
      </c>
      <c r="S24" s="92">
        <v>17.5</v>
      </c>
      <c r="T24" s="92">
        <v>1.89999999999964</v>
      </c>
      <c r="U24" s="92">
        <v>8.10000000000036</v>
      </c>
      <c r="V24" s="92">
        <v>13120</v>
      </c>
      <c r="W24" s="92">
        <v>7519.99999999998</v>
      </c>
    </row>
    <row r="25" s="74" customFormat="1" spans="1:23">
      <c r="A25" s="79"/>
      <c r="J25" s="11">
        <v>45681</v>
      </c>
      <c r="K25" s="90">
        <v>34.5999999999985</v>
      </c>
      <c r="L25" s="90">
        <v>45.5</v>
      </c>
      <c r="M25" s="90">
        <v>1</v>
      </c>
      <c r="N25" s="90">
        <v>10</v>
      </c>
      <c r="O25" s="90">
        <v>10319.9999999997</v>
      </c>
      <c r="P25" s="90">
        <v>13839.9999999992</v>
      </c>
      <c r="Q25" s="11">
        <v>46046</v>
      </c>
      <c r="R25" s="92">
        <v>42.4000000000015</v>
      </c>
      <c r="S25" s="92">
        <v>1.79999999999927</v>
      </c>
      <c r="T25" s="92">
        <v>1.80000000000018</v>
      </c>
      <c r="U25" s="92">
        <v>9.60000000000036</v>
      </c>
      <c r="V25" s="92">
        <v>13360</v>
      </c>
      <c r="W25" s="92">
        <v>240.000000000009</v>
      </c>
    </row>
    <row r="26" s="74" customFormat="1" spans="1:23">
      <c r="A26" s="111"/>
      <c r="B26" s="112"/>
      <c r="C26" s="112"/>
      <c r="D26" s="112"/>
      <c r="E26" s="112"/>
      <c r="F26" s="112"/>
      <c r="G26" s="112"/>
      <c r="H26" s="112"/>
      <c r="J26" s="11">
        <v>45682</v>
      </c>
      <c r="K26" s="90">
        <v>34.6000000000022</v>
      </c>
      <c r="L26" s="90">
        <v>7.70000000000073</v>
      </c>
      <c r="M26" s="90">
        <v>3</v>
      </c>
      <c r="N26" s="90">
        <v>18</v>
      </c>
      <c r="O26" s="90">
        <v>10360.0000000006</v>
      </c>
      <c r="P26" s="90">
        <v>440.000000000509</v>
      </c>
      <c r="Q26" s="11">
        <v>46047</v>
      </c>
      <c r="R26" s="92">
        <v>46.3999999999978</v>
      </c>
      <c r="S26" s="92">
        <v>64.6000000000022</v>
      </c>
      <c r="T26" s="92">
        <v>1.30000000000018</v>
      </c>
      <c r="U26" s="92">
        <v>6.29999999999927</v>
      </c>
      <c r="V26" s="92">
        <v>14080</v>
      </c>
      <c r="W26" s="92">
        <v>18920</v>
      </c>
    </row>
    <row r="27" spans="1:23">
      <c r="A27" s="112"/>
      <c r="B27" s="113"/>
      <c r="C27" s="114"/>
      <c r="D27" s="115"/>
      <c r="E27" s="114"/>
      <c r="F27" s="115"/>
      <c r="G27" s="116"/>
      <c r="H27" s="117"/>
      <c r="J27" s="11">
        <v>45683</v>
      </c>
      <c r="K27" s="90">
        <v>35.6999999999971</v>
      </c>
      <c r="L27" s="90">
        <v>1.09999999999854</v>
      </c>
      <c r="M27" s="90">
        <v>5</v>
      </c>
      <c r="N27" s="90">
        <v>26</v>
      </c>
      <c r="O27" s="90">
        <v>12279.9999999988</v>
      </c>
      <c r="P27" s="90">
        <v>399.999999999636</v>
      </c>
      <c r="Q27" s="11">
        <v>46048</v>
      </c>
      <c r="R27" s="92">
        <v>44.2999999999993</v>
      </c>
      <c r="S27" s="92">
        <v>53.1999999999971</v>
      </c>
      <c r="T27" s="92">
        <v>2.5</v>
      </c>
      <c r="U27" s="92">
        <v>6</v>
      </c>
      <c r="V27" s="92">
        <v>13760</v>
      </c>
      <c r="W27" s="92">
        <v>17680</v>
      </c>
    </row>
    <row r="28" spans="1:23">
      <c r="A28" s="112"/>
      <c r="B28" s="113"/>
      <c r="C28" s="114"/>
      <c r="D28" s="115"/>
      <c r="E28" s="114"/>
      <c r="F28" s="115"/>
      <c r="G28" s="116"/>
      <c r="H28" s="117"/>
      <c r="J28" s="11">
        <v>45684</v>
      </c>
      <c r="K28" s="90">
        <v>37.9000000000015</v>
      </c>
      <c r="L28" s="90">
        <v>22.6000000000022</v>
      </c>
      <c r="M28" s="90">
        <v>4.60000000000036</v>
      </c>
      <c r="N28" s="90">
        <v>23.4000000000001</v>
      </c>
      <c r="O28" s="90">
        <v>11120.0000000008</v>
      </c>
      <c r="P28" s="90">
        <v>19000</v>
      </c>
      <c r="Q28" s="11">
        <v>46049</v>
      </c>
      <c r="R28" s="92">
        <v>45.6000000000022</v>
      </c>
      <c r="S28" s="92">
        <v>52</v>
      </c>
      <c r="T28" s="92">
        <v>0.899999999999636</v>
      </c>
      <c r="U28" s="92">
        <v>7.10000000000036</v>
      </c>
      <c r="V28" s="92">
        <v>13920</v>
      </c>
      <c r="W28" s="92">
        <v>13280</v>
      </c>
    </row>
    <row r="29" spans="1:23">
      <c r="A29" s="112"/>
      <c r="B29" s="113"/>
      <c r="C29" s="114"/>
      <c r="D29" s="115"/>
      <c r="E29" s="114"/>
      <c r="F29" s="115"/>
      <c r="G29" s="116"/>
      <c r="H29" s="117"/>
      <c r="J29" s="11">
        <v>45685</v>
      </c>
      <c r="K29" s="90">
        <v>38.9000000000015</v>
      </c>
      <c r="L29" s="90">
        <v>16.5</v>
      </c>
      <c r="M29" s="90">
        <v>4.39999999999964</v>
      </c>
      <c r="N29" s="90">
        <v>24.5999999999999</v>
      </c>
      <c r="O29" s="90">
        <v>11760.0000000002</v>
      </c>
      <c r="P29" s="90">
        <v>440.000000000509</v>
      </c>
      <c r="Q29" s="11">
        <v>46050</v>
      </c>
      <c r="R29" s="92">
        <v>45.5999999999985</v>
      </c>
      <c r="S29" s="92">
        <v>52.3000000000029</v>
      </c>
      <c r="T29" s="92">
        <v>3</v>
      </c>
      <c r="U29" s="92">
        <v>6</v>
      </c>
      <c r="V29" s="92">
        <v>13960</v>
      </c>
      <c r="W29" s="92">
        <v>16800</v>
      </c>
    </row>
    <row r="30" spans="1:23">
      <c r="J30" s="11">
        <v>45686</v>
      </c>
      <c r="K30" s="90">
        <v>39.1999999999971</v>
      </c>
      <c r="L30" s="90">
        <v>18</v>
      </c>
      <c r="M30" s="90">
        <v>4</v>
      </c>
      <c r="N30" s="90">
        <v>25</v>
      </c>
      <c r="O30" s="90">
        <v>11639.9999999994</v>
      </c>
      <c r="P30" s="90">
        <v>479.999999999563</v>
      </c>
      <c r="Q30" s="11">
        <v>46051</v>
      </c>
      <c r="R30" s="92">
        <v>45.1000000000022</v>
      </c>
      <c r="S30" s="92">
        <v>52.3999999999978</v>
      </c>
      <c r="T30" s="92">
        <v>2.5</v>
      </c>
      <c r="U30" s="92">
        <v>5.5</v>
      </c>
      <c r="V30" s="92">
        <v>13880.0000000001</v>
      </c>
      <c r="W30" s="92">
        <v>16400</v>
      </c>
    </row>
    <row r="31" spans="1:23">
      <c r="A31" s="111"/>
      <c r="B31" s="112"/>
      <c r="C31" s="112"/>
      <c r="D31" s="112"/>
      <c r="E31" s="112"/>
      <c r="F31" s="112"/>
      <c r="G31" s="112"/>
      <c r="H31" s="112"/>
      <c r="J31" s="11">
        <v>45687</v>
      </c>
      <c r="K31" s="90">
        <v>36.5</v>
      </c>
      <c r="L31" s="90">
        <v>16.5</v>
      </c>
      <c r="M31" s="90">
        <v>5</v>
      </c>
      <c r="N31" s="90">
        <v>26</v>
      </c>
      <c r="O31" s="90">
        <v>9880.00000000102</v>
      </c>
      <c r="P31" s="90">
        <v>16400.0000000005</v>
      </c>
      <c r="Q31" s="11">
        <v>46052</v>
      </c>
      <c r="R31" s="92">
        <v>45.7999999999993</v>
      </c>
      <c r="S31" s="92">
        <v>34.1000000000022</v>
      </c>
      <c r="T31" s="92">
        <v>1.89999999999964</v>
      </c>
      <c r="U31" s="92">
        <v>8</v>
      </c>
      <c r="V31" s="92">
        <v>14160</v>
      </c>
      <c r="W31" s="92">
        <v>11080</v>
      </c>
    </row>
    <row r="32" spans="1:23">
      <c r="A32" s="112"/>
      <c r="B32" s="113"/>
      <c r="C32" s="114"/>
      <c r="D32" s="115"/>
      <c r="E32" s="114"/>
      <c r="F32" s="115"/>
      <c r="G32" s="116"/>
      <c r="H32" s="117"/>
      <c r="J32" s="11">
        <v>45688</v>
      </c>
      <c r="K32" s="90">
        <v>43.1000000000022</v>
      </c>
      <c r="L32" s="90">
        <v>13.7999999999993</v>
      </c>
      <c r="M32" s="90">
        <v>4.5</v>
      </c>
      <c r="N32" s="90">
        <v>28.5</v>
      </c>
      <c r="O32" s="90">
        <v>13879.9999999992</v>
      </c>
      <c r="P32" s="90">
        <v>439.9999999996</v>
      </c>
      <c r="Q32" s="11">
        <v>46053</v>
      </c>
      <c r="R32" s="92">
        <v>45.2999999999993</v>
      </c>
      <c r="S32" s="92">
        <v>47.0999999999985</v>
      </c>
      <c r="T32" s="92">
        <v>2.10000000000036</v>
      </c>
      <c r="U32" s="92">
        <v>6</v>
      </c>
      <c r="V32" s="92">
        <v>13880</v>
      </c>
      <c r="W32" s="92">
        <v>12160</v>
      </c>
    </row>
    <row r="33" spans="1:23">
      <c r="A33" s="112"/>
      <c r="B33" s="113"/>
      <c r="C33" s="114"/>
      <c r="D33" s="115"/>
      <c r="E33" s="114"/>
      <c r="F33" s="115"/>
      <c r="G33" s="116"/>
      <c r="H33" s="117"/>
      <c r="J33" s="90"/>
      <c r="K33" s="90"/>
      <c r="L33" s="90"/>
      <c r="M33" s="90"/>
      <c r="N33" s="90"/>
      <c r="O33" s="90"/>
      <c r="P33" s="90"/>
      <c r="Q33" s="92"/>
      <c r="R33" s="92"/>
      <c r="S33" s="92"/>
      <c r="T33" s="92"/>
      <c r="U33" s="92"/>
      <c r="V33" s="92"/>
      <c r="W33" s="92"/>
    </row>
    <row r="34" spans="1:23">
      <c r="A34" s="112"/>
      <c r="B34" s="113"/>
      <c r="C34" s="114"/>
      <c r="D34" s="115"/>
      <c r="E34" s="114"/>
      <c r="F34" s="115"/>
      <c r="G34" s="116"/>
      <c r="H34" s="117"/>
      <c r="J34" s="90"/>
      <c r="K34" s="90">
        <f t="shared" ref="K34:P34" si="6">SUM(K2:K33)</f>
        <v>1103.6</v>
      </c>
      <c r="L34" s="90">
        <f t="shared" si="6"/>
        <v>769.299999999999</v>
      </c>
      <c r="M34" s="90">
        <f t="shared" si="6"/>
        <v>84.6999999999998</v>
      </c>
      <c r="N34" s="90">
        <f t="shared" si="6"/>
        <v>481.5</v>
      </c>
      <c r="O34" s="90">
        <f t="shared" si="6"/>
        <v>333879.999999999</v>
      </c>
      <c r="P34" s="90">
        <f t="shared" si="6"/>
        <v>245640</v>
      </c>
      <c r="Q34" s="92"/>
      <c r="R34" s="92">
        <f t="shared" ref="R34:W34" si="7">SUM(R2:R33)</f>
        <v>1267.9</v>
      </c>
      <c r="S34" s="92">
        <f t="shared" si="7"/>
        <v>1027.6</v>
      </c>
      <c r="T34" s="92">
        <f t="shared" si="7"/>
        <v>41.5</v>
      </c>
      <c r="U34" s="92">
        <f t="shared" si="7"/>
        <v>193.5</v>
      </c>
      <c r="V34" s="92">
        <f t="shared" si="7"/>
        <v>390480</v>
      </c>
      <c r="W34" s="92">
        <f t="shared" si="7"/>
        <v>316200</v>
      </c>
    </row>
    <row r="35" spans="1:23">
      <c r="J35" s="90"/>
      <c r="K35" s="90"/>
      <c r="L35" s="90"/>
      <c r="M35" s="90"/>
      <c r="N35" s="90"/>
      <c r="O35" s="90"/>
      <c r="P35" s="90"/>
      <c r="Q35" s="92"/>
      <c r="R35" s="92"/>
      <c r="S35" s="92"/>
      <c r="T35" s="92"/>
      <c r="U35" s="92"/>
      <c r="V35" s="92"/>
      <c r="W35" s="92"/>
    </row>
    <row r="36" spans="1:23">
      <c r="J36" s="90"/>
      <c r="K36" s="98" t="s">
        <v>18</v>
      </c>
      <c r="L36" s="98">
        <f>K34+L34</f>
        <v>1872.9</v>
      </c>
      <c r="M36" s="98"/>
      <c r="N36" s="98">
        <f>M34+N34</f>
        <v>566.2</v>
      </c>
      <c r="O36" s="98"/>
      <c r="P36" s="98">
        <f>O34+P34</f>
        <v>579519.999999999</v>
      </c>
      <c r="Q36" s="100"/>
      <c r="R36" s="100"/>
      <c r="S36" s="100">
        <f>R34+S34</f>
        <v>2295.5</v>
      </c>
      <c r="T36" s="92"/>
      <c r="U36" s="100">
        <f>T34+U34</f>
        <v>235</v>
      </c>
      <c r="V36" s="92"/>
      <c r="W36" s="100">
        <f>V34+W34</f>
        <v>706680</v>
      </c>
    </row>
    <row r="37" spans="1:23">
      <c r="J37" s="90"/>
      <c r="K37" s="98"/>
      <c r="L37" s="98"/>
      <c r="M37" s="98"/>
      <c r="N37" s="98"/>
      <c r="O37" s="98"/>
      <c r="P37" s="98"/>
      <c r="Q37" s="100"/>
      <c r="R37" s="100"/>
      <c r="S37" s="100"/>
      <c r="T37" s="92"/>
      <c r="U37" s="100"/>
      <c r="V37" s="92"/>
      <c r="W37" s="100"/>
    </row>
    <row r="38" spans="1:23">
      <c r="J38" s="90"/>
      <c r="K38" s="98" t="s">
        <v>62</v>
      </c>
      <c r="L38" s="98">
        <v>0</v>
      </c>
      <c r="M38" s="98"/>
      <c r="N38" s="98">
        <v>0</v>
      </c>
      <c r="O38" s="98"/>
      <c r="P38" s="98">
        <v>0</v>
      </c>
      <c r="Q38" s="100"/>
      <c r="R38" s="100"/>
      <c r="S38" s="100">
        <v>0</v>
      </c>
      <c r="T38" s="92"/>
      <c r="U38" s="100">
        <v>0</v>
      </c>
      <c r="V38" s="92"/>
      <c r="W38" s="100">
        <v>0</v>
      </c>
    </row>
    <row r="39" spans="1:23">
      <c r="J39" s="90"/>
      <c r="K39" s="98"/>
      <c r="L39" s="98"/>
      <c r="M39" s="98"/>
      <c r="N39" s="98"/>
      <c r="O39" s="98"/>
      <c r="P39" s="98"/>
      <c r="Q39" s="100"/>
      <c r="R39" s="100"/>
      <c r="S39" s="100"/>
      <c r="T39" s="92"/>
      <c r="U39" s="100"/>
      <c r="V39" s="92"/>
      <c r="W39" s="100"/>
    </row>
    <row r="40" spans="1:23">
      <c r="J40" s="90"/>
      <c r="K40" s="98" t="s">
        <v>63</v>
      </c>
      <c r="L40" s="98">
        <f>SUM(L36:L39)</f>
        <v>1872.9</v>
      </c>
      <c r="M40" s="98"/>
      <c r="N40" s="98">
        <f>SUM(N36:N39)</f>
        <v>566.2</v>
      </c>
      <c r="O40" s="98"/>
      <c r="P40" s="98">
        <f>SUM(P36:P39)</f>
        <v>579519.999999999</v>
      </c>
      <c r="Q40" s="100"/>
      <c r="R40" s="100"/>
      <c r="S40" s="100">
        <f>SUM(S36:S39)</f>
        <v>2295.5</v>
      </c>
      <c r="T40" s="92"/>
      <c r="U40" s="100">
        <f>SUM(U36:U39)</f>
        <v>235</v>
      </c>
      <c r="V40" s="92"/>
      <c r="W40" s="100">
        <f>SUM(W36:W39)</f>
        <v>706680</v>
      </c>
    </row>
  </sheetData>
  <mergeCells count="40">
    <mergeCell ref="A1:H1"/>
    <mergeCell ref="K1:L1"/>
    <mergeCell ref="M1:N1"/>
    <mergeCell ref="O1:P1"/>
    <mergeCell ref="R1:S1"/>
    <mergeCell ref="T1:U1"/>
    <mergeCell ref="V1:W1"/>
    <mergeCell ref="F2:H2"/>
    <mergeCell ref="D3:E3"/>
    <mergeCell ref="F3:H3"/>
    <mergeCell ref="D4:E4"/>
    <mergeCell ref="F4:G4"/>
    <mergeCell ref="C26:D26"/>
    <mergeCell ref="E26:F26"/>
    <mergeCell ref="G26:H26"/>
    <mergeCell ref="C27:D27"/>
    <mergeCell ref="E27:F27"/>
    <mergeCell ref="G27:H27"/>
    <mergeCell ref="C28:D28"/>
    <mergeCell ref="E28:F28"/>
    <mergeCell ref="G28:H28"/>
    <mergeCell ref="C29:D29"/>
    <mergeCell ref="E29:F29"/>
    <mergeCell ref="G29:H29"/>
    <mergeCell ref="C31:D31"/>
    <mergeCell ref="E31:F31"/>
    <mergeCell ref="G31:H31"/>
    <mergeCell ref="C32:D32"/>
    <mergeCell ref="E32:F32"/>
    <mergeCell ref="G32:H32"/>
    <mergeCell ref="C33:D33"/>
    <mergeCell ref="E33:F33"/>
    <mergeCell ref="G33:H33"/>
    <mergeCell ref="C34:D34"/>
    <mergeCell ref="E34:F34"/>
    <mergeCell ref="G34:H34"/>
    <mergeCell ref="A4:A5"/>
    <mergeCell ref="B4:B5"/>
    <mergeCell ref="C4:C5"/>
    <mergeCell ref="H4:H5"/>
  </mergeCells>
  <pageMargins left="0.75" right="0.75" top="1" bottom="1" header="0.5" footer="0.5"/>
  <pageSetup paperSize="9" scale="33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42"/>
  <sheetViews>
    <sheetView workbookViewId="0">
      <selection activeCell="D9" sqref="D9:D11"/>
    </sheetView>
  </sheetViews>
  <sheetFormatPr defaultColWidth="9.81818181818182" defaultRowHeight="15"/>
  <cols>
    <col min="1" max="1" width="18.4090909090909" style="74" customWidth="1"/>
    <col min="2" max="2" width="16.0909090909091" style="74" customWidth="1"/>
    <col min="3" max="3" width="7.77272727272727" style="74" customWidth="1"/>
    <col min="4" max="4" width="10.6363636363636" style="74" customWidth="1"/>
    <col min="5" max="7" width="9.68181818181818" style="74" customWidth="1"/>
    <col min="8" max="8" width="12.4090909090909" style="74" customWidth="1"/>
    <col min="9" max="9" width="9.81818181818182" style="74"/>
    <col min="10" max="12" width="11.3181818181818" style="74"/>
    <col min="13" max="13" width="10" style="74"/>
    <col min="14" max="14" width="9.81818181818182" style="74"/>
    <col min="15" max="15" width="10" style="74"/>
    <col min="16" max="16" width="9.81818181818182" style="74"/>
    <col min="17" max="17" width="10" style="74"/>
    <col min="18" max="16384" width="9.81818181818182" style="74"/>
  </cols>
  <sheetData>
    <row r="1" s="74" customFormat="1" ht="23" spans="1:17">
      <c r="A1" s="2" t="s">
        <v>64</v>
      </c>
      <c r="B1" s="3"/>
      <c r="C1" s="3"/>
      <c r="D1" s="3"/>
      <c r="E1" s="3"/>
      <c r="F1" s="3"/>
      <c r="G1" s="3"/>
      <c r="H1" s="3"/>
    </row>
    <row r="2" s="102" customFormat="1" ht="21.95" customHeight="1" spans="1:17">
      <c r="A2" s="9"/>
      <c r="B2" s="9"/>
      <c r="C2" s="9"/>
      <c r="D2" s="9"/>
      <c r="E2" s="9"/>
      <c r="F2" s="79" t="s">
        <v>6</v>
      </c>
      <c r="G2" s="10"/>
      <c r="H2" s="10"/>
    </row>
    <row r="3" s="103" customFormat="1" ht="21.95" customHeight="1" spans="1:17">
      <c r="A3" s="17" t="s">
        <v>7</v>
      </c>
      <c r="B3" s="18"/>
      <c r="C3" s="18"/>
      <c r="D3" s="105" t="s">
        <v>8</v>
      </c>
      <c r="E3" s="18"/>
      <c r="F3" s="106" t="s">
        <v>9</v>
      </c>
      <c r="G3" s="20"/>
      <c r="H3" s="20"/>
      <c r="J3" s="4" t="s">
        <v>65</v>
      </c>
      <c r="K3" s="5" t="s">
        <v>2</v>
      </c>
      <c r="L3" s="6" t="s">
        <v>3</v>
      </c>
      <c r="M3" s="6" t="s">
        <v>4</v>
      </c>
      <c r="N3" s="7" t="s">
        <v>66</v>
      </c>
      <c r="O3" s="8" t="s">
        <v>2</v>
      </c>
      <c r="P3" s="8" t="s">
        <v>3</v>
      </c>
      <c r="Q3" s="8" t="s">
        <v>4</v>
      </c>
    </row>
    <row r="4" s="104" customFormat="1" ht="27.95" customHeight="1" spans="1:17">
      <c r="A4" s="25" t="s">
        <v>10</v>
      </c>
      <c r="B4" s="26" t="s">
        <v>11</v>
      </c>
      <c r="C4" s="27" t="s">
        <v>12</v>
      </c>
      <c r="D4" s="26" t="s">
        <v>13</v>
      </c>
      <c r="E4" s="28"/>
      <c r="F4" s="26" t="s">
        <v>14</v>
      </c>
      <c r="G4" s="28"/>
      <c r="H4" s="29" t="s">
        <v>15</v>
      </c>
      <c r="J4" s="11">
        <v>45658</v>
      </c>
      <c r="K4" s="12">
        <v>100.5</v>
      </c>
      <c r="L4" s="13">
        <v>2</v>
      </c>
      <c r="M4" s="13">
        <v>28080.0000000017</v>
      </c>
      <c r="N4" s="11">
        <v>46023</v>
      </c>
      <c r="O4" s="15">
        <v>110.800000000003</v>
      </c>
      <c r="P4" s="15">
        <v>7</v>
      </c>
      <c r="Q4" s="15">
        <v>33040</v>
      </c>
    </row>
    <row r="5" s="104" customFormat="1" ht="27.95" customHeight="1" spans="1:17">
      <c r="A5" s="31"/>
      <c r="B5" s="32"/>
      <c r="C5" s="33"/>
      <c r="D5" s="34" t="s">
        <v>16</v>
      </c>
      <c r="E5" s="34" t="s">
        <v>17</v>
      </c>
      <c r="F5" s="34" t="s">
        <v>18</v>
      </c>
      <c r="G5" s="34" t="s">
        <v>17</v>
      </c>
      <c r="H5" s="35"/>
      <c r="J5" s="11">
        <v>45659</v>
      </c>
      <c r="K5" s="12">
        <v>98.2000000000044</v>
      </c>
      <c r="L5" s="21">
        <v>2.09999999999991</v>
      </c>
      <c r="M5" s="21">
        <v>29919.9999999983</v>
      </c>
      <c r="N5" s="11">
        <v>46024</v>
      </c>
      <c r="O5" s="23">
        <v>116.199999999997</v>
      </c>
      <c r="P5" s="23">
        <v>7.5</v>
      </c>
      <c r="Q5" s="23">
        <v>33760</v>
      </c>
    </row>
    <row r="6" s="104" customFormat="1" ht="27.95" customHeight="1" spans="1:17">
      <c r="A6" s="37" t="s">
        <v>19</v>
      </c>
      <c r="B6" s="38" t="s">
        <v>20</v>
      </c>
      <c r="C6" s="39" t="s">
        <v>21</v>
      </c>
      <c r="D6" s="40">
        <v>6.4</v>
      </c>
      <c r="E6" s="41">
        <v>6.4</v>
      </c>
      <c r="F6" s="40">
        <v>6.4</v>
      </c>
      <c r="G6" s="41">
        <v>6.4</v>
      </c>
      <c r="H6" s="35"/>
      <c r="J6" s="11">
        <v>45660</v>
      </c>
      <c r="K6" s="30">
        <v>100.799999999996</v>
      </c>
      <c r="L6" s="13">
        <v>3</v>
      </c>
      <c r="M6" s="13">
        <v>28480.0000000032</v>
      </c>
      <c r="N6" s="11">
        <v>46025</v>
      </c>
      <c r="O6" s="15">
        <v>109.300000000003</v>
      </c>
      <c r="P6" s="15">
        <v>1.5</v>
      </c>
      <c r="Q6" s="15">
        <v>32639.9999999999</v>
      </c>
    </row>
    <row r="7" s="104" customFormat="1" ht="27.95" customHeight="1" spans="1:17">
      <c r="A7" s="37" t="s">
        <v>22</v>
      </c>
      <c r="B7" s="38" t="s">
        <v>23</v>
      </c>
      <c r="C7" s="39" t="s">
        <v>24</v>
      </c>
      <c r="D7" s="40">
        <v>26593.1</v>
      </c>
      <c r="E7" s="41">
        <v>26593.1</v>
      </c>
      <c r="F7" s="42">
        <v>26350.3</v>
      </c>
      <c r="G7" s="41">
        <f>F7</f>
        <v>26350.3</v>
      </c>
      <c r="H7" s="35"/>
      <c r="J7" s="11">
        <v>45661</v>
      </c>
      <c r="K7" s="36">
        <v>98</v>
      </c>
      <c r="L7" s="13">
        <v>4.5</v>
      </c>
      <c r="M7" s="13">
        <v>30159.9999999999</v>
      </c>
      <c r="N7" s="11">
        <v>46026</v>
      </c>
      <c r="O7" s="15">
        <v>117</v>
      </c>
      <c r="P7" s="15">
        <v>0.0100000000002183</v>
      </c>
      <c r="Q7" s="15">
        <v>34240</v>
      </c>
    </row>
    <row r="8" s="104" customFormat="1" ht="27.95" customHeight="1" spans="1:17">
      <c r="A8" s="37" t="s">
        <v>25</v>
      </c>
      <c r="B8" s="38" t="s">
        <v>23</v>
      </c>
      <c r="C8" s="39" t="s">
        <v>26</v>
      </c>
      <c r="D8" s="42">
        <v>26593.1</v>
      </c>
      <c r="E8" s="43">
        <v>26593.1</v>
      </c>
      <c r="F8" s="42">
        <f>F7</f>
        <v>26350.3</v>
      </c>
      <c r="G8" s="43">
        <f>F8</f>
        <v>26350.3</v>
      </c>
      <c r="H8" s="35"/>
      <c r="J8" s="11">
        <v>45662</v>
      </c>
      <c r="K8" s="30">
        <v>101.700000000004</v>
      </c>
      <c r="L8" s="13">
        <v>1.5</v>
      </c>
      <c r="M8" s="13">
        <v>28159.9999999999</v>
      </c>
      <c r="N8" s="11">
        <v>46027</v>
      </c>
      <c r="O8" s="15">
        <v>112</v>
      </c>
      <c r="P8" s="15">
        <v>0.989999999999782</v>
      </c>
      <c r="Q8" s="15">
        <v>34240</v>
      </c>
    </row>
    <row r="9" s="102" customFormat="1" ht="27.95" customHeight="1" spans="1:17">
      <c r="A9" s="44" t="s">
        <v>27</v>
      </c>
      <c r="B9" s="34" t="s">
        <v>28</v>
      </c>
      <c r="C9" s="45" t="s">
        <v>29</v>
      </c>
      <c r="D9" s="32">
        <f>K36</f>
        <v>3229.9</v>
      </c>
      <c r="E9" s="53">
        <f>K42</f>
        <v>3229.9</v>
      </c>
      <c r="F9" s="32">
        <f>O36</f>
        <v>3880.60000000001</v>
      </c>
      <c r="G9" s="53">
        <f>O42</f>
        <v>3880.60000000001</v>
      </c>
      <c r="H9" s="49"/>
      <c r="I9" s="102"/>
      <c r="J9" s="11">
        <v>45663</v>
      </c>
      <c r="K9" s="30">
        <v>100.599999999999</v>
      </c>
      <c r="L9" s="13">
        <v>3</v>
      </c>
      <c r="M9" s="13">
        <v>30959.9999999991</v>
      </c>
      <c r="N9" s="11">
        <v>46028</v>
      </c>
      <c r="O9" s="15">
        <v>111.300000000003</v>
      </c>
      <c r="P9" s="15">
        <v>17.5</v>
      </c>
      <c r="Q9" s="15">
        <v>32880.0000000001</v>
      </c>
    </row>
    <row r="10" s="102" customFormat="1" ht="27.95" customHeight="1" spans="1:17">
      <c r="A10" s="44" t="s">
        <v>30</v>
      </c>
      <c r="B10" s="34" t="s">
        <v>31</v>
      </c>
      <c r="C10" s="45" t="s">
        <v>32</v>
      </c>
      <c r="D10" s="32">
        <f>L36</f>
        <v>72.1999999999998</v>
      </c>
      <c r="E10" s="53">
        <f>L42</f>
        <v>72.1999999999998</v>
      </c>
      <c r="F10" s="32">
        <f>P36</f>
        <v>158.01</v>
      </c>
      <c r="G10" s="53">
        <f>P42</f>
        <v>158.01</v>
      </c>
      <c r="H10" s="49"/>
      <c r="I10" s="102"/>
      <c r="J10" s="11">
        <v>45664</v>
      </c>
      <c r="K10" s="30">
        <v>103</v>
      </c>
      <c r="L10" s="13">
        <v>2.90000000000009</v>
      </c>
      <c r="M10" s="13">
        <v>28560.0000000013</v>
      </c>
      <c r="N10" s="11">
        <v>46029</v>
      </c>
      <c r="O10" s="15">
        <v>86.1999999999971</v>
      </c>
      <c r="P10" s="15">
        <v>50</v>
      </c>
      <c r="Q10" s="15">
        <v>33599.9999999999</v>
      </c>
    </row>
    <row r="11" s="102" customFormat="1" ht="27.95" customHeight="1" spans="1:17">
      <c r="A11" s="44" t="s">
        <v>33</v>
      </c>
      <c r="B11" s="34" t="s">
        <v>34</v>
      </c>
      <c r="C11" s="45" t="s">
        <v>35</v>
      </c>
      <c r="D11" s="32">
        <f>M36</f>
        <v>942720.000000001</v>
      </c>
      <c r="E11" s="53">
        <f>M42</f>
        <v>942720.000000001</v>
      </c>
      <c r="F11" s="32">
        <f>Q36</f>
        <v>1137840</v>
      </c>
      <c r="G11" s="53">
        <f>Q42</f>
        <v>1137840</v>
      </c>
      <c r="H11" s="49"/>
      <c r="I11" s="102"/>
      <c r="J11" s="11">
        <v>45665</v>
      </c>
      <c r="K11" s="50">
        <v>106.099999999999</v>
      </c>
      <c r="L11" s="51">
        <v>2.59999999999991</v>
      </c>
      <c r="M11" s="51">
        <v>30959.9999999991</v>
      </c>
      <c r="N11" s="11">
        <v>46030</v>
      </c>
      <c r="O11" s="52">
        <v>119</v>
      </c>
      <c r="P11" s="52">
        <v>18.5</v>
      </c>
      <c r="Q11" s="52">
        <v>26559.9999999999</v>
      </c>
    </row>
    <row r="12" s="102" customFormat="1" ht="27.95" customHeight="1" spans="1:17">
      <c r="A12" s="54" t="s">
        <v>36</v>
      </c>
      <c r="B12" s="55" t="s">
        <v>34</v>
      </c>
      <c r="C12" s="45" t="s">
        <v>37</v>
      </c>
      <c r="D12" s="32">
        <f>D11</f>
        <v>942720.000000001</v>
      </c>
      <c r="E12" s="53">
        <f>E11</f>
        <v>942720.000000001</v>
      </c>
      <c r="F12" s="32">
        <f>F11</f>
        <v>1137840</v>
      </c>
      <c r="G12" s="53">
        <f>G11</f>
        <v>1137840</v>
      </c>
      <c r="H12" s="49"/>
      <c r="J12" s="11">
        <v>45666</v>
      </c>
      <c r="K12" s="50">
        <v>119.099999999999</v>
      </c>
      <c r="L12" s="51">
        <v>3.5</v>
      </c>
      <c r="M12" s="51">
        <v>32559.9999999977</v>
      </c>
      <c r="N12" s="11">
        <v>46031</v>
      </c>
      <c r="O12" s="52">
        <v>103.699999999997</v>
      </c>
      <c r="P12" s="52">
        <v>2</v>
      </c>
      <c r="Q12" s="52">
        <v>32880.0000000001</v>
      </c>
    </row>
    <row r="13" s="102" customFormat="1" ht="27.95" customHeight="1" spans="1:17">
      <c r="A13" s="37" t="s">
        <v>38</v>
      </c>
      <c r="B13" s="61" t="s">
        <v>39</v>
      </c>
      <c r="C13" s="39" t="s">
        <v>42</v>
      </c>
      <c r="D13" s="42">
        <f>D11/D9</f>
        <v>291.872813399796</v>
      </c>
      <c r="E13" s="43">
        <f>E12/E9</f>
        <v>291.872813399796</v>
      </c>
      <c r="F13" s="42">
        <f>F11/F9</f>
        <v>293.212389836623</v>
      </c>
      <c r="G13" s="43">
        <f>G12/G9</f>
        <v>293.212389836623</v>
      </c>
      <c r="H13" s="49"/>
      <c r="I13" s="102"/>
      <c r="J13" s="11">
        <v>45667</v>
      </c>
      <c r="K13" s="50">
        <v>113.200000000004</v>
      </c>
      <c r="L13" s="51">
        <v>4.09999999999991</v>
      </c>
      <c r="M13" s="51">
        <v>34560.0000000013</v>
      </c>
      <c r="N13" s="11">
        <v>46032</v>
      </c>
      <c r="O13" s="52">
        <v>114.300000000003</v>
      </c>
      <c r="P13" s="52">
        <v>1</v>
      </c>
      <c r="Q13" s="52">
        <v>32240</v>
      </c>
    </row>
    <row r="14" s="102" customFormat="1" ht="27.95" customHeight="1" spans="1:17">
      <c r="A14" s="37" t="s">
        <v>40</v>
      </c>
      <c r="B14" s="38" t="s">
        <v>41</v>
      </c>
      <c r="C14" s="39" t="s">
        <v>44</v>
      </c>
      <c r="D14" s="62">
        <f>D9*1000/(D11*3.6)</f>
        <v>0.951708295617409</v>
      </c>
      <c r="E14" s="63">
        <f>E9*1000/(E12*3.6)</f>
        <v>0.951708295617409</v>
      </c>
      <c r="F14" s="62">
        <f>F9*1000/(F11*3.6)</f>
        <v>0.947360300608562</v>
      </c>
      <c r="G14" s="63">
        <f>G9*1000/(G12*3.6)</f>
        <v>0.947360300608562</v>
      </c>
      <c r="H14" s="49"/>
      <c r="J14" s="11">
        <v>45668</v>
      </c>
      <c r="K14" s="50">
        <v>110.5</v>
      </c>
      <c r="L14" s="51">
        <v>2.90000000000009</v>
      </c>
      <c r="M14" s="51">
        <v>34560.0000000013</v>
      </c>
      <c r="N14" s="11">
        <v>46033</v>
      </c>
      <c r="O14" s="52">
        <v>114.199999999997</v>
      </c>
      <c r="P14" s="52">
        <v>0.5</v>
      </c>
      <c r="Q14" s="52">
        <v>34399.9999999999</v>
      </c>
    </row>
    <row r="15" s="102" customFormat="1" ht="27.95" customHeight="1" spans="1:17">
      <c r="A15" s="37" t="s">
        <v>43</v>
      </c>
      <c r="B15" s="38" t="s">
        <v>41</v>
      </c>
      <c r="C15" s="39" t="s">
        <v>47</v>
      </c>
      <c r="D15" s="62">
        <f>D9/3.6/D6/720</f>
        <v>0.194703655478395</v>
      </c>
      <c r="E15" s="63">
        <f>E9/3.6/E6/2880</f>
        <v>0.0486759138695988</v>
      </c>
      <c r="F15" s="62">
        <f>F9/3.6/F6/720</f>
        <v>0.233928915895062</v>
      </c>
      <c r="G15" s="63">
        <f>G9/3.6/G6/2904</f>
        <v>0.0579989047673708</v>
      </c>
      <c r="H15" s="49"/>
      <c r="J15" s="11">
        <v>45669</v>
      </c>
      <c r="K15" s="50">
        <v>110.199999999997</v>
      </c>
      <c r="L15" s="51">
        <v>7</v>
      </c>
      <c r="M15" s="51">
        <v>28399.9999999978</v>
      </c>
      <c r="N15" s="11">
        <v>46034</v>
      </c>
      <c r="O15" s="52">
        <v>110.600000000006</v>
      </c>
      <c r="P15" s="52">
        <v>1.5</v>
      </c>
      <c r="Q15" s="52">
        <v>33040.0000000002</v>
      </c>
    </row>
    <row r="16" s="102" customFormat="1" ht="27.95" customHeight="1" spans="1:17">
      <c r="A16" s="37" t="s">
        <v>45</v>
      </c>
      <c r="B16" s="38" t="s">
        <v>46</v>
      </c>
      <c r="C16" s="39" t="s">
        <v>50</v>
      </c>
      <c r="D16" s="42">
        <f>D9*1000000000/92/3600/D8</f>
        <v>366.715934831594</v>
      </c>
      <c r="E16" s="43">
        <f>E9*1000000000/2252/3600/E8</f>
        <v>14.9812904105269</v>
      </c>
      <c r="F16" s="42">
        <f>F9*1000000000/104/3600/F8</f>
        <v>393.348479043899</v>
      </c>
      <c r="G16" s="43">
        <f>G9*1000000000/2288/3600/G8</f>
        <v>17.8794763201772</v>
      </c>
      <c r="H16" s="49"/>
      <c r="J16" s="11">
        <v>45670</v>
      </c>
      <c r="K16" s="50">
        <v>101.099999999999</v>
      </c>
      <c r="L16" s="51">
        <v>3</v>
      </c>
      <c r="M16" s="51">
        <v>33840.0000000001</v>
      </c>
      <c r="N16" s="11">
        <v>46035</v>
      </c>
      <c r="O16" s="52">
        <v>109.699999999997</v>
      </c>
      <c r="P16" s="52">
        <v>0.0100000000002183</v>
      </c>
      <c r="Q16" s="52">
        <v>32800</v>
      </c>
    </row>
    <row r="17" s="102" customFormat="1" ht="27.95" customHeight="1" spans="1:17">
      <c r="A17" s="64" t="s">
        <v>48</v>
      </c>
      <c r="B17" s="65" t="s">
        <v>49</v>
      </c>
      <c r="C17" s="39" t="s">
        <v>53</v>
      </c>
      <c r="D17" s="42">
        <f>D11/D8</f>
        <v>35.4497971278264</v>
      </c>
      <c r="E17" s="43">
        <f>E12/E8</f>
        <v>35.4497971278264</v>
      </c>
      <c r="F17" s="42">
        <f>F11/F8</f>
        <v>43.1812920536009</v>
      </c>
      <c r="G17" s="43">
        <f>G12/G8</f>
        <v>43.1812920536009</v>
      </c>
      <c r="H17" s="66"/>
      <c r="J17" s="11">
        <v>45671</v>
      </c>
      <c r="K17" s="50">
        <v>104.5</v>
      </c>
      <c r="L17" s="51">
        <v>4</v>
      </c>
      <c r="M17" s="51">
        <v>27680.0000000003</v>
      </c>
      <c r="N17" s="11">
        <v>46036</v>
      </c>
      <c r="O17" s="52">
        <v>105.599999999999</v>
      </c>
      <c r="P17" s="52">
        <v>0.00999999999976353</v>
      </c>
      <c r="Q17" s="52">
        <v>29359.9999999999</v>
      </c>
    </row>
    <row r="18" s="102" customFormat="1" ht="27.95" customHeight="1" spans="1:17">
      <c r="A18" s="67" t="s">
        <v>51</v>
      </c>
      <c r="B18" s="68" t="s">
        <v>52</v>
      </c>
      <c r="C18" s="69" t="s">
        <v>67</v>
      </c>
      <c r="D18" s="70">
        <f t="shared" ref="D18:G18" si="0">D10*1000/D8</f>
        <v>2.71498997860347</v>
      </c>
      <c r="E18" s="71">
        <f t="shared" si="0"/>
        <v>2.71498997860347</v>
      </c>
      <c r="F18" s="70">
        <f t="shared" si="0"/>
        <v>5.99651616869638</v>
      </c>
      <c r="G18" s="71">
        <f t="shared" si="0"/>
        <v>5.99651616869638</v>
      </c>
      <c r="H18" s="72"/>
      <c r="J18" s="11">
        <v>45672</v>
      </c>
      <c r="K18" s="50">
        <v>105.200000000004</v>
      </c>
      <c r="L18" s="51">
        <v>5</v>
      </c>
      <c r="M18" s="51">
        <v>34159.9999999999</v>
      </c>
      <c r="N18" s="11">
        <v>46037</v>
      </c>
      <c r="O18" s="52">
        <v>113.800000000003</v>
      </c>
      <c r="P18" s="52">
        <v>0.0100000000002183</v>
      </c>
      <c r="Q18" s="52">
        <v>34240</v>
      </c>
    </row>
    <row r="19" s="73" customFormat="1" ht="28.5" customHeight="1" spans="1:17">
      <c r="A19" s="10" t="s">
        <v>54</v>
      </c>
      <c r="C19" s="74" t="s">
        <v>55</v>
      </c>
      <c r="F19" s="73" t="s">
        <v>56</v>
      </c>
      <c r="J19" s="11">
        <v>45673</v>
      </c>
      <c r="K19" s="50">
        <v>99.2999999999956</v>
      </c>
      <c r="L19" s="51">
        <v>2</v>
      </c>
      <c r="M19" s="51">
        <v>26799.9999999993</v>
      </c>
      <c r="N19" s="11">
        <v>46038</v>
      </c>
      <c r="O19" s="52">
        <v>119.099999999999</v>
      </c>
      <c r="P19" s="52">
        <v>0.00999999999976353</v>
      </c>
      <c r="Q19" s="52">
        <v>34240</v>
      </c>
    </row>
    <row r="20" s="79" customFormat="1" ht="18.95" customHeight="1" spans="1:17">
      <c r="A20" s="10" t="s">
        <v>57</v>
      </c>
      <c r="J20" s="11">
        <v>45674</v>
      </c>
      <c r="K20" s="50">
        <v>97.4000000000015</v>
      </c>
      <c r="L20" s="51">
        <v>2</v>
      </c>
      <c r="M20" s="51">
        <v>31520.0000000004</v>
      </c>
      <c r="N20" s="11">
        <v>46039</v>
      </c>
      <c r="O20" s="52">
        <v>119.5</v>
      </c>
      <c r="P20" s="52">
        <v>0.0100000000002183</v>
      </c>
      <c r="Q20" s="52">
        <v>35520</v>
      </c>
    </row>
    <row r="21" s="17" customFormat="1" ht="18.95" customHeight="1" spans="1:17">
      <c r="A21" s="84" t="s">
        <v>58</v>
      </c>
      <c r="J21" s="11">
        <v>45675</v>
      </c>
      <c r="K21" s="75">
        <v>93.6999999999971</v>
      </c>
      <c r="L21" s="75">
        <v>6.5</v>
      </c>
      <c r="M21" s="75">
        <v>25360.0000000006</v>
      </c>
      <c r="N21" s="11">
        <v>46040</v>
      </c>
      <c r="O21" s="78">
        <v>128.800000000003</v>
      </c>
      <c r="P21" s="78">
        <v>6.84999999999991</v>
      </c>
      <c r="Q21" s="78">
        <v>36800</v>
      </c>
    </row>
    <row r="22" s="10" customFormat="1" ht="18.95" customHeight="1" spans="1:17">
      <c r="A22" s="79" t="s">
        <v>59</v>
      </c>
      <c r="J22" s="11">
        <v>45676</v>
      </c>
      <c r="K22" s="80">
        <v>94.9000000000015</v>
      </c>
      <c r="L22" s="80">
        <v>3.5</v>
      </c>
      <c r="M22" s="80">
        <v>29200.0000000007</v>
      </c>
      <c r="N22" s="11">
        <v>46041</v>
      </c>
      <c r="O22" s="83">
        <v>109</v>
      </c>
      <c r="P22" s="83">
        <v>26.5999999999999</v>
      </c>
      <c r="Q22" s="83">
        <v>24160.0000000001</v>
      </c>
    </row>
    <row r="23" s="74" customFormat="1" ht="18.95" customHeight="1" spans="1:17">
      <c r="A23" s="79" t="s">
        <v>60</v>
      </c>
      <c r="J23" s="11">
        <v>45677</v>
      </c>
      <c r="K23" s="50">
        <v>94.5</v>
      </c>
      <c r="L23" s="50">
        <v>1</v>
      </c>
      <c r="M23" s="50">
        <v>27279.9999999988</v>
      </c>
      <c r="N23" s="11">
        <v>46042</v>
      </c>
      <c r="O23" s="86">
        <v>132.199999999997</v>
      </c>
      <c r="P23" s="86">
        <v>3.5</v>
      </c>
      <c r="Q23" s="86">
        <v>46640.0000000001</v>
      </c>
    </row>
    <row r="24" s="74" customFormat="1" ht="18.95" customHeight="1" spans="1:17">
      <c r="A24" s="79" t="s">
        <v>61</v>
      </c>
      <c r="J24" s="11">
        <v>45678</v>
      </c>
      <c r="K24" s="87">
        <v>95.3000000000029</v>
      </c>
      <c r="L24" s="87">
        <v>0.0999999999999091</v>
      </c>
      <c r="M24" s="87">
        <v>27760.000000002</v>
      </c>
      <c r="N24" s="11">
        <v>46043</v>
      </c>
      <c r="O24" s="89">
        <v>159.5</v>
      </c>
      <c r="P24" s="89">
        <v>5</v>
      </c>
      <c r="Q24" s="89">
        <v>43280</v>
      </c>
    </row>
    <row r="25" s="74" customFormat="1" spans="1:17">
      <c r="A25" s="79"/>
      <c r="J25" s="11">
        <v>45679</v>
      </c>
      <c r="K25" s="90">
        <v>94.2999999999956</v>
      </c>
      <c r="L25" s="90">
        <v>0.900000000000091</v>
      </c>
      <c r="M25" s="90">
        <v>28079.9999999981</v>
      </c>
      <c r="N25" s="11">
        <v>46044</v>
      </c>
      <c r="O25" s="92">
        <v>162.300000000003</v>
      </c>
      <c r="P25" s="92">
        <v>0.0100000000002183</v>
      </c>
      <c r="Q25" s="92">
        <v>50720</v>
      </c>
    </row>
    <row r="26" s="74" customFormat="1" spans="1:17">
      <c r="A26" s="79"/>
      <c r="J26" s="11">
        <v>45680</v>
      </c>
      <c r="K26" s="90">
        <v>98.5</v>
      </c>
      <c r="L26" s="90">
        <v>1</v>
      </c>
      <c r="M26" s="90">
        <v>28000</v>
      </c>
      <c r="N26" s="11">
        <v>46045</v>
      </c>
      <c r="O26" s="92">
        <v>143.799999999996</v>
      </c>
      <c r="P26" s="92">
        <v>0.00999999999976353</v>
      </c>
      <c r="Q26" s="92">
        <v>38720</v>
      </c>
    </row>
    <row r="27" spans="1:17">
      <c r="J27" s="11">
        <v>45681</v>
      </c>
      <c r="K27" s="90">
        <v>93.9000000000015</v>
      </c>
      <c r="L27" s="90">
        <v>2</v>
      </c>
      <c r="M27" s="90">
        <v>28880.000000001</v>
      </c>
      <c r="N27" s="11">
        <v>46046</v>
      </c>
      <c r="O27" s="92">
        <v>140.900000000001</v>
      </c>
      <c r="P27" s="92">
        <v>0.0100000000002183</v>
      </c>
      <c r="Q27" s="92">
        <v>41520</v>
      </c>
    </row>
    <row r="28" spans="1:17">
      <c r="J28" s="11">
        <v>45682</v>
      </c>
      <c r="K28" s="90">
        <v>97.2000000000044</v>
      </c>
      <c r="L28" s="90">
        <v>1.19999999999982</v>
      </c>
      <c r="M28" s="90">
        <v>27759.9999999984</v>
      </c>
      <c r="N28" s="11">
        <v>46047</v>
      </c>
      <c r="O28" s="92">
        <v>152.400000000001</v>
      </c>
      <c r="P28" s="92">
        <v>0.00999999999976353</v>
      </c>
      <c r="Q28" s="92">
        <v>42879.9999999999</v>
      </c>
    </row>
    <row r="29" spans="1:17">
      <c r="J29" s="11">
        <v>45683</v>
      </c>
      <c r="K29" s="90">
        <v>105</v>
      </c>
      <c r="L29" s="90">
        <v>0.100000000000364</v>
      </c>
      <c r="M29" s="90">
        <v>32400.0000000015</v>
      </c>
      <c r="N29" s="11">
        <v>46048</v>
      </c>
      <c r="O29" s="92">
        <v>150.199999999997</v>
      </c>
      <c r="P29" s="92">
        <v>2.96000000000004</v>
      </c>
      <c r="Q29" s="92">
        <v>46240</v>
      </c>
    </row>
    <row r="30" spans="1:17">
      <c r="J30" s="11">
        <v>45684</v>
      </c>
      <c r="K30" s="90">
        <v>112.399999999994</v>
      </c>
      <c r="L30" s="90">
        <v>0.0999999999999091</v>
      </c>
      <c r="M30" s="90">
        <v>29840.0000000001</v>
      </c>
      <c r="N30" s="11">
        <v>46049</v>
      </c>
      <c r="O30" s="92">
        <v>150.800000000003</v>
      </c>
      <c r="P30" s="92">
        <v>0.0999999999999091</v>
      </c>
      <c r="Q30" s="92">
        <v>41360.0000000001</v>
      </c>
    </row>
    <row r="31" spans="1:17">
      <c r="J31" s="11">
        <v>45685</v>
      </c>
      <c r="K31" s="90">
        <v>114</v>
      </c>
      <c r="L31" s="90">
        <v>0.599999999999909</v>
      </c>
      <c r="M31" s="90">
        <v>29439.9999999987</v>
      </c>
      <c r="N31" s="11">
        <v>46050</v>
      </c>
      <c r="O31" s="92">
        <v>148</v>
      </c>
      <c r="P31" s="92">
        <v>1.80000000000018</v>
      </c>
      <c r="Q31" s="92">
        <v>45279.9999999997</v>
      </c>
    </row>
    <row r="32" spans="1:17">
      <c r="J32" s="11">
        <v>45686</v>
      </c>
      <c r="K32" s="90">
        <v>123.800000000003</v>
      </c>
      <c r="L32" s="90">
        <v>0.0999999999999091</v>
      </c>
      <c r="M32" s="90">
        <v>38960.0000000028</v>
      </c>
      <c r="N32" s="11">
        <v>46051</v>
      </c>
      <c r="O32" s="92">
        <v>141.900000000001</v>
      </c>
      <c r="P32" s="92">
        <v>0.0999999999999091</v>
      </c>
      <c r="Q32" s="92">
        <v>40880.0000000001</v>
      </c>
    </row>
    <row r="33" spans="10:17">
      <c r="J33" s="11">
        <v>45687</v>
      </c>
      <c r="K33" s="90">
        <v>122.099999999999</v>
      </c>
      <c r="L33" s="90">
        <v>0</v>
      </c>
      <c r="M33" s="90">
        <v>34319.9999999997</v>
      </c>
      <c r="N33" s="11">
        <v>46052</v>
      </c>
      <c r="O33" s="92">
        <v>134.799999999996</v>
      </c>
      <c r="P33" s="92">
        <v>3</v>
      </c>
      <c r="Q33" s="92">
        <v>39040</v>
      </c>
    </row>
    <row r="34" spans="10:17">
      <c r="J34" s="11">
        <v>45688</v>
      </c>
      <c r="K34" s="90">
        <v>120.900000000001</v>
      </c>
      <c r="L34" s="90">
        <v>0</v>
      </c>
      <c r="M34" s="90">
        <v>36079.9999999981</v>
      </c>
      <c r="N34" s="11">
        <v>46053</v>
      </c>
      <c r="O34" s="92">
        <v>133.700000000004</v>
      </c>
      <c r="P34" s="92">
        <v>0.0100000000002183</v>
      </c>
      <c r="Q34" s="92">
        <v>40639.9999999999</v>
      </c>
    </row>
    <row r="35" spans="10:17">
      <c r="J35" s="94"/>
      <c r="K35" s="90"/>
      <c r="L35" s="90"/>
      <c r="M35" s="90"/>
      <c r="N35" s="92"/>
      <c r="O35" s="92"/>
      <c r="P35" s="92"/>
      <c r="Q35" s="92"/>
    </row>
    <row r="36" spans="10:17">
      <c r="J36" s="94" t="s">
        <v>18</v>
      </c>
      <c r="K36" s="98">
        <f>SUM(K4:K35)</f>
        <v>3229.9</v>
      </c>
      <c r="L36" s="98">
        <f>SUM(L4:L35)</f>
        <v>72.1999999999998</v>
      </c>
      <c r="M36" s="98">
        <f>SUM(M4:M35)</f>
        <v>942720.000000001</v>
      </c>
      <c r="N36" s="100"/>
      <c r="O36" s="100">
        <f>SUM(O4:O35)</f>
        <v>3880.60000000001</v>
      </c>
      <c r="P36" s="100">
        <f>SUM(P4:P35)</f>
        <v>158.01</v>
      </c>
      <c r="Q36" s="100">
        <f>SUM(Q4:Q35)</f>
        <v>1137840</v>
      </c>
    </row>
    <row r="37" spans="10:17">
      <c r="J37" s="94"/>
      <c r="K37" s="90"/>
      <c r="L37" s="90"/>
      <c r="M37" s="90"/>
      <c r="N37" s="92"/>
      <c r="O37" s="92"/>
      <c r="P37" s="92"/>
      <c r="Q37" s="92"/>
    </row>
    <row r="38" spans="10:17">
      <c r="J38" s="7"/>
      <c r="K38" s="90"/>
      <c r="L38" s="98"/>
      <c r="M38" s="98"/>
      <c r="N38" s="100"/>
      <c r="O38" s="100"/>
      <c r="P38" s="92"/>
      <c r="Q38" s="92"/>
    </row>
    <row r="39" spans="10:17">
      <c r="J39" s="7"/>
      <c r="K39" s="90"/>
      <c r="L39" s="98"/>
      <c r="M39" s="98"/>
      <c r="N39" s="100"/>
      <c r="O39" s="100"/>
      <c r="P39" s="92"/>
      <c r="Q39" s="92"/>
    </row>
    <row r="40" spans="10:17">
      <c r="J40" s="7" t="s">
        <v>62</v>
      </c>
      <c r="K40" s="98">
        <v>0</v>
      </c>
      <c r="L40" s="98">
        <v>0</v>
      </c>
      <c r="M40" s="98">
        <v>0</v>
      </c>
      <c r="N40" s="100"/>
      <c r="O40" s="100">
        <v>0</v>
      </c>
      <c r="P40" s="100">
        <v>0</v>
      </c>
      <c r="Q40" s="100">
        <v>0</v>
      </c>
    </row>
    <row r="41" spans="10:17">
      <c r="J41" s="7"/>
      <c r="K41" s="98"/>
      <c r="L41" s="98"/>
      <c r="M41" s="98"/>
      <c r="N41" s="100"/>
      <c r="O41" s="100"/>
      <c r="P41" s="100"/>
      <c r="Q41" s="100"/>
    </row>
    <row r="42" spans="10:17">
      <c r="J42" s="7" t="s">
        <v>63</v>
      </c>
      <c r="K42" s="98">
        <f>SUM(K36:K41)</f>
        <v>3229.9</v>
      </c>
      <c r="L42" s="98">
        <f>SUM(L36:L41)</f>
        <v>72.1999999999998</v>
      </c>
      <c r="M42" s="98">
        <f>SUM(M36:M41)</f>
        <v>942720.000000001</v>
      </c>
      <c r="N42" s="100"/>
      <c r="O42" s="100">
        <f>SUM(O36:O41)</f>
        <v>3880.60000000001</v>
      </c>
      <c r="P42" s="100">
        <f>SUM(P36:P41)</f>
        <v>158.01</v>
      </c>
      <c r="Q42" s="100">
        <f>SUM(Q36:Q41)</f>
        <v>1137840</v>
      </c>
    </row>
  </sheetData>
  <mergeCells count="9">
    <mergeCell ref="A1:H1"/>
    <mergeCell ref="F2:H2"/>
    <mergeCell ref="F3:H3"/>
    <mergeCell ref="D4:E4"/>
    <mergeCell ref="F4:G4"/>
    <mergeCell ref="A4:A5"/>
    <mergeCell ref="B4:B5"/>
    <mergeCell ref="C4:C5"/>
    <mergeCell ref="H4:H5"/>
  </mergeCells>
  <pageMargins left="0.75" right="0.75" top="1" bottom="1" header="0.5" footer="0.5"/>
  <pageSetup paperSize="9" scale="44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W40"/>
  <sheetViews>
    <sheetView topLeftCell="C1" workbookViewId="0">
      <pane ySplit="1" topLeftCell="A2" activePane="bottomLeft" state="frozen"/>
      <selection/>
      <selection pane="bottomLeft" activeCell="D9" sqref="D9:D11"/>
    </sheetView>
  </sheetViews>
  <sheetFormatPr defaultColWidth="9" defaultRowHeight="14"/>
  <cols>
    <col min="1" max="1" width="18.4090909090909" customWidth="1"/>
    <col min="2" max="2" width="16.0909090909091" customWidth="1"/>
    <col min="3" max="3" width="13.0909090909091" customWidth="1"/>
    <col min="4" max="4" width="15.2727272727273" customWidth="1"/>
    <col min="5" max="6" width="14.7272727272727" customWidth="1"/>
    <col min="7" max="7" width="12.8727272727273"/>
    <col min="8" max="8" width="12.8181818181818"/>
    <col min="9" max="9" width="10.5454545454545"/>
    <col min="10" max="11" width="8.75454545454545" customWidth="1"/>
    <col min="12" max="12" width="12.3636363636364" customWidth="1"/>
    <col min="13" max="13" width="8.75454545454545" customWidth="1"/>
    <col min="14" max="15" width="8.75454545454545" style="1" customWidth="1"/>
    <col min="16" max="18" width="8.75454545454545" customWidth="1"/>
    <col min="19" max="19" width="12.0909090909091" customWidth="1"/>
    <col min="20" max="22" width="8.75454545454545" customWidth="1"/>
    <col min="23" max="23" width="13.8727272727273" customWidth="1"/>
  </cols>
  <sheetData>
    <row r="1" ht="29" customHeight="1" spans="1:23">
      <c r="A1" s="2" t="s">
        <v>68</v>
      </c>
      <c r="B1" s="3"/>
      <c r="C1" s="3"/>
      <c r="D1" s="3"/>
      <c r="E1" s="3"/>
      <c r="F1" s="3"/>
      <c r="J1" s="4" t="s">
        <v>65</v>
      </c>
      <c r="K1" s="5" t="s">
        <v>2</v>
      </c>
      <c r="L1" s="5"/>
      <c r="M1" s="6" t="s">
        <v>3</v>
      </c>
      <c r="N1" s="6"/>
      <c r="O1" s="6" t="s">
        <v>4</v>
      </c>
      <c r="P1" s="6"/>
      <c r="Q1" s="7" t="s">
        <v>66</v>
      </c>
      <c r="R1" s="8" t="s">
        <v>2</v>
      </c>
      <c r="S1" s="8"/>
      <c r="T1" s="8" t="s">
        <v>3</v>
      </c>
      <c r="U1" s="8"/>
      <c r="V1" s="8" t="s">
        <v>4</v>
      </c>
      <c r="W1" s="8"/>
    </row>
    <row r="2" ht="29" customHeight="1" spans="1:23">
      <c r="A2" s="9"/>
      <c r="B2" s="9"/>
      <c r="C2" s="9"/>
      <c r="D2" s="10"/>
      <c r="E2" s="10"/>
      <c r="F2" s="10"/>
      <c r="J2" s="11">
        <v>45658</v>
      </c>
      <c r="K2" s="12">
        <v>87.8100000000013</v>
      </c>
      <c r="L2" s="13">
        <v>4.12298799999998</v>
      </c>
      <c r="M2" s="13">
        <v>3</v>
      </c>
      <c r="N2" s="14"/>
      <c r="O2" s="13">
        <v>9599.9999999998</v>
      </c>
      <c r="P2" s="13">
        <v>561.600000000006</v>
      </c>
      <c r="Q2" s="11">
        <v>46023</v>
      </c>
      <c r="R2" s="15">
        <v>118.870000000003</v>
      </c>
      <c r="S2" s="15">
        <v>4.80096999999997</v>
      </c>
      <c r="T2" s="15">
        <v>2</v>
      </c>
      <c r="U2" s="16">
        <v>0</v>
      </c>
      <c r="V2" s="15">
        <v>14070.0000000002</v>
      </c>
      <c r="W2" s="15">
        <v>771.880000000005</v>
      </c>
    </row>
    <row r="3" ht="29" customHeight="1" spans="1:23">
      <c r="A3" s="17" t="s">
        <v>7</v>
      </c>
      <c r="B3" s="18"/>
      <c r="C3" s="19" t="s">
        <v>8</v>
      </c>
      <c r="D3" s="20"/>
      <c r="E3" s="20"/>
      <c r="F3" s="20"/>
      <c r="J3" s="11">
        <v>45659</v>
      </c>
      <c r="K3" s="12">
        <v>97.9699999999993</v>
      </c>
      <c r="L3" s="21">
        <v>3.85506900000002</v>
      </c>
      <c r="M3" s="21">
        <v>3</v>
      </c>
      <c r="N3" s="22"/>
      <c r="O3" s="21">
        <v>12045.0000000003</v>
      </c>
      <c r="P3" s="21">
        <v>570.080000000002</v>
      </c>
      <c r="Q3" s="11">
        <v>46024</v>
      </c>
      <c r="R3" s="23">
        <v>110.439999999999</v>
      </c>
      <c r="S3" s="23">
        <v>4.86843300000008</v>
      </c>
      <c r="T3" s="23">
        <v>1</v>
      </c>
      <c r="U3" s="24">
        <v>0</v>
      </c>
      <c r="V3" s="23">
        <v>12705.0000000004</v>
      </c>
      <c r="W3" s="23">
        <v>776.200000000012</v>
      </c>
    </row>
    <row r="4" ht="29" customHeight="1" spans="1:23">
      <c r="A4" s="25" t="s">
        <v>10</v>
      </c>
      <c r="B4" s="26" t="s">
        <v>11</v>
      </c>
      <c r="C4" s="27" t="s">
        <v>12</v>
      </c>
      <c r="D4" s="26" t="s">
        <v>13</v>
      </c>
      <c r="E4" s="28"/>
      <c r="F4" s="26" t="s">
        <v>14</v>
      </c>
      <c r="G4" s="28"/>
      <c r="H4" s="29" t="s">
        <v>15</v>
      </c>
      <c r="J4" s="11">
        <v>45660</v>
      </c>
      <c r="K4" s="30">
        <v>97.6800000000003</v>
      </c>
      <c r="L4" s="13">
        <v>4.08728899999999</v>
      </c>
      <c r="M4" s="13">
        <v>2</v>
      </c>
      <c r="N4" s="14"/>
      <c r="O4" s="13">
        <v>11894.9999999998</v>
      </c>
      <c r="P4" s="13">
        <v>605.119999999995</v>
      </c>
      <c r="Q4" s="11">
        <v>46025</v>
      </c>
      <c r="R4" s="15">
        <v>112.130000000001</v>
      </c>
      <c r="S4" s="15">
        <v>4.81618299999996</v>
      </c>
      <c r="T4" s="15">
        <v>1.5</v>
      </c>
      <c r="U4" s="16">
        <v>0</v>
      </c>
      <c r="V4" s="15">
        <v>12629.9999999994</v>
      </c>
      <c r="W4" s="15">
        <v>729.48000000001</v>
      </c>
    </row>
    <row r="5" ht="29" customHeight="1" spans="1:23">
      <c r="A5" s="31"/>
      <c r="B5" s="32"/>
      <c r="C5" s="33"/>
      <c r="D5" s="34" t="s">
        <v>16</v>
      </c>
      <c r="E5" s="34" t="s">
        <v>17</v>
      </c>
      <c r="F5" s="34" t="s">
        <v>18</v>
      </c>
      <c r="G5" s="34" t="s">
        <v>17</v>
      </c>
      <c r="H5" s="35"/>
      <c r="J5" s="11">
        <v>45661</v>
      </c>
      <c r="K5" s="36">
        <v>97.0399999999991</v>
      </c>
      <c r="L5" s="13">
        <v>3.91851300000001</v>
      </c>
      <c r="M5" s="13">
        <v>2.30000000000001</v>
      </c>
      <c r="N5" s="14"/>
      <c r="O5" s="13">
        <v>11730.0000000002</v>
      </c>
      <c r="P5" s="13">
        <v>537.360000000001</v>
      </c>
      <c r="Q5" s="11">
        <v>46026</v>
      </c>
      <c r="R5" s="15">
        <v>111.699999999997</v>
      </c>
      <c r="S5" s="15">
        <v>4.15230599999998</v>
      </c>
      <c r="T5" s="15">
        <v>1.5</v>
      </c>
      <c r="U5" s="24">
        <v>0</v>
      </c>
      <c r="V5" s="15">
        <v>11580.0000000004</v>
      </c>
      <c r="W5" s="15">
        <v>570.75999999998</v>
      </c>
    </row>
    <row r="6" ht="29" customHeight="1" spans="1:23">
      <c r="A6" s="37" t="s">
        <v>19</v>
      </c>
      <c r="B6" s="38" t="s">
        <v>20</v>
      </c>
      <c r="C6" s="39" t="s">
        <v>21</v>
      </c>
      <c r="D6" s="40">
        <v>0.7888</v>
      </c>
      <c r="E6" s="41">
        <v>0.7888</v>
      </c>
      <c r="F6" s="40">
        <v>0.7888</v>
      </c>
      <c r="G6" s="41">
        <v>0.7888</v>
      </c>
      <c r="H6" s="35"/>
      <c r="J6" s="11">
        <v>45662</v>
      </c>
      <c r="K6" s="30">
        <v>97.6800000000003</v>
      </c>
      <c r="L6" s="13">
        <v>4.05094999999998</v>
      </c>
      <c r="M6" s="13">
        <v>2.19999999999999</v>
      </c>
      <c r="N6" s="14"/>
      <c r="O6" s="13">
        <v>11369.9999999999</v>
      </c>
      <c r="P6" s="13">
        <v>543.240000000005</v>
      </c>
      <c r="Q6" s="11">
        <v>46027</v>
      </c>
      <c r="R6" s="15">
        <v>110.970000000001</v>
      </c>
      <c r="S6" s="15">
        <v>4.70972700000007</v>
      </c>
      <c r="T6" s="15">
        <v>1.5</v>
      </c>
      <c r="U6" s="16">
        <v>0</v>
      </c>
      <c r="V6" s="15">
        <v>12135.0000000002</v>
      </c>
      <c r="W6" s="15">
        <v>703.440000000002</v>
      </c>
    </row>
    <row r="7" ht="29" customHeight="1" spans="1:23">
      <c r="A7" s="37" t="s">
        <v>22</v>
      </c>
      <c r="B7" s="38" t="s">
        <v>23</v>
      </c>
      <c r="C7" s="39" t="s">
        <v>24</v>
      </c>
      <c r="D7" s="40">
        <v>21963.94</v>
      </c>
      <c r="E7" s="41">
        <v>21963.94</v>
      </c>
      <c r="F7" s="40">
        <v>20723.53</v>
      </c>
      <c r="G7" s="41">
        <f>F7</f>
        <v>20723.53</v>
      </c>
      <c r="H7" s="35"/>
      <c r="J7" s="11">
        <v>45663</v>
      </c>
      <c r="K7" s="30">
        <v>97.8899999999994</v>
      </c>
      <c r="L7" s="13">
        <v>4.05271799999999</v>
      </c>
      <c r="M7" s="13">
        <v>2.5</v>
      </c>
      <c r="N7" s="14"/>
      <c r="O7" s="13">
        <v>12360</v>
      </c>
      <c r="P7" s="13">
        <v>599.959999999992</v>
      </c>
      <c r="Q7" s="11">
        <v>46028</v>
      </c>
      <c r="R7" s="15">
        <v>109.060000000001</v>
      </c>
      <c r="S7" s="15">
        <v>4.73993699999992</v>
      </c>
      <c r="T7" s="15">
        <v>1.5</v>
      </c>
      <c r="U7" s="24">
        <v>0</v>
      </c>
      <c r="V7" s="15">
        <v>11129.9999999994</v>
      </c>
      <c r="W7" s="15">
        <v>628.200000000012</v>
      </c>
    </row>
    <row r="8" ht="29" customHeight="1" spans="1:23">
      <c r="A8" s="37" t="s">
        <v>25</v>
      </c>
      <c r="B8" s="38" t="s">
        <v>23</v>
      </c>
      <c r="C8" s="39" t="s">
        <v>26</v>
      </c>
      <c r="D8" s="42">
        <v>21963.94</v>
      </c>
      <c r="E8" s="43">
        <v>21963.94</v>
      </c>
      <c r="F8" s="42">
        <f>F7</f>
        <v>20723.53</v>
      </c>
      <c r="G8" s="43">
        <f>F8</f>
        <v>20723.53</v>
      </c>
      <c r="H8" s="35"/>
      <c r="J8" s="11">
        <v>45664</v>
      </c>
      <c r="K8" s="30">
        <v>102.18</v>
      </c>
      <c r="L8" s="13">
        <v>4.01511600000001</v>
      </c>
      <c r="M8" s="13">
        <v>6</v>
      </c>
      <c r="N8" s="14"/>
      <c r="O8" s="13">
        <v>13304.9999999998</v>
      </c>
      <c r="P8" s="13">
        <v>593.720000000001</v>
      </c>
      <c r="Q8" s="11">
        <v>46029</v>
      </c>
      <c r="R8" s="15">
        <v>108.57</v>
      </c>
      <c r="S8" s="15">
        <v>4.65418000000005</v>
      </c>
      <c r="T8" s="15">
        <v>1</v>
      </c>
      <c r="U8" s="16">
        <v>0</v>
      </c>
      <c r="V8" s="15">
        <v>12165.0000000002</v>
      </c>
      <c r="W8" s="15">
        <v>704.440000000002</v>
      </c>
    </row>
    <row r="9" ht="29" customHeight="1" spans="1:23">
      <c r="A9" s="44" t="s">
        <v>27</v>
      </c>
      <c r="B9" s="34" t="s">
        <v>28</v>
      </c>
      <c r="C9" s="45" t="s">
        <v>29</v>
      </c>
      <c r="D9" s="46">
        <f>L36</f>
        <v>3323.449747</v>
      </c>
      <c r="E9" s="47">
        <f>L40</f>
        <v>3323.449747</v>
      </c>
      <c r="F9" s="48">
        <f>S36</f>
        <v>3609.56501600001</v>
      </c>
      <c r="G9" s="47">
        <f>S40</f>
        <v>3609.56501600001</v>
      </c>
      <c r="H9" s="49"/>
      <c r="J9" s="11">
        <v>45665</v>
      </c>
      <c r="K9" s="50">
        <v>106.890000000001</v>
      </c>
      <c r="L9" s="51">
        <v>4.03568700000001</v>
      </c>
      <c r="M9" s="51">
        <v>2</v>
      </c>
      <c r="N9" s="14"/>
      <c r="O9" s="13">
        <v>13785.0000000001</v>
      </c>
      <c r="P9" s="51">
        <v>626.48000000001</v>
      </c>
      <c r="Q9" s="11">
        <v>46030</v>
      </c>
      <c r="R9" s="52">
        <v>109.189999999999</v>
      </c>
      <c r="S9" s="52">
        <v>4.66242500000005</v>
      </c>
      <c r="T9" s="52">
        <v>1.5</v>
      </c>
      <c r="U9" s="24">
        <v>0</v>
      </c>
      <c r="V9" s="52">
        <v>12989.9999999998</v>
      </c>
      <c r="W9" s="52">
        <v>692.479999999981</v>
      </c>
    </row>
    <row r="10" ht="29" customHeight="1" spans="1:23">
      <c r="A10" s="44" t="s">
        <v>30</v>
      </c>
      <c r="B10" s="34" t="s">
        <v>31</v>
      </c>
      <c r="C10" s="45" t="s">
        <v>32</v>
      </c>
      <c r="D10" s="32">
        <f>N36</f>
        <v>83</v>
      </c>
      <c r="E10" s="53">
        <f>N40</f>
        <v>83</v>
      </c>
      <c r="F10" s="32">
        <f>U36</f>
        <v>49</v>
      </c>
      <c r="G10" s="53">
        <f>U40</f>
        <v>49</v>
      </c>
      <c r="H10" s="49"/>
      <c r="J10" s="11">
        <v>45666</v>
      </c>
      <c r="K10" s="50">
        <v>108.049999999999</v>
      </c>
      <c r="L10" s="51">
        <v>4.68241800000001</v>
      </c>
      <c r="M10" s="51">
        <v>3</v>
      </c>
      <c r="N10" s="14"/>
      <c r="O10" s="13">
        <v>14820.0000000002</v>
      </c>
      <c r="P10" s="51">
        <v>794.37999999999</v>
      </c>
      <c r="Q10" s="11">
        <v>46031</v>
      </c>
      <c r="R10" s="52">
        <v>109.16</v>
      </c>
      <c r="S10" s="52">
        <v>5.04795699999994</v>
      </c>
      <c r="T10" s="52">
        <v>1.5</v>
      </c>
      <c r="U10" s="16">
        <v>0</v>
      </c>
      <c r="V10" s="52">
        <v>11700.0000000003</v>
      </c>
      <c r="W10" s="52">
        <v>636.119999999995</v>
      </c>
    </row>
    <row r="11" ht="29" customHeight="1" spans="1:23">
      <c r="A11" s="44" t="s">
        <v>33</v>
      </c>
      <c r="B11" s="34" t="s">
        <v>34</v>
      </c>
      <c r="C11" s="45" t="s">
        <v>35</v>
      </c>
      <c r="D11" s="32">
        <f>P36</f>
        <v>428110.24</v>
      </c>
      <c r="E11" s="53">
        <f>P40</f>
        <v>428110.24</v>
      </c>
      <c r="F11" s="32">
        <f>W36</f>
        <v>462809.08</v>
      </c>
      <c r="G11" s="47">
        <f>W40</f>
        <v>462809.08</v>
      </c>
      <c r="H11" s="49"/>
      <c r="J11" s="11">
        <v>45667</v>
      </c>
      <c r="K11" s="50">
        <v>125.43</v>
      </c>
      <c r="L11" s="51">
        <v>3.37660999999999</v>
      </c>
      <c r="M11" s="51">
        <v>4.5</v>
      </c>
      <c r="N11" s="14"/>
      <c r="O11" s="13">
        <v>18059.9999999999</v>
      </c>
      <c r="P11" s="51">
        <v>503.059999999998</v>
      </c>
      <c r="Q11" s="11">
        <v>46032</v>
      </c>
      <c r="R11" s="52">
        <v>110.18</v>
      </c>
      <c r="S11" s="52">
        <v>4.29811600000004</v>
      </c>
      <c r="T11" s="52">
        <v>1.5</v>
      </c>
      <c r="U11" s="24">
        <v>0</v>
      </c>
      <c r="V11" s="52">
        <v>13500</v>
      </c>
      <c r="W11" s="52">
        <v>773.48000000001</v>
      </c>
    </row>
    <row r="12" ht="29" customHeight="1" spans="1:23">
      <c r="A12" s="54" t="s">
        <v>36</v>
      </c>
      <c r="B12" s="55" t="s">
        <v>34</v>
      </c>
      <c r="C12" s="45" t="s">
        <v>37</v>
      </c>
      <c r="D12" s="56">
        <f>D11</f>
        <v>428110.24</v>
      </c>
      <c r="E12" s="57">
        <f>E11</f>
        <v>428110.24</v>
      </c>
      <c r="F12" s="58">
        <f>F11</f>
        <v>462809.08</v>
      </c>
      <c r="G12" s="59">
        <f>G11</f>
        <v>462809.08</v>
      </c>
      <c r="H12" s="60" t="s">
        <v>69</v>
      </c>
      <c r="J12" s="11">
        <v>45668</v>
      </c>
      <c r="K12" s="50">
        <v>110.539999999999</v>
      </c>
      <c r="L12" s="51">
        <v>4.24457000000001</v>
      </c>
      <c r="M12" s="51">
        <v>1.89999999999998</v>
      </c>
      <c r="N12" s="14"/>
      <c r="O12" s="13">
        <v>14955</v>
      </c>
      <c r="P12" s="51">
        <v>683</v>
      </c>
      <c r="Q12" s="11">
        <v>46033</v>
      </c>
      <c r="R12" s="52">
        <v>112.470000000001</v>
      </c>
      <c r="S12" s="52">
        <v>4.584125</v>
      </c>
      <c r="T12" s="52">
        <v>1.5</v>
      </c>
      <c r="U12" s="16">
        <v>0</v>
      </c>
      <c r="V12" s="52">
        <v>14220</v>
      </c>
      <c r="W12" s="52">
        <v>765.880000000005</v>
      </c>
    </row>
    <row r="13" ht="29" customHeight="1" spans="1:23">
      <c r="A13" s="37" t="s">
        <v>38</v>
      </c>
      <c r="B13" s="61" t="s">
        <v>39</v>
      </c>
      <c r="C13" s="39" t="s">
        <v>42</v>
      </c>
      <c r="D13" s="42">
        <f t="shared" ref="D13:G13" si="0">D11/D9</f>
        <v>128.815018306338</v>
      </c>
      <c r="E13" s="43">
        <f>E12/E9</f>
        <v>128.815018306338</v>
      </c>
      <c r="F13" s="42">
        <f t="shared" si="0"/>
        <v>128.217410670959</v>
      </c>
      <c r="G13" s="43">
        <f t="shared" si="0"/>
        <v>128.217410670959</v>
      </c>
      <c r="H13" s="49"/>
      <c r="J13" s="11">
        <v>45669</v>
      </c>
      <c r="K13" s="50">
        <v>108.940000000001</v>
      </c>
      <c r="L13" s="51">
        <v>4.226682</v>
      </c>
      <c r="M13" s="51">
        <v>2.80000000000007</v>
      </c>
      <c r="N13" s="14"/>
      <c r="O13" s="13">
        <v>14789.9999999999</v>
      </c>
      <c r="P13" s="51">
        <v>667.360000000001</v>
      </c>
      <c r="Q13" s="11">
        <v>46034</v>
      </c>
      <c r="R13" s="52">
        <v>119.439999999999</v>
      </c>
      <c r="S13" s="52">
        <v>4.745071</v>
      </c>
      <c r="T13" s="52">
        <v>2</v>
      </c>
      <c r="U13" s="24">
        <v>0</v>
      </c>
      <c r="V13" s="52">
        <v>13260.0000000002</v>
      </c>
      <c r="W13" s="52">
        <v>656.279999999999</v>
      </c>
    </row>
    <row r="14" ht="29" customHeight="1" spans="1:23">
      <c r="A14" s="37" t="s">
        <v>40</v>
      </c>
      <c r="B14" s="38" t="s">
        <v>41</v>
      </c>
      <c r="C14" s="39" t="s">
        <v>44</v>
      </c>
      <c r="D14" s="62">
        <f>D9*1000/(D11*3.6)</f>
        <v>2.15640832435538</v>
      </c>
      <c r="E14" s="63">
        <f>E9*1000/(E12*3.6)</f>
        <v>2.15640832435538</v>
      </c>
      <c r="F14" s="62">
        <f>F9*1000/(F11*3.6)</f>
        <v>2.16645911287845</v>
      </c>
      <c r="G14" s="63">
        <f>G9*1000/(G12*3.6)</f>
        <v>2.16645911287845</v>
      </c>
      <c r="H14" s="49"/>
      <c r="J14" s="11">
        <v>45670</v>
      </c>
      <c r="K14" s="50">
        <v>64.65</v>
      </c>
      <c r="L14" s="51">
        <v>4.39097200000001</v>
      </c>
      <c r="M14" s="51">
        <v>1.79999999999995</v>
      </c>
      <c r="N14" s="14"/>
      <c r="O14" s="13">
        <v>15240.0000000001</v>
      </c>
      <c r="P14" s="51">
        <v>660.880000000005</v>
      </c>
      <c r="Q14" s="11">
        <v>46035</v>
      </c>
      <c r="R14" s="52">
        <v>117.48</v>
      </c>
      <c r="S14" s="52">
        <v>4.34935199999996</v>
      </c>
      <c r="T14" s="52">
        <v>1</v>
      </c>
      <c r="U14" s="16">
        <v>0</v>
      </c>
      <c r="V14" s="52">
        <v>14144.9999999998</v>
      </c>
      <c r="W14" s="52">
        <v>684.799999999988</v>
      </c>
    </row>
    <row r="15" ht="29" customHeight="1" spans="1:23">
      <c r="A15" s="37" t="s">
        <v>43</v>
      </c>
      <c r="B15" s="38" t="s">
        <v>41</v>
      </c>
      <c r="C15" s="39" t="s">
        <v>47</v>
      </c>
      <c r="D15" s="62">
        <f>D9/3.6/D6/720</f>
        <v>1.62550091080294</v>
      </c>
      <c r="E15" s="63">
        <f>E9/3.6/E6/2880</f>
        <v>0.406375227700734</v>
      </c>
      <c r="F15" s="62">
        <f>F9/3.6/F6/720</f>
        <v>1.76544003001903</v>
      </c>
      <c r="G15" s="63">
        <f>G9/3.6/G6/2904</f>
        <v>0.437712404136951</v>
      </c>
      <c r="H15" s="49"/>
      <c r="J15" s="11">
        <v>45671</v>
      </c>
      <c r="K15" s="50">
        <v>113.91</v>
      </c>
      <c r="L15" s="51">
        <v>4.06334</v>
      </c>
      <c r="M15" s="51">
        <v>2</v>
      </c>
      <c r="N15" s="14"/>
      <c r="O15" s="13">
        <v>14309.9999999999</v>
      </c>
      <c r="P15" s="51">
        <v>592.240000000005</v>
      </c>
      <c r="Q15" s="11">
        <v>46036</v>
      </c>
      <c r="R15" s="52">
        <v>112.560000000001</v>
      </c>
      <c r="S15" s="52">
        <v>5.19835200000007</v>
      </c>
      <c r="T15" s="52">
        <v>1.5</v>
      </c>
      <c r="U15" s="24">
        <v>0</v>
      </c>
      <c r="V15" s="52">
        <v>13605.0000000002</v>
      </c>
      <c r="W15" s="52">
        <v>779.880000000005</v>
      </c>
    </row>
    <row r="16" ht="29" customHeight="1" spans="1:23">
      <c r="A16" s="37" t="s">
        <v>45</v>
      </c>
      <c r="B16" s="38" t="s">
        <v>46</v>
      </c>
      <c r="C16" s="39" t="s">
        <v>50</v>
      </c>
      <c r="D16" s="42">
        <f>D9*1000000000/92/3600/D8</f>
        <v>456.865684943127</v>
      </c>
      <c r="E16" s="43">
        <f>E9*1000000000/2252/3600/E8</f>
        <v>18.6641398822237</v>
      </c>
      <c r="F16" s="42">
        <f>F9*1000000000/104/3600/F8</f>
        <v>465.216698161689</v>
      </c>
      <c r="G16" s="43">
        <f>G9*1000000000/2288/3600/G8</f>
        <v>21.1462135528041</v>
      </c>
      <c r="H16" s="49"/>
      <c r="J16" s="11">
        <v>45672</v>
      </c>
      <c r="K16" s="50">
        <v>117.609999999999</v>
      </c>
      <c r="L16" s="51">
        <v>4.262603</v>
      </c>
      <c r="M16" s="51">
        <v>3</v>
      </c>
      <c r="N16" s="14"/>
      <c r="O16" s="13">
        <v>15705</v>
      </c>
      <c r="P16" s="51">
        <v>662.559999999998</v>
      </c>
      <c r="Q16" s="11">
        <v>46037</v>
      </c>
      <c r="R16" s="52">
        <v>64.65</v>
      </c>
      <c r="S16" s="52">
        <v>4.70504299999995</v>
      </c>
      <c r="T16" s="52">
        <v>3</v>
      </c>
      <c r="U16" s="16">
        <v>0</v>
      </c>
      <c r="V16" s="52">
        <v>12134.9999999995</v>
      </c>
      <c r="W16" s="52">
        <v>692.600000000006</v>
      </c>
    </row>
    <row r="17" ht="29" customHeight="1" spans="1:23">
      <c r="A17" s="64" t="s">
        <v>48</v>
      </c>
      <c r="B17" s="65" t="s">
        <v>49</v>
      </c>
      <c r="C17" s="39" t="s">
        <v>53</v>
      </c>
      <c r="D17" s="42">
        <f t="shared" ref="D17:G17" si="1">D11/D8</f>
        <v>19.491504711814</v>
      </c>
      <c r="E17" s="43">
        <f>E12/E8</f>
        <v>19.491504711814</v>
      </c>
      <c r="F17" s="42">
        <f t="shared" si="1"/>
        <v>22.3325408364309</v>
      </c>
      <c r="G17" s="43">
        <f t="shared" si="1"/>
        <v>22.3325408364309</v>
      </c>
      <c r="H17" s="66"/>
      <c r="J17" s="11">
        <v>45673</v>
      </c>
      <c r="K17" s="50">
        <v>101.400000000001</v>
      </c>
      <c r="L17" s="51">
        <v>4.06909299999999</v>
      </c>
      <c r="M17" s="51">
        <v>3.5</v>
      </c>
      <c r="N17" s="14"/>
      <c r="O17" s="13">
        <v>12449.9999999999</v>
      </c>
      <c r="P17" s="51">
        <v>601.639999999999</v>
      </c>
      <c r="Q17" s="11">
        <v>46038</v>
      </c>
      <c r="R17" s="52">
        <v>111.98</v>
      </c>
      <c r="S17" s="52">
        <v>4.71664399999997</v>
      </c>
      <c r="T17" s="52">
        <v>4.5</v>
      </c>
      <c r="U17" s="24">
        <v>0</v>
      </c>
      <c r="V17" s="52">
        <v>14445.0000000002</v>
      </c>
      <c r="W17" s="52">
        <v>736.279999999999</v>
      </c>
    </row>
    <row r="18" ht="29" customHeight="1" spans="1:23">
      <c r="A18" s="67" t="s">
        <v>51</v>
      </c>
      <c r="B18" s="68" t="s">
        <v>52</v>
      </c>
      <c r="C18" s="69" t="s">
        <v>67</v>
      </c>
      <c r="D18" s="70">
        <f t="shared" ref="D18:G18" si="2">D10*1000/D8</f>
        <v>3.77892126822419</v>
      </c>
      <c r="E18" s="71">
        <f t="shared" si="2"/>
        <v>3.77892126822419</v>
      </c>
      <c r="F18" s="70">
        <f t="shared" si="2"/>
        <v>2.36446203904451</v>
      </c>
      <c r="G18" s="71">
        <f t="shared" si="2"/>
        <v>2.36446203904451</v>
      </c>
      <c r="H18" s="72"/>
      <c r="J18" s="11">
        <v>45674</v>
      </c>
      <c r="K18" s="50">
        <v>103.629999999999</v>
      </c>
      <c r="L18" s="51">
        <v>4.11843699999998</v>
      </c>
      <c r="M18" s="51">
        <v>3</v>
      </c>
      <c r="N18" s="14"/>
      <c r="O18" s="13">
        <v>12600.0000000001</v>
      </c>
      <c r="P18" s="51">
        <v>592.599999999991</v>
      </c>
      <c r="Q18" s="11">
        <v>46039</v>
      </c>
      <c r="R18" s="52">
        <v>112.59</v>
      </c>
      <c r="S18" s="52">
        <v>4.84644000000006</v>
      </c>
      <c r="T18" s="52">
        <v>1.10000000000002</v>
      </c>
      <c r="U18" s="16">
        <v>0</v>
      </c>
      <c r="V18" s="52">
        <v>14714.9999999999</v>
      </c>
      <c r="W18" s="52">
        <v>760.399999999994</v>
      </c>
    </row>
    <row r="19" ht="15.5" spans="1:23">
      <c r="A19" s="10" t="s">
        <v>54</v>
      </c>
      <c r="B19" s="73"/>
      <c r="C19" s="74" t="s">
        <v>55</v>
      </c>
      <c r="D19" s="73"/>
      <c r="E19" s="73"/>
      <c r="F19" s="73" t="s">
        <v>56</v>
      </c>
      <c r="G19" s="73"/>
      <c r="H19" s="73"/>
      <c r="J19" s="11">
        <v>45675</v>
      </c>
      <c r="K19" s="75">
        <v>106.85</v>
      </c>
      <c r="L19" s="75">
        <v>3.947527</v>
      </c>
      <c r="M19" s="75">
        <v>4.5</v>
      </c>
      <c r="N19" s="76"/>
      <c r="O19" s="77">
        <v>13109.9999999997</v>
      </c>
      <c r="P19" s="75">
        <v>555.240000000005</v>
      </c>
      <c r="Q19" s="11">
        <v>46040</v>
      </c>
      <c r="R19" s="78">
        <v>111.990000000002</v>
      </c>
      <c r="S19" s="78">
        <v>4.96358999999997</v>
      </c>
      <c r="T19" s="78">
        <v>4.39999999999998</v>
      </c>
      <c r="U19" s="24">
        <v>0</v>
      </c>
      <c r="V19" s="78">
        <v>15195.0000000002</v>
      </c>
      <c r="W19" s="78">
        <v>816.24000000002</v>
      </c>
    </row>
    <row r="20" ht="15" spans="1:23">
      <c r="A20" s="10" t="s">
        <v>57</v>
      </c>
      <c r="B20" s="79"/>
      <c r="C20" s="79"/>
      <c r="D20" s="79"/>
      <c r="E20" s="79"/>
      <c r="F20" s="79"/>
      <c r="J20" s="11">
        <v>45676</v>
      </c>
      <c r="K20" s="80">
        <v>96.5100000000002</v>
      </c>
      <c r="L20" s="80">
        <v>4.16820900000003</v>
      </c>
      <c r="M20" s="80">
        <v>2</v>
      </c>
      <c r="N20" s="81"/>
      <c r="O20" s="82">
        <v>10740.0000000001</v>
      </c>
      <c r="P20" s="80">
        <v>573.559999999998</v>
      </c>
      <c r="Q20" s="11">
        <v>46041</v>
      </c>
      <c r="R20" s="83">
        <v>118.34</v>
      </c>
      <c r="S20" s="83">
        <v>5.32308799999999</v>
      </c>
      <c r="T20" s="83">
        <v>1.39999999999998</v>
      </c>
      <c r="U20" s="16">
        <v>0</v>
      </c>
      <c r="V20" s="83">
        <v>17220</v>
      </c>
      <c r="W20" s="83">
        <v>963.399999999994</v>
      </c>
    </row>
    <row r="21" ht="15.5" spans="1:23">
      <c r="A21" s="84" t="s">
        <v>58</v>
      </c>
      <c r="B21" s="17"/>
      <c r="C21" s="17"/>
      <c r="D21" s="17"/>
      <c r="E21" s="17"/>
      <c r="F21" s="17"/>
      <c r="J21" s="11">
        <v>45677</v>
      </c>
      <c r="K21" s="50">
        <v>96.7299999999996</v>
      </c>
      <c r="L21" s="50">
        <v>4.15815899999999</v>
      </c>
      <c r="M21" s="50">
        <v>2.89999999999998</v>
      </c>
      <c r="N21" s="85"/>
      <c r="O21" s="30">
        <v>11190.0000000001</v>
      </c>
      <c r="P21" s="50">
        <v>557.760000000009</v>
      </c>
      <c r="Q21" s="11">
        <v>46042</v>
      </c>
      <c r="R21" s="86">
        <v>112.939999999999</v>
      </c>
      <c r="S21" s="86">
        <v>5.11961499999999</v>
      </c>
      <c r="T21" s="86">
        <v>0.600000000000023</v>
      </c>
      <c r="U21" s="24">
        <v>0</v>
      </c>
      <c r="V21" s="86">
        <v>16125</v>
      </c>
      <c r="W21" s="86">
        <v>909.039999999979</v>
      </c>
    </row>
    <row r="22" ht="15" spans="1:23">
      <c r="A22" s="79" t="s">
        <v>70</v>
      </c>
      <c r="B22" s="10"/>
      <c r="C22" s="10"/>
      <c r="D22" s="10"/>
      <c r="E22" s="10"/>
      <c r="F22" s="10"/>
      <c r="J22" s="11">
        <v>45678</v>
      </c>
      <c r="K22" s="87">
        <v>99.7299999999996</v>
      </c>
      <c r="L22" s="87">
        <v>4.235663</v>
      </c>
      <c r="M22" s="87">
        <v>2.60000000000002</v>
      </c>
      <c r="N22" s="88"/>
      <c r="O22" s="12">
        <v>10934.9999999999</v>
      </c>
      <c r="P22" s="87">
        <v>575</v>
      </c>
      <c r="Q22" s="11">
        <v>46043</v>
      </c>
      <c r="R22" s="89">
        <v>118.710000000003</v>
      </c>
      <c r="S22" s="89">
        <v>5.30405900000001</v>
      </c>
      <c r="T22" s="89">
        <v>1.5</v>
      </c>
      <c r="U22" s="16">
        <v>0</v>
      </c>
      <c r="V22" s="89">
        <v>17744.9999999999</v>
      </c>
      <c r="W22" s="89">
        <v>991.080000000016</v>
      </c>
    </row>
    <row r="23" ht="15.5" spans="1:23">
      <c r="A23" s="79" t="s">
        <v>71</v>
      </c>
      <c r="B23" s="74"/>
      <c r="C23" s="74"/>
      <c r="D23" s="74"/>
      <c r="E23" s="74"/>
      <c r="F23" s="74"/>
      <c r="J23" s="11">
        <v>45679</v>
      </c>
      <c r="K23" s="90">
        <v>99.6000000000004</v>
      </c>
      <c r="L23" s="90">
        <v>4.20385600000003</v>
      </c>
      <c r="M23" s="90">
        <v>1.5</v>
      </c>
      <c r="N23" s="91"/>
      <c r="O23" s="6">
        <v>11835.0000000001</v>
      </c>
      <c r="P23" s="90">
        <v>577</v>
      </c>
      <c r="Q23" s="11">
        <v>46044</v>
      </c>
      <c r="R23" s="92">
        <v>113.59</v>
      </c>
      <c r="S23" s="92">
        <v>5.08888100000005</v>
      </c>
      <c r="T23" s="92">
        <v>1</v>
      </c>
      <c r="U23" s="24">
        <v>0</v>
      </c>
      <c r="V23" s="92">
        <v>15720</v>
      </c>
      <c r="W23" s="92">
        <v>900.079999999987</v>
      </c>
    </row>
    <row r="24" ht="15" spans="1:23">
      <c r="A24" s="79" t="s">
        <v>61</v>
      </c>
      <c r="B24" s="74"/>
      <c r="C24" s="74"/>
      <c r="D24" s="74"/>
      <c r="E24" s="74"/>
      <c r="F24" s="74"/>
      <c r="J24" s="11">
        <v>45680</v>
      </c>
      <c r="K24" s="90">
        <v>99.2600000000002</v>
      </c>
      <c r="L24" s="90">
        <v>4.31242299999995</v>
      </c>
      <c r="M24" s="90">
        <v>3</v>
      </c>
      <c r="N24" s="91"/>
      <c r="O24" s="6">
        <v>11909.9999999997</v>
      </c>
      <c r="P24" s="90">
        <v>617.319999999992</v>
      </c>
      <c r="Q24" s="11">
        <v>46045</v>
      </c>
      <c r="R24" s="92">
        <v>117.049999999999</v>
      </c>
      <c r="S24" s="92">
        <v>5.283527</v>
      </c>
      <c r="T24" s="92">
        <v>1</v>
      </c>
      <c r="U24" s="16">
        <v>0</v>
      </c>
      <c r="V24" s="92">
        <v>16530</v>
      </c>
      <c r="W24" s="92">
        <v>904.279999999999</v>
      </c>
    </row>
    <row r="25" ht="15.5" spans="1:23">
      <c r="J25" s="11">
        <v>45681</v>
      </c>
      <c r="K25" s="90">
        <v>102.02</v>
      </c>
      <c r="L25" s="90">
        <v>4.24874300000002</v>
      </c>
      <c r="M25" s="90">
        <v>1.5</v>
      </c>
      <c r="N25" s="91"/>
      <c r="O25" s="6">
        <v>11520.0000000001</v>
      </c>
      <c r="P25" s="90">
        <v>562.479999999996</v>
      </c>
      <c r="Q25" s="11">
        <v>46046</v>
      </c>
      <c r="R25" s="92">
        <v>107.309999999998</v>
      </c>
      <c r="S25" s="92">
        <v>5.08267599999998</v>
      </c>
      <c r="T25" s="92">
        <v>1.5</v>
      </c>
      <c r="U25" s="24">
        <v>0</v>
      </c>
      <c r="V25" s="92">
        <v>14399.9999999999</v>
      </c>
      <c r="W25" s="92">
        <v>822.440000000002</v>
      </c>
    </row>
    <row r="26" ht="15" spans="1:23">
      <c r="J26" s="11">
        <v>45682</v>
      </c>
      <c r="K26" s="90">
        <v>94.9599999999991</v>
      </c>
      <c r="L26" s="90">
        <v>4.16863199999998</v>
      </c>
      <c r="M26" s="90">
        <v>1.5</v>
      </c>
      <c r="N26" s="91"/>
      <c r="O26" s="6">
        <v>10830</v>
      </c>
      <c r="P26" s="90">
        <v>546.600000000006</v>
      </c>
      <c r="Q26" s="11">
        <v>46047</v>
      </c>
      <c r="R26" s="92">
        <v>123.300000000003</v>
      </c>
      <c r="S26" s="92">
        <v>5.00567299999995</v>
      </c>
      <c r="T26" s="92">
        <v>2.5</v>
      </c>
      <c r="U26" s="16">
        <v>0</v>
      </c>
      <c r="V26" s="92">
        <v>15795.0000000003</v>
      </c>
      <c r="W26" s="92">
        <v>793.520000000019</v>
      </c>
    </row>
    <row r="27" ht="15.5" spans="1:23">
      <c r="J27" s="11">
        <v>45683</v>
      </c>
      <c r="K27" s="90">
        <v>102.309999999999</v>
      </c>
      <c r="L27" s="90">
        <v>4.10368000000005</v>
      </c>
      <c r="M27" s="90">
        <v>4.5</v>
      </c>
      <c r="N27" s="91"/>
      <c r="O27" s="6">
        <v>12570.0000000002</v>
      </c>
      <c r="P27" s="90">
        <v>564.839999999997</v>
      </c>
      <c r="Q27" s="11">
        <v>46048</v>
      </c>
      <c r="R27" s="92">
        <v>108.739999999998</v>
      </c>
      <c r="S27" s="92">
        <v>5.30825400000007</v>
      </c>
      <c r="T27" s="92">
        <v>0.100000000000023</v>
      </c>
      <c r="U27" s="24">
        <v>0</v>
      </c>
      <c r="V27" s="92">
        <v>14174.9999999997</v>
      </c>
      <c r="W27" s="92">
        <v>816.679999999993</v>
      </c>
    </row>
    <row r="28" ht="15" spans="1:23">
      <c r="J28" s="11">
        <v>45684</v>
      </c>
      <c r="K28" s="90">
        <v>109.230000000001</v>
      </c>
      <c r="L28" s="90">
        <v>5.12702399999998</v>
      </c>
      <c r="M28" s="90">
        <v>1.5</v>
      </c>
      <c r="N28" s="91"/>
      <c r="O28" s="6">
        <v>14729.9999999999</v>
      </c>
      <c r="P28" s="90">
        <v>697.760000000009</v>
      </c>
      <c r="Q28" s="11">
        <v>46049</v>
      </c>
      <c r="R28" s="92">
        <v>115.790000000001</v>
      </c>
      <c r="S28" s="92">
        <v>5.00371399999992</v>
      </c>
      <c r="T28" s="92">
        <v>0.899999999999977</v>
      </c>
      <c r="U28" s="16">
        <v>0</v>
      </c>
      <c r="V28" s="92">
        <v>15255.0000000001</v>
      </c>
      <c r="W28" s="92">
        <v>817.200000000012</v>
      </c>
    </row>
    <row r="29" ht="15.5" spans="1:23">
      <c r="J29" s="11">
        <v>45685</v>
      </c>
      <c r="K29" s="90">
        <v>112.359999999999</v>
      </c>
      <c r="L29" s="90">
        <v>3.67153499999997</v>
      </c>
      <c r="M29" s="90">
        <v>2.5</v>
      </c>
      <c r="N29" s="91"/>
      <c r="O29" s="6">
        <v>16244.9999999999</v>
      </c>
      <c r="P29" s="90">
        <v>730.279999999999</v>
      </c>
      <c r="Q29" s="11">
        <v>46050</v>
      </c>
      <c r="R29" s="92">
        <v>111.27</v>
      </c>
      <c r="S29" s="92">
        <v>5.17306500000006</v>
      </c>
      <c r="T29" s="92">
        <v>1.5</v>
      </c>
      <c r="U29" s="24">
        <v>0</v>
      </c>
      <c r="V29" s="92">
        <v>15135.0000000002</v>
      </c>
      <c r="W29" s="92">
        <v>854.079999999987</v>
      </c>
    </row>
    <row r="30" ht="15" spans="1:23">
      <c r="J30" s="11">
        <v>45686</v>
      </c>
      <c r="K30" s="90">
        <v>109.91</v>
      </c>
      <c r="L30" s="90">
        <v>4.51673300000001</v>
      </c>
      <c r="M30" s="90">
        <v>2</v>
      </c>
      <c r="N30" s="91"/>
      <c r="O30" s="6">
        <v>15464.9999999999</v>
      </c>
      <c r="P30" s="90">
        <v>773.839999999997</v>
      </c>
      <c r="Q30" s="11">
        <v>46051</v>
      </c>
      <c r="R30" s="92">
        <v>114.200000000001</v>
      </c>
      <c r="S30" s="92">
        <v>5.06168499999994</v>
      </c>
      <c r="T30" s="92">
        <v>1</v>
      </c>
      <c r="U30" s="93"/>
      <c r="V30" s="92">
        <v>14655</v>
      </c>
      <c r="W30" s="92">
        <v>787.839999999997</v>
      </c>
    </row>
    <row r="31" ht="15" spans="1:23">
      <c r="J31" s="11">
        <v>45687</v>
      </c>
      <c r="K31" s="90">
        <v>115.970000000001</v>
      </c>
      <c r="L31" s="90">
        <v>4.43209100000001</v>
      </c>
      <c r="M31" s="90">
        <v>3</v>
      </c>
      <c r="N31" s="91"/>
      <c r="O31" s="6">
        <v>15240.0000000001</v>
      </c>
      <c r="P31" s="90">
        <v>653.359999999986</v>
      </c>
      <c r="Q31" s="11">
        <v>46052</v>
      </c>
      <c r="R31" s="92">
        <v>110.179999999997</v>
      </c>
      <c r="S31" s="92">
        <v>5.179522</v>
      </c>
      <c r="T31" s="92">
        <v>1.5</v>
      </c>
      <c r="U31" s="93"/>
      <c r="V31" s="92">
        <v>14204.9999999997</v>
      </c>
      <c r="W31" s="92">
        <v>795.959999999992</v>
      </c>
    </row>
    <row r="32" ht="15" spans="1:23">
      <c r="J32" s="11">
        <v>45688</v>
      </c>
      <c r="K32" s="90">
        <v>109.289999999999</v>
      </c>
      <c r="L32" s="90">
        <v>4.55241700000002</v>
      </c>
      <c r="M32" s="90">
        <v>1.5</v>
      </c>
      <c r="N32" s="91"/>
      <c r="O32" s="6">
        <v>13680.0000000002</v>
      </c>
      <c r="P32" s="90">
        <v>709.920000000013</v>
      </c>
      <c r="Q32" s="11">
        <v>46053</v>
      </c>
      <c r="R32" s="92">
        <v>112.920000000002</v>
      </c>
      <c r="S32" s="92">
        <v>5.00240600000008</v>
      </c>
      <c r="T32" s="92">
        <v>1</v>
      </c>
      <c r="U32" s="93"/>
      <c r="V32" s="92">
        <v>15464.9999999999</v>
      </c>
      <c r="W32" s="92">
        <v>824.640000000014</v>
      </c>
    </row>
    <row r="33" ht="15" spans="10:23">
      <c r="J33" s="94"/>
      <c r="K33" s="90"/>
      <c r="L33" s="90"/>
      <c r="M33" s="90"/>
      <c r="N33" s="91"/>
      <c r="O33" s="6"/>
      <c r="P33" s="90"/>
      <c r="Q33" s="92"/>
      <c r="R33" s="92"/>
      <c r="S33" s="92"/>
      <c r="T33" s="92"/>
      <c r="U33" s="93"/>
      <c r="V33" s="92"/>
      <c r="W33" s="92"/>
    </row>
    <row r="34" ht="15" spans="10:23">
      <c r="J34" s="94"/>
      <c r="K34" s="90">
        <f>SUM(K2:K33)</f>
        <v>3194.03</v>
      </c>
      <c r="L34" s="90">
        <f>SUM(L2:L33)</f>
        <v>129.419747</v>
      </c>
      <c r="M34" s="90">
        <f>SUM(M2:M33)</f>
        <v>83</v>
      </c>
      <c r="N34" s="91">
        <f t="shared" ref="L34:W34" si="3">SUM(N2:N33)</f>
        <v>0</v>
      </c>
      <c r="O34" s="6">
        <f t="shared" si="3"/>
        <v>409020</v>
      </c>
      <c r="P34" s="6">
        <f t="shared" si="3"/>
        <v>19090.24</v>
      </c>
      <c r="Q34" s="92"/>
      <c r="R34" s="92">
        <f t="shared" si="3"/>
        <v>3457.77000000001</v>
      </c>
      <c r="S34" s="95">
        <f t="shared" si="3"/>
        <v>151.795016</v>
      </c>
      <c r="T34" s="92">
        <f t="shared" si="3"/>
        <v>49</v>
      </c>
      <c r="U34" s="93">
        <f t="shared" si="3"/>
        <v>0</v>
      </c>
      <c r="V34" s="92">
        <f t="shared" si="3"/>
        <v>438750</v>
      </c>
      <c r="W34" s="92">
        <f t="shared" si="3"/>
        <v>24059.08</v>
      </c>
    </row>
    <row r="35" ht="15" spans="10:23">
      <c r="J35" s="94"/>
      <c r="K35" s="90"/>
      <c r="L35" s="90"/>
      <c r="M35" s="90"/>
      <c r="N35" s="6"/>
      <c r="O35" s="6"/>
      <c r="P35" s="90"/>
      <c r="Q35" s="92"/>
      <c r="R35" s="92"/>
      <c r="S35" s="92"/>
      <c r="T35" s="92"/>
      <c r="U35" s="92"/>
      <c r="V35" s="92"/>
      <c r="W35" s="92"/>
    </row>
    <row r="36" ht="15" spans="10:23">
      <c r="J36" s="7" t="s">
        <v>18</v>
      </c>
      <c r="K36" s="96"/>
      <c r="L36" s="97">
        <f t="shared" ref="L36:P36" si="4">K34+L34</f>
        <v>3323.449747</v>
      </c>
      <c r="M36" s="98"/>
      <c r="N36" s="99">
        <f t="shared" si="4"/>
        <v>83</v>
      </c>
      <c r="O36" s="99"/>
      <c r="P36" s="98">
        <f t="shared" si="4"/>
        <v>428110.24</v>
      </c>
      <c r="Q36" s="100"/>
      <c r="R36" s="100"/>
      <c r="S36" s="101">
        <f t="shared" ref="S36:W36" si="5">R34+S34</f>
        <v>3609.56501600001</v>
      </c>
      <c r="T36" s="92"/>
      <c r="U36" s="100">
        <f t="shared" si="5"/>
        <v>49</v>
      </c>
      <c r="V36" s="92"/>
      <c r="W36" s="101">
        <f t="shared" si="5"/>
        <v>462809.08</v>
      </c>
    </row>
    <row r="37" ht="15" spans="10:23">
      <c r="J37" s="7"/>
      <c r="K37" s="96"/>
      <c r="L37" s="98"/>
      <c r="M37" s="98"/>
      <c r="N37" s="99"/>
      <c r="O37" s="99"/>
      <c r="P37" s="98"/>
      <c r="Q37" s="100"/>
      <c r="R37" s="100"/>
      <c r="S37" s="101"/>
      <c r="T37" s="92"/>
      <c r="U37" s="100"/>
      <c r="V37" s="92"/>
      <c r="W37" s="101"/>
    </row>
    <row r="38" ht="15" spans="10:23">
      <c r="J38" s="7" t="s">
        <v>62</v>
      </c>
      <c r="K38" s="96"/>
      <c r="L38" s="97">
        <v>0</v>
      </c>
      <c r="M38" s="98"/>
      <c r="N38" s="99">
        <v>0</v>
      </c>
      <c r="O38" s="99"/>
      <c r="P38" s="98">
        <v>0</v>
      </c>
      <c r="Q38" s="100"/>
      <c r="R38" s="100"/>
      <c r="S38" s="101">
        <v>0</v>
      </c>
      <c r="T38" s="92"/>
      <c r="U38" s="100">
        <v>0</v>
      </c>
      <c r="V38" s="92"/>
      <c r="W38" s="101">
        <v>0</v>
      </c>
    </row>
    <row r="39" ht="15" spans="10:23">
      <c r="J39" s="7"/>
      <c r="K39" s="96"/>
      <c r="L39" s="98"/>
      <c r="M39" s="98"/>
      <c r="N39" s="99"/>
      <c r="O39" s="99"/>
      <c r="P39" s="98"/>
      <c r="Q39" s="100"/>
      <c r="R39" s="100"/>
      <c r="S39" s="101"/>
      <c r="T39" s="92"/>
      <c r="U39" s="100"/>
      <c r="V39" s="92"/>
      <c r="W39" s="101"/>
    </row>
    <row r="40" ht="15" spans="10:23">
      <c r="J40" s="7" t="s">
        <v>63</v>
      </c>
      <c r="K40" s="96"/>
      <c r="L40" s="97">
        <f t="shared" ref="L40:P40" si="6">SUM(L36:L39)</f>
        <v>3323.449747</v>
      </c>
      <c r="M40" s="98"/>
      <c r="N40" s="99">
        <f t="shared" si="6"/>
        <v>83</v>
      </c>
      <c r="O40" s="99"/>
      <c r="P40" s="98">
        <f t="shared" si="6"/>
        <v>428110.24</v>
      </c>
      <c r="Q40" s="100"/>
      <c r="R40" s="100"/>
      <c r="S40" s="101">
        <f t="shared" ref="S40:W40" si="7">SUM(S36:S39)</f>
        <v>3609.56501600001</v>
      </c>
      <c r="T40" s="92"/>
      <c r="U40" s="100">
        <f t="shared" si="7"/>
        <v>49</v>
      </c>
      <c r="V40" s="92"/>
      <c r="W40" s="101">
        <f t="shared" si="7"/>
        <v>462809.08</v>
      </c>
    </row>
  </sheetData>
  <mergeCells count="15">
    <mergeCell ref="A1:F1"/>
    <mergeCell ref="K1:L1"/>
    <mergeCell ref="M1:N1"/>
    <mergeCell ref="O1:P1"/>
    <mergeCell ref="R1:S1"/>
    <mergeCell ref="T1:U1"/>
    <mergeCell ref="V1:W1"/>
    <mergeCell ref="D2:F2"/>
    <mergeCell ref="D3:F3"/>
    <mergeCell ref="D4:E4"/>
    <mergeCell ref="F4:G4"/>
    <mergeCell ref="A4:A5"/>
    <mergeCell ref="B4:B5"/>
    <mergeCell ref="C4:C5"/>
    <mergeCell ref="H4:H5"/>
  </mergeCells>
  <pageMargins left="0.75" right="0.75" top="1" bottom="1" header="0.5" footer="0.5"/>
  <pageSetup paperSize="9" scale="3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旅顺电锅炉房12月</vt:lpstr>
      <vt:lpstr>复洲湾电锅炉房12月</vt:lpstr>
      <vt:lpstr>碧流河空气源热泵12月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礻申  亻 山</cp:lastModifiedBy>
  <dcterms:created xsi:type="dcterms:W3CDTF">2006-09-16T00:00:00Z</dcterms:created>
  <dcterms:modified xsi:type="dcterms:W3CDTF">2026-02-01T06:46:37Z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B29A4B81D731488E8A89F741F1CD5969_13</vt:lpwstr>
  </property>
  <property fmtid="{D5CDD505-2E9C-101B-9397-08002B2CF9AE}" pid="4" name="CalculationRule">
    <vt:i4>0</vt:i4>
  </property>
</Properties>
</file>