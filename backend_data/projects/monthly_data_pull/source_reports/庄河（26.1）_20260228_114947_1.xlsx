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601"/>
  </bookViews>
  <sheets>
    <sheet name="庄河" sheetId="32" r:id="rId1"/>
  </sheets>
  <externalReferences>
    <externalReference r:id="rId2"/>
  </externalReferences>
  <definedNames>
    <definedName name="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<sst xmlns="http://schemas.openxmlformats.org/spreadsheetml/2006/main" count="72" uniqueCount="54">
  <si>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序号</t>
  </si>
  <si>
    <t>项  目</t>
  </si>
  <si>
    <t>计量单位</t>
  </si>
  <si>
    <t>本年计划</t>
  </si>
  <si>
    <t>本月计划</t>
  </si>
  <si>
    <t>上年同期</t>
  </si>
  <si>
    <t>本月实际</t>
  </si>
  <si>
    <t>本年累计</t>
  </si>
  <si>
    <t>年计划  完成率</t>
  </si>
  <si>
    <t>与月计划比较</t>
  </si>
  <si>
    <t>与上年同期比较</t>
  </si>
  <si>
    <t>差异</t>
  </si>
  <si>
    <t>%</t>
  </si>
  <si>
    <t>装机总容量</t>
  </si>
  <si>
    <t>兆瓦</t>
  </si>
  <si>
    <t>期末供热面积</t>
  </si>
  <si>
    <t>平方米</t>
  </si>
  <si>
    <t>实际平均供热面积</t>
  </si>
  <si>
    <t>供汽量</t>
  </si>
  <si>
    <t>吨</t>
  </si>
  <si>
    <t>供热量</t>
  </si>
  <si>
    <t>吉焦</t>
  </si>
  <si>
    <t>外购热</t>
  </si>
  <si>
    <t>生产耗原煤量</t>
  </si>
  <si>
    <t>生产耗油量</t>
  </si>
  <si>
    <t>耗标煤总量</t>
  </si>
  <si>
    <t>耗水量</t>
  </si>
  <si>
    <t>其中：耗井水量</t>
  </si>
  <si>
    <t>用电量</t>
  </si>
  <si>
    <t>千瓦时</t>
  </si>
  <si>
    <t>供热用电率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</si>
  <si>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</si>
  <si>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供热煤耗率</t>
  </si>
  <si>
    <r>
      <t>千克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</si>
  <si>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入厂煤量</t>
  </si>
  <si>
    <t>-</t>
  </si>
  <si>
    <t>期末库存煤量</t>
  </si>
  <si>
    <t>入炉煤低位发热量</t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</si>
  <si>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</si>
  <si>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入厂煤低位发热量</t>
  </si>
  <si>
    <t>锅炉热效率</t>
  </si>
  <si>
    <t>锅炉设备利用率</t>
  </si>
  <si>
    <t>供暖功耗率</t>
  </si>
  <si>
    <t>瓦/平方米</t>
  </si>
  <si>
    <t>单位面积供热量</t>
  </si>
  <si>
    <t>吉焦耳/平方米</t>
  </si>
  <si>
    <t>单位面积耗电量</t>
  </si>
  <si>
    <t>千瓦时/平方米</t>
  </si>
  <si>
    <t>单位面积耗水量</t>
  </si>
  <si>
    <t>千克/平方米</t>
  </si>
  <si>
    <t>氧化镁量</t>
  </si>
  <si>
    <t>脱硝剂量</t>
  </si>
  <si>
    <t>审核：</t>
  </si>
  <si>
    <t>填表：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</si>
</sst>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_(* #,##0.00_);_(* \(#,##0.00\);_(* &quot;-&quot;??_);_(@_)"/>
    <numFmt numFmtId="178" formatCode="#,##0.00_ "/>
    <numFmt numFmtId="179" formatCode="0.0%"/>
    <numFmt numFmtId="180" formatCode="#,##0_ "/>
    <numFmt numFmtId="181" formatCode="#,##0_);[Red]\(#,##0\)"/>
    <numFmt numFmtId="182" formatCode="_ * #,##0.000_ ;_ * \-#,##0.000_ ;_ * &quot;-&quot;??.0_ ;_ @_ "/>
    <numFmt numFmtId="183" formatCode="#,##0.00_);[Red]\(#,##0.00\)"/>
    <numFmt numFmtId="184" formatCode="0.00_ "/>
    <numFmt numFmtId="185" formatCode="#,##0.0_ "/>
    <numFmt numFmtId="186" formatCode="_ * #,##0_ ;_ * \-#,##0_ ;_ * &quot;-&quot;??_ ;_ @_ "/>
    <numFmt numFmtId="187" formatCode="_ * #,##0.00_ ;_ * \-#,##0.00_ ;_ * &quot;-&quot;??.0_ ;_ @_ "/>
  </numFmts>
  <fonts count="27">
    <font>
      <sz val="12"/>
      <name val="宋体"/>
      <charset val="134"/>
    </font>
    <font>
      <sz val="10"/>
      <name val="Times New Roman"/>
      <family val="1"/>
      <charset val="0"/>
    </font>
    <font>
      <sz val="12"/>
      <name val="Times New Roman"/>
      <family val="1"/>
      <charset val="0"/>
    </font>
    <font>
      <b/>
      <sz val="11"/>
      <name val="黑体"/>
      <family val="3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  <font>
      <u/>
      <sz val="9"/>
      <color indexed="36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3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4" applyNumberFormat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6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" fillId="0" borderId="0" applyBorder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51" applyFont="1" applyAlignment="1">
      <alignment vertical="center"/>
    </xf>
    <xf numFmtId="0" fontId="2" fillId="0" borderId="0" xfId="51" applyFont="1" applyAlignment="1"/>
    <xf numFmtId="0" fontId="1" fillId="0" borderId="0" xfId="51" applyFont="1" applyAlignment="1">
      <alignment horizontal="center"/>
    </xf>
    <xf numFmtId="0" fontId="1" fillId="0" borderId="0" xfId="51" applyFont="1"/>
    <xf numFmtId="1" fontId="3" fillId="2" borderId="1" xfId="51" applyNumberFormat="1" applyFont="1" applyFill="1" applyBorder="1" applyAlignment="1">
      <alignment horizontal="center" vertical="center" wrapText="1"/>
    </xf>
    <xf numFmtId="1" fontId="3" fillId="2" borderId="2" xfId="5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6" xfId="51" applyNumberFormat="1" applyFont="1" applyFill="1" applyBorder="1" applyAlignment="1">
      <alignment horizontal="center" vertical="center" wrapText="1"/>
    </xf>
    <xf numFmtId="0" fontId="3" fillId="2" borderId="7" xfId="5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" fontId="1" fillId="0" borderId="0" xfId="51" applyNumberFormat="1" applyFont="1" applyBorder="1" applyAlignment="1">
      <alignment horizontal="center" vertical="center"/>
    </xf>
    <xf numFmtId="43" fontId="4" fillId="0" borderId="13" xfId="1" applyNumberFormat="1" applyFont="1" applyBorder="1" applyAlignment="1">
      <alignment vertical="center"/>
    </xf>
    <xf numFmtId="1" fontId="4" fillId="0" borderId="14" xfId="51" applyNumberFormat="1" applyFont="1" applyBorder="1" applyAlignment="1">
      <alignment horizontal="center" vertical="center"/>
    </xf>
    <xf numFmtId="178" fontId="1" fillId="0" borderId="14" xfId="0" applyNumberFormat="1" applyFont="1" applyFill="1" applyBorder="1" applyAlignment="1">
      <alignment vertical="center"/>
    </xf>
    <xf numFmtId="178" fontId="1" fillId="0" borderId="0" xfId="0" applyNumberFormat="1" applyFont="1" applyFill="1" applyAlignment="1">
      <alignment vertical="center"/>
    </xf>
    <xf numFmtId="179" fontId="1" fillId="0" borderId="15" xfId="0" applyNumberFormat="1" applyFont="1" applyFill="1" applyBorder="1" applyAlignment="1">
      <alignment vertical="center"/>
    </xf>
    <xf numFmtId="178" fontId="1" fillId="0" borderId="14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80" fontId="1" fillId="0" borderId="15" xfId="0" applyNumberFormat="1" applyFont="1" applyFill="1" applyBorder="1" applyAlignment="1">
      <alignment vertical="center"/>
    </xf>
    <xf numFmtId="43" fontId="4" fillId="0" borderId="15" xfId="1" applyNumberFormat="1" applyFont="1" applyBorder="1" applyAlignment="1">
      <alignment vertical="center"/>
    </xf>
    <xf numFmtId="43" fontId="1" fillId="0" borderId="15" xfId="1" applyNumberFormat="1" applyFont="1" applyFill="1" applyBorder="1" applyAlignment="1">
      <alignment horizontal="right" vertical="center" shrinkToFit="1"/>
    </xf>
    <xf numFmtId="181" fontId="1" fillId="0" borderId="15" xfId="0" applyNumberFormat="1" applyFont="1" applyFill="1" applyBorder="1" applyAlignment="1">
      <alignment vertical="center"/>
    </xf>
    <xf numFmtId="43" fontId="4" fillId="0" borderId="15" xfId="1" applyNumberFormat="1" applyFont="1" applyFill="1" applyBorder="1" applyAlignment="1">
      <alignment vertical="center" shrinkToFit="1"/>
    </xf>
    <xf numFmtId="43" fontId="4" fillId="0" borderId="15" xfId="1" applyNumberFormat="1" applyFont="1" applyFill="1" applyBorder="1" applyAlignment="1">
      <alignment vertical="center"/>
    </xf>
    <xf numFmtId="1" fontId="4" fillId="0" borderId="14" xfId="51" applyNumberFormat="1" applyFont="1" applyFill="1" applyBorder="1" applyAlignment="1">
      <alignment horizontal="center" vertical="center"/>
    </xf>
    <xf numFmtId="178" fontId="1" fillId="0" borderId="15" xfId="0" applyNumberFormat="1" applyFont="1" applyFill="1" applyBorder="1" applyAlignment="1">
      <alignment vertical="center"/>
    </xf>
    <xf numFmtId="43" fontId="5" fillId="0" borderId="15" xfId="1" applyNumberFormat="1" applyFont="1" applyFill="1" applyBorder="1" applyAlignment="1">
      <alignment vertical="center"/>
    </xf>
    <xf numFmtId="1" fontId="4" fillId="0" borderId="14" xfId="51" applyNumberFormat="1" applyFont="1" applyFill="1" applyBorder="1" applyAlignment="1">
      <alignment horizontal="center" vertical="center"/>
    </xf>
    <xf numFmtId="182" fontId="1" fillId="0" borderId="15" xfId="1" applyNumberFormat="1" applyFont="1" applyFill="1" applyBorder="1" applyAlignment="1">
      <alignment horizontal="right" vertical="center" shrinkToFit="1"/>
    </xf>
    <xf numFmtId="43" fontId="4" fillId="0" borderId="15" xfId="1" applyNumberFormat="1" applyFont="1" applyFill="1" applyBorder="1" applyAlignment="1">
      <alignment vertical="center"/>
    </xf>
    <xf numFmtId="183" fontId="1" fillId="0" borderId="15" xfId="0" applyNumberFormat="1" applyFont="1" applyFill="1" applyBorder="1" applyAlignment="1">
      <alignment vertical="center"/>
    </xf>
    <xf numFmtId="184" fontId="1" fillId="0" borderId="15" xfId="0" applyNumberFormat="1" applyFont="1" applyFill="1" applyBorder="1" applyAlignment="1">
      <alignment vertical="center"/>
    </xf>
    <xf numFmtId="185" fontId="1" fillId="0" borderId="15" xfId="1" applyNumberFormat="1" applyFont="1" applyBorder="1" applyAlignment="1">
      <alignment vertical="center"/>
    </xf>
    <xf numFmtId="178" fontId="1" fillId="0" borderId="15" xfId="1" applyNumberFormat="1" applyFont="1" applyFill="1" applyBorder="1" applyAlignment="1">
      <alignment horizontal="right" vertical="center" shrinkToFit="1"/>
    </xf>
    <xf numFmtId="180" fontId="1" fillId="0" borderId="15" xfId="1" applyNumberFormat="1" applyFont="1" applyBorder="1" applyAlignment="1">
      <alignment vertical="center"/>
    </xf>
    <xf numFmtId="186" fontId="1" fillId="0" borderId="15" xfId="1" applyNumberFormat="1" applyFont="1" applyFill="1" applyBorder="1" applyAlignment="1">
      <alignment vertical="center"/>
    </xf>
    <xf numFmtId="186" fontId="1" fillId="0" borderId="15" xfId="0" applyNumberFormat="1" applyFont="1" applyFill="1" applyBorder="1" applyAlignment="1">
      <alignment horizontal="right" vertical="center"/>
    </xf>
    <xf numFmtId="43" fontId="4" fillId="0" borderId="15" xfId="1" applyNumberFormat="1" applyFont="1" applyBorder="1" applyAlignment="1">
      <alignment horizontal="left" vertical="center"/>
    </xf>
    <xf numFmtId="9" fontId="1" fillId="0" borderId="15" xfId="3" applyNumberFormat="1" applyFont="1" applyFill="1" applyBorder="1" applyAlignment="1">
      <alignment vertical="center" shrinkToFit="1"/>
    </xf>
    <xf numFmtId="179" fontId="1" fillId="0" borderId="15" xfId="3" applyNumberFormat="1" applyFont="1" applyFill="1" applyBorder="1">
      <alignment vertical="center"/>
    </xf>
    <xf numFmtId="178" fontId="1" fillId="0" borderId="15" xfId="3" applyNumberFormat="1" applyFont="1" applyFill="1" applyBorder="1">
      <alignment vertical="center"/>
    </xf>
    <xf numFmtId="187" fontId="1" fillId="0" borderId="15" xfId="1" applyNumberFormat="1" applyFont="1" applyFill="1" applyBorder="1">
      <alignment vertical="center"/>
    </xf>
    <xf numFmtId="178" fontId="1" fillId="0" borderId="15" xfId="1" applyNumberFormat="1" applyFont="1" applyFill="1" applyBorder="1">
      <alignment vertical="center"/>
    </xf>
    <xf numFmtId="1" fontId="4" fillId="0" borderId="16" xfId="51" applyNumberFormat="1" applyFont="1" applyBorder="1" applyAlignment="1">
      <alignment horizontal="center" vertical="center"/>
    </xf>
    <xf numFmtId="184" fontId="1" fillId="0" borderId="15" xfId="1" applyNumberFormat="1" applyFont="1" applyFill="1" applyBorder="1">
      <alignment vertical="center"/>
    </xf>
    <xf numFmtId="178" fontId="1" fillId="0" borderId="16" xfId="0" applyNumberFormat="1" applyFont="1" applyFill="1" applyBorder="1" applyAlignment="1">
      <alignment vertical="center"/>
    </xf>
    <xf numFmtId="179" fontId="1" fillId="0" borderId="16" xfId="0" applyNumberFormat="1" applyFont="1" applyFill="1" applyBorder="1" applyAlignment="1">
      <alignment vertical="center"/>
    </xf>
    <xf numFmtId="180" fontId="1" fillId="0" borderId="14" xfId="0" applyNumberFormat="1" applyFont="1" applyFill="1" applyBorder="1" applyAlignment="1">
      <alignment vertical="center"/>
    </xf>
    <xf numFmtId="1" fontId="1" fillId="0" borderId="17" xfId="51" applyNumberFormat="1" applyFont="1" applyBorder="1" applyAlignment="1">
      <alignment horizontal="center" vertical="center"/>
    </xf>
    <xf numFmtId="43" fontId="4" fillId="0" borderId="18" xfId="1" applyNumberFormat="1" applyFont="1" applyFill="1" applyBorder="1" applyAlignment="1">
      <alignment vertical="center"/>
    </xf>
    <xf numFmtId="1" fontId="4" fillId="0" borderId="19" xfId="51" applyNumberFormat="1" applyFont="1" applyBorder="1" applyAlignment="1">
      <alignment horizontal="center" vertical="center"/>
    </xf>
    <xf numFmtId="184" fontId="1" fillId="0" borderId="18" xfId="1" applyNumberFormat="1" applyFont="1" applyFill="1" applyBorder="1">
      <alignment vertical="center"/>
    </xf>
    <xf numFmtId="184" fontId="1" fillId="0" borderId="18" xfId="1" applyNumberFormat="1" applyFont="1" applyFill="1" applyBorder="1" applyAlignment="1">
      <alignment vertical="center"/>
    </xf>
    <xf numFmtId="179" fontId="1" fillId="0" borderId="18" xfId="0" applyNumberFormat="1" applyFont="1" applyFill="1" applyBorder="1" applyAlignment="1">
      <alignment vertical="center"/>
    </xf>
    <xf numFmtId="178" fontId="1" fillId="0" borderId="17" xfId="0" applyNumberFormat="1" applyFont="1" applyFill="1" applyBorder="1" applyAlignment="1">
      <alignment vertical="center"/>
    </xf>
    <xf numFmtId="180" fontId="1" fillId="0" borderId="20" xfId="0" applyNumberFormat="1" applyFont="1" applyFill="1" applyBorder="1" applyAlignment="1">
      <alignment vertical="center"/>
    </xf>
    <xf numFmtId="179" fontId="1" fillId="0" borderId="17" xfId="0" applyNumberFormat="1" applyFont="1" applyFill="1" applyBorder="1" applyAlignment="1">
      <alignment vertical="center"/>
    </xf>
    <xf numFmtId="0" fontId="2" fillId="0" borderId="0" xfId="51" applyFont="1" applyAlignment="1">
      <alignment horizontal="center"/>
    </xf>
    <xf numFmtId="43" fontId="2" fillId="0" borderId="0" xfId="1" applyNumberFormat="1" applyFont="1" applyAlignment="1"/>
    <xf numFmtId="43" fontId="0" fillId="0" borderId="0" xfId="1" applyNumberFormat="1" applyFont="1" applyAlignment="1"/>
    <xf numFmtId="0" fontId="0" fillId="0" borderId="0" xfId="0" applyFont="1" applyAlignment="1"/>
    <xf numFmtId="43" fontId="1" fillId="0" borderId="0" xfId="1" applyNumberFormat="1" applyFont="1">
      <alignment vertical="center"/>
    </xf>
    <xf numFmtId="178" fontId="0" fillId="0" borderId="0" xfId="0" applyNumberFormat="1">
      <alignment vertical="center"/>
    </xf>
    <xf numFmtId="187" fontId="0" fillId="0" borderId="0" xfId="0" applyNumberFormat="1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普通_ 备 品 备 件" xfId="52"/>
    <cellStyle name="百分比 2 3" xfId="53"/>
    <cellStyle name="常规 2 2" xfId="54"/>
    <cellStyle name="千分位[0]_ 备 品 备 件" xfId="55"/>
    <cellStyle name="常规 2 3" xfId="56"/>
    <cellStyle name="常规 2" xfId="57"/>
    <cellStyle name="常规 3" xfId="58"/>
    <cellStyle name="千分位_ 备 品 备 件" xfId="59"/>
    <cellStyle name="千位分隔 2 2" xfId="60"/>
    <cellStyle name="千位[0]_ 损益预测 (2)" xfId="61"/>
    <cellStyle name="千位_ 损益预测 (2)" xfId="62"/>
    <cellStyle name="千位分隔 2" xfId="63"/>
    <cellStyle name="千位分隔 2 3" xfId="6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y%20Documents\&#32508;&#21512;&#25253;&#34920;\&#32508;&#21512;&#25253;&#34920;\&#32508;&#21512;&#25253;&#34920;\&#32508;&#21512;&#25253;&#34920;\&#32508;&#21512;&#25253;&#34920;\&#32508;&#21512;&#25253;&#34920;\sjsj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按主设备汇总"/>
      <sheetName val="费用汇总"/>
      <sheetName val="项目汇总"/>
      <sheetName val="修"/>
      <sheetName val="固定资产投资2"/>
      <sheetName val="管网、站2"/>
      <sheetName val="母表"/>
      <sheetName val="修理维护"/>
      <sheetName val="固定资产投资"/>
      <sheetName val="管网、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tabSelected="1" zoomScaleSheetLayoutView="60" topLeftCell="A11" workbookViewId="0">
      <selection activeCell="N29" sqref="N29"/>
    </sheetView>
  </sheetViews>
  <sheetFormatPr defaultColWidth="9" defaultRowHeight="15"/>
  <cols>
    <col min="1" max="1" width="5.375" style="3" customWidth="1"/>
    <col min="2" max="2" width="15.25" style="4" customWidth="1"/>
    <col min="3" max="3" width="12.375" style="3" customWidth="1"/>
    <col min="4" max="4" width="10.625" customWidth="1"/>
    <col min="5" max="5" width="10.75" customWidth="1"/>
    <col min="6" max="6" width="10.25" customWidth="1"/>
    <col min="7" max="7" width="10" customWidth="1"/>
    <col min="8" max="8" width="11.3" customWidth="1"/>
    <col min="9" max="9" width="8.125" customWidth="1"/>
    <col min="10" max="13" width="8.625" customWidth="1"/>
    <col min="14" max="14" width="9" style="4"/>
    <col min="15" max="15" width="9.625" style="4"/>
    <col min="16" max="240" width="9" style="4"/>
  </cols>
  <sheetData>
    <row r="1" s="1" customFormat="1" ht="18" customHeight="1" spans="1:13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3"/>
      <c r="L1" s="14" t="s">
        <v>10</v>
      </c>
      <c r="M1" s="13"/>
    </row>
    <row r="2" s="1" customFormat="1" ht="19.5" customHeight="1" spans="1:13">
      <c r="A2" s="15"/>
      <c r="B2" s="16"/>
      <c r="C2" s="16"/>
      <c r="D2" s="17"/>
      <c r="E2" s="18"/>
      <c r="F2" s="18"/>
      <c r="G2" s="19"/>
      <c r="H2" s="20"/>
      <c r="I2" s="21"/>
      <c r="J2" s="22" t="s">
        <v>11</v>
      </c>
      <c r="K2" s="23" t="s">
        <v>12</v>
      </c>
      <c r="L2" s="24" t="s">
        <v>11</v>
      </c>
      <c r="M2" s="19" t="s">
        <v>12</v>
      </c>
    </row>
    <row r="3" s="1" customFormat="1" ht="15.95" customHeight="1" spans="1:13">
      <c r="A3" s="25">
        <v>1</v>
      </c>
      <c r="B3" s="26" t="s">
        <v>13</v>
      </c>
      <c r="C3" s="27" t="s">
        <v>14</v>
      </c>
      <c r="D3" s="28">
        <v>0</v>
      </c>
      <c r="E3" s="28">
        <v>14</v>
      </c>
      <c r="F3" s="28">
        <v>263</v>
      </c>
      <c r="G3" s="28">
        <v>14</v>
      </c>
      <c r="H3" s="29">
        <v>14</v>
      </c>
      <c r="I3" s="30" t="e">
        <f t="shared" ref="I3:I8" si="0">H3/D3</f>
        <v>#DIV/0!</v>
      </c>
      <c r="J3" s="31">
        <f t="shared" ref="J3:J9" si="1">G3-E3</f>
        <v>0</v>
      </c>
      <c r="K3" s="32">
        <f t="shared" ref="K3:K9" si="2">G3/E3-1</f>
        <v>0</v>
      </c>
      <c r="L3" s="33">
        <f t="shared" ref="L3:L8" si="3">G3-F3</f>
        <v>-249</v>
      </c>
      <c r="M3" s="32">
        <f t="shared" ref="M3:M12" si="4">G3/F3-1</f>
        <v>-0.946768060836502</v>
      </c>
    </row>
    <row r="4" s="1" customFormat="1" ht="15.95" customHeight="1" spans="1:13">
      <c r="A4" s="25">
        <v>2</v>
      </c>
      <c r="B4" s="34" t="s">
        <v>15</v>
      </c>
      <c r="C4" s="27" t="s">
        <v>16</v>
      </c>
      <c r="D4" s="28">
        <v>2430000</v>
      </c>
      <c r="E4" s="28">
        <v>2430000</v>
      </c>
      <c r="F4" s="28">
        <v>2343648.97</v>
      </c>
      <c r="G4" s="28">
        <v>2311228.93</v>
      </c>
      <c r="H4" s="29">
        <v>2311228.93</v>
      </c>
      <c r="I4" s="30">
        <f t="shared" si="0"/>
        <v>0.951123016460905</v>
      </c>
      <c r="J4" s="31">
        <f t="shared" si="1"/>
        <v>-118771.07</v>
      </c>
      <c r="K4" s="32">
        <f t="shared" si="2"/>
        <v>-0.0488769835390945</v>
      </c>
      <c r="L4" s="33">
        <f t="shared" si="3"/>
        <v>-32420.04</v>
      </c>
      <c r="M4" s="32">
        <f t="shared" si="4"/>
        <v>-0.0138331466934658</v>
      </c>
    </row>
    <row r="5" s="1" customFormat="1" ht="15.95" customHeight="1" spans="1:13">
      <c r="A5" s="25">
        <v>3</v>
      </c>
      <c r="B5" s="34" t="s">
        <v>17</v>
      </c>
      <c r="C5" s="27" t="s">
        <v>16</v>
      </c>
      <c r="D5" s="28">
        <v>2430000</v>
      </c>
      <c r="E5" s="28">
        <v>2430000</v>
      </c>
      <c r="F5" s="28">
        <v>2343648.97</v>
      </c>
      <c r="G5" s="28">
        <v>2311228.93</v>
      </c>
      <c r="H5" s="29">
        <v>2311228.93</v>
      </c>
      <c r="I5" s="30">
        <f t="shared" si="0"/>
        <v>0.951123016460905</v>
      </c>
      <c r="J5" s="31">
        <f t="shared" si="1"/>
        <v>-118771.07</v>
      </c>
      <c r="K5" s="32">
        <f t="shared" si="2"/>
        <v>-0.0488769835390945</v>
      </c>
      <c r="L5" s="33">
        <f t="shared" si="3"/>
        <v>-32420.04</v>
      </c>
      <c r="M5" s="32">
        <f t="shared" si="4"/>
        <v>-0.0138331466934658</v>
      </c>
    </row>
    <row r="6" s="1" customFormat="1" ht="15.95" customHeight="1" spans="1:13">
      <c r="A6" s="25">
        <v>4</v>
      </c>
      <c r="B6" s="34" t="s">
        <v>18</v>
      </c>
      <c r="C6" s="27" t="s">
        <v>19</v>
      </c>
      <c r="D6" s="35"/>
      <c r="E6" s="35"/>
      <c r="F6" s="36"/>
      <c r="G6" s="37"/>
      <c r="H6" s="37"/>
      <c r="I6" s="30"/>
      <c r="J6" s="31"/>
      <c r="K6" s="32"/>
      <c r="L6" s="33">
        <f t="shared" si="3"/>
        <v>0</v>
      </c>
      <c r="M6" s="32"/>
    </row>
    <row r="7" s="1" customFormat="1" ht="15.95" customHeight="1" spans="1:13">
      <c r="A7" s="25">
        <v>6</v>
      </c>
      <c r="B7" s="38" t="s">
        <v>20</v>
      </c>
      <c r="C7" s="39" t="s">
        <v>21</v>
      </c>
      <c r="D7" s="28">
        <v>815488.636150286</v>
      </c>
      <c r="E7" s="28">
        <v>193473.325206171</v>
      </c>
      <c r="F7" s="40">
        <v>233098.960753643</v>
      </c>
      <c r="G7" s="40">
        <v>255718.258551189</v>
      </c>
      <c r="H7" s="29">
        <v>255718.258551189</v>
      </c>
      <c r="I7" s="30">
        <f t="shared" si="0"/>
        <v>0.313576728375235</v>
      </c>
      <c r="J7" s="31">
        <f t="shared" si="1"/>
        <v>62244.9333450184</v>
      </c>
      <c r="K7" s="32">
        <f t="shared" si="2"/>
        <v>0.32172359305185</v>
      </c>
      <c r="L7" s="33">
        <f t="shared" si="3"/>
        <v>22619.2977975467</v>
      </c>
      <c r="M7" s="32">
        <f t="shared" si="4"/>
        <v>0.0970373172167529</v>
      </c>
    </row>
    <row r="8" s="1" customFormat="1" ht="20" customHeight="1" spans="1:13">
      <c r="A8" s="25">
        <v>5</v>
      </c>
      <c r="B8" s="41" t="s">
        <v>22</v>
      </c>
      <c r="C8" s="42" t="s">
        <v>21</v>
      </c>
      <c r="D8" s="28">
        <v>802404</v>
      </c>
      <c r="E8" s="28">
        <v>188343</v>
      </c>
      <c r="F8" s="36">
        <v>0</v>
      </c>
      <c r="G8" s="43">
        <v>249708</v>
      </c>
      <c r="H8" s="43">
        <v>249708</v>
      </c>
      <c r="I8" s="30">
        <f t="shared" si="0"/>
        <v>0.311199844467376</v>
      </c>
      <c r="J8" s="31">
        <f t="shared" si="1"/>
        <v>61365</v>
      </c>
      <c r="K8" s="32">
        <f t="shared" si="2"/>
        <v>0.325815135152355</v>
      </c>
      <c r="L8" s="33">
        <f t="shared" si="3"/>
        <v>249708</v>
      </c>
      <c r="M8" s="32" t="e">
        <f t="shared" si="4"/>
        <v>#DIV/0!</v>
      </c>
    </row>
    <row r="9" s="1" customFormat="1" ht="15.95" customHeight="1" spans="1:13">
      <c r="A9" s="25">
        <v>7</v>
      </c>
      <c r="B9" s="44" t="s">
        <v>23</v>
      </c>
      <c r="C9" s="42" t="s">
        <v>19</v>
      </c>
      <c r="D9" s="28">
        <v>1157.24</v>
      </c>
      <c r="E9" s="28">
        <v>446</v>
      </c>
      <c r="F9" s="28">
        <v>13706.4</v>
      </c>
      <c r="G9" s="28">
        <v>513</v>
      </c>
      <c r="H9" s="29">
        <v>513</v>
      </c>
      <c r="I9" s="30">
        <f t="shared" ref="I9:I28" si="5">H9/D9</f>
        <v>0.443296118350558</v>
      </c>
      <c r="J9" s="31">
        <f t="shared" si="1"/>
        <v>67</v>
      </c>
      <c r="K9" s="32">
        <f t="shared" si="2"/>
        <v>0.150224215246637</v>
      </c>
      <c r="L9" s="33">
        <f t="shared" ref="L9:L28" si="6">G9-F9</f>
        <v>-13193.4</v>
      </c>
      <c r="M9" s="32">
        <f t="shared" si="4"/>
        <v>-0.962572229031693</v>
      </c>
    </row>
    <row r="10" s="1" customFormat="1" ht="15.95" customHeight="1" spans="1:13">
      <c r="A10" s="25">
        <v>8</v>
      </c>
      <c r="B10" s="44" t="s">
        <v>24</v>
      </c>
      <c r="C10" s="42" t="s">
        <v>19</v>
      </c>
      <c r="D10" s="35"/>
      <c r="E10" s="35"/>
      <c r="F10" s="36">
        <v>0</v>
      </c>
      <c r="G10" s="36">
        <v>0</v>
      </c>
      <c r="H10" s="29">
        <v>0</v>
      </c>
      <c r="I10" s="30"/>
      <c r="J10" s="31"/>
      <c r="K10" s="32"/>
      <c r="L10" s="33">
        <f t="shared" si="6"/>
        <v>0</v>
      </c>
      <c r="M10" s="32" t="e">
        <f t="shared" si="4"/>
        <v>#DIV/0!</v>
      </c>
    </row>
    <row r="11" s="1" customFormat="1" ht="15.95" customHeight="1" spans="1:13">
      <c r="A11" s="25">
        <v>9</v>
      </c>
      <c r="B11" s="38" t="s">
        <v>25</v>
      </c>
      <c r="C11" s="39" t="s">
        <v>19</v>
      </c>
      <c r="D11" s="35">
        <v>744.087857142857</v>
      </c>
      <c r="E11" s="35">
        <v>291.747714285714</v>
      </c>
      <c r="F11" s="45">
        <v>9970.22900857143</v>
      </c>
      <c r="G11" s="45">
        <v>341.787142941028</v>
      </c>
      <c r="H11" s="29">
        <v>341.787142941028</v>
      </c>
      <c r="I11" s="30">
        <f t="shared" si="5"/>
        <v>0.459337079163501</v>
      </c>
      <c r="J11" s="31">
        <f t="shared" ref="J11:J19" si="7">G11-E11</f>
        <v>50.0394286553145</v>
      </c>
      <c r="K11" s="32">
        <f t="shared" ref="K11:K16" si="8">G11/E11-1</f>
        <v>0.171516094917234</v>
      </c>
      <c r="L11" s="33">
        <f t="shared" si="6"/>
        <v>-9628.44186563041</v>
      </c>
      <c r="M11" s="32">
        <f t="shared" si="4"/>
        <v>-0.9657192284503</v>
      </c>
    </row>
    <row r="12" s="1" customFormat="1" ht="15.95" customHeight="1" spans="1:13">
      <c r="A12" s="25">
        <v>10</v>
      </c>
      <c r="B12" s="44" t="s">
        <v>26</v>
      </c>
      <c r="C12" s="42" t="s">
        <v>19</v>
      </c>
      <c r="D12" s="28">
        <v>192250</v>
      </c>
      <c r="E12" s="28">
        <v>31000</v>
      </c>
      <c r="F12" s="28">
        <v>68972</v>
      </c>
      <c r="G12" s="28">
        <v>48986</v>
      </c>
      <c r="H12" s="29">
        <v>48986</v>
      </c>
      <c r="I12" s="30">
        <f t="shared" si="5"/>
        <v>0.254803641092328</v>
      </c>
      <c r="J12" s="31">
        <f t="shared" si="7"/>
        <v>17986</v>
      </c>
      <c r="K12" s="32">
        <f t="shared" si="8"/>
        <v>0.580193548387097</v>
      </c>
      <c r="L12" s="33">
        <f t="shared" si="6"/>
        <v>-19986</v>
      </c>
      <c r="M12" s="32">
        <f t="shared" si="4"/>
        <v>-0.289769761642406</v>
      </c>
    </row>
    <row r="13" s="1" customFormat="1" ht="15.95" customHeight="1" spans="1:13">
      <c r="A13" s="25"/>
      <c r="B13" s="34" t="s">
        <v>27</v>
      </c>
      <c r="C13" s="27" t="s">
        <v>19</v>
      </c>
      <c r="D13" s="35"/>
      <c r="E13" s="35"/>
      <c r="F13" s="46"/>
      <c r="G13" s="46"/>
      <c r="H13" s="29"/>
      <c r="I13" s="30"/>
      <c r="J13" s="31"/>
      <c r="K13" s="32"/>
      <c r="L13" s="33">
        <f t="shared" si="6"/>
        <v>0</v>
      </c>
      <c r="M13" s="32"/>
    </row>
    <row r="14" s="1" customFormat="1" ht="15.95" customHeight="1" spans="1:13">
      <c r="A14" s="25">
        <v>11</v>
      </c>
      <c r="B14" s="34" t="s">
        <v>28</v>
      </c>
      <c r="C14" s="27" t="s">
        <v>29</v>
      </c>
      <c r="D14" s="28">
        <v>5924186</v>
      </c>
      <c r="E14" s="28">
        <v>1337900</v>
      </c>
      <c r="F14" s="28">
        <v>2675811.98</v>
      </c>
      <c r="G14" s="28">
        <v>1187191.5</v>
      </c>
      <c r="H14" s="29">
        <v>1187191.5</v>
      </c>
      <c r="I14" s="30">
        <f t="shared" si="5"/>
        <v>0.200397404808019</v>
      </c>
      <c r="J14" s="31">
        <f t="shared" si="7"/>
        <v>-150708.499999999</v>
      </c>
      <c r="K14" s="32">
        <f t="shared" si="8"/>
        <v>-0.112645563943493</v>
      </c>
      <c r="L14" s="33">
        <f t="shared" si="6"/>
        <v>-1488620.48</v>
      </c>
      <c r="M14" s="32">
        <f t="shared" ref="M14:M16" si="9">G14/F14-1</f>
        <v>-0.556324768379278</v>
      </c>
    </row>
    <row r="15" s="1" customFormat="1" ht="15.95" customHeight="1" spans="1:13">
      <c r="A15" s="25">
        <v>12</v>
      </c>
      <c r="B15" s="34" t="s">
        <v>30</v>
      </c>
      <c r="C15" s="27" t="s">
        <v>31</v>
      </c>
      <c r="D15" s="47">
        <f t="shared" ref="D15:H15" si="10">D14/D7</f>
        <v>7.26458436988966</v>
      </c>
      <c r="E15" s="47">
        <f t="shared" si="10"/>
        <v>6.91516517108647</v>
      </c>
      <c r="F15" s="47">
        <f t="shared" si="10"/>
        <v>11.4792960524093</v>
      </c>
      <c r="G15" s="47">
        <f t="shared" si="10"/>
        <v>4.64257619587359</v>
      </c>
      <c r="H15" s="47">
        <v>4.64257619587359</v>
      </c>
      <c r="I15" s="30">
        <f t="shared" si="5"/>
        <v>0.639069760840855</v>
      </c>
      <c r="J15" s="31">
        <f t="shared" si="7"/>
        <v>-2.27258897521288</v>
      </c>
      <c r="K15" s="32">
        <f t="shared" si="8"/>
        <v>-0.328638422797907</v>
      </c>
      <c r="L15" s="33">
        <f t="shared" si="6"/>
        <v>-6.83671985653569</v>
      </c>
      <c r="M15" s="32">
        <f t="shared" si="9"/>
        <v>-0.595569608565047</v>
      </c>
    </row>
    <row r="16" s="1" customFormat="1" ht="15.95" customHeight="1" spans="1:13">
      <c r="A16" s="25">
        <v>13</v>
      </c>
      <c r="B16" s="34" t="s">
        <v>32</v>
      </c>
      <c r="C16" s="27" t="s">
        <v>33</v>
      </c>
      <c r="D16" s="47">
        <f t="shared" ref="D16:H16" si="11">D11*1000/(D7-D8)</f>
        <v>56.8672944815967</v>
      </c>
      <c r="E16" s="47">
        <f t="shared" si="11"/>
        <v>56.8672944816025</v>
      </c>
      <c r="F16" s="47">
        <f t="shared" si="11"/>
        <v>42.7725159148554</v>
      </c>
      <c r="G16" s="47">
        <f t="shared" si="11"/>
        <v>56.8672944815979</v>
      </c>
      <c r="H16" s="47">
        <v>56.8672944815979</v>
      </c>
      <c r="I16" s="30">
        <f t="shared" si="5"/>
        <v>1.00000000000002</v>
      </c>
      <c r="J16" s="31">
        <f t="shared" si="7"/>
        <v>-4.63273863715585e-12</v>
      </c>
      <c r="K16" s="32">
        <f t="shared" si="8"/>
        <v>-8.14903700074865e-14</v>
      </c>
      <c r="L16" s="33">
        <f t="shared" si="6"/>
        <v>14.0947785667425</v>
      </c>
      <c r="M16" s="32">
        <f t="shared" si="9"/>
        <v>0.329528863693688</v>
      </c>
    </row>
    <row r="17" s="1" customFormat="1" ht="15.95" customHeight="1" spans="1:13">
      <c r="A17" s="25">
        <v>14</v>
      </c>
      <c r="B17" s="34" t="s">
        <v>34</v>
      </c>
      <c r="C17" s="27" t="s">
        <v>19</v>
      </c>
      <c r="D17" s="35"/>
      <c r="E17" s="35" t="s">
        <v>35</v>
      </c>
      <c r="F17" s="48">
        <v>15836</v>
      </c>
      <c r="G17" s="48">
        <v>119</v>
      </c>
      <c r="H17" s="29">
        <v>119</v>
      </c>
      <c r="I17" s="30"/>
      <c r="J17" s="31"/>
      <c r="K17" s="32"/>
      <c r="L17" s="33">
        <f t="shared" si="6"/>
        <v>-15717</v>
      </c>
      <c r="M17" s="32"/>
    </row>
    <row r="18" s="1" customFormat="1" ht="15.95" customHeight="1" spans="1:13">
      <c r="A18" s="25">
        <v>15</v>
      </c>
      <c r="B18" s="34" t="s">
        <v>36</v>
      </c>
      <c r="C18" s="27" t="s">
        <v>19</v>
      </c>
      <c r="D18" s="35"/>
      <c r="E18" s="35" t="s">
        <v>35</v>
      </c>
      <c r="F18" s="48">
        <v>6682.4</v>
      </c>
      <c r="G18" s="48">
        <v>714.5</v>
      </c>
      <c r="H18" s="48">
        <v>714.5</v>
      </c>
      <c r="I18" s="30"/>
      <c r="J18" s="31"/>
      <c r="K18" s="32"/>
      <c r="L18" s="33">
        <f t="shared" si="6"/>
        <v>-5967.9</v>
      </c>
      <c r="M18" s="32"/>
    </row>
    <row r="19" s="1" customFormat="1" ht="15.95" customHeight="1" spans="1:13">
      <c r="A19" s="25">
        <v>16</v>
      </c>
      <c r="B19" s="34" t="s">
        <v>37</v>
      </c>
      <c r="C19" s="27" t="s">
        <v>38</v>
      </c>
      <c r="D19" s="49">
        <v>18844.601739607</v>
      </c>
      <c r="E19" s="49">
        <v>19171.6188571428</v>
      </c>
      <c r="F19" s="49">
        <v>21319.0532731579</v>
      </c>
      <c r="G19" s="50">
        <v>19526.5060142606</v>
      </c>
      <c r="H19" s="50">
        <v>19526.5060142606</v>
      </c>
      <c r="I19" s="30">
        <f t="shared" si="5"/>
        <v>1.03618565592821</v>
      </c>
      <c r="J19" s="31">
        <f t="shared" si="7"/>
        <v>354.887157117715</v>
      </c>
      <c r="K19" s="32">
        <f t="shared" ref="K19:K28" si="12">G19/E19-1</f>
        <v>0.0185110688754118</v>
      </c>
      <c r="L19" s="33">
        <f t="shared" si="6"/>
        <v>-1792.54725889736</v>
      </c>
      <c r="M19" s="32">
        <f t="shared" ref="M19:M28" si="13">G19/F19-1</f>
        <v>-0.0840819353434562</v>
      </c>
    </row>
    <row r="20" s="1" customFormat="1" ht="15.95" customHeight="1" spans="1:13">
      <c r="A20" s="25">
        <v>17</v>
      </c>
      <c r="B20" s="34" t="s">
        <v>39</v>
      </c>
      <c r="C20" s="27" t="s">
        <v>38</v>
      </c>
      <c r="D20" s="35" t="s">
        <v>35</v>
      </c>
      <c r="E20" s="35"/>
      <c r="F20" s="51"/>
      <c r="G20" s="51"/>
      <c r="H20" s="51"/>
      <c r="I20" s="30"/>
      <c r="J20" s="31"/>
      <c r="K20" s="32"/>
      <c r="L20" s="33">
        <f t="shared" si="6"/>
        <v>0</v>
      </c>
      <c r="M20" s="32"/>
    </row>
    <row r="21" s="1" customFormat="1" ht="15.95" customHeight="1" spans="1:13">
      <c r="A21" s="25">
        <v>18</v>
      </c>
      <c r="B21" s="52" t="s">
        <v>40</v>
      </c>
      <c r="C21" s="27" t="s">
        <v>12</v>
      </c>
      <c r="D21" s="53">
        <v>0.600000000000011</v>
      </c>
      <c r="E21" s="53">
        <v>0.6</v>
      </c>
      <c r="F21" s="53">
        <v>0.797717318216211</v>
      </c>
      <c r="G21" s="53">
        <v>0.6</v>
      </c>
      <c r="H21" s="53">
        <v>0.6</v>
      </c>
      <c r="I21" s="30">
        <f t="shared" si="5"/>
        <v>0.999999999999982</v>
      </c>
      <c r="J21" s="31">
        <f t="shared" ref="J21:J28" si="14">G21-E21</f>
        <v>0</v>
      </c>
      <c r="K21" s="32">
        <f t="shared" si="12"/>
        <v>0</v>
      </c>
      <c r="L21" s="33">
        <f t="shared" si="6"/>
        <v>-0.197717318216211</v>
      </c>
      <c r="M21" s="32">
        <f t="shared" si="13"/>
        <v>-0.247853862140451</v>
      </c>
    </row>
    <row r="22" s="1" customFormat="1" ht="15.95" customHeight="1" spans="1:13">
      <c r="A22" s="25">
        <v>19</v>
      </c>
      <c r="B22" s="52" t="s">
        <v>41</v>
      </c>
      <c r="C22" s="27" t="s">
        <v>12</v>
      </c>
      <c r="D22" s="54"/>
      <c r="E22" s="54"/>
      <c r="F22" s="54">
        <f>F7/3.6/F3/31/24</f>
        <v>0.330909436814957</v>
      </c>
      <c r="G22" s="54">
        <f>(G7-G8)/3.6/G3/31/24</f>
        <v>0.1602838195295</v>
      </c>
      <c r="H22" s="54">
        <f>(H7-H8)/3.6/H3/31/24</f>
        <v>0.1602838195295</v>
      </c>
      <c r="I22" s="30" t="e">
        <f t="shared" si="5"/>
        <v>#DIV/0!</v>
      </c>
      <c r="J22" s="31">
        <f t="shared" si="14"/>
        <v>0.1602838195295</v>
      </c>
      <c r="K22" s="32" t="e">
        <f t="shared" si="12"/>
        <v>#DIV/0!</v>
      </c>
      <c r="L22" s="33">
        <f t="shared" si="6"/>
        <v>-0.170625617285457</v>
      </c>
      <c r="M22" s="32">
        <f t="shared" si="13"/>
        <v>-0.515626326428611</v>
      </c>
    </row>
    <row r="23" s="1" customFormat="1" ht="15.95" customHeight="1" spans="1:13">
      <c r="A23" s="25">
        <v>20</v>
      </c>
      <c r="B23" s="52" t="s">
        <v>42</v>
      </c>
      <c r="C23" s="27" t="s">
        <v>43</v>
      </c>
      <c r="D23" s="55">
        <f>D7*1000000000/3600/3648/D5</f>
        <v>25.5537304563814</v>
      </c>
      <c r="E23" s="55">
        <f>E7*1000000000/3600/31/24/E5</f>
        <v>29.7261993534269</v>
      </c>
      <c r="F23" s="55">
        <f t="shared" ref="F23:H23" si="15">F7*1000000000/24/3600/31/F5</f>
        <v>37.1340516418437</v>
      </c>
      <c r="G23" s="55">
        <f t="shared" si="15"/>
        <v>41.3088720777497</v>
      </c>
      <c r="H23" s="55">
        <f t="shared" si="15"/>
        <v>41.3088720777497</v>
      </c>
      <c r="I23" s="30">
        <f t="shared" si="5"/>
        <v>1.61654957377989</v>
      </c>
      <c r="J23" s="31">
        <f t="shared" si="14"/>
        <v>11.5826727243228</v>
      </c>
      <c r="K23" s="32">
        <f t="shared" si="12"/>
        <v>0.389645261629706</v>
      </c>
      <c r="L23" s="33">
        <f t="shared" si="6"/>
        <v>4.174820435906</v>
      </c>
      <c r="M23" s="32">
        <f t="shared" si="13"/>
        <v>0.112425664621032</v>
      </c>
    </row>
    <row r="24" s="1" customFormat="1" ht="15.95" customHeight="1" spans="1:13">
      <c r="A24" s="25">
        <v>21</v>
      </c>
      <c r="B24" s="52" t="s">
        <v>44</v>
      </c>
      <c r="C24" s="27" t="s">
        <v>45</v>
      </c>
      <c r="D24" s="56">
        <f>D7/D5</f>
        <v>0.335592031337566</v>
      </c>
      <c r="E24" s="56">
        <f>E7/E5</f>
        <v>0.0796186523482185</v>
      </c>
      <c r="F24" s="56">
        <f>F7/F5</f>
        <v>0.0994598439175141</v>
      </c>
      <c r="G24" s="56">
        <f>G11*1000/G5</f>
        <v>0.147881128738307</v>
      </c>
      <c r="H24" s="56">
        <f>H11*1000/H5</f>
        <v>0.147881128738307</v>
      </c>
      <c r="I24" s="30">
        <f t="shared" si="5"/>
        <v>0.440657449906954</v>
      </c>
      <c r="J24" s="31">
        <f t="shared" si="14"/>
        <v>0.068262476390088</v>
      </c>
      <c r="K24" s="32">
        <f t="shared" si="12"/>
        <v>0.857367895295899</v>
      </c>
      <c r="L24" s="33">
        <f t="shared" si="6"/>
        <v>0.0484212848207924</v>
      </c>
      <c r="M24" s="32">
        <f t="shared" si="13"/>
        <v>0.486842557896533</v>
      </c>
    </row>
    <row r="25" s="1" customFormat="1" ht="15.95" customHeight="1" spans="1:13">
      <c r="A25" s="25">
        <v>22</v>
      </c>
      <c r="B25" s="52" t="s">
        <v>46</v>
      </c>
      <c r="C25" s="27" t="s">
        <v>47</v>
      </c>
      <c r="D25" s="56">
        <f>D14/D5</f>
        <v>2.4379366255144</v>
      </c>
      <c r="E25" s="56">
        <f t="shared" ref="D25:H25" si="16">E14/E5</f>
        <v>0.550576131687243</v>
      </c>
      <c r="F25" s="56">
        <f t="shared" si="16"/>
        <v>1.14172899365556</v>
      </c>
      <c r="G25" s="56">
        <f t="shared" si="16"/>
        <v>0.51366244364205</v>
      </c>
      <c r="H25" s="56">
        <f t="shared" si="16"/>
        <v>0.51366244364205</v>
      </c>
      <c r="I25" s="30">
        <f t="shared" si="5"/>
        <v>0.210695568648618</v>
      </c>
      <c r="J25" s="31">
        <f t="shared" si="14"/>
        <v>-0.0369136880451927</v>
      </c>
      <c r="K25" s="32">
        <f t="shared" si="12"/>
        <v>-0.0670455654008657</v>
      </c>
      <c r="L25" s="33">
        <f t="shared" si="6"/>
        <v>-0.628066550013513</v>
      </c>
      <c r="M25" s="32">
        <f t="shared" si="13"/>
        <v>-0.550101253015029</v>
      </c>
    </row>
    <row r="26" s="1" customFormat="1" ht="15.95" customHeight="1" spans="1:13">
      <c r="A26" s="25">
        <v>23</v>
      </c>
      <c r="B26" s="38" t="s">
        <v>48</v>
      </c>
      <c r="C26" s="27" t="s">
        <v>49</v>
      </c>
      <c r="D26" s="57">
        <f>D12*1000/D5</f>
        <v>79.1152263374486</v>
      </c>
      <c r="E26" s="57">
        <f t="shared" ref="D26:H26" si="17">E12*1000/E5</f>
        <v>12.7572016460905</v>
      </c>
      <c r="F26" s="57">
        <f t="shared" si="17"/>
        <v>29.4293219176078</v>
      </c>
      <c r="G26" s="57">
        <f t="shared" si="17"/>
        <v>21.1947848887475</v>
      </c>
      <c r="H26" s="57">
        <f t="shared" si="17"/>
        <v>21.1947848887475</v>
      </c>
      <c r="I26" s="30">
        <f t="shared" si="5"/>
        <v>0.26789767115556</v>
      </c>
      <c r="J26" s="31">
        <f t="shared" si="14"/>
        <v>8.43758324265694</v>
      </c>
      <c r="K26" s="32">
        <f t="shared" si="12"/>
        <v>0.661397654182463</v>
      </c>
      <c r="L26" s="33">
        <f t="shared" si="6"/>
        <v>-8.23453702886035</v>
      </c>
      <c r="M26" s="32">
        <f t="shared" si="13"/>
        <v>-0.27980722939911</v>
      </c>
    </row>
    <row r="27" s="1" customFormat="1" ht="15.95" customHeight="1" spans="1:13">
      <c r="A27" s="25">
        <v>24</v>
      </c>
      <c r="B27" s="52" t="s">
        <v>50</v>
      </c>
      <c r="C27" s="58" t="s">
        <v>19</v>
      </c>
      <c r="D27" s="59">
        <v>15.325</v>
      </c>
      <c r="E27" s="59">
        <v>6.375</v>
      </c>
      <c r="F27" s="59">
        <v>153.575</v>
      </c>
      <c r="G27" s="59">
        <v>7.925</v>
      </c>
      <c r="H27" s="59">
        <v>7.925</v>
      </c>
      <c r="I27" s="30">
        <f t="shared" si="5"/>
        <v>0.517128874388255</v>
      </c>
      <c r="J27" s="60">
        <f t="shared" si="14"/>
        <v>1.55</v>
      </c>
      <c r="K27" s="61">
        <f t="shared" si="12"/>
        <v>0.243137254901961</v>
      </c>
      <c r="L27" s="62">
        <f t="shared" si="6"/>
        <v>-145.65</v>
      </c>
      <c r="M27" s="32">
        <f t="shared" si="13"/>
        <v>-0.948396548917467</v>
      </c>
    </row>
    <row r="28" s="1" customFormat="1" ht="15.95" customHeight="1" spans="1:13">
      <c r="A28" s="63">
        <v>25</v>
      </c>
      <c r="B28" s="64" t="s">
        <v>51</v>
      </c>
      <c r="C28" s="65" t="s">
        <v>19</v>
      </c>
      <c r="D28" s="66">
        <v>6.625</v>
      </c>
      <c r="E28" s="66">
        <v>2.375</v>
      </c>
      <c r="F28" s="67">
        <v>24.725</v>
      </c>
      <c r="G28" s="67">
        <v>1.925</v>
      </c>
      <c r="H28" s="67">
        <v>1.925</v>
      </c>
      <c r="I28" s="68">
        <f t="shared" si="5"/>
        <v>0.290566037735849</v>
      </c>
      <c r="J28" s="69">
        <f t="shared" si="14"/>
        <v>-0.45</v>
      </c>
      <c r="K28" s="68">
        <f t="shared" si="12"/>
        <v>-0.189473684210526</v>
      </c>
      <c r="L28" s="70">
        <f t="shared" si="6"/>
        <v>-22.8</v>
      </c>
      <c r="M28" s="71">
        <f t="shared" si="13"/>
        <v>-0.922143579373104</v>
      </c>
    </row>
    <row r="29" s="2" customFormat="1" ht="24" customHeight="1" spans="1:13">
      <c r="A29" s="2" t="s">
        <v>52</v>
      </c>
      <c r="C29" s="72"/>
      <c r="D29" s="73" t="s">
        <v>53</v>
      </c>
      <c r="E29" s="73"/>
      <c r="G29" s="73"/>
      <c r="H29" s="73"/>
      <c r="I29" s="73"/>
      <c r="J29" s="74"/>
      <c r="K29" s="73"/>
      <c r="L29" s="73"/>
      <c r="M29" s="75"/>
    </row>
    <row r="30" spans="1:13">
      <c r="D30" s="76"/>
      <c r="E30" s="76"/>
      <c r="F30" s="76"/>
      <c r="G30" s="76"/>
      <c r="H30" s="76"/>
      <c r="I30" s="76"/>
      <c r="J30" s="76"/>
      <c r="K30" s="76"/>
      <c r="L30" s="76"/>
    </row>
    <row r="31" spans="1:13">
      <c r="G31" s="77"/>
    </row>
    <row r="33" spans="7:7">
      <c r="G33" s="78"/>
    </row>
  </sheetData>
  <mergeCells count="11">
    <mergeCell ref="J1:K1"/>
    <mergeCell ref="L1:M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550694444444444" right="0.550694444444444" top="1.01944444444444" bottom="0.751388888888889" header="0.239583333333333" footer="0.389583333333333"/>
  <pageSetup paperSize="9" orientation="landscape" horizontalDpi="600" verticalDpi="600"/>
  <headerFooter alignWithMargins="0" scaleWithDoc="0">
    <oddHeader>&amp;C&amp;"黑体"&amp;20 2025年12月份庄河环海热电有限公司生产情况报表&amp;R表    号：     ZB013
制表单位：计划生产部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太空有限公司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庄河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jhb6341</dc:creator>
  <cp:lastModifiedBy>王巍</cp:lastModifiedBy>
  <cp:revision>1</cp:revision>
  <dcterms:created xsi:type="dcterms:W3CDTF">2003-03-03T01:18:19Z</dcterms:created>
  <cp:lastPrinted>2018-02-05T07:57:34Z</cp:lastPrinted>
  <dcterms:modified xsi:type="dcterms:W3CDTF">2026-02-28T07:21:35Z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>
    <vt:lpwstr>14</vt:lpwstr>
  </property>
  <property fmtid="{D5CDD505-2E9C-101B-9397-08002B2CF9AE}" pid="4" name="ICV">
    <vt:lpwstr>EC8D67819E364564BCD19C5E1E027DB0_13</vt:lpwstr>
  </property>
  <property fmtid="{D5CDD505-2E9C-101B-9397-08002B2CF9AE}" pid="5" name="CalculationRule">
    <vt:i4>0</vt:i4>
  </property>
</Properties>
</file>