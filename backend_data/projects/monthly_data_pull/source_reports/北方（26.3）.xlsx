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40" activeTab="2"/>
  </bookViews>
  <sheets>
    <sheet name="2026.1" sheetId="2" r:id="rId1"/>
    <sheet name="2026.2" sheetId="4" r:id="rId2"/>
    <sheet name="2026.3" sheetId="5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<sst xmlns="http://schemas.openxmlformats.org/spreadsheetml/2006/main" count="568" uniqueCount="145">
  <si>
    <r>
      <t xml:space="preserve"> </t>
    </r>
    <r>
      <rPr>
        <b/>
        <sz val="18"/>
        <rFont val="宋体"/>
        <charset val="134"/>
      </rPr>
      <t>大连北方热电股份有限公司生产销售月报表</t>
    </r>
  </si>
  <si>
    <r>
      <t xml:space="preserve">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 </t>
    </r>
    <r>
      <rPr>
        <sz val="10"/>
        <rFont val="宋体"/>
        <charset val="134"/>
      </rPr>
      <t>号：J</t>
    </r>
    <r>
      <rPr>
        <sz val="10"/>
        <rFont val="Times New Roman"/>
        <family val="1"/>
        <charset val="0"/>
      </rPr>
      <t>B007-1</t>
    </r>
    <r>
      <rPr>
        <sz val="10"/>
        <rFont val="宋体"/>
        <charset val="134"/>
      </rPr>
      <t>表</t>
    </r>
  </si>
  <si>
    <r>
      <t>单位名称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盖章</t>
    </r>
    <r>
      <rPr>
        <sz val="10"/>
        <rFont val="Times New Roman"/>
        <family val="1"/>
        <charset val="0"/>
      </rPr>
      <t>)</t>
    </r>
    <r>
      <rPr>
        <sz val="10"/>
        <rFont val="宋体"/>
        <charset val="134"/>
      </rPr>
      <t>：</t>
    </r>
  </si>
  <si>
    <r>
      <t xml:space="preserve">                                                          2015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3</t>
    </r>
    <r>
      <rPr>
        <sz val="10"/>
        <rFont val="宋体"/>
        <charset val="134"/>
      </rPr>
      <t>月</t>
    </r>
  </si>
  <si>
    <r>
      <t xml:space="preserve"> </t>
    </r>
    <r>
      <rPr>
        <sz val="10"/>
        <rFont val="宋体"/>
        <charset val="134"/>
      </rPr>
      <t>制表单位：计划生产部</t>
    </r>
  </si>
  <si>
    <r>
      <t>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名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称</t>
    </r>
  </si>
  <si>
    <t>计量单位</t>
  </si>
  <si>
    <t>代码</t>
  </si>
  <si>
    <t>月计划</t>
  </si>
  <si>
    <r>
      <t xml:space="preserve">实    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际</t>
    </r>
  </si>
  <si>
    <t>备注</t>
  </si>
  <si>
    <t>上年同期</t>
  </si>
  <si>
    <t>上年累计</t>
  </si>
  <si>
    <t>本月实际</t>
  </si>
  <si>
    <r>
      <t>本年累</t>
    </r>
    <r>
      <rPr>
        <sz val="10"/>
        <rFont val="宋体"/>
        <charset val="134"/>
      </rPr>
      <t>计</t>
    </r>
  </si>
  <si>
    <t>发电机组容量</t>
  </si>
  <si>
    <t>万千瓦</t>
  </si>
  <si>
    <t>001</t>
  </si>
  <si>
    <t>发电量</t>
  </si>
  <si>
    <t>千瓦时</t>
  </si>
  <si>
    <t>002</t>
  </si>
  <si>
    <t>供电量</t>
  </si>
  <si>
    <t>003</t>
  </si>
  <si>
    <t>供汽量</t>
  </si>
  <si>
    <t>吨</t>
  </si>
  <si>
    <t>004</t>
  </si>
  <si>
    <t>供热量</t>
  </si>
  <si>
    <t>吉焦</t>
  </si>
  <si>
    <t>005</t>
  </si>
  <si>
    <t>首站热泵吸收供热量</t>
  </si>
  <si>
    <t>售汽量(工业、非工业)</t>
  </si>
  <si>
    <t>006</t>
  </si>
  <si>
    <t>高温水用热(吉焦)</t>
  </si>
  <si>
    <t>期末供暖收费面积</t>
  </si>
  <si>
    <t>平方米</t>
  </si>
  <si>
    <t>007</t>
  </si>
  <si>
    <t>生产耗原煤量</t>
  </si>
  <si>
    <t>008</t>
  </si>
  <si>
    <t>发电耗原煤量</t>
  </si>
  <si>
    <t>009</t>
  </si>
  <si>
    <t>供热耗原煤量</t>
  </si>
  <si>
    <t>010</t>
  </si>
  <si>
    <t>锅炉耗油量</t>
  </si>
  <si>
    <t>011</t>
  </si>
  <si>
    <t>发电耗油量</t>
  </si>
  <si>
    <t>012</t>
  </si>
  <si>
    <t>供热耗油量</t>
  </si>
  <si>
    <t>013</t>
  </si>
  <si>
    <t>耗水量</t>
  </si>
  <si>
    <t>014</t>
  </si>
  <si>
    <t>其中：耗井水量</t>
  </si>
  <si>
    <t>015</t>
  </si>
  <si>
    <t>耗酸量</t>
  </si>
  <si>
    <t>016</t>
  </si>
  <si>
    <t>耗碱量</t>
  </si>
  <si>
    <t>017</t>
  </si>
  <si>
    <t>耗石灰石量</t>
  </si>
  <si>
    <t>018</t>
  </si>
  <si>
    <t>脱硫耗石灰粉</t>
  </si>
  <si>
    <t>脱硫耗电量</t>
  </si>
  <si>
    <t>脱硫耗自备水量</t>
  </si>
  <si>
    <t>脱硫耗除盐水量</t>
  </si>
  <si>
    <t>耗氨水量</t>
  </si>
  <si>
    <t>019</t>
  </si>
  <si>
    <t>耗阻垢剂量</t>
  </si>
  <si>
    <t>020</t>
  </si>
  <si>
    <t>耗杀菌剂量</t>
  </si>
  <si>
    <t>021</t>
  </si>
  <si>
    <t>锅炉房耗原煤量</t>
  </si>
  <si>
    <t>022</t>
  </si>
  <si>
    <t>热网耗水量</t>
  </si>
  <si>
    <t>023</t>
  </si>
  <si>
    <t>外购电量</t>
  </si>
  <si>
    <t>024</t>
  </si>
  <si>
    <t>其中：热网耗电量</t>
  </si>
  <si>
    <t>025</t>
  </si>
  <si>
    <t>综合厂用电量</t>
  </si>
  <si>
    <t>026</t>
  </si>
  <si>
    <t>非生产厂用电量</t>
  </si>
  <si>
    <t>027</t>
  </si>
  <si>
    <t>生产厂用电量</t>
  </si>
  <si>
    <t>028</t>
  </si>
  <si>
    <t>其中：发电厂用电量</t>
  </si>
  <si>
    <t>029</t>
  </si>
  <si>
    <r>
      <t xml:space="preserve">             </t>
    </r>
    <r>
      <rPr>
        <sz val="10"/>
        <rFont val="宋体"/>
        <charset val="134"/>
      </rPr>
      <t>供热厂用电量</t>
    </r>
  </si>
  <si>
    <t>030</t>
  </si>
  <si>
    <t>综合厂用电率</t>
  </si>
  <si>
    <t>%</t>
  </si>
  <si>
    <t>031</t>
  </si>
  <si>
    <t>发电厂用电率</t>
  </si>
  <si>
    <t>032</t>
  </si>
  <si>
    <t>供热厂用电率</t>
  </si>
  <si>
    <r>
      <t>千瓦时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吉焦</t>
    </r>
  </si>
  <si>
    <t>033</t>
  </si>
  <si>
    <t>耗标煤总量</t>
  </si>
  <si>
    <t>034</t>
  </si>
  <si>
    <t>发电标准煤耗量</t>
  </si>
  <si>
    <t>035</t>
  </si>
  <si>
    <t>其中：煤折标准煤量</t>
  </si>
  <si>
    <t>036</t>
  </si>
  <si>
    <r>
      <t xml:space="preserve">            </t>
    </r>
    <r>
      <rPr>
        <sz val="10"/>
        <rFont val="宋体"/>
        <charset val="134"/>
      </rPr>
      <t>油折标准煤量</t>
    </r>
  </si>
  <si>
    <t>037</t>
  </si>
  <si>
    <t>供热标准煤耗量</t>
  </si>
  <si>
    <t>038</t>
  </si>
  <si>
    <t>039</t>
  </si>
  <si>
    <t>040</t>
  </si>
  <si>
    <t>发电标准煤耗率</t>
  </si>
  <si>
    <r>
      <t>克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千瓦时</t>
    </r>
  </si>
  <si>
    <t>041</t>
  </si>
  <si>
    <t>供电标准煤耗率</t>
  </si>
  <si>
    <t>克/千瓦时</t>
  </si>
  <si>
    <t>042</t>
  </si>
  <si>
    <t>供热标准煤耗率</t>
  </si>
  <si>
    <r>
      <t>千克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吉焦</t>
    </r>
  </si>
  <si>
    <t>043</t>
  </si>
  <si>
    <t>入炉煤低位发热量</t>
  </si>
  <si>
    <r>
      <t>千焦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千克</t>
    </r>
  </si>
  <si>
    <t>044</t>
  </si>
  <si>
    <t>入厂煤低位发热量</t>
  </si>
  <si>
    <t>千焦/千克</t>
  </si>
  <si>
    <t>045</t>
  </si>
  <si>
    <t>发电最高负荷</t>
  </si>
  <si>
    <t>千瓦</t>
  </si>
  <si>
    <t>046</t>
  </si>
  <si>
    <t>供热最高负荷</t>
  </si>
  <si>
    <r>
      <t>吨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时</t>
    </r>
  </si>
  <si>
    <t>047</t>
  </si>
  <si>
    <t>热分摊比</t>
  </si>
  <si>
    <t>048</t>
  </si>
  <si>
    <t>入厂煤量</t>
  </si>
  <si>
    <t>049</t>
  </si>
  <si>
    <t>非生产耗煤量</t>
  </si>
  <si>
    <t>050</t>
  </si>
  <si>
    <t>损耗煤量</t>
  </si>
  <si>
    <t>051</t>
  </si>
  <si>
    <t>调外网煤量</t>
  </si>
  <si>
    <t>期末库存煤量</t>
  </si>
  <si>
    <t>052</t>
  </si>
  <si>
    <t>单位负责人：</t>
  </si>
  <si>
    <r>
      <t xml:space="preserve">       </t>
    </r>
    <r>
      <rPr>
        <sz val="10"/>
        <rFont val="宋体"/>
        <charset val="134"/>
      </rPr>
      <t>统计负责人：</t>
    </r>
  </si>
  <si>
    <r>
      <t xml:space="preserve">                     </t>
    </r>
    <r>
      <rPr>
        <sz val="10"/>
        <rFont val="宋体"/>
        <charset val="134"/>
      </rPr>
      <t>填表人：</t>
    </r>
  </si>
  <si>
    <r>
      <t xml:space="preserve">         </t>
    </r>
    <r>
      <rPr>
        <sz val="10"/>
        <rFont val="宋体"/>
        <charset val="134"/>
      </rPr>
      <t>报出日期</t>
    </r>
    <r>
      <rPr>
        <sz val="10"/>
        <rFont val="Times New Roman"/>
        <family val="1"/>
        <charset val="0"/>
      </rPr>
      <t>:2026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>2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1 </t>
    </r>
    <r>
      <rPr>
        <sz val="10"/>
        <rFont val="宋体"/>
        <charset val="134"/>
      </rPr>
      <t>日</t>
    </r>
  </si>
  <si>
    <r>
      <t xml:space="preserve">         </t>
    </r>
    <r>
      <rPr>
        <sz val="10"/>
        <rFont val="宋体"/>
        <charset val="134"/>
      </rPr>
      <t>报出日期</t>
    </r>
    <r>
      <rPr>
        <sz val="10"/>
        <rFont val="Times New Roman"/>
        <family val="1"/>
        <charset val="0"/>
      </rPr>
      <t>:2026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>3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1 </t>
    </r>
    <r>
      <rPr>
        <sz val="10"/>
        <rFont val="宋体"/>
        <charset val="134"/>
      </rPr>
      <t>日</t>
    </r>
  </si>
  <si>
    <t>盘盈2300吨</t>
  </si>
  <si>
    <r>
      <t xml:space="preserve">         </t>
    </r>
    <r>
      <rPr>
        <sz val="10"/>
        <rFont val="宋体"/>
        <charset val="134"/>
      </rPr>
      <t>报出日期</t>
    </r>
    <r>
      <rPr>
        <sz val="10"/>
        <rFont val="Times New Roman"/>
        <family val="1"/>
        <charset val="0"/>
      </rPr>
      <t>:2026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>4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1 </t>
    </r>
    <r>
      <rPr>
        <sz val="10"/>
        <rFont val="宋体"/>
        <charset val="134"/>
      </rPr>
      <t>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</si>
</sst>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_);[Red]\(0.00\)"/>
    <numFmt numFmtId="179" formatCode="0.000_ "/>
  </numFmts>
  <fonts count="28">
    <font>
      <sz val="12"/>
      <name val="宋体"/>
      <charset val="134"/>
    </font>
    <font>
      <sz val="11"/>
      <color rgb="FF000000"/>
      <name val="宋体"/>
      <charset val="134"/>
    </font>
    <font>
      <b/>
      <sz val="18"/>
      <name val="Times New Roman"/>
      <family val="1"/>
      <charset val="0"/>
    </font>
    <font>
      <b/>
      <sz val="18"/>
      <name val="宋体"/>
      <charset val="134"/>
    </font>
    <font>
      <sz val="10"/>
      <name val="Times New Roman"/>
      <family val="1"/>
      <charset val="0"/>
    </font>
    <font>
      <sz val="10"/>
      <name val="宋体"/>
      <charset val="134"/>
    </font>
    <font>
      <i/>
      <sz val="10"/>
      <name val="宋体"/>
      <charset val="134"/>
    </font>
    <font>
      <i/>
      <sz val="10"/>
      <name val="Times New Roman"/>
      <family val="1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32" applyNumberFormat="0" applyAlignment="0" applyProtection="0">
      <alignment vertical="center"/>
    </xf>
    <xf numFmtId="0" fontId="18" fillId="7" borderId="33" applyNumberFormat="0" applyAlignment="0" applyProtection="0">
      <alignment vertical="center"/>
    </xf>
    <xf numFmtId="0" fontId="19" fillId="7" borderId="32" applyNumberFormat="0" applyAlignment="0" applyProtection="0">
      <alignment vertical="center"/>
    </xf>
    <xf numFmtId="0" fontId="20" fillId="8" borderId="34" applyNumberForma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57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11" xfId="0" applyFont="1" applyBorder="1">
      <alignment vertical="center"/>
    </xf>
    <xf numFmtId="176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3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0" borderId="13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178" fontId="5" fillId="0" borderId="14" xfId="0" applyNumberFormat="1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16" xfId="0" applyFont="1" applyBorder="1">
      <alignment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177" fontId="5" fillId="3" borderId="9" xfId="0" applyNumberFormat="1" applyFont="1" applyFill="1" applyBorder="1" applyAlignment="1">
      <alignment horizontal="center" vertical="center"/>
    </xf>
    <xf numFmtId="0" fontId="5" fillId="0" borderId="17" xfId="0" applyFont="1" applyBorder="1">
      <alignment vertical="center"/>
    </xf>
    <xf numFmtId="0" fontId="5" fillId="0" borderId="12" xfId="0" applyFont="1" applyBorder="1" applyAlignment="1">
      <alignment horizontal="right" vertical="center"/>
    </xf>
    <xf numFmtId="177" fontId="5" fillId="0" borderId="9" xfId="0" applyNumberFormat="1" applyFont="1" applyBorder="1" applyAlignment="1">
      <alignment horizontal="center" vertical="center"/>
    </xf>
    <xf numFmtId="178" fontId="5" fillId="3" borderId="10" xfId="0" applyNumberFormat="1" applyFont="1" applyFill="1" applyBorder="1" applyAlignment="1">
      <alignment horizontal="center" vertical="center"/>
    </xf>
    <xf numFmtId="178" fontId="5" fillId="0" borderId="10" xfId="0" applyNumberFormat="1" applyFont="1" applyBorder="1" applyAlignment="1">
      <alignment horizontal="center" vertical="center"/>
    </xf>
    <xf numFmtId="179" fontId="5" fillId="0" borderId="10" xfId="0" applyNumberFormat="1" applyFont="1" applyBorder="1" applyAlignment="1">
      <alignment horizontal="center" vertical="center"/>
    </xf>
    <xf numFmtId="176" fontId="5" fillId="3" borderId="10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0" fontId="4" fillId="0" borderId="12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5" fillId="0" borderId="18" xfId="0" applyFont="1" applyBorder="1">
      <alignment vertical="center"/>
    </xf>
    <xf numFmtId="0" fontId="6" fillId="0" borderId="15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177" fontId="5" fillId="3" borderId="15" xfId="0" applyNumberFormat="1" applyFont="1" applyFill="1" applyBorder="1" applyAlignment="1">
      <alignment horizontal="center" vertical="center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>
      <alignment vertical="center"/>
    </xf>
    <xf numFmtId="176" fontId="5" fillId="3" borderId="22" xfId="0" applyNumberFormat="1" applyFont="1" applyFill="1" applyBorder="1" applyAlignment="1">
      <alignment horizontal="center" vertical="center"/>
    </xf>
    <xf numFmtId="176" fontId="5" fillId="3" borderId="21" xfId="0" applyNumberFormat="1" applyFont="1" applyFill="1" applyBorder="1" applyAlignment="1">
      <alignment horizontal="center" vertical="center"/>
    </xf>
    <xf numFmtId="0" fontId="5" fillId="0" borderId="23" xfId="0" applyFont="1" applyBorder="1">
      <alignment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>
      <alignment vertical="center"/>
    </xf>
    <xf numFmtId="0" fontId="7" fillId="0" borderId="27" xfId="0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0" fontId="4" fillId="0" borderId="27" xfId="0" applyFont="1" applyBorder="1">
      <alignment vertical="center"/>
    </xf>
    <xf numFmtId="10" fontId="5" fillId="3" borderId="14" xfId="0" applyNumberFormat="1" applyFont="1" applyFill="1" applyBorder="1" applyAlignment="1">
      <alignment horizontal="center" vertical="center"/>
    </xf>
    <xf numFmtId="0" fontId="5" fillId="0" borderId="28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177" fontId="5" fillId="3" borderId="1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5E0B4"/>
      <color rgb="0092D050"/>
      <color rgb="0000B0F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zoomScaleSheetLayoutView="60" topLeftCell="A19" workbookViewId="0">
      <selection activeCell="H60" sqref="H60"/>
    </sheetView>
  </sheetViews>
  <sheetFormatPr defaultColWidth="9" defaultRowHeight="15"/>
  <cols>
    <col min="1" max="1" width="18.5" customWidth="1"/>
    <col min="2" max="2" width="8.25" customWidth="1"/>
    <col min="3" max="3" width="32.875" hidden="1" customWidth="1"/>
    <col min="4" max="4" width="16.5" hidden="1" customWidth="1"/>
    <col min="5" max="5" width="11.125" customWidth="1"/>
    <col min="6" max="6" width="11.5" customWidth="1"/>
    <col min="7" max="7" width="11.75" customWidth="1"/>
    <col min="8" max="8" width="12.5" customWidth="1"/>
    <col min="9" max="9" width="15.375" customWidth="1"/>
    <col min="10" max="10" width="28.375" customWidth="1"/>
  </cols>
  <sheetData>
    <row r="1" ht="28.5" customHeight="1" spans="1:9">
      <c r="A1" s="76" t="s">
        <v>0</v>
      </c>
      <c r="B1" s="77"/>
      <c r="C1" s="77"/>
      <c r="D1" s="77"/>
      <c r="E1" s="77"/>
      <c r="F1" s="77"/>
      <c r="G1" s="77"/>
      <c r="H1" s="77"/>
      <c r="I1" s="77"/>
    </row>
    <row r="2" spans="1:9">
      <c r="A2" s="5"/>
      <c r="B2" s="6"/>
      <c r="C2" s="6"/>
      <c r="D2" s="6"/>
      <c r="E2" s="6"/>
      <c r="F2" s="6"/>
      <c r="G2" s="6"/>
      <c r="H2" s="7" t="s">
        <v>1</v>
      </c>
      <c r="I2" s="8"/>
    </row>
    <row r="3" ht="15.75" spans="1:9">
      <c r="A3" s="8" t="s">
        <v>2</v>
      </c>
      <c r="B3" s="6"/>
      <c r="C3" s="5" t="s">
        <v>3</v>
      </c>
      <c r="D3" s="6"/>
      <c r="E3" s="6"/>
      <c r="F3" s="9">
        <v>46023</v>
      </c>
      <c r="G3" s="6"/>
      <c r="H3" s="7" t="s">
        <v>4</v>
      </c>
      <c r="I3" s="8"/>
    </row>
    <row r="4" ht="13.5" customHeight="1" spans="1:9">
      <c r="A4" s="10" t="s">
        <v>5</v>
      </c>
      <c r="B4" s="11" t="s">
        <v>6</v>
      </c>
      <c r="C4" s="11" t="s">
        <v>7</v>
      </c>
      <c r="D4" s="11" t="s">
        <v>8</v>
      </c>
      <c r="E4" s="12" t="s">
        <v>9</v>
      </c>
      <c r="F4" s="13"/>
      <c r="G4" s="13"/>
      <c r="H4" s="14"/>
      <c r="I4" s="15" t="s">
        <v>10</v>
      </c>
    </row>
    <row r="5" ht="13.5" customHeight="1" spans="1:9">
      <c r="A5" s="16"/>
      <c r="B5" s="17"/>
      <c r="C5" s="17"/>
      <c r="D5" s="17"/>
      <c r="E5" s="18" t="s">
        <v>11</v>
      </c>
      <c r="F5" s="18" t="s">
        <v>12</v>
      </c>
      <c r="G5" s="18" t="s">
        <v>13</v>
      </c>
      <c r="H5" s="18" t="s">
        <v>14</v>
      </c>
      <c r="I5" s="19"/>
    </row>
    <row r="6" ht="14.1" customHeight="1" spans="1:9">
      <c r="A6" s="20" t="s">
        <v>15</v>
      </c>
      <c r="B6" s="21" t="s">
        <v>16</v>
      </c>
      <c r="C6" s="22" t="s">
        <v>17</v>
      </c>
      <c r="D6" s="18"/>
      <c r="E6" s="18">
        <v>3.28</v>
      </c>
      <c r="F6" s="18">
        <v>3.28</v>
      </c>
      <c r="G6" s="18">
        <v>3.28</v>
      </c>
      <c r="H6" s="18">
        <v>3.28</v>
      </c>
      <c r="I6" s="19"/>
    </row>
    <row r="7" ht="12.6" customHeight="1" spans="1:9">
      <c r="A7" s="23" t="s">
        <v>18</v>
      </c>
      <c r="B7" s="24" t="s">
        <v>19</v>
      </c>
      <c r="C7" s="22" t="s">
        <v>20</v>
      </c>
      <c r="D7" s="25"/>
      <c r="E7" s="18">
        <v>12035100</v>
      </c>
      <c r="F7" s="18">
        <v>12035100</v>
      </c>
      <c r="G7" s="18">
        <v>15352900</v>
      </c>
      <c r="H7" s="26">
        <v>15352900</v>
      </c>
      <c r="I7" s="27"/>
    </row>
    <row r="8" ht="12.6" customHeight="1" spans="1:9">
      <c r="A8" s="23" t="s">
        <v>21</v>
      </c>
      <c r="B8" s="24" t="s">
        <v>19</v>
      </c>
      <c r="C8" s="22" t="s">
        <v>22</v>
      </c>
      <c r="D8" s="25"/>
      <c r="E8" s="18">
        <v>8735760</v>
      </c>
      <c r="F8" s="18">
        <v>8735760</v>
      </c>
      <c r="G8" s="18">
        <v>11150964</v>
      </c>
      <c r="H8" s="26">
        <v>11150964</v>
      </c>
      <c r="I8" s="27"/>
    </row>
    <row r="9" ht="12.6" customHeight="1" spans="1:9">
      <c r="A9" s="23" t="s">
        <v>23</v>
      </c>
      <c r="B9" s="24" t="s">
        <v>24</v>
      </c>
      <c r="C9" s="22" t="s">
        <v>25</v>
      </c>
      <c r="D9" s="25"/>
      <c r="E9" s="18">
        <v>0</v>
      </c>
      <c r="F9" s="18">
        <v>0</v>
      </c>
      <c r="G9" s="18">
        <v>0</v>
      </c>
      <c r="H9" s="26">
        <v>0</v>
      </c>
      <c r="I9" s="27"/>
    </row>
    <row r="10" ht="12.6" customHeight="1" spans="1:9">
      <c r="A10" s="23" t="s">
        <v>26</v>
      </c>
      <c r="B10" s="24" t="s">
        <v>27</v>
      </c>
      <c r="C10" s="22" t="s">
        <v>28</v>
      </c>
      <c r="D10" s="25"/>
      <c r="E10" s="28">
        <v>250183.46</v>
      </c>
      <c r="F10" s="18">
        <v>250183.46</v>
      </c>
      <c r="G10" s="29">
        <v>292094.32</v>
      </c>
      <c r="H10" s="30">
        <v>292094.32</v>
      </c>
      <c r="I10" s="27"/>
    </row>
    <row r="11" ht="12.6" customHeight="1" spans="1:9">
      <c r="A11" s="23" t="s">
        <v>29</v>
      </c>
      <c r="B11" s="24" t="s">
        <v>27</v>
      </c>
      <c r="C11" s="22"/>
      <c r="D11" s="25"/>
      <c r="E11" s="18">
        <v>0</v>
      </c>
      <c r="F11" s="18">
        <v>0</v>
      </c>
      <c r="G11" s="18">
        <v>0</v>
      </c>
      <c r="H11" s="26">
        <v>0</v>
      </c>
      <c r="I11" s="27"/>
    </row>
    <row r="12" ht="12.6" customHeight="1" spans="1:9">
      <c r="A12" s="23" t="s">
        <v>30</v>
      </c>
      <c r="B12" s="24" t="s">
        <v>24</v>
      </c>
      <c r="C12" s="22" t="s">
        <v>31</v>
      </c>
      <c r="D12" s="25"/>
      <c r="E12" s="18">
        <v>0</v>
      </c>
      <c r="F12" s="18">
        <v>0</v>
      </c>
      <c r="G12" s="18">
        <v>0</v>
      </c>
      <c r="H12" s="26">
        <v>0</v>
      </c>
      <c r="I12" s="27"/>
    </row>
    <row r="13" ht="12.6" customHeight="1" spans="1:9">
      <c r="A13" s="23" t="s">
        <v>32</v>
      </c>
      <c r="B13" s="24" t="s">
        <v>27</v>
      </c>
      <c r="C13" s="22"/>
      <c r="D13" s="25"/>
      <c r="E13" s="18">
        <v>4203</v>
      </c>
      <c r="F13" s="29">
        <v>4203</v>
      </c>
      <c r="G13" s="18">
        <v>6898.5</v>
      </c>
      <c r="H13" s="26">
        <v>6898.5</v>
      </c>
      <c r="I13" s="27"/>
    </row>
    <row r="14" ht="12.6" customHeight="1" spans="1:9">
      <c r="A14" s="32" t="s">
        <v>33</v>
      </c>
      <c r="B14" s="33" t="s">
        <v>34</v>
      </c>
      <c r="C14" s="34" t="s">
        <v>35</v>
      </c>
      <c r="D14" s="35"/>
      <c r="E14" s="36">
        <v>3170000</v>
      </c>
      <c r="F14" s="36">
        <v>3170000</v>
      </c>
      <c r="G14" s="36">
        <v>3019870.33</v>
      </c>
      <c r="H14" s="37">
        <v>3019870.33</v>
      </c>
      <c r="I14" s="38"/>
    </row>
    <row r="15" ht="12.6" customHeight="1" spans="1:9">
      <c r="A15" s="20" t="s">
        <v>36</v>
      </c>
      <c r="B15" s="21" t="s">
        <v>24</v>
      </c>
      <c r="C15" s="39" t="s">
        <v>37</v>
      </c>
      <c r="D15" s="40"/>
      <c r="E15" s="41">
        <v>17767.37</v>
      </c>
      <c r="F15" s="41">
        <v>17767.37</v>
      </c>
      <c r="G15" s="41">
        <v>20654.19</v>
      </c>
      <c r="H15" s="30">
        <v>20654.19</v>
      </c>
      <c r="I15" s="42"/>
    </row>
    <row r="16" ht="12.6" customHeight="1" spans="1:9">
      <c r="A16" s="43" t="s">
        <v>38</v>
      </c>
      <c r="B16" s="24" t="s">
        <v>24</v>
      </c>
      <c r="C16" s="22" t="s">
        <v>39</v>
      </c>
      <c r="D16" s="25"/>
      <c r="E16" s="29">
        <v>3749.56747106224</v>
      </c>
      <c r="F16" s="44">
        <v>3749.56747106224</v>
      </c>
      <c r="G16" s="29">
        <v>4953.18904627418</v>
      </c>
      <c r="H16" s="30">
        <v>4953.18904627418</v>
      </c>
      <c r="I16" s="27"/>
    </row>
    <row r="17" ht="12.6" customHeight="1" spans="1:10">
      <c r="A17" s="43" t="s">
        <v>40</v>
      </c>
      <c r="B17" s="24" t="s">
        <v>24</v>
      </c>
      <c r="C17" s="22" t="s">
        <v>41</v>
      </c>
      <c r="D17" s="25"/>
      <c r="E17" s="29">
        <v>14017.8025289378</v>
      </c>
      <c r="F17" s="44">
        <v>14017.8025289378</v>
      </c>
      <c r="G17" s="29">
        <v>15701.0009537258</v>
      </c>
      <c r="H17" s="30">
        <v>15701.0009537258</v>
      </c>
      <c r="I17" s="27"/>
    </row>
    <row r="18" ht="12.6" customHeight="1" spans="1:10">
      <c r="A18" s="23" t="s">
        <v>42</v>
      </c>
      <c r="B18" s="24" t="s">
        <v>24</v>
      </c>
      <c r="C18" s="22" t="s">
        <v>43</v>
      </c>
      <c r="D18" s="25"/>
      <c r="E18" s="45">
        <v>8.8</v>
      </c>
      <c r="F18" s="45">
        <v>8.8</v>
      </c>
      <c r="G18" s="45">
        <v>0.2</v>
      </c>
      <c r="H18" s="45">
        <v>0.2</v>
      </c>
      <c r="I18" s="27"/>
    </row>
    <row r="19" ht="12.6" customHeight="1" spans="1:10">
      <c r="A19" s="43" t="s">
        <v>44</v>
      </c>
      <c r="B19" s="24" t="s">
        <v>24</v>
      </c>
      <c r="C19" s="22" t="s">
        <v>45</v>
      </c>
      <c r="D19" s="25"/>
      <c r="E19" s="46">
        <v>1.85712312769688</v>
      </c>
      <c r="F19" s="44">
        <v>1.85712312769688</v>
      </c>
      <c r="G19" s="46">
        <v>0.0479630432979863</v>
      </c>
      <c r="H19" s="45">
        <v>0.0479630432979863</v>
      </c>
      <c r="I19" s="27"/>
    </row>
    <row r="20" ht="12.6" customHeight="1" spans="1:10">
      <c r="A20" s="43" t="s">
        <v>46</v>
      </c>
      <c r="B20" s="24" t="s">
        <v>24</v>
      </c>
      <c r="C20" s="22" t="s">
        <v>47</v>
      </c>
      <c r="D20" s="25"/>
      <c r="E20" s="46">
        <v>6.94287687230312</v>
      </c>
      <c r="F20" s="44">
        <v>6.94287687230312</v>
      </c>
      <c r="G20" s="46">
        <v>0.152036956702014</v>
      </c>
      <c r="H20" s="45">
        <v>0.152036956702014</v>
      </c>
      <c r="I20" s="27"/>
    </row>
    <row r="21" ht="12.6" customHeight="1" spans="1:10">
      <c r="A21" s="23" t="s">
        <v>48</v>
      </c>
      <c r="B21" s="24" t="s">
        <v>24</v>
      </c>
      <c r="C21" s="22" t="s">
        <v>49</v>
      </c>
      <c r="D21" s="25"/>
      <c r="E21" s="18">
        <v>43108.9</v>
      </c>
      <c r="F21" s="44">
        <v>43108.9</v>
      </c>
      <c r="G21" s="18">
        <v>34653</v>
      </c>
      <c r="H21" s="26">
        <v>34653</v>
      </c>
      <c r="I21" s="27"/>
      <c r="J21" s="8"/>
    </row>
    <row r="22" ht="12.6" customHeight="1" spans="1:10">
      <c r="A22" s="23" t="s">
        <v>50</v>
      </c>
      <c r="B22" s="24" t="s">
        <v>24</v>
      </c>
      <c r="C22" s="22" t="s">
        <v>51</v>
      </c>
      <c r="D22" s="25"/>
      <c r="E22" s="18">
        <v>21789.9</v>
      </c>
      <c r="F22" s="44">
        <v>21789.9</v>
      </c>
      <c r="G22" s="18">
        <v>11538</v>
      </c>
      <c r="H22" s="26">
        <v>11538</v>
      </c>
      <c r="I22" s="27"/>
    </row>
    <row r="23" ht="12.6" customHeight="1" spans="1:10">
      <c r="A23" s="23" t="s">
        <v>52</v>
      </c>
      <c r="B23" s="24" t="s">
        <v>24</v>
      </c>
      <c r="C23" s="22" t="s">
        <v>53</v>
      </c>
      <c r="D23" s="25"/>
      <c r="E23" s="18">
        <v>6.72</v>
      </c>
      <c r="F23" s="44">
        <v>6.72</v>
      </c>
      <c r="G23" s="18">
        <v>2.31</v>
      </c>
      <c r="H23" s="26">
        <v>2.31</v>
      </c>
      <c r="I23" s="27"/>
    </row>
    <row r="24" ht="12.6" customHeight="1" spans="1:10">
      <c r="A24" s="23" t="s">
        <v>54</v>
      </c>
      <c r="B24" s="24" t="s">
        <v>24</v>
      </c>
      <c r="C24" s="22" t="s">
        <v>55</v>
      </c>
      <c r="D24" s="25"/>
      <c r="E24" s="18">
        <v>7.12</v>
      </c>
      <c r="F24" s="44">
        <v>7.12</v>
      </c>
      <c r="G24" s="18">
        <v>2.3</v>
      </c>
      <c r="H24" s="26">
        <v>2.3</v>
      </c>
      <c r="I24" s="27"/>
    </row>
    <row r="25" ht="12.6" customHeight="1" spans="1:10">
      <c r="A25" s="23" t="s">
        <v>56</v>
      </c>
      <c r="B25" s="24" t="s">
        <v>24</v>
      </c>
      <c r="C25" s="22" t="s">
        <v>57</v>
      </c>
      <c r="D25" s="25"/>
      <c r="E25" s="18">
        <v>837.04</v>
      </c>
      <c r="F25" s="44">
        <v>837.04</v>
      </c>
      <c r="G25" s="18">
        <v>601.88</v>
      </c>
      <c r="H25" s="26">
        <v>601.88</v>
      </c>
      <c r="I25" s="27"/>
    </row>
    <row r="26" ht="12.6" customHeight="1" spans="1:10">
      <c r="A26" s="23" t="s">
        <v>58</v>
      </c>
      <c r="B26" s="24" t="s">
        <v>24</v>
      </c>
      <c r="C26" s="22"/>
      <c r="D26" s="25"/>
      <c r="E26" s="18">
        <v>299.42</v>
      </c>
      <c r="F26" s="44">
        <v>299.42</v>
      </c>
      <c r="G26" s="18">
        <v>364.38</v>
      </c>
      <c r="H26" s="26">
        <v>364.38</v>
      </c>
      <c r="I26" s="27"/>
    </row>
    <row r="27" ht="12.6" customHeight="1" spans="1:10">
      <c r="A27" s="23" t="s">
        <v>59</v>
      </c>
      <c r="B27" s="24" t="s">
        <v>19</v>
      </c>
      <c r="C27" s="22"/>
      <c r="D27" s="25"/>
      <c r="E27" s="18">
        <v>441012</v>
      </c>
      <c r="F27" s="28">
        <v>441012</v>
      </c>
      <c r="G27" s="18">
        <v>619963</v>
      </c>
      <c r="H27" s="26">
        <v>619963</v>
      </c>
      <c r="I27" s="27"/>
    </row>
    <row r="28" ht="12.6" customHeight="1" spans="1:10">
      <c r="A28" s="23" t="s">
        <v>60</v>
      </c>
      <c r="B28" s="24" t="s">
        <v>24</v>
      </c>
      <c r="C28" s="22"/>
      <c r="D28" s="25"/>
      <c r="E28" s="18">
        <v>5952</v>
      </c>
      <c r="F28" s="28">
        <v>5952</v>
      </c>
      <c r="G28" s="18">
        <v>6120</v>
      </c>
      <c r="H28" s="26">
        <v>6120</v>
      </c>
      <c r="I28" s="27"/>
    </row>
    <row r="29" ht="12.6" customHeight="1" spans="1:10">
      <c r="A29" s="23" t="s">
        <v>61</v>
      </c>
      <c r="B29" s="24" t="s">
        <v>24</v>
      </c>
      <c r="C29" s="22"/>
      <c r="D29" s="25"/>
      <c r="E29" s="18">
        <v>1535</v>
      </c>
      <c r="F29" s="28">
        <v>1535</v>
      </c>
      <c r="G29" s="18">
        <v>1284</v>
      </c>
      <c r="H29" s="26">
        <v>1284</v>
      </c>
      <c r="I29" s="27"/>
    </row>
    <row r="30" ht="12.6" customHeight="1" spans="1:10">
      <c r="A30" s="23" t="s">
        <v>62</v>
      </c>
      <c r="B30" s="24" t="s">
        <v>24</v>
      </c>
      <c r="C30" s="22" t="s">
        <v>63</v>
      </c>
      <c r="D30" s="25"/>
      <c r="E30" s="18">
        <v>386.346</v>
      </c>
      <c r="F30" s="29">
        <v>386.346</v>
      </c>
      <c r="G30" s="18">
        <v>74.273</v>
      </c>
      <c r="H30" s="26">
        <v>74.273</v>
      </c>
      <c r="I30" s="27"/>
    </row>
    <row r="31" ht="12.6" customHeight="1" spans="1:10">
      <c r="A31" s="23" t="s">
        <v>64</v>
      </c>
      <c r="B31" s="24" t="s">
        <v>24</v>
      </c>
      <c r="C31" s="22" t="s">
        <v>65</v>
      </c>
      <c r="D31" s="25"/>
      <c r="E31" s="18">
        <v>0.119</v>
      </c>
      <c r="F31" s="47">
        <v>0.119</v>
      </c>
      <c r="G31" s="18">
        <v>0.05</v>
      </c>
      <c r="H31" s="26">
        <v>0.05</v>
      </c>
      <c r="I31" s="27"/>
    </row>
    <row r="32" ht="12.6" customHeight="1" spans="1:10">
      <c r="A32" s="23" t="s">
        <v>66</v>
      </c>
      <c r="B32" s="24" t="s">
        <v>24</v>
      </c>
      <c r="C32" s="22" t="s">
        <v>67</v>
      </c>
      <c r="D32" s="25"/>
      <c r="E32" s="18">
        <v>0</v>
      </c>
      <c r="F32" s="28">
        <v>0</v>
      </c>
      <c r="G32" s="18">
        <v>0</v>
      </c>
      <c r="H32" s="26">
        <v>0</v>
      </c>
      <c r="I32" s="27"/>
    </row>
    <row r="33" ht="12.6" customHeight="1" spans="1:10">
      <c r="A33" s="23" t="s">
        <v>68</v>
      </c>
      <c r="B33" s="24" t="s">
        <v>24</v>
      </c>
      <c r="C33" s="22" t="s">
        <v>69</v>
      </c>
      <c r="D33" s="25"/>
      <c r="E33" s="18">
        <v>0</v>
      </c>
      <c r="F33" s="28">
        <v>0</v>
      </c>
      <c r="G33" s="28">
        <v>0</v>
      </c>
      <c r="H33" s="48">
        <v>0</v>
      </c>
      <c r="I33" s="27"/>
    </row>
    <row r="34" ht="12.6" customHeight="1" spans="1:10">
      <c r="A34" s="23" t="s">
        <v>70</v>
      </c>
      <c r="B34" s="24" t="s">
        <v>24</v>
      </c>
      <c r="C34" s="22" t="s">
        <v>71</v>
      </c>
      <c r="D34" s="25"/>
      <c r="E34" s="18">
        <v>32644</v>
      </c>
      <c r="F34" s="28">
        <v>32644</v>
      </c>
      <c r="G34" s="18">
        <v>22885</v>
      </c>
      <c r="H34" s="26">
        <v>22885</v>
      </c>
      <c r="I34" s="27"/>
    </row>
    <row r="35" ht="12.6" customHeight="1" spans="1:10">
      <c r="A35" s="23" t="s">
        <v>72</v>
      </c>
      <c r="B35" s="24" t="s">
        <v>19</v>
      </c>
      <c r="C35" s="22" t="s">
        <v>73</v>
      </c>
      <c r="D35" s="25"/>
      <c r="E35" s="18">
        <v>1003755</v>
      </c>
      <c r="F35" s="28">
        <v>1003755</v>
      </c>
      <c r="G35" s="18">
        <v>1027192</v>
      </c>
      <c r="H35" s="26">
        <v>1027192</v>
      </c>
      <c r="I35" s="27"/>
    </row>
    <row r="36" ht="12.6" customHeight="1" spans="1:10">
      <c r="A36" s="23" t="s">
        <v>74</v>
      </c>
      <c r="B36" s="24" t="s">
        <v>19</v>
      </c>
      <c r="C36" s="22" t="s">
        <v>75</v>
      </c>
      <c r="D36" s="25"/>
      <c r="E36" s="18">
        <v>1003755</v>
      </c>
      <c r="F36" s="28">
        <v>1003755</v>
      </c>
      <c r="G36" s="18">
        <v>1027192</v>
      </c>
      <c r="H36" s="26">
        <v>1027192</v>
      </c>
      <c r="I36" s="27"/>
    </row>
    <row r="37" ht="12.6" customHeight="1" spans="1:10">
      <c r="A37" s="23" t="s">
        <v>76</v>
      </c>
      <c r="B37" s="24" t="s">
        <v>19</v>
      </c>
      <c r="C37" s="22" t="s">
        <v>77</v>
      </c>
      <c r="D37" s="25"/>
      <c r="E37" s="26">
        <v>3299340</v>
      </c>
      <c r="F37" s="26">
        <v>3299340</v>
      </c>
      <c r="G37" s="26">
        <v>4201936</v>
      </c>
      <c r="H37" s="26">
        <v>4201936</v>
      </c>
      <c r="I37" s="27"/>
    </row>
    <row r="38" ht="12.6" customHeight="1" spans="1:10">
      <c r="A38" s="23" t="s">
        <v>78</v>
      </c>
      <c r="B38" s="24" t="s">
        <v>19</v>
      </c>
      <c r="C38" s="22" t="s">
        <v>79</v>
      </c>
      <c r="D38" s="25"/>
      <c r="E38" s="18">
        <v>0</v>
      </c>
      <c r="F38" s="28">
        <v>0</v>
      </c>
      <c r="G38" s="18">
        <v>0</v>
      </c>
      <c r="H38" s="26">
        <v>0</v>
      </c>
      <c r="I38" s="27"/>
    </row>
    <row r="39" ht="12.6" customHeight="1" spans="1:10">
      <c r="A39" s="23" t="s">
        <v>80</v>
      </c>
      <c r="B39" s="24" t="s">
        <v>19</v>
      </c>
      <c r="C39" s="22" t="s">
        <v>81</v>
      </c>
      <c r="D39" s="25"/>
      <c r="E39" s="26">
        <v>3299340</v>
      </c>
      <c r="F39" s="26">
        <v>3299340</v>
      </c>
      <c r="G39" s="49">
        <v>4201936</v>
      </c>
      <c r="H39" s="30">
        <v>4201936</v>
      </c>
      <c r="I39" s="27"/>
    </row>
    <row r="40" ht="12.6" customHeight="1" spans="1:10">
      <c r="A40" s="23" t="s">
        <v>82</v>
      </c>
      <c r="B40" s="24" t="s">
        <v>19</v>
      </c>
      <c r="C40" s="22" t="s">
        <v>83</v>
      </c>
      <c r="D40" s="25"/>
      <c r="E40" s="28">
        <v>696281.888651753</v>
      </c>
      <c r="F40" s="28">
        <v>696281.888651753</v>
      </c>
      <c r="G40" s="28">
        <v>1007688.19151684</v>
      </c>
      <c r="H40" s="48">
        <v>1007688.19151684</v>
      </c>
      <c r="I40" s="27"/>
    </row>
    <row r="41" ht="12.6" customHeight="1" spans="1:10">
      <c r="A41" s="50" t="s">
        <v>84</v>
      </c>
      <c r="B41" s="24" t="s">
        <v>19</v>
      </c>
      <c r="C41" s="22" t="s">
        <v>85</v>
      </c>
      <c r="D41" s="25"/>
      <c r="E41" s="28">
        <v>2603058.11134825</v>
      </c>
      <c r="F41" s="28">
        <v>2603058.11134825</v>
      </c>
      <c r="G41" s="28">
        <v>3194247.80848316</v>
      </c>
      <c r="H41" s="48">
        <v>3194247.80848316</v>
      </c>
      <c r="I41" s="27"/>
      <c r="J41" s="8"/>
    </row>
    <row r="42" ht="12.6" customHeight="1" spans="1:10">
      <c r="A42" s="23" t="s">
        <v>86</v>
      </c>
      <c r="B42" s="51" t="s">
        <v>87</v>
      </c>
      <c r="C42" s="22" t="s">
        <v>88</v>
      </c>
      <c r="D42" s="25"/>
      <c r="E42" s="30">
        <v>27.4143131340828</v>
      </c>
      <c r="F42" s="30">
        <v>27.4143131340828</v>
      </c>
      <c r="G42" s="30">
        <f>G37/G7*100</f>
        <v>27.3690052042285</v>
      </c>
      <c r="H42" s="30">
        <v>27.3690052042285</v>
      </c>
      <c r="I42" s="27"/>
    </row>
    <row r="43" ht="12.6" customHeight="1" spans="1:10">
      <c r="A43" s="23" t="s">
        <v>89</v>
      </c>
      <c r="B43" s="51" t="s">
        <v>87</v>
      </c>
      <c r="C43" s="22" t="s">
        <v>90</v>
      </c>
      <c r="D43" s="25"/>
      <c r="E43" s="30">
        <v>5.78542669900336</v>
      </c>
      <c r="F43" s="30">
        <v>5.78542669900336</v>
      </c>
      <c r="G43" s="30">
        <f>G40/G7*100</f>
        <v>6.56350390816613</v>
      </c>
      <c r="H43" s="30">
        <v>6.56350390816613</v>
      </c>
      <c r="I43" s="27"/>
    </row>
    <row r="44" ht="12.6" customHeight="1" spans="1:10">
      <c r="A44" s="23" t="s">
        <v>91</v>
      </c>
      <c r="B44" s="24" t="s">
        <v>92</v>
      </c>
      <c r="C44" s="22" t="s">
        <v>93</v>
      </c>
      <c r="D44" s="25"/>
      <c r="E44" s="30">
        <v>10.4045971358308</v>
      </c>
      <c r="F44" s="30">
        <v>10.4045971358308</v>
      </c>
      <c r="G44" s="30">
        <f>G41/G10</f>
        <v>10.9356724515669</v>
      </c>
      <c r="H44" s="30">
        <v>10.9356724515669</v>
      </c>
      <c r="I44" s="27"/>
    </row>
    <row r="45" ht="12.6" customHeight="1" spans="1:10">
      <c r="A45" s="23" t="s">
        <v>94</v>
      </c>
      <c r="B45" s="24" t="s">
        <v>24</v>
      </c>
      <c r="C45" s="22" t="s">
        <v>95</v>
      </c>
      <c r="D45" s="25"/>
      <c r="E45" s="45">
        <v>12630.6439817992</v>
      </c>
      <c r="F45" s="45">
        <v>12630.6439817992</v>
      </c>
      <c r="G45" s="45">
        <f>G46+G49</f>
        <v>14852.3476083078</v>
      </c>
      <c r="H45" s="45">
        <v>14852.3476083078</v>
      </c>
      <c r="I45" s="27"/>
    </row>
    <row r="46" ht="12.6" customHeight="1" spans="1:10">
      <c r="A46" s="23" t="s">
        <v>96</v>
      </c>
      <c r="B46" s="24" t="s">
        <v>24</v>
      </c>
      <c r="C46" s="22" t="s">
        <v>97</v>
      </c>
      <c r="D46" s="25"/>
      <c r="E46" s="45">
        <v>2665.52966548918</v>
      </c>
      <c r="F46" s="45">
        <v>2665.52966548918</v>
      </c>
      <c r="G46" s="45">
        <f>G47+G48</f>
        <v>3561.81895707006</v>
      </c>
      <c r="H46" s="45">
        <v>3561.81895707006</v>
      </c>
      <c r="I46" s="27"/>
    </row>
    <row r="47" ht="12.6" customHeight="1" spans="1:10">
      <c r="A47" s="23" t="s">
        <v>98</v>
      </c>
      <c r="B47" s="24" t="s">
        <v>24</v>
      </c>
      <c r="C47" s="22" t="s">
        <v>99</v>
      </c>
      <c r="D47" s="25"/>
      <c r="E47" s="46">
        <v>2662.87663244961</v>
      </c>
      <c r="F47" s="29">
        <v>2662.87663244961</v>
      </c>
      <c r="G47" s="46">
        <v>3561.75043843677</v>
      </c>
      <c r="H47" s="45">
        <v>3561.75043843677</v>
      </c>
      <c r="I47" s="27"/>
    </row>
    <row r="48" ht="12.6" customHeight="1" spans="1:10">
      <c r="A48" s="50" t="s">
        <v>100</v>
      </c>
      <c r="B48" s="24" t="s">
        <v>24</v>
      </c>
      <c r="C48" s="22" t="s">
        <v>101</v>
      </c>
      <c r="D48" s="25"/>
      <c r="E48" s="46">
        <v>2.65303303956697</v>
      </c>
      <c r="F48" s="29">
        <v>2.65303303956697</v>
      </c>
      <c r="G48" s="46">
        <v>0.0685186332828376</v>
      </c>
      <c r="H48" s="45">
        <v>0.0685186332828376</v>
      </c>
      <c r="I48" s="27"/>
    </row>
    <row r="49" ht="12.6" customHeight="1" spans="1:10">
      <c r="A49" s="23" t="s">
        <v>102</v>
      </c>
      <c r="B49" s="24" t="s">
        <v>24</v>
      </c>
      <c r="C49" s="22" t="s">
        <v>103</v>
      </c>
      <c r="D49" s="25"/>
      <c r="E49" s="45">
        <v>9965.11431631004</v>
      </c>
      <c r="F49" s="45">
        <v>9965.11431631004</v>
      </c>
      <c r="G49" s="45">
        <f>G50+G51</f>
        <v>11290.5286512378</v>
      </c>
      <c r="H49" s="45">
        <v>11290.5286512378</v>
      </c>
      <c r="I49" s="27"/>
    </row>
    <row r="50" ht="12.6" customHeight="1" spans="1:10">
      <c r="A50" s="23" t="s">
        <v>98</v>
      </c>
      <c r="B50" s="24" t="s">
        <v>24</v>
      </c>
      <c r="C50" s="22" t="s">
        <v>104</v>
      </c>
      <c r="D50" s="25"/>
      <c r="E50" s="46">
        <v>9955.19592077818</v>
      </c>
      <c r="F50" s="29">
        <v>9955.19592077818</v>
      </c>
      <c r="G50" s="46">
        <v>11290.3114555853</v>
      </c>
      <c r="H50" s="45">
        <v>11290.3114555853</v>
      </c>
      <c r="I50" s="27"/>
    </row>
    <row r="51" ht="12.6" customHeight="1" spans="1:10">
      <c r="A51" s="50" t="s">
        <v>100</v>
      </c>
      <c r="B51" s="24" t="s">
        <v>24</v>
      </c>
      <c r="C51" s="22" t="s">
        <v>105</v>
      </c>
      <c r="D51" s="25"/>
      <c r="E51" s="46">
        <v>9.9183955318616</v>
      </c>
      <c r="F51" s="29">
        <v>9.9183955318616</v>
      </c>
      <c r="G51" s="46">
        <v>0.217195652431448</v>
      </c>
      <c r="H51" s="45">
        <v>0.217195652431448</v>
      </c>
      <c r="I51" s="27"/>
    </row>
    <row r="52" ht="12.6" customHeight="1" spans="1:10">
      <c r="A52" s="23" t="s">
        <v>106</v>
      </c>
      <c r="B52" s="24" t="s">
        <v>107</v>
      </c>
      <c r="C52" s="22" t="s">
        <v>108</v>
      </c>
      <c r="D52" s="25"/>
      <c r="E52" s="30">
        <v>221.479644164916</v>
      </c>
      <c r="F52" s="30">
        <v>221.479644164916</v>
      </c>
      <c r="G52" s="30">
        <f>G46/G7*1000000</f>
        <v>231.996492979832</v>
      </c>
      <c r="H52" s="30">
        <v>231.996492979832</v>
      </c>
      <c r="I52" s="27"/>
    </row>
    <row r="53" spans="1:10">
      <c r="A53" s="23" t="s">
        <v>109</v>
      </c>
      <c r="B53" s="24" t="s">
        <v>110</v>
      </c>
      <c r="C53" s="22" t="s">
        <v>111</v>
      </c>
      <c r="D53" s="25"/>
      <c r="E53" s="30">
        <v>235.080026799392</v>
      </c>
      <c r="F53" s="30">
        <v>235.080026799392</v>
      </c>
      <c r="G53" s="30">
        <f>G46/(G7-G40)*1000000</f>
        <v>248.293228752729</v>
      </c>
      <c r="H53" s="30">
        <v>248.293228752729</v>
      </c>
      <c r="I53" s="27"/>
    </row>
    <row r="54" ht="12.6" customHeight="1" spans="1:10">
      <c r="A54" s="52" t="s">
        <v>112</v>
      </c>
      <c r="B54" s="53" t="s">
        <v>113</v>
      </c>
      <c r="C54" s="54" t="s">
        <v>114</v>
      </c>
      <c r="D54" s="55"/>
      <c r="E54" s="56">
        <v>39.8312275172389</v>
      </c>
      <c r="F54" s="56">
        <v>39.8312275172389</v>
      </c>
      <c r="G54" s="56">
        <f>G49/G10*1000</f>
        <v>38.6537083337936</v>
      </c>
      <c r="H54" s="56">
        <v>38.6537083337936</v>
      </c>
      <c r="I54" s="57"/>
    </row>
    <row r="55" ht="12.6" customHeight="1" spans="1:10">
      <c r="A55" s="58" t="s">
        <v>115</v>
      </c>
      <c r="B55" s="59" t="s">
        <v>116</v>
      </c>
      <c r="C55" s="60" t="s">
        <v>117</v>
      </c>
      <c r="D55" s="61"/>
      <c r="E55" s="62">
        <v>20813.610150221</v>
      </c>
      <c r="F55" s="62">
        <v>20813.610150221</v>
      </c>
      <c r="G55" s="62">
        <f>(G45-1.4571*G18)*29308/G15</f>
        <v>21074.8551633797</v>
      </c>
      <c r="H55" s="63">
        <v>21074.8551633797</v>
      </c>
      <c r="I55" s="64"/>
      <c r="J55" s="8"/>
    </row>
    <row r="56" ht="12.6" customHeight="1" spans="1:10">
      <c r="A56" s="23" t="s">
        <v>118</v>
      </c>
      <c r="B56" s="24" t="s">
        <v>119</v>
      </c>
      <c r="C56" s="39" t="s">
        <v>120</v>
      </c>
      <c r="D56" s="25"/>
      <c r="E56" s="65">
        <v>20.908</v>
      </c>
      <c r="F56" s="28">
        <v>20.908</v>
      </c>
      <c r="G56" s="65">
        <v>20480</v>
      </c>
      <c r="H56" s="65">
        <v>20480</v>
      </c>
      <c r="I56" s="66"/>
    </row>
    <row r="57" ht="12.6" customHeight="1" spans="1:10">
      <c r="A57" s="23" t="s">
        <v>121</v>
      </c>
      <c r="B57" s="24" t="s">
        <v>122</v>
      </c>
      <c r="C57" s="39" t="s">
        <v>123</v>
      </c>
      <c r="D57" s="25"/>
      <c r="E57" s="67">
        <v>13500</v>
      </c>
      <c r="F57" s="18">
        <v>13500</v>
      </c>
      <c r="G57" s="67">
        <v>23000</v>
      </c>
      <c r="H57" s="67">
        <v>23000</v>
      </c>
      <c r="I57" s="66"/>
      <c r="J57" s="8"/>
    </row>
    <row r="58" ht="12.6" customHeight="1" spans="1:10">
      <c r="A58" s="23" t="s">
        <v>124</v>
      </c>
      <c r="B58" s="24" t="s">
        <v>125</v>
      </c>
      <c r="C58" s="39" t="s">
        <v>126</v>
      </c>
      <c r="D58" s="25"/>
      <c r="E58" s="67">
        <v>140</v>
      </c>
      <c r="F58" s="18">
        <v>140</v>
      </c>
      <c r="G58" s="67">
        <v>140</v>
      </c>
      <c r="H58" s="67">
        <v>140</v>
      </c>
      <c r="I58" s="66"/>
      <c r="J58" s="8"/>
    </row>
    <row r="59" ht="12.6" customHeight="1" spans="1:10">
      <c r="A59" s="68" t="s">
        <v>127</v>
      </c>
      <c r="B59" s="69"/>
      <c r="C59" s="70" t="s">
        <v>128</v>
      </c>
      <c r="D59" s="71"/>
      <c r="E59" s="72">
        <v>0.788963280943536</v>
      </c>
      <c r="F59" s="72">
        <v>0.788963280943536</v>
      </c>
      <c r="G59" s="72">
        <f>G49/G45</f>
        <v>0.760184783510068</v>
      </c>
      <c r="H59" s="72">
        <v>0.760184783510068</v>
      </c>
      <c r="I59" s="73"/>
    </row>
    <row r="60" ht="12.6" customHeight="1" spans="1:10">
      <c r="A60" s="20" t="s">
        <v>129</v>
      </c>
      <c r="B60" s="21" t="s">
        <v>24</v>
      </c>
      <c r="C60" s="39" t="s">
        <v>130</v>
      </c>
      <c r="D60" s="40"/>
      <c r="E60" s="17">
        <v>27004.62</v>
      </c>
      <c r="F60" s="17">
        <v>27004.62</v>
      </c>
      <c r="G60" s="17">
        <v>0</v>
      </c>
      <c r="H60" s="26">
        <v>17015.74</v>
      </c>
      <c r="I60" s="42"/>
    </row>
    <row r="61" ht="12.6" customHeight="1" spans="1:10">
      <c r="A61" s="23" t="s">
        <v>131</v>
      </c>
      <c r="B61" s="24" t="s">
        <v>24</v>
      </c>
      <c r="C61" s="22" t="s">
        <v>132</v>
      </c>
      <c r="D61" s="25"/>
      <c r="E61" s="18"/>
      <c r="F61" s="18">
        <v>0</v>
      </c>
      <c r="G61" s="18"/>
      <c r="H61" s="26">
        <v>0</v>
      </c>
      <c r="I61" s="27"/>
    </row>
    <row r="62" ht="12.6" customHeight="1" spans="1:10">
      <c r="A62" s="23" t="s">
        <v>133</v>
      </c>
      <c r="B62" s="24" t="s">
        <v>24</v>
      </c>
      <c r="C62" s="22" t="s">
        <v>134</v>
      </c>
      <c r="D62" s="25"/>
      <c r="E62" s="18"/>
      <c r="F62" s="18">
        <v>0</v>
      </c>
      <c r="G62" s="18"/>
      <c r="H62" s="26">
        <v>0</v>
      </c>
      <c r="I62" s="27"/>
    </row>
    <row r="63" ht="12.6" customHeight="1" spans="1:10">
      <c r="A63" s="23" t="s">
        <v>135</v>
      </c>
      <c r="B63" s="24" t="s">
        <v>24</v>
      </c>
      <c r="C63" s="22" t="s">
        <v>134</v>
      </c>
      <c r="D63" s="25"/>
      <c r="E63" s="18"/>
      <c r="F63" s="18">
        <v>0</v>
      </c>
      <c r="G63" s="18"/>
      <c r="H63" s="26">
        <v>0</v>
      </c>
      <c r="I63" s="27"/>
    </row>
    <row r="64" ht="12.6" customHeight="1" spans="1:10">
      <c r="A64" s="32" t="s">
        <v>136</v>
      </c>
      <c r="B64" s="33" t="s">
        <v>24</v>
      </c>
      <c r="C64" s="34" t="s">
        <v>137</v>
      </c>
      <c r="D64" s="35"/>
      <c r="E64" s="74"/>
      <c r="F64" s="74">
        <v>17683.45</v>
      </c>
      <c r="G64" s="74"/>
      <c r="H64" s="75">
        <v>20225.95</v>
      </c>
      <c r="I64" s="38"/>
    </row>
    <row r="65" spans="1:9">
      <c r="A65" s="8" t="s">
        <v>138</v>
      </c>
      <c r="B65" s="7" t="s">
        <v>139</v>
      </c>
      <c r="C65" s="7"/>
      <c r="D65" s="7" t="s">
        <v>140</v>
      </c>
      <c r="E65" s="7"/>
      <c r="F65" s="7"/>
      <c r="G65" s="7" t="s">
        <v>141</v>
      </c>
      <c r="H65" s="7"/>
      <c r="I65" s="7"/>
    </row>
  </sheetData>
  <mergeCells count="9">
    <mergeCell ref="A1:I1"/>
    <mergeCell ref="H2:I2"/>
    <mergeCell ref="H3:I3"/>
    <mergeCell ref="E4:H4"/>
    <mergeCell ref="A4:A5"/>
    <mergeCell ref="B4:B5"/>
    <mergeCell ref="C4:C5"/>
    <mergeCell ref="D4:D5"/>
    <mergeCell ref="I4:I5"/>
  </mergeCells>
  <printOptions horizontalCentered="1" verticalCentered="1"/>
  <pageMargins left="0.35" right="0.35" top="0.79" bottom="0.79" header="0.51" footer="0.51"/>
  <pageSetup paperSize="9" orientation="landscape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zoomScaleSheetLayoutView="60" topLeftCell="A13" workbookViewId="0">
      <selection activeCell="I22" sqref="I22"/>
    </sheetView>
  </sheetViews>
  <sheetFormatPr defaultColWidth="9" defaultRowHeight="15"/>
  <cols>
    <col min="1" max="1" width="18.5" customWidth="1"/>
    <col min="2" max="2" width="8.25" customWidth="1"/>
    <col min="3" max="3" width="32.875" hidden="1" customWidth="1"/>
    <col min="4" max="4" width="16.5" hidden="1" customWidth="1"/>
    <col min="5" max="5" width="11.125" customWidth="1"/>
    <col min="6" max="6" width="11.5" customWidth="1"/>
    <col min="7" max="7" width="11.75" customWidth="1"/>
    <col min="8" max="8" width="12.5" customWidth="1"/>
    <col min="9" max="9" width="15.375" customWidth="1"/>
    <col min="10" max="10" width="28.375" customWidth="1"/>
  </cols>
  <sheetData>
    <row r="1" ht="28.5" customHeight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A2" s="5"/>
      <c r="B2" s="6"/>
      <c r="C2" s="6"/>
      <c r="D2" s="6"/>
      <c r="E2" s="6"/>
      <c r="F2" s="6"/>
      <c r="G2" s="6"/>
      <c r="H2" s="7" t="s">
        <v>1</v>
      </c>
      <c r="I2" s="8"/>
    </row>
    <row r="3" ht="15.75" spans="1:9">
      <c r="A3" s="8" t="s">
        <v>2</v>
      </c>
      <c r="B3" s="6"/>
      <c r="C3" s="5" t="s">
        <v>3</v>
      </c>
      <c r="D3" s="6"/>
      <c r="E3" s="6"/>
      <c r="F3" s="9">
        <v>46054</v>
      </c>
      <c r="G3" s="6"/>
      <c r="H3" s="7" t="s">
        <v>4</v>
      </c>
      <c r="I3" s="8"/>
    </row>
    <row r="4" ht="13.5" customHeight="1" spans="1:9">
      <c r="A4" s="10" t="s">
        <v>5</v>
      </c>
      <c r="B4" s="11" t="s">
        <v>6</v>
      </c>
      <c r="C4" s="11" t="s">
        <v>7</v>
      </c>
      <c r="D4" s="11" t="s">
        <v>8</v>
      </c>
      <c r="E4" s="12" t="s">
        <v>9</v>
      </c>
      <c r="F4" s="13"/>
      <c r="G4" s="13"/>
      <c r="H4" s="14"/>
      <c r="I4" s="15" t="s">
        <v>10</v>
      </c>
    </row>
    <row r="5" ht="13.5" customHeight="1" spans="1:9">
      <c r="A5" s="16"/>
      <c r="B5" s="17"/>
      <c r="C5" s="17"/>
      <c r="D5" s="17"/>
      <c r="E5" s="18" t="s">
        <v>11</v>
      </c>
      <c r="F5" s="18" t="s">
        <v>12</v>
      </c>
      <c r="G5" s="18" t="s">
        <v>13</v>
      </c>
      <c r="H5" s="18" t="s">
        <v>14</v>
      </c>
      <c r="I5" s="19"/>
    </row>
    <row r="6" ht="14.1" customHeight="1" spans="1:9">
      <c r="A6" s="20" t="s">
        <v>15</v>
      </c>
      <c r="B6" s="21" t="s">
        <v>16</v>
      </c>
      <c r="C6" s="22" t="s">
        <v>17</v>
      </c>
      <c r="D6" s="18"/>
      <c r="E6" s="18">
        <v>3.28</v>
      </c>
      <c r="F6" s="18">
        <v>3.28</v>
      </c>
      <c r="G6" s="18">
        <v>3.28</v>
      </c>
      <c r="H6" s="18">
        <v>3.28</v>
      </c>
      <c r="I6" s="19"/>
    </row>
    <row r="7" ht="12.6" customHeight="1" spans="1:9">
      <c r="A7" s="23" t="s">
        <v>18</v>
      </c>
      <c r="B7" s="24" t="s">
        <v>19</v>
      </c>
      <c r="C7" s="22" t="s">
        <v>20</v>
      </c>
      <c r="D7" s="25"/>
      <c r="E7" s="18">
        <v>9844900</v>
      </c>
      <c r="F7" s="18">
        <v>21880000</v>
      </c>
      <c r="G7" s="18">
        <v>8391100</v>
      </c>
      <c r="H7" s="26">
        <f>G7+'2026.1'!H7</f>
        <v>23744000</v>
      </c>
      <c r="I7" s="27"/>
    </row>
    <row r="8" ht="12.6" customHeight="1" spans="1:9">
      <c r="A8" s="23" t="s">
        <v>21</v>
      </c>
      <c r="B8" s="24" t="s">
        <v>19</v>
      </c>
      <c r="C8" s="22" t="s">
        <v>22</v>
      </c>
      <c r="D8" s="25"/>
      <c r="E8" s="18">
        <v>7008012</v>
      </c>
      <c r="F8" s="18">
        <v>15743772</v>
      </c>
      <c r="G8" s="18">
        <v>5435100</v>
      </c>
      <c r="H8" s="26">
        <f>G8+'2026.1'!H8</f>
        <v>16586064</v>
      </c>
      <c r="I8" s="27"/>
    </row>
    <row r="9" ht="12.6" customHeight="1" spans="1:9">
      <c r="A9" s="23" t="s">
        <v>23</v>
      </c>
      <c r="B9" s="24" t="s">
        <v>24</v>
      </c>
      <c r="C9" s="22" t="s">
        <v>25</v>
      </c>
      <c r="D9" s="25"/>
      <c r="E9" s="18">
        <v>0</v>
      </c>
      <c r="F9" s="18">
        <v>0</v>
      </c>
      <c r="G9" s="18">
        <v>0</v>
      </c>
      <c r="H9" s="26">
        <f>G9+'2026.1'!H9</f>
        <v>0</v>
      </c>
      <c r="I9" s="27"/>
    </row>
    <row r="10" ht="12.6" customHeight="1" spans="1:9">
      <c r="A10" s="23" t="s">
        <v>26</v>
      </c>
      <c r="B10" s="24" t="s">
        <v>27</v>
      </c>
      <c r="C10" s="22" t="s">
        <v>28</v>
      </c>
      <c r="D10" s="25"/>
      <c r="E10" s="28">
        <v>207028.94</v>
      </c>
      <c r="F10" s="18">
        <v>457212.4</v>
      </c>
      <c r="G10" s="29">
        <v>212810.38</v>
      </c>
      <c r="H10" s="26">
        <f>G10+'2026.1'!H10</f>
        <v>504904.7</v>
      </c>
      <c r="I10" s="27"/>
    </row>
    <row r="11" ht="12.6" customHeight="1" spans="1:9">
      <c r="A11" s="23" t="s">
        <v>29</v>
      </c>
      <c r="B11" s="24" t="s">
        <v>27</v>
      </c>
      <c r="C11" s="22"/>
      <c r="D11" s="25"/>
      <c r="E11" s="18">
        <v>0</v>
      </c>
      <c r="F11" s="18">
        <v>0</v>
      </c>
      <c r="G11" s="18">
        <v>0</v>
      </c>
      <c r="H11" s="26">
        <f>G11+'2026.1'!H11</f>
        <v>0</v>
      </c>
      <c r="I11" s="27"/>
    </row>
    <row r="12" ht="12.6" customHeight="1" spans="1:9">
      <c r="A12" s="23" t="s">
        <v>30</v>
      </c>
      <c r="B12" s="24" t="s">
        <v>24</v>
      </c>
      <c r="C12" s="22" t="s">
        <v>31</v>
      </c>
      <c r="D12" s="25"/>
      <c r="E12" s="18">
        <v>0</v>
      </c>
      <c r="F12" s="18">
        <v>0</v>
      </c>
      <c r="G12" s="18">
        <v>0</v>
      </c>
      <c r="H12" s="26">
        <f>G12+'2026.1'!H12</f>
        <v>0</v>
      </c>
      <c r="I12" s="27"/>
    </row>
    <row r="13" ht="12.6" customHeight="1" spans="1:9">
      <c r="A13" s="23" t="s">
        <v>32</v>
      </c>
      <c r="B13" s="24" t="s">
        <v>27</v>
      </c>
      <c r="C13" s="22"/>
      <c r="D13" s="25"/>
      <c r="E13" s="18">
        <v>5850</v>
      </c>
      <c r="F13" s="29">
        <v>10053</v>
      </c>
      <c r="G13" s="18">
        <v>5144</v>
      </c>
      <c r="H13" s="26">
        <f>G13+'2026.1'!H13</f>
        <v>12042.5</v>
      </c>
      <c r="I13" s="27"/>
    </row>
    <row r="14" ht="12.6" customHeight="1" spans="1:9">
      <c r="A14" s="32" t="s">
        <v>33</v>
      </c>
      <c r="B14" s="33" t="s">
        <v>34</v>
      </c>
      <c r="C14" s="34" t="s">
        <v>35</v>
      </c>
      <c r="D14" s="35"/>
      <c r="E14" s="36">
        <v>3170000</v>
      </c>
      <c r="F14" s="36">
        <v>3170000</v>
      </c>
      <c r="G14" s="36">
        <v>3019870.33</v>
      </c>
      <c r="H14" s="37">
        <v>3019870.33</v>
      </c>
      <c r="I14" s="38"/>
    </row>
    <row r="15" ht="12.6" customHeight="1" spans="1:9">
      <c r="A15" s="20" t="s">
        <v>36</v>
      </c>
      <c r="B15" s="21" t="s">
        <v>24</v>
      </c>
      <c r="C15" s="39" t="s">
        <v>37</v>
      </c>
      <c r="D15" s="40"/>
      <c r="E15" s="41">
        <v>14194.71</v>
      </c>
      <c r="F15" s="41">
        <v>31962.08</v>
      </c>
      <c r="G15" s="41">
        <f>G16+G17</f>
        <v>13042.64</v>
      </c>
      <c r="H15" s="26">
        <f>G15+'2026.1'!H15</f>
        <v>33696.83</v>
      </c>
      <c r="I15" s="42"/>
    </row>
    <row r="16" ht="12.6" customHeight="1" spans="1:9">
      <c r="A16" s="43" t="s">
        <v>38</v>
      </c>
      <c r="B16" s="24" t="s">
        <v>24</v>
      </c>
      <c r="C16" s="22" t="s">
        <v>39</v>
      </c>
      <c r="D16" s="25"/>
      <c r="E16" s="29">
        <v>2928.39330751179</v>
      </c>
      <c r="F16" s="44">
        <v>6677.96077857403</v>
      </c>
      <c r="G16" s="29">
        <v>2402.90147892127</v>
      </c>
      <c r="H16" s="26">
        <f>G16+'2026.1'!H16</f>
        <v>7356.09052519545</v>
      </c>
      <c r="I16" s="27"/>
    </row>
    <row r="17" ht="12.6" customHeight="1" spans="1:10">
      <c r="A17" s="43" t="s">
        <v>40</v>
      </c>
      <c r="B17" s="24" t="s">
        <v>24</v>
      </c>
      <c r="C17" s="22" t="s">
        <v>41</v>
      </c>
      <c r="D17" s="25"/>
      <c r="E17" s="29">
        <v>11266.3166924882</v>
      </c>
      <c r="F17" s="44">
        <v>25284.119221426</v>
      </c>
      <c r="G17" s="29">
        <v>10639.7385210787</v>
      </c>
      <c r="H17" s="26">
        <f>G17+'2026.1'!H17</f>
        <v>26340.7394748045</v>
      </c>
      <c r="I17" s="27"/>
    </row>
    <row r="18" ht="12.6" customHeight="1" spans="1:10">
      <c r="A18" s="23" t="s">
        <v>42</v>
      </c>
      <c r="B18" s="24" t="s">
        <v>24</v>
      </c>
      <c r="C18" s="22" t="s">
        <v>43</v>
      </c>
      <c r="D18" s="25"/>
      <c r="E18" s="45">
        <v>0</v>
      </c>
      <c r="F18" s="45">
        <v>8.8</v>
      </c>
      <c r="G18" s="45">
        <f>G19+G20</f>
        <v>1.054</v>
      </c>
      <c r="H18" s="26">
        <f>G18+'2026.1'!H18</f>
        <v>1.254</v>
      </c>
      <c r="I18" s="27"/>
    </row>
    <row r="19" ht="12.6" customHeight="1" spans="1:10">
      <c r="A19" s="43" t="s">
        <v>44</v>
      </c>
      <c r="B19" s="24" t="s">
        <v>24</v>
      </c>
      <c r="C19" s="22" t="s">
        <v>45</v>
      </c>
      <c r="D19" s="25"/>
      <c r="E19" s="46">
        <v>0</v>
      </c>
      <c r="F19" s="44">
        <v>1.85712312769688</v>
      </c>
      <c r="G19" s="46">
        <v>0.194182938330202</v>
      </c>
      <c r="H19" s="26">
        <f>G19+'2026.1'!H19</f>
        <v>0.242145981628188</v>
      </c>
      <c r="I19" s="27"/>
    </row>
    <row r="20" ht="12.6" customHeight="1" spans="1:10">
      <c r="A20" s="43" t="s">
        <v>46</v>
      </c>
      <c r="B20" s="24" t="s">
        <v>24</v>
      </c>
      <c r="C20" s="22" t="s">
        <v>47</v>
      </c>
      <c r="D20" s="25"/>
      <c r="E20" s="46">
        <v>0</v>
      </c>
      <c r="F20" s="44">
        <v>6.94287687230312</v>
      </c>
      <c r="G20" s="46">
        <v>0.859817061669798</v>
      </c>
      <c r="H20" s="26">
        <f>G20+'2026.1'!H20</f>
        <v>1.01185401837181</v>
      </c>
      <c r="I20" s="27"/>
    </row>
    <row r="21" ht="12.6" customHeight="1" spans="1:10">
      <c r="A21" s="23" t="s">
        <v>48</v>
      </c>
      <c r="B21" s="24" t="s">
        <v>24</v>
      </c>
      <c r="C21" s="22" t="s">
        <v>49</v>
      </c>
      <c r="D21" s="25"/>
      <c r="E21" s="18">
        <v>41497.4</v>
      </c>
      <c r="F21" s="44">
        <v>84606.3</v>
      </c>
      <c r="G21" s="18">
        <v>27072.5</v>
      </c>
      <c r="H21" s="26">
        <f>G21+'2026.1'!H21</f>
        <v>61725.5</v>
      </c>
      <c r="I21" s="27"/>
      <c r="J21" s="8"/>
    </row>
    <row r="22" ht="12.6" customHeight="1" spans="1:10">
      <c r="A22" s="23" t="s">
        <v>50</v>
      </c>
      <c r="B22" s="24" t="s">
        <v>24</v>
      </c>
      <c r="C22" s="22" t="s">
        <v>51</v>
      </c>
      <c r="D22" s="25"/>
      <c r="E22" s="18">
        <v>18385.4</v>
      </c>
      <c r="F22" s="44">
        <v>40175.3</v>
      </c>
      <c r="G22" s="18">
        <v>6311.5</v>
      </c>
      <c r="H22" s="26">
        <f>G22+'2026.1'!H22</f>
        <v>17849.5</v>
      </c>
      <c r="I22" s="27"/>
    </row>
    <row r="23" ht="12.6" customHeight="1" spans="1:10">
      <c r="A23" s="23" t="s">
        <v>52</v>
      </c>
      <c r="B23" s="24" t="s">
        <v>24</v>
      </c>
      <c r="C23" s="22" t="s">
        <v>53</v>
      </c>
      <c r="D23" s="25"/>
      <c r="E23" s="18">
        <v>2.3</v>
      </c>
      <c r="F23" s="44">
        <v>9.02</v>
      </c>
      <c r="G23" s="18">
        <v>0</v>
      </c>
      <c r="H23" s="26">
        <f>G23+'2026.1'!H23</f>
        <v>2.31</v>
      </c>
      <c r="I23" s="27"/>
    </row>
    <row r="24" ht="12.6" customHeight="1" spans="1:10">
      <c r="A24" s="23" t="s">
        <v>54</v>
      </c>
      <c r="B24" s="24" t="s">
        <v>24</v>
      </c>
      <c r="C24" s="22" t="s">
        <v>55</v>
      </c>
      <c r="D24" s="25"/>
      <c r="E24" s="18">
        <v>7.36</v>
      </c>
      <c r="F24" s="44">
        <v>14.48</v>
      </c>
      <c r="G24" s="18">
        <v>2.3</v>
      </c>
      <c r="H24" s="26">
        <f>G24+'2026.1'!H24</f>
        <v>4.6</v>
      </c>
      <c r="I24" s="27"/>
    </row>
    <row r="25" ht="12.6" customHeight="1" spans="1:10">
      <c r="A25" s="23" t="s">
        <v>56</v>
      </c>
      <c r="B25" s="24" t="s">
        <v>24</v>
      </c>
      <c r="C25" s="22" t="s">
        <v>57</v>
      </c>
      <c r="D25" s="25"/>
      <c r="E25" s="18">
        <v>676.87</v>
      </c>
      <c r="F25" s="44">
        <v>1513.91</v>
      </c>
      <c r="G25" s="18">
        <v>448.88</v>
      </c>
      <c r="H25" s="26">
        <f>G25+'2026.1'!H25</f>
        <v>1050.76</v>
      </c>
      <c r="I25" s="27"/>
    </row>
    <row r="26" ht="12.6" customHeight="1" spans="1:10">
      <c r="A26" s="23" t="s">
        <v>58</v>
      </c>
      <c r="B26" s="24" t="s">
        <v>24</v>
      </c>
      <c r="C26" s="22"/>
      <c r="D26" s="25"/>
      <c r="E26" s="18">
        <v>243.81</v>
      </c>
      <c r="F26" s="44">
        <v>543.23</v>
      </c>
      <c r="G26" s="18">
        <v>265.41</v>
      </c>
      <c r="H26" s="26">
        <f>G26+'2026.1'!H26</f>
        <v>629.79</v>
      </c>
      <c r="I26" s="27"/>
    </row>
    <row r="27" ht="12.6" customHeight="1" spans="1:10">
      <c r="A27" s="23" t="s">
        <v>59</v>
      </c>
      <c r="B27" s="24" t="s">
        <v>19</v>
      </c>
      <c r="C27" s="22"/>
      <c r="D27" s="25"/>
      <c r="E27" s="18">
        <v>409424</v>
      </c>
      <c r="F27" s="28">
        <v>850436</v>
      </c>
      <c r="G27" s="18">
        <v>548313</v>
      </c>
      <c r="H27" s="26">
        <f>G27+'2026.1'!H27</f>
        <v>1168276</v>
      </c>
      <c r="I27" s="27"/>
    </row>
    <row r="28" ht="12.6" customHeight="1" spans="1:10">
      <c r="A28" s="23" t="s">
        <v>60</v>
      </c>
      <c r="B28" s="24" t="s">
        <v>24</v>
      </c>
      <c r="C28" s="22"/>
      <c r="D28" s="25"/>
      <c r="E28" s="18">
        <v>4305</v>
      </c>
      <c r="F28" s="28">
        <v>10257</v>
      </c>
      <c r="G28" s="18">
        <v>4120</v>
      </c>
      <c r="H28" s="26">
        <f>G28+'2026.1'!H28</f>
        <v>10240</v>
      </c>
      <c r="I28" s="27"/>
    </row>
    <row r="29" ht="12.6" customHeight="1" spans="1:10">
      <c r="A29" s="23" t="s">
        <v>61</v>
      </c>
      <c r="B29" s="24" t="s">
        <v>24</v>
      </c>
      <c r="C29" s="22"/>
      <c r="D29" s="25"/>
      <c r="E29" s="18">
        <v>1499</v>
      </c>
      <c r="F29" s="28">
        <v>3034</v>
      </c>
      <c r="G29" s="18">
        <v>1021</v>
      </c>
      <c r="H29" s="26">
        <f>G29+'2026.1'!H29</f>
        <v>2305</v>
      </c>
      <c r="I29" s="27"/>
    </row>
    <row r="30" ht="12.6" customHeight="1" spans="1:10">
      <c r="A30" s="23" t="s">
        <v>62</v>
      </c>
      <c r="B30" s="24" t="s">
        <v>24</v>
      </c>
      <c r="C30" s="22" t="s">
        <v>63</v>
      </c>
      <c r="D30" s="25"/>
      <c r="E30" s="18">
        <v>328.041</v>
      </c>
      <c r="F30" s="29">
        <v>714.387</v>
      </c>
      <c r="G30" s="18">
        <v>108.416</v>
      </c>
      <c r="H30" s="26">
        <f>G30+'2026.1'!H30</f>
        <v>182.689</v>
      </c>
      <c r="I30" s="27"/>
    </row>
    <row r="31" ht="12.6" customHeight="1" spans="1:10">
      <c r="A31" s="23" t="s">
        <v>64</v>
      </c>
      <c r="B31" s="24" t="s">
        <v>24</v>
      </c>
      <c r="C31" s="22" t="s">
        <v>65</v>
      </c>
      <c r="D31" s="25"/>
      <c r="E31" s="18">
        <v>0</v>
      </c>
      <c r="F31" s="47">
        <v>0.119</v>
      </c>
      <c r="G31" s="18">
        <v>0.04</v>
      </c>
      <c r="H31" s="26">
        <f>G31+'2026.1'!H31</f>
        <v>0.09</v>
      </c>
      <c r="I31" s="27"/>
    </row>
    <row r="32" ht="12.6" customHeight="1" spans="1:10">
      <c r="A32" s="23" t="s">
        <v>66</v>
      </c>
      <c r="B32" s="24" t="s">
        <v>24</v>
      </c>
      <c r="C32" s="22" t="s">
        <v>67</v>
      </c>
      <c r="D32" s="25"/>
      <c r="E32" s="18">
        <v>0</v>
      </c>
      <c r="F32" s="28">
        <v>0</v>
      </c>
      <c r="G32" s="18">
        <v>0</v>
      </c>
      <c r="H32" s="26">
        <f>G32+'2026.1'!H32</f>
        <v>0</v>
      </c>
      <c r="I32" s="27"/>
    </row>
    <row r="33" ht="12.6" customHeight="1" spans="1:10">
      <c r="A33" s="23" t="s">
        <v>68</v>
      </c>
      <c r="B33" s="24" t="s">
        <v>24</v>
      </c>
      <c r="C33" s="22" t="s">
        <v>69</v>
      </c>
      <c r="D33" s="25"/>
      <c r="E33" s="18">
        <v>0</v>
      </c>
      <c r="F33" s="28">
        <v>0</v>
      </c>
      <c r="G33" s="28">
        <v>0</v>
      </c>
      <c r="H33" s="26">
        <f>G33+'2026.1'!H33</f>
        <v>0</v>
      </c>
      <c r="I33" s="27"/>
    </row>
    <row r="34" ht="12.6" customHeight="1" spans="1:10">
      <c r="A34" s="23" t="s">
        <v>70</v>
      </c>
      <c r="B34" s="24" t="s">
        <v>24</v>
      </c>
      <c r="C34" s="22" t="s">
        <v>71</v>
      </c>
      <c r="D34" s="25"/>
      <c r="E34" s="18">
        <v>33933</v>
      </c>
      <c r="F34" s="28">
        <v>66577</v>
      </c>
      <c r="G34" s="18">
        <v>18429</v>
      </c>
      <c r="H34" s="26">
        <f>G34+'2026.1'!H34</f>
        <v>41314</v>
      </c>
      <c r="I34" s="27"/>
    </row>
    <row r="35" ht="12.6" customHeight="1" spans="1:10">
      <c r="A35" s="23" t="s">
        <v>72</v>
      </c>
      <c r="B35" s="24" t="s">
        <v>19</v>
      </c>
      <c r="C35" s="22" t="s">
        <v>73</v>
      </c>
      <c r="D35" s="25"/>
      <c r="E35" s="18">
        <v>839595</v>
      </c>
      <c r="F35" s="28">
        <v>1843350</v>
      </c>
      <c r="G35" s="18">
        <v>923425</v>
      </c>
      <c r="H35" s="26">
        <f>G35+'2026.1'!H35</f>
        <v>1950617</v>
      </c>
      <c r="I35" s="27"/>
    </row>
    <row r="36" ht="12.6" customHeight="1" spans="1:10">
      <c r="A36" s="23" t="s">
        <v>74</v>
      </c>
      <c r="B36" s="24" t="s">
        <v>19</v>
      </c>
      <c r="C36" s="22" t="s">
        <v>75</v>
      </c>
      <c r="D36" s="25"/>
      <c r="E36" s="18">
        <v>839595</v>
      </c>
      <c r="F36" s="28">
        <v>1843350</v>
      </c>
      <c r="G36" s="18">
        <v>923425</v>
      </c>
      <c r="H36" s="26">
        <f>G36+'2026.1'!H36</f>
        <v>1950617</v>
      </c>
      <c r="I36" s="27"/>
    </row>
    <row r="37" ht="12.6" customHeight="1" spans="1:10">
      <c r="A37" s="23" t="s">
        <v>76</v>
      </c>
      <c r="B37" s="24" t="s">
        <v>19</v>
      </c>
      <c r="C37" s="22" t="s">
        <v>77</v>
      </c>
      <c r="D37" s="25"/>
      <c r="E37" s="26">
        <v>2836888</v>
      </c>
      <c r="F37" s="26">
        <v>6136228</v>
      </c>
      <c r="G37" s="26">
        <v>2956000</v>
      </c>
      <c r="H37" s="26">
        <f>G37+'2026.1'!H37</f>
        <v>7157936</v>
      </c>
      <c r="I37" s="27"/>
    </row>
    <row r="38" ht="12.6" customHeight="1" spans="1:10">
      <c r="A38" s="23" t="s">
        <v>78</v>
      </c>
      <c r="B38" s="24" t="s">
        <v>19</v>
      </c>
      <c r="C38" s="22" t="s">
        <v>79</v>
      </c>
      <c r="D38" s="25"/>
      <c r="E38" s="18">
        <v>0</v>
      </c>
      <c r="F38" s="28">
        <v>0</v>
      </c>
      <c r="G38" s="18">
        <v>0</v>
      </c>
      <c r="H38" s="26">
        <f>G38+'2026.1'!H38</f>
        <v>0</v>
      </c>
      <c r="I38" s="27"/>
    </row>
    <row r="39" ht="12.6" customHeight="1" spans="1:10">
      <c r="A39" s="23" t="s">
        <v>80</v>
      </c>
      <c r="B39" s="24" t="s">
        <v>19</v>
      </c>
      <c r="C39" s="22" t="s">
        <v>81</v>
      </c>
      <c r="D39" s="25"/>
      <c r="E39" s="26">
        <v>2836888</v>
      </c>
      <c r="F39" s="26">
        <v>6136228</v>
      </c>
      <c r="G39" s="49">
        <f>G40+G41</f>
        <v>2956000</v>
      </c>
      <c r="H39" s="26">
        <f>G39+'2026.1'!H39</f>
        <v>7157936</v>
      </c>
      <c r="I39" s="27"/>
    </row>
    <row r="40" ht="12.6" customHeight="1" spans="1:10">
      <c r="A40" s="23" t="s">
        <v>82</v>
      </c>
      <c r="B40" s="24" t="s">
        <v>19</v>
      </c>
      <c r="C40" s="22" t="s">
        <v>83</v>
      </c>
      <c r="D40" s="25"/>
      <c r="E40" s="28">
        <v>585254.9177377</v>
      </c>
      <c r="F40" s="28">
        <v>1281536.80638945</v>
      </c>
      <c r="G40" s="28">
        <v>544596.551901401</v>
      </c>
      <c r="H40" s="26">
        <f>G40+'2026.1'!H40</f>
        <v>1552284.74341824</v>
      </c>
      <c r="I40" s="27"/>
    </row>
    <row r="41" ht="12.6" customHeight="1" spans="1:10">
      <c r="A41" s="50" t="s">
        <v>84</v>
      </c>
      <c r="B41" s="24" t="s">
        <v>19</v>
      </c>
      <c r="C41" s="22" t="s">
        <v>85</v>
      </c>
      <c r="D41" s="25"/>
      <c r="E41" s="28">
        <v>2251633.0822623</v>
      </c>
      <c r="F41" s="28">
        <v>4854691.19361055</v>
      </c>
      <c r="G41" s="28">
        <v>2411403.4480986</v>
      </c>
      <c r="H41" s="26">
        <f>G41+'2026.1'!H41</f>
        <v>5605651.25658176</v>
      </c>
      <c r="I41" s="27"/>
      <c r="J41" s="8"/>
    </row>
    <row r="42" ht="12.6" customHeight="1" spans="1:10">
      <c r="A42" s="23" t="s">
        <v>86</v>
      </c>
      <c r="B42" s="51" t="s">
        <v>87</v>
      </c>
      <c r="C42" s="22" t="s">
        <v>88</v>
      </c>
      <c r="D42" s="25"/>
      <c r="E42" s="30">
        <v>28.8158132637203</v>
      </c>
      <c r="F42" s="30">
        <v>28.0449177330896</v>
      </c>
      <c r="G42" s="30">
        <f>G37/G7*100</f>
        <v>35.2278008842702</v>
      </c>
      <c r="H42" s="30">
        <f>H37/H7*100</f>
        <v>30.1462938005391</v>
      </c>
      <c r="I42" s="27"/>
    </row>
    <row r="43" ht="12.6" customHeight="1" spans="1:10">
      <c r="A43" s="23" t="s">
        <v>89</v>
      </c>
      <c r="B43" s="51" t="s">
        <v>87</v>
      </c>
      <c r="C43" s="22" t="s">
        <v>90</v>
      </c>
      <c r="D43" s="25"/>
      <c r="E43" s="30">
        <v>5.94475228532235</v>
      </c>
      <c r="F43" s="30">
        <v>5.85711520287684</v>
      </c>
      <c r="G43" s="30">
        <f>G40/G7*100</f>
        <v>6.49016877288318</v>
      </c>
      <c r="H43" s="30">
        <f>H40/H7*100</f>
        <v>6.53758736277897</v>
      </c>
      <c r="I43" s="27"/>
    </row>
    <row r="44" ht="12.6" customHeight="1" spans="1:10">
      <c r="A44" s="23" t="s">
        <v>91</v>
      </c>
      <c r="B44" s="24" t="s">
        <v>92</v>
      </c>
      <c r="C44" s="22" t="s">
        <v>93</v>
      </c>
      <c r="D44" s="25"/>
      <c r="E44" s="30">
        <v>10.8759339745559</v>
      </c>
      <c r="F44" s="30">
        <v>10.618021719469</v>
      </c>
      <c r="G44" s="30">
        <f>G41/G10</f>
        <v>11.3312304037923</v>
      </c>
      <c r="H44" s="30">
        <f>H41/H10</f>
        <v>11.1023946827624</v>
      </c>
      <c r="I44" s="27"/>
    </row>
    <row r="45" ht="12.6" customHeight="1" spans="1:10">
      <c r="A45" s="23" t="s">
        <v>94</v>
      </c>
      <c r="B45" s="24" t="s">
        <v>24</v>
      </c>
      <c r="C45" s="22" t="s">
        <v>95</v>
      </c>
      <c r="D45" s="25"/>
      <c r="E45" s="45">
        <v>10163.6216800873</v>
      </c>
      <c r="F45" s="45">
        <v>22794.2656618866</v>
      </c>
      <c r="G45" s="45">
        <f>G46+G49</f>
        <v>9232.44588284037</v>
      </c>
      <c r="H45" s="45">
        <f>H46+H49</f>
        <v>24084.7934911482</v>
      </c>
      <c r="I45" s="27"/>
    </row>
    <row r="46" ht="12.6" customHeight="1" spans="1:10">
      <c r="A46" s="23" t="s">
        <v>96</v>
      </c>
      <c r="B46" s="24" t="s">
        <v>24</v>
      </c>
      <c r="C46" s="22" t="s">
        <v>97</v>
      </c>
      <c r="D46" s="25"/>
      <c r="E46" s="45">
        <v>2096.77279127573</v>
      </c>
      <c r="F46" s="45">
        <v>4762.30245676491</v>
      </c>
      <c r="G46" s="45">
        <f>G47+G48</f>
        <v>1700.93308302136</v>
      </c>
      <c r="H46" s="45">
        <f>H47+H48</f>
        <v>5262.75204009142</v>
      </c>
      <c r="I46" s="27"/>
    </row>
    <row r="47" ht="12.6" customHeight="1" spans="1:10">
      <c r="A47" s="23" t="s">
        <v>98</v>
      </c>
      <c r="B47" s="24" t="s">
        <v>24</v>
      </c>
      <c r="C47" s="22" t="s">
        <v>99</v>
      </c>
      <c r="D47" s="25"/>
      <c r="E47" s="46">
        <v>2096.77279127573</v>
      </c>
      <c r="F47" s="29">
        <v>4759.64942372534</v>
      </c>
      <c r="G47" s="46">
        <v>1700.65567882375</v>
      </c>
      <c r="H47" s="26">
        <f>G47+'2026.1'!H47</f>
        <v>5262.40611726053</v>
      </c>
      <c r="I47" s="27"/>
    </row>
    <row r="48" ht="12.6" customHeight="1" spans="1:10">
      <c r="A48" s="50" t="s">
        <v>100</v>
      </c>
      <c r="B48" s="24" t="s">
        <v>24</v>
      </c>
      <c r="C48" s="22" t="s">
        <v>101</v>
      </c>
      <c r="D48" s="25"/>
      <c r="E48" s="46">
        <v>0</v>
      </c>
      <c r="F48" s="29">
        <v>2.65303303956697</v>
      </c>
      <c r="G48" s="46">
        <v>0.277404197614574</v>
      </c>
      <c r="H48" s="26">
        <f>G48+'2026.1'!H48</f>
        <v>0.345922830897412</v>
      </c>
      <c r="I48" s="27"/>
    </row>
    <row r="49" ht="12.6" customHeight="1" spans="1:10">
      <c r="A49" s="23" t="s">
        <v>102</v>
      </c>
      <c r="B49" s="24" t="s">
        <v>24</v>
      </c>
      <c r="C49" s="22" t="s">
        <v>103</v>
      </c>
      <c r="D49" s="25"/>
      <c r="E49" s="45">
        <v>8066.84888881162</v>
      </c>
      <c r="F49" s="45">
        <v>18031.9632051217</v>
      </c>
      <c r="G49" s="45">
        <f>G50+G51</f>
        <v>7531.51279981901</v>
      </c>
      <c r="H49" s="45">
        <f>H50+H51</f>
        <v>18822.0414510568</v>
      </c>
      <c r="I49" s="27"/>
    </row>
    <row r="50" ht="12.6" customHeight="1" spans="1:10">
      <c r="A50" s="23" t="s">
        <v>98</v>
      </c>
      <c r="B50" s="24" t="s">
        <v>24</v>
      </c>
      <c r="C50" s="22" t="s">
        <v>104</v>
      </c>
      <c r="D50" s="25"/>
      <c r="E50" s="46">
        <v>8066.84888881162</v>
      </c>
      <c r="F50" s="29">
        <v>18022.0448095898</v>
      </c>
      <c r="G50" s="46">
        <v>7530.28448973091</v>
      </c>
      <c r="H50" s="26">
        <f>G50+'2026.1'!H50</f>
        <v>18820.5959453162</v>
      </c>
      <c r="I50" s="27"/>
    </row>
    <row r="51" ht="12.6" customHeight="1" spans="1:10">
      <c r="A51" s="50" t="s">
        <v>100</v>
      </c>
      <c r="B51" s="24" t="s">
        <v>24</v>
      </c>
      <c r="C51" s="22" t="s">
        <v>105</v>
      </c>
      <c r="D51" s="25"/>
      <c r="E51" s="46">
        <v>0</v>
      </c>
      <c r="F51" s="29">
        <v>9.9183955318616</v>
      </c>
      <c r="G51" s="46">
        <v>1.22831008809971</v>
      </c>
      <c r="H51" s="26">
        <f>G51+'2026.1'!H51</f>
        <v>1.44550574053116</v>
      </c>
      <c r="I51" s="27"/>
    </row>
    <row r="52" ht="12.6" customHeight="1" spans="1:10">
      <c r="A52" s="23" t="s">
        <v>106</v>
      </c>
      <c r="B52" s="24" t="s">
        <v>107</v>
      </c>
      <c r="C52" s="22" t="s">
        <v>108</v>
      </c>
      <c r="D52" s="25"/>
      <c r="E52" s="30">
        <v>212.980608363288</v>
      </c>
      <c r="F52" s="30">
        <v>217.655505336604</v>
      </c>
      <c r="G52" s="30">
        <f>G46/G7*1000000</f>
        <v>202.706806380733</v>
      </c>
      <c r="H52" s="30">
        <f>H46/H7*1000000</f>
        <v>221.645554249133</v>
      </c>
      <c r="I52" s="27"/>
    </row>
    <row r="53" spans="1:10">
      <c r="A53" s="23" t="s">
        <v>109</v>
      </c>
      <c r="B53" s="24" t="s">
        <v>110</v>
      </c>
      <c r="C53" s="22" t="s">
        <v>111</v>
      </c>
      <c r="D53" s="25"/>
      <c r="E53" s="30">
        <v>226.442025871196</v>
      </c>
      <c r="F53" s="30">
        <v>231.196978726167</v>
      </c>
      <c r="G53" s="30">
        <f>G46/(G7-G40)*1000000</f>
        <v>216.775930103433</v>
      </c>
      <c r="H53" s="30">
        <f>H46/(H7-H40)*1000000</f>
        <v>237.149403696074</v>
      </c>
      <c r="I53" s="27"/>
    </row>
    <row r="54" ht="12.6" customHeight="1" spans="1:10">
      <c r="A54" s="52" t="s">
        <v>112</v>
      </c>
      <c r="B54" s="53" t="s">
        <v>113</v>
      </c>
      <c r="C54" s="54" t="s">
        <v>114</v>
      </c>
      <c r="D54" s="55"/>
      <c r="E54" s="56">
        <v>38.9648369392782</v>
      </c>
      <c r="F54" s="56">
        <v>39.4389198655191</v>
      </c>
      <c r="G54" s="56">
        <f>G49/G10*1000</f>
        <v>35.3907210720596</v>
      </c>
      <c r="H54" s="56">
        <f>H49/H10*1000</f>
        <v>37.2784041246928</v>
      </c>
      <c r="I54" s="57"/>
    </row>
    <row r="55" ht="12.6" customHeight="1" spans="1:10">
      <c r="A55" s="58" t="s">
        <v>115</v>
      </c>
      <c r="B55" s="59" t="s">
        <v>116</v>
      </c>
      <c r="C55" s="60" t="s">
        <v>117</v>
      </c>
      <c r="D55" s="61"/>
      <c r="E55" s="62">
        <v>20984.9601858721</v>
      </c>
      <c r="F55" s="62">
        <v>20889.7085788763</v>
      </c>
      <c r="G55" s="62">
        <f>(G45-1.4571*G18)*29308/G15</f>
        <v>20742.6957421502</v>
      </c>
      <c r="H55" s="63">
        <f>(H45-1.4571*H18)*29308/H15</f>
        <v>20946.2900801448</v>
      </c>
      <c r="I55" s="64"/>
      <c r="J55" s="8"/>
    </row>
    <row r="56" ht="12.6" customHeight="1" spans="1:10">
      <c r="A56" s="23" t="s">
        <v>118</v>
      </c>
      <c r="B56" s="24" t="s">
        <v>119</v>
      </c>
      <c r="C56" s="39" t="s">
        <v>120</v>
      </c>
      <c r="D56" s="25"/>
      <c r="E56" s="65">
        <v>0</v>
      </c>
      <c r="F56" s="28">
        <v>20908</v>
      </c>
      <c r="G56" s="65">
        <v>0</v>
      </c>
      <c r="H56" s="65">
        <v>20480</v>
      </c>
      <c r="I56" s="66"/>
    </row>
    <row r="57" ht="12.6" customHeight="1" spans="1:10">
      <c r="A57" s="23" t="s">
        <v>121</v>
      </c>
      <c r="B57" s="24" t="s">
        <v>122</v>
      </c>
      <c r="C57" s="39" t="s">
        <v>123</v>
      </c>
      <c r="D57" s="25"/>
      <c r="E57" s="67">
        <v>14500</v>
      </c>
      <c r="F57" s="18">
        <v>14500</v>
      </c>
      <c r="G57" s="67">
        <v>23000</v>
      </c>
      <c r="H57" s="67">
        <v>23000</v>
      </c>
      <c r="I57" s="66"/>
      <c r="J57" s="8"/>
    </row>
    <row r="58" ht="12.6" customHeight="1" spans="1:10">
      <c r="A58" s="23" t="s">
        <v>124</v>
      </c>
      <c r="B58" s="24" t="s">
        <v>125</v>
      </c>
      <c r="C58" s="39" t="s">
        <v>126</v>
      </c>
      <c r="D58" s="25"/>
      <c r="E58" s="67">
        <v>150</v>
      </c>
      <c r="F58" s="18">
        <v>150</v>
      </c>
      <c r="G58" s="67">
        <v>140</v>
      </c>
      <c r="H58" s="67">
        <v>140</v>
      </c>
      <c r="I58" s="66"/>
      <c r="J58" s="8"/>
    </row>
    <row r="59" ht="12.6" customHeight="1" spans="1:10">
      <c r="A59" s="68" t="s">
        <v>127</v>
      </c>
      <c r="B59" s="69"/>
      <c r="C59" s="70" t="s">
        <v>128</v>
      </c>
      <c r="D59" s="71"/>
      <c r="E59" s="72">
        <v>0.793698264528702</v>
      </c>
      <c r="F59" s="72">
        <v>0.791074539210633</v>
      </c>
      <c r="G59" s="72">
        <f>G49/G45</f>
        <v>0.815765713159201</v>
      </c>
      <c r="H59" s="72">
        <f>H49/H45</f>
        <v>0.781490672028157</v>
      </c>
      <c r="I59" s="73"/>
    </row>
    <row r="60" ht="12.6" customHeight="1" spans="1:10">
      <c r="A60" s="20" t="s">
        <v>129</v>
      </c>
      <c r="B60" s="21" t="s">
        <v>24</v>
      </c>
      <c r="C60" s="39" t="s">
        <v>130</v>
      </c>
      <c r="D60" s="40"/>
      <c r="E60" s="17">
        <v>0</v>
      </c>
      <c r="F60" s="17">
        <v>27004.62</v>
      </c>
      <c r="G60" s="17">
        <v>0</v>
      </c>
      <c r="H60" s="26">
        <v>17015.74</v>
      </c>
      <c r="I60" s="42"/>
    </row>
    <row r="61" ht="12.6" customHeight="1" spans="1:10">
      <c r="A61" s="23" t="s">
        <v>131</v>
      </c>
      <c r="B61" s="24" t="s">
        <v>24</v>
      </c>
      <c r="C61" s="22" t="s">
        <v>132</v>
      </c>
      <c r="D61" s="25"/>
      <c r="E61" s="18"/>
      <c r="F61" s="18">
        <v>0</v>
      </c>
      <c r="G61" s="18"/>
      <c r="H61" s="26">
        <v>0</v>
      </c>
      <c r="I61" s="27"/>
    </row>
    <row r="62" ht="12.6" customHeight="1" spans="1:10">
      <c r="A62" s="23" t="s">
        <v>133</v>
      </c>
      <c r="B62" s="24" t="s">
        <v>24</v>
      </c>
      <c r="C62" s="22" t="s">
        <v>134</v>
      </c>
      <c r="D62" s="25"/>
      <c r="E62" s="18"/>
      <c r="F62" s="18">
        <v>0</v>
      </c>
      <c r="G62" s="18"/>
      <c r="H62" s="26">
        <v>0</v>
      </c>
      <c r="I62" s="27"/>
    </row>
    <row r="63" ht="12.6" customHeight="1" spans="1:10">
      <c r="A63" s="23" t="s">
        <v>135</v>
      </c>
      <c r="B63" s="24" t="s">
        <v>24</v>
      </c>
      <c r="C63" s="22" t="s">
        <v>134</v>
      </c>
      <c r="D63" s="25"/>
      <c r="E63" s="18"/>
      <c r="F63" s="18">
        <v>0</v>
      </c>
      <c r="G63" s="18"/>
      <c r="H63" s="26">
        <v>0</v>
      </c>
      <c r="I63" s="27"/>
    </row>
    <row r="64" ht="12.6" customHeight="1" spans="1:10">
      <c r="A64" s="32" t="s">
        <v>136</v>
      </c>
      <c r="B64" s="33" t="s">
        <v>24</v>
      </c>
      <c r="C64" s="34" t="s">
        <v>137</v>
      </c>
      <c r="D64" s="35"/>
      <c r="E64" s="74"/>
      <c r="F64" s="74">
        <v>3488.74000000005</v>
      </c>
      <c r="G64" s="74"/>
      <c r="H64" s="75">
        <v>7183.31000000003</v>
      </c>
      <c r="I64" s="38"/>
    </row>
    <row r="65" spans="1:9">
      <c r="A65" s="8" t="s">
        <v>138</v>
      </c>
      <c r="B65" s="7" t="s">
        <v>139</v>
      </c>
      <c r="C65" s="7"/>
      <c r="D65" s="7" t="s">
        <v>140</v>
      </c>
      <c r="E65" s="7"/>
      <c r="F65" s="7"/>
      <c r="G65" s="7" t="s">
        <v>142</v>
      </c>
      <c r="H65" s="7"/>
      <c r="I65" s="7"/>
    </row>
  </sheetData>
  <mergeCells count="9">
    <mergeCell ref="A1:I1"/>
    <mergeCell ref="H2:I2"/>
    <mergeCell ref="H3:I3"/>
    <mergeCell ref="E4:H4"/>
    <mergeCell ref="A4:A5"/>
    <mergeCell ref="B4:B5"/>
    <mergeCell ref="C4:C5"/>
    <mergeCell ref="D4:D5"/>
    <mergeCell ref="I4:I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zoomScaleSheetLayoutView="60" workbookViewId="0">
      <selection activeCell="G6" sqref="G6"/>
    </sheetView>
  </sheetViews>
  <sheetFormatPr defaultColWidth="9" defaultRowHeight="15"/>
  <cols>
    <col min="1" max="1" width="18.5" customWidth="1"/>
    <col min="2" max="2" width="8.25" customWidth="1"/>
    <col min="3" max="3" width="32.875" hidden="1" customWidth="1"/>
    <col min="4" max="4" width="16.5" hidden="1" customWidth="1"/>
    <col min="5" max="5" width="11.125" customWidth="1"/>
    <col min="6" max="6" width="11.5" customWidth="1"/>
    <col min="7" max="7" width="11.75" customWidth="1"/>
    <col min="8" max="8" width="12.5" customWidth="1"/>
    <col min="9" max="9" width="15.375" customWidth="1"/>
    <col min="10" max="10" width="28.375" customWidth="1"/>
    <col min="12" max="12" width="22" customWidth="1"/>
  </cols>
  <sheetData>
    <row r="1" ht="28.5" customHeight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A2" s="5"/>
      <c r="B2" s="6"/>
      <c r="C2" s="6"/>
      <c r="D2" s="6"/>
      <c r="E2" s="6"/>
      <c r="F2" s="6"/>
      <c r="G2" s="6"/>
      <c r="H2" s="7" t="s">
        <v>1</v>
      </c>
      <c r="I2" s="8"/>
    </row>
    <row r="3" ht="15.75" spans="1:9">
      <c r="A3" s="8" t="s">
        <v>2</v>
      </c>
      <c r="B3" s="6"/>
      <c r="C3" s="5" t="s">
        <v>3</v>
      </c>
      <c r="D3" s="6"/>
      <c r="E3" s="6"/>
      <c r="F3" s="9">
        <v>46082</v>
      </c>
      <c r="G3" s="6"/>
      <c r="H3" s="7" t="s">
        <v>4</v>
      </c>
      <c r="I3" s="8"/>
    </row>
    <row r="4" ht="13.5" customHeight="1" spans="1:9">
      <c r="A4" s="10" t="s">
        <v>5</v>
      </c>
      <c r="B4" s="11" t="s">
        <v>6</v>
      </c>
      <c r="C4" s="11" t="s">
        <v>7</v>
      </c>
      <c r="D4" s="11" t="s">
        <v>8</v>
      </c>
      <c r="E4" s="12" t="s">
        <v>9</v>
      </c>
      <c r="F4" s="13"/>
      <c r="G4" s="13"/>
      <c r="H4" s="14"/>
      <c r="I4" s="15" t="s">
        <v>10</v>
      </c>
    </row>
    <row r="5" ht="13.5" customHeight="1" spans="1:9">
      <c r="A5" s="16"/>
      <c r="B5" s="17"/>
      <c r="C5" s="17"/>
      <c r="D5" s="17"/>
      <c r="E5" s="18" t="s">
        <v>11</v>
      </c>
      <c r="F5" s="18" t="s">
        <v>12</v>
      </c>
      <c r="G5" s="18" t="s">
        <v>13</v>
      </c>
      <c r="H5" s="18" t="s">
        <v>14</v>
      </c>
      <c r="I5" s="19"/>
    </row>
    <row r="6" ht="14.1" customHeight="1" spans="1:9">
      <c r="A6" s="20" t="s">
        <v>15</v>
      </c>
      <c r="B6" s="21" t="s">
        <v>16</v>
      </c>
      <c r="C6" s="22" t="s">
        <v>17</v>
      </c>
      <c r="D6" s="18"/>
      <c r="E6" s="18">
        <v>3.28</v>
      </c>
      <c r="F6" s="18">
        <v>3.28</v>
      </c>
      <c r="G6" s="18">
        <v>3.28</v>
      </c>
      <c r="H6" s="18">
        <v>3.28</v>
      </c>
      <c r="I6" s="19"/>
    </row>
    <row r="7" ht="12.6" customHeight="1" spans="1:9">
      <c r="A7" s="23" t="s">
        <v>18</v>
      </c>
      <c r="B7" s="24" t="s">
        <v>19</v>
      </c>
      <c r="C7" s="22" t="s">
        <v>20</v>
      </c>
      <c r="D7" s="25"/>
      <c r="E7" s="18">
        <v>6079800</v>
      </c>
      <c r="F7" s="18">
        <v>27959800</v>
      </c>
      <c r="G7" s="18">
        <v>6246500</v>
      </c>
      <c r="H7" s="26">
        <f>G7+'2026.2'!H7</f>
        <v>29990500</v>
      </c>
      <c r="I7" s="27"/>
    </row>
    <row r="8" ht="12.6" customHeight="1" spans="1:9">
      <c r="A8" s="23" t="s">
        <v>21</v>
      </c>
      <c r="B8" s="24" t="s">
        <v>19</v>
      </c>
      <c r="C8" s="22" t="s">
        <v>22</v>
      </c>
      <c r="D8" s="25"/>
      <c r="E8" s="18">
        <v>3990492</v>
      </c>
      <c r="F8" s="18">
        <v>19734264</v>
      </c>
      <c r="G8" s="18">
        <v>3407184</v>
      </c>
      <c r="H8" s="26">
        <f>G8+'2026.2'!H8</f>
        <v>19993248</v>
      </c>
      <c r="I8" s="27"/>
    </row>
    <row r="9" ht="12.6" customHeight="1" spans="1:9">
      <c r="A9" s="23" t="s">
        <v>23</v>
      </c>
      <c r="B9" s="24" t="s">
        <v>24</v>
      </c>
      <c r="C9" s="22" t="s">
        <v>25</v>
      </c>
      <c r="D9" s="25"/>
      <c r="E9" s="18">
        <v>0</v>
      </c>
      <c r="F9" s="18">
        <v>0</v>
      </c>
      <c r="G9" s="18">
        <v>0</v>
      </c>
      <c r="H9" s="26">
        <f>G9+'2026.2'!H9</f>
        <v>0</v>
      </c>
      <c r="I9" s="27"/>
    </row>
    <row r="10" ht="12.6" customHeight="1" spans="1:9">
      <c r="A10" s="23" t="s">
        <v>26</v>
      </c>
      <c r="B10" s="24" t="s">
        <v>27</v>
      </c>
      <c r="C10" s="22" t="s">
        <v>28</v>
      </c>
      <c r="D10" s="25"/>
      <c r="E10" s="28">
        <v>142618.18</v>
      </c>
      <c r="F10" s="18">
        <v>599830.58</v>
      </c>
      <c r="G10" s="29">
        <v>148395</v>
      </c>
      <c r="H10" s="30">
        <f>G10+'2026.2'!H10</f>
        <v>653299.7</v>
      </c>
      <c r="I10" s="27"/>
    </row>
    <row r="11" ht="12.6" customHeight="1" spans="1:9">
      <c r="A11" s="23" t="s">
        <v>29</v>
      </c>
      <c r="B11" s="24" t="s">
        <v>27</v>
      </c>
      <c r="C11" s="22"/>
      <c r="D11" s="25"/>
      <c r="E11" s="18">
        <v>0</v>
      </c>
      <c r="F11" s="18">
        <v>0</v>
      </c>
      <c r="G11" s="18">
        <v>0</v>
      </c>
      <c r="H11" s="26">
        <f>G11+'2026.2'!H11</f>
        <v>0</v>
      </c>
      <c r="I11" s="27"/>
    </row>
    <row r="12" ht="12.6" customHeight="1" spans="1:9">
      <c r="A12" s="23" t="s">
        <v>30</v>
      </c>
      <c r="B12" s="24" t="s">
        <v>24</v>
      </c>
      <c r="C12" s="22" t="s">
        <v>31</v>
      </c>
      <c r="D12" s="25"/>
      <c r="E12" s="18">
        <v>0</v>
      </c>
      <c r="F12" s="18">
        <v>0</v>
      </c>
      <c r="G12" s="18">
        <v>0</v>
      </c>
      <c r="H12" s="26">
        <f>G12+'2026.2'!H12</f>
        <v>0</v>
      </c>
      <c r="I12" s="27"/>
    </row>
    <row r="13" ht="12.6" customHeight="1" spans="1:9">
      <c r="A13" s="23" t="s">
        <v>32</v>
      </c>
      <c r="B13" s="24" t="s">
        <v>27</v>
      </c>
      <c r="C13" s="22"/>
      <c r="D13" s="25"/>
      <c r="E13" s="18">
        <v>2240</v>
      </c>
      <c r="F13" s="29">
        <v>12293</v>
      </c>
      <c r="G13" s="31">
        <v>3057</v>
      </c>
      <c r="H13" s="31">
        <f>G13+'2026.2'!H13</f>
        <v>15099.5</v>
      </c>
      <c r="I13" s="27"/>
    </row>
    <row r="14" ht="12.6" customHeight="1" spans="1:9">
      <c r="A14" s="32" t="s">
        <v>33</v>
      </c>
      <c r="B14" s="33" t="s">
        <v>34</v>
      </c>
      <c r="C14" s="34" t="s">
        <v>35</v>
      </c>
      <c r="D14" s="35"/>
      <c r="E14" s="36">
        <v>3170000</v>
      </c>
      <c r="F14" s="36">
        <v>3170000</v>
      </c>
      <c r="G14" s="36">
        <v>3019870.33</v>
      </c>
      <c r="H14" s="37">
        <v>3019870.33</v>
      </c>
      <c r="I14" s="38"/>
    </row>
    <row r="15" ht="12.6" customHeight="1" spans="1:9">
      <c r="A15" s="20" t="s">
        <v>36</v>
      </c>
      <c r="B15" s="21" t="s">
        <v>24</v>
      </c>
      <c r="C15" s="39" t="s">
        <v>37</v>
      </c>
      <c r="D15" s="40"/>
      <c r="E15" s="41">
        <v>9682.13</v>
      </c>
      <c r="F15" s="41">
        <v>41644.21</v>
      </c>
      <c r="G15" s="41">
        <f>G16+G17</f>
        <v>8907</v>
      </c>
      <c r="H15" s="30">
        <f>G15+'2026.2'!H15</f>
        <v>42603.83</v>
      </c>
      <c r="I15" s="42"/>
    </row>
    <row r="16" ht="12.6" customHeight="1" spans="1:9">
      <c r="A16" s="43" t="s">
        <v>38</v>
      </c>
      <c r="B16" s="24" t="s">
        <v>24</v>
      </c>
      <c r="C16" s="22" t="s">
        <v>39</v>
      </c>
      <c r="D16" s="25"/>
      <c r="E16" s="29">
        <v>1723.22546326447</v>
      </c>
      <c r="F16" s="44">
        <v>8401.1862418385</v>
      </c>
      <c r="G16" s="29">
        <v>1760.67819634488</v>
      </c>
      <c r="H16" s="30">
        <f>G16+'2026.2'!H16</f>
        <v>9116.76872154034</v>
      </c>
      <c r="I16" s="27"/>
    </row>
    <row r="17" ht="12.6" customHeight="1" spans="1:10">
      <c r="A17" s="43" t="s">
        <v>40</v>
      </c>
      <c r="B17" s="24" t="s">
        <v>24</v>
      </c>
      <c r="C17" s="22" t="s">
        <v>41</v>
      </c>
      <c r="D17" s="25"/>
      <c r="E17" s="29">
        <v>7958.90453673553</v>
      </c>
      <c r="F17" s="44">
        <v>33243.0237581615</v>
      </c>
      <c r="G17" s="29">
        <v>7146.32180365512</v>
      </c>
      <c r="H17" s="30">
        <f>G17+'2026.2'!H17</f>
        <v>33487.0612784597</v>
      </c>
      <c r="I17" s="27"/>
    </row>
    <row r="18" ht="12.6" customHeight="1" spans="1:10">
      <c r="A18" s="23" t="s">
        <v>42</v>
      </c>
      <c r="B18" s="24" t="s">
        <v>24</v>
      </c>
      <c r="C18" s="22" t="s">
        <v>43</v>
      </c>
      <c r="D18" s="25"/>
      <c r="E18" s="45">
        <v>2.753</v>
      </c>
      <c r="F18" s="45">
        <v>11.553</v>
      </c>
      <c r="G18" s="45">
        <f>G19+G20</f>
        <v>0</v>
      </c>
      <c r="H18" s="45">
        <f>G18+'2026.2'!H18</f>
        <v>1.254</v>
      </c>
      <c r="I18" s="27"/>
    </row>
    <row r="19" ht="12.6" customHeight="1" spans="1:10">
      <c r="A19" s="43" t="s">
        <v>44</v>
      </c>
      <c r="B19" s="24" t="s">
        <v>24</v>
      </c>
      <c r="C19" s="22" t="s">
        <v>45</v>
      </c>
      <c r="D19" s="25"/>
      <c r="E19" s="46">
        <v>0.489978930293962</v>
      </c>
      <c r="F19" s="44">
        <v>2.34710205799084</v>
      </c>
      <c r="G19" s="46">
        <v>0</v>
      </c>
      <c r="H19" s="45">
        <f>G19+'2026.2'!H19</f>
        <v>0.242145981628188</v>
      </c>
      <c r="I19" s="27"/>
    </row>
    <row r="20" ht="12.6" customHeight="1" spans="1:10">
      <c r="A20" s="43" t="s">
        <v>46</v>
      </c>
      <c r="B20" s="24" t="s">
        <v>24</v>
      </c>
      <c r="C20" s="22" t="s">
        <v>47</v>
      </c>
      <c r="D20" s="25"/>
      <c r="E20" s="46">
        <v>2.26302106970604</v>
      </c>
      <c r="F20" s="44">
        <v>9.20589794200916</v>
      </c>
      <c r="G20" s="46">
        <v>0</v>
      </c>
      <c r="H20" s="45">
        <f>G20+'2026.2'!H20</f>
        <v>1.01185401837181</v>
      </c>
      <c r="I20" s="27"/>
    </row>
    <row r="21" ht="12.6" customHeight="1" spans="1:10">
      <c r="A21" s="23" t="s">
        <v>48</v>
      </c>
      <c r="B21" s="24" t="s">
        <v>24</v>
      </c>
      <c r="C21" s="22" t="s">
        <v>49</v>
      </c>
      <c r="D21" s="25"/>
      <c r="E21" s="18">
        <v>42817.4</v>
      </c>
      <c r="F21" s="44">
        <v>127423.7</v>
      </c>
      <c r="G21" s="18">
        <v>24037.3</v>
      </c>
      <c r="H21" s="26">
        <f>G21+'2026.2'!H21</f>
        <v>85762.8</v>
      </c>
      <c r="I21" s="27"/>
      <c r="J21" s="8"/>
    </row>
    <row r="22" ht="12.6" customHeight="1" spans="1:10">
      <c r="A22" s="23" t="s">
        <v>50</v>
      </c>
      <c r="B22" s="24" t="s">
        <v>24</v>
      </c>
      <c r="C22" s="22" t="s">
        <v>51</v>
      </c>
      <c r="D22" s="25"/>
      <c r="E22" s="18">
        <v>21852.4</v>
      </c>
      <c r="F22" s="44">
        <v>62027.7</v>
      </c>
      <c r="G22" s="18">
        <v>3683.3</v>
      </c>
      <c r="H22" s="26">
        <f>G22+'2026.2'!H22</f>
        <v>21532.8</v>
      </c>
      <c r="I22" s="27"/>
    </row>
    <row r="23" ht="12.6" customHeight="1" spans="1:10">
      <c r="A23" s="23" t="s">
        <v>52</v>
      </c>
      <c r="B23" s="24" t="s">
        <v>24</v>
      </c>
      <c r="C23" s="22" t="s">
        <v>53</v>
      </c>
      <c r="D23" s="25"/>
      <c r="E23" s="18">
        <v>2.1</v>
      </c>
      <c r="F23" s="44">
        <v>11.12</v>
      </c>
      <c r="G23" s="18">
        <v>0</v>
      </c>
      <c r="H23" s="26">
        <f>G23+'2026.2'!H23</f>
        <v>2.31</v>
      </c>
      <c r="I23" s="27"/>
    </row>
    <row r="24" ht="12.6" customHeight="1" spans="1:10">
      <c r="A24" s="23" t="s">
        <v>54</v>
      </c>
      <c r="B24" s="24" t="s">
        <v>24</v>
      </c>
      <c r="C24" s="22" t="s">
        <v>55</v>
      </c>
      <c r="D24" s="25"/>
      <c r="E24" s="18">
        <v>7.36</v>
      </c>
      <c r="F24" s="44">
        <v>21.84</v>
      </c>
      <c r="G24" s="18">
        <v>0</v>
      </c>
      <c r="H24" s="26">
        <f>G24+'2026.2'!H24</f>
        <v>4.6</v>
      </c>
      <c r="I24" s="27"/>
    </row>
    <row r="25" ht="12.6" customHeight="1" spans="1:10">
      <c r="A25" s="23" t="s">
        <v>56</v>
      </c>
      <c r="B25" s="24" t="s">
        <v>24</v>
      </c>
      <c r="C25" s="22" t="s">
        <v>57</v>
      </c>
      <c r="D25" s="25"/>
      <c r="E25" s="18">
        <v>468.07</v>
      </c>
      <c r="F25" s="44">
        <v>1981.98</v>
      </c>
      <c r="G25" s="18">
        <v>351.41</v>
      </c>
      <c r="H25" s="26">
        <f>G25+'2026.2'!H25</f>
        <v>1402.17</v>
      </c>
      <c r="I25" s="27"/>
    </row>
    <row r="26" ht="12.6" customHeight="1" spans="1:10">
      <c r="A26" s="23" t="s">
        <v>58</v>
      </c>
      <c r="B26" s="24" t="s">
        <v>24</v>
      </c>
      <c r="C26" s="22"/>
      <c r="D26" s="25"/>
      <c r="E26" s="18">
        <v>122.69</v>
      </c>
      <c r="F26" s="44">
        <v>665.92</v>
      </c>
      <c r="G26" s="18">
        <v>185.1</v>
      </c>
      <c r="H26" s="26">
        <f>G26+'2026.2'!H26</f>
        <v>814.89</v>
      </c>
      <c r="I26" s="27"/>
    </row>
    <row r="27" ht="12.6" customHeight="1" spans="1:10">
      <c r="A27" s="23" t="s">
        <v>59</v>
      </c>
      <c r="B27" s="24" t="s">
        <v>19</v>
      </c>
      <c r="C27" s="22"/>
      <c r="D27" s="25"/>
      <c r="E27" s="18">
        <v>391510</v>
      </c>
      <c r="F27" s="28">
        <v>1241946</v>
      </c>
      <c r="G27" s="18">
        <v>589104</v>
      </c>
      <c r="H27" s="26">
        <f>G27+'2026.2'!H27</f>
        <v>1757380</v>
      </c>
      <c r="I27" s="27"/>
    </row>
    <row r="28" ht="12.6" customHeight="1" spans="1:10">
      <c r="A28" s="23" t="s">
        <v>60</v>
      </c>
      <c r="B28" s="24" t="s">
        <v>24</v>
      </c>
      <c r="C28" s="22"/>
      <c r="D28" s="25"/>
      <c r="E28" s="18">
        <v>3523</v>
      </c>
      <c r="F28" s="28">
        <v>13780</v>
      </c>
      <c r="G28" s="18">
        <v>4317</v>
      </c>
      <c r="H28" s="26">
        <f>G28+'2026.2'!H28</f>
        <v>14557</v>
      </c>
      <c r="I28" s="27"/>
    </row>
    <row r="29" ht="12.6" customHeight="1" spans="1:10">
      <c r="A29" s="23" t="s">
        <v>61</v>
      </c>
      <c r="B29" s="24" t="s">
        <v>24</v>
      </c>
      <c r="C29" s="22"/>
      <c r="D29" s="25"/>
      <c r="E29" s="18">
        <v>788</v>
      </c>
      <c r="F29" s="28">
        <v>3822</v>
      </c>
      <c r="G29" s="18">
        <v>994</v>
      </c>
      <c r="H29" s="26">
        <f>G29+'2026.2'!H29</f>
        <v>3299</v>
      </c>
      <c r="I29" s="27"/>
    </row>
    <row r="30" ht="12.6" customHeight="1" spans="1:10">
      <c r="A30" s="23" t="s">
        <v>62</v>
      </c>
      <c r="B30" s="24" t="s">
        <v>24</v>
      </c>
      <c r="C30" s="22" t="s">
        <v>63</v>
      </c>
      <c r="D30" s="25"/>
      <c r="E30" s="18">
        <v>314.886</v>
      </c>
      <c r="F30" s="29">
        <v>1029.273</v>
      </c>
      <c r="G30" s="18">
        <v>35.442</v>
      </c>
      <c r="H30" s="26">
        <f>G30+'2026.2'!H30</f>
        <v>218.131</v>
      </c>
      <c r="I30" s="27"/>
    </row>
    <row r="31" ht="12.6" customHeight="1" spans="1:10">
      <c r="A31" s="23" t="s">
        <v>64</v>
      </c>
      <c r="B31" s="24" t="s">
        <v>24</v>
      </c>
      <c r="C31" s="22" t="s">
        <v>65</v>
      </c>
      <c r="D31" s="25"/>
      <c r="E31" s="18">
        <v>0.256</v>
      </c>
      <c r="F31" s="47">
        <v>0.375</v>
      </c>
      <c r="G31" s="18">
        <v>0.04</v>
      </c>
      <c r="H31" s="26">
        <f>G31+'2026.2'!H31</f>
        <v>0.13</v>
      </c>
      <c r="I31" s="27"/>
    </row>
    <row r="32" ht="12.6" customHeight="1" spans="1:10">
      <c r="A32" s="23" t="s">
        <v>66</v>
      </c>
      <c r="B32" s="24" t="s">
        <v>24</v>
      </c>
      <c r="C32" s="22" t="s">
        <v>67</v>
      </c>
      <c r="D32" s="25"/>
      <c r="E32" s="18">
        <v>0</v>
      </c>
      <c r="F32" s="28">
        <v>0</v>
      </c>
      <c r="G32" s="18">
        <v>0</v>
      </c>
      <c r="H32" s="26">
        <f>G32+'2026.2'!H32</f>
        <v>0</v>
      </c>
      <c r="I32" s="27"/>
    </row>
    <row r="33" ht="12.6" customHeight="1" spans="1:10">
      <c r="A33" s="23" t="s">
        <v>68</v>
      </c>
      <c r="B33" s="24" t="s">
        <v>24</v>
      </c>
      <c r="C33" s="22" t="s">
        <v>69</v>
      </c>
      <c r="D33" s="25"/>
      <c r="E33" s="18">
        <v>0</v>
      </c>
      <c r="F33" s="28">
        <v>0</v>
      </c>
      <c r="G33" s="28">
        <v>0</v>
      </c>
      <c r="H33" s="48">
        <f>G33+'2026.2'!H33</f>
        <v>0</v>
      </c>
      <c r="I33" s="27"/>
    </row>
    <row r="34" ht="12.6" customHeight="1" spans="1:10">
      <c r="A34" s="23" t="s">
        <v>70</v>
      </c>
      <c r="B34" s="24" t="s">
        <v>24</v>
      </c>
      <c r="C34" s="22" t="s">
        <v>71</v>
      </c>
      <c r="D34" s="25"/>
      <c r="E34" s="18">
        <v>37137</v>
      </c>
      <c r="F34" s="28">
        <v>103714</v>
      </c>
      <c r="G34" s="18">
        <v>21100</v>
      </c>
      <c r="H34" s="26">
        <f>G34+'2026.2'!H34</f>
        <v>62414</v>
      </c>
      <c r="I34" s="27"/>
    </row>
    <row r="35" ht="12.6" customHeight="1" spans="1:10">
      <c r="A35" s="23" t="s">
        <v>72</v>
      </c>
      <c r="B35" s="24" t="s">
        <v>19</v>
      </c>
      <c r="C35" s="22" t="s">
        <v>73</v>
      </c>
      <c r="D35" s="25"/>
      <c r="E35" s="18">
        <v>820002</v>
      </c>
      <c r="F35" s="28">
        <v>2663352</v>
      </c>
      <c r="G35" s="18">
        <v>809091</v>
      </c>
      <c r="H35" s="26">
        <f>G35+'2026.2'!H35</f>
        <v>2759708</v>
      </c>
      <c r="I35" s="27"/>
    </row>
    <row r="36" ht="12.6" customHeight="1" spans="1:10">
      <c r="A36" s="23" t="s">
        <v>74</v>
      </c>
      <c r="B36" s="24" t="s">
        <v>19</v>
      </c>
      <c r="C36" s="22" t="s">
        <v>75</v>
      </c>
      <c r="D36" s="25"/>
      <c r="E36" s="18">
        <v>815250</v>
      </c>
      <c r="F36" s="28">
        <v>2658600</v>
      </c>
      <c r="G36" s="18">
        <v>809091</v>
      </c>
      <c r="H36" s="26">
        <f>G36+'2026.2'!H36</f>
        <v>2759708</v>
      </c>
      <c r="I36" s="27"/>
    </row>
    <row r="37" ht="12.6" customHeight="1" spans="1:10">
      <c r="A37" s="23" t="s">
        <v>76</v>
      </c>
      <c r="B37" s="24" t="s">
        <v>19</v>
      </c>
      <c r="C37" s="22" t="s">
        <v>77</v>
      </c>
      <c r="D37" s="25"/>
      <c r="E37" s="26">
        <v>2089308</v>
      </c>
      <c r="F37" s="26">
        <v>8225536</v>
      </c>
      <c r="G37" s="26">
        <v>2839316</v>
      </c>
      <c r="H37" s="26">
        <f>G37+'2026.2'!H37</f>
        <v>9997252</v>
      </c>
      <c r="I37" s="27"/>
    </row>
    <row r="38" ht="12.6" customHeight="1" spans="1:10">
      <c r="A38" s="23" t="s">
        <v>78</v>
      </c>
      <c r="B38" s="24" t="s">
        <v>19</v>
      </c>
      <c r="C38" s="22" t="s">
        <v>79</v>
      </c>
      <c r="D38" s="25"/>
      <c r="E38" s="18">
        <v>0</v>
      </c>
      <c r="F38" s="28">
        <v>0</v>
      </c>
      <c r="G38" s="18">
        <v>0</v>
      </c>
      <c r="H38" s="26">
        <f>G38+'2026.2'!H38</f>
        <v>0</v>
      </c>
      <c r="I38" s="27"/>
    </row>
    <row r="39" ht="12.6" customHeight="1" spans="1:10">
      <c r="A39" s="23" t="s">
        <v>80</v>
      </c>
      <c r="B39" s="24" t="s">
        <v>19</v>
      </c>
      <c r="C39" s="22" t="s">
        <v>81</v>
      </c>
      <c r="D39" s="25"/>
      <c r="E39" s="26">
        <v>2089308</v>
      </c>
      <c r="F39" s="26">
        <v>8225536</v>
      </c>
      <c r="G39" s="49">
        <f>G40+G41</f>
        <v>2839316</v>
      </c>
      <c r="H39" s="30">
        <f>G39+'2026.2'!H39</f>
        <v>9997252</v>
      </c>
      <c r="I39" s="27"/>
    </row>
    <row r="40" ht="12.6" customHeight="1" spans="1:10">
      <c r="A40" s="23" t="s">
        <v>82</v>
      </c>
      <c r="B40" s="24" t="s">
        <v>19</v>
      </c>
      <c r="C40" s="22" t="s">
        <v>83</v>
      </c>
      <c r="D40" s="25"/>
      <c r="E40" s="28">
        <v>371855.03047389</v>
      </c>
      <c r="F40" s="28">
        <v>1653391.83686334</v>
      </c>
      <c r="G40" s="28">
        <v>561257.637109371</v>
      </c>
      <c r="H40" s="48">
        <f>G40+'2026.2'!H40</f>
        <v>2113542.38052761</v>
      </c>
      <c r="I40" s="27"/>
    </row>
    <row r="41" ht="12.6" customHeight="1" spans="1:10">
      <c r="A41" s="50" t="s">
        <v>84</v>
      </c>
      <c r="B41" s="24" t="s">
        <v>19</v>
      </c>
      <c r="C41" s="22" t="s">
        <v>85</v>
      </c>
      <c r="D41" s="25"/>
      <c r="E41" s="28">
        <v>1717452.96952611</v>
      </c>
      <c r="F41" s="28">
        <v>6572144.16313666</v>
      </c>
      <c r="G41" s="28">
        <v>2278058.36289063</v>
      </c>
      <c r="H41" s="48">
        <f>G41+'2026.2'!H41</f>
        <v>7883709.61947239</v>
      </c>
      <c r="I41" s="27"/>
      <c r="J41" s="8"/>
    </row>
    <row r="42" ht="12.6" customHeight="1" spans="1:10">
      <c r="A42" s="23" t="s">
        <v>86</v>
      </c>
      <c r="B42" s="51" t="s">
        <v>87</v>
      </c>
      <c r="C42" s="22" t="s">
        <v>88</v>
      </c>
      <c r="D42" s="25"/>
      <c r="E42" s="30">
        <v>34.3647488404224</v>
      </c>
      <c r="F42" s="30">
        <v>29.4191517822016</v>
      </c>
      <c r="G42" s="30">
        <f>G37/G7*100</f>
        <v>45.4545105258945</v>
      </c>
      <c r="H42" s="30">
        <f>H37/H7*100</f>
        <v>33.3347293309548</v>
      </c>
      <c r="I42" s="27"/>
    </row>
    <row r="43" ht="12.6" customHeight="1" spans="1:10">
      <c r="A43" s="23" t="s">
        <v>89</v>
      </c>
      <c r="B43" s="51" t="s">
        <v>87</v>
      </c>
      <c r="C43" s="22" t="s">
        <v>90</v>
      </c>
      <c r="D43" s="25"/>
      <c r="E43" s="30">
        <v>6.11623787746126</v>
      </c>
      <c r="F43" s="30">
        <v>5.91346088621286</v>
      </c>
      <c r="G43" s="30">
        <f>G40/G7*100</f>
        <v>8.98515387992269</v>
      </c>
      <c r="H43" s="30">
        <f>H40/H7*100</f>
        <v>7.04737293652193</v>
      </c>
      <c r="I43" s="27"/>
    </row>
    <row r="44" ht="12.6" customHeight="1" spans="1:10">
      <c r="A44" s="23" t="s">
        <v>91</v>
      </c>
      <c r="B44" s="24" t="s">
        <v>92</v>
      </c>
      <c r="C44" s="22" t="s">
        <v>93</v>
      </c>
      <c r="D44" s="25"/>
      <c r="E44" s="30">
        <v>12.0423144477521</v>
      </c>
      <c r="F44" s="30">
        <v>10.9566674028801</v>
      </c>
      <c r="G44" s="30">
        <f>G41/G10</f>
        <v>15.3513148211909</v>
      </c>
      <c r="H44" s="30">
        <f>H41/H10</f>
        <v>12.0675237099793</v>
      </c>
      <c r="I44" s="27"/>
    </row>
    <row r="45" ht="12.6" customHeight="1" spans="1:10">
      <c r="A45" s="23" t="s">
        <v>94</v>
      </c>
      <c r="B45" s="24" t="s">
        <v>24</v>
      </c>
      <c r="C45" s="22" t="s">
        <v>95</v>
      </c>
      <c r="D45" s="25"/>
      <c r="E45" s="45">
        <v>6624.27928914286</v>
      </c>
      <c r="F45" s="45">
        <v>29418.5449510294</v>
      </c>
      <c r="G45" s="45">
        <f>G46+G49</f>
        <v>6269.55674935171</v>
      </c>
      <c r="H45" s="45">
        <f>H46+H49</f>
        <v>30354.3502404999</v>
      </c>
      <c r="I45" s="27"/>
    </row>
    <row r="46" ht="12.6" customHeight="1" spans="1:10">
      <c r="A46" s="23" t="s">
        <v>96</v>
      </c>
      <c r="B46" s="24" t="s">
        <v>24</v>
      </c>
      <c r="C46" s="22" t="s">
        <v>97</v>
      </c>
      <c r="D46" s="25"/>
      <c r="E46" s="45">
        <v>1178.98920452694</v>
      </c>
      <c r="F46" s="45">
        <v>5941.29166129185</v>
      </c>
      <c r="G46" s="45">
        <f>G47+G48</f>
        <v>1239.32545967559</v>
      </c>
      <c r="H46" s="45">
        <f>H47+H48</f>
        <v>6502.07749976701</v>
      </c>
      <c r="I46" s="27"/>
    </row>
    <row r="47" ht="12.6" customHeight="1" spans="1:10">
      <c r="A47" s="23" t="s">
        <v>98</v>
      </c>
      <c r="B47" s="24" t="s">
        <v>24</v>
      </c>
      <c r="C47" s="22" t="s">
        <v>99</v>
      </c>
      <c r="D47" s="25"/>
      <c r="E47" s="46">
        <v>1178.28923462652</v>
      </c>
      <c r="F47" s="29">
        <v>5937.93865835186</v>
      </c>
      <c r="G47" s="46">
        <v>1239.32545967559</v>
      </c>
      <c r="H47" s="45">
        <f>G47+'2026.2'!H47</f>
        <v>6501.73157693611</v>
      </c>
      <c r="I47" s="27"/>
    </row>
    <row r="48" ht="12.6" customHeight="1" spans="1:10">
      <c r="A48" s="50" t="s">
        <v>100</v>
      </c>
      <c r="B48" s="24" t="s">
        <v>24</v>
      </c>
      <c r="C48" s="22" t="s">
        <v>101</v>
      </c>
      <c r="D48" s="25"/>
      <c r="E48" s="46">
        <v>0.699969900419946</v>
      </c>
      <c r="F48" s="29">
        <v>3.35300293998692</v>
      </c>
      <c r="G48" s="46">
        <v>0</v>
      </c>
      <c r="H48" s="45">
        <f>G48+'2026.2'!H48</f>
        <v>0.345922830897412</v>
      </c>
      <c r="I48" s="27"/>
    </row>
    <row r="49" ht="12.6" customHeight="1" spans="1:10">
      <c r="A49" s="23" t="s">
        <v>102</v>
      </c>
      <c r="B49" s="24" t="s">
        <v>24</v>
      </c>
      <c r="C49" s="22" t="s">
        <v>103</v>
      </c>
      <c r="D49" s="25"/>
      <c r="E49" s="45">
        <v>5445.29008461592</v>
      </c>
      <c r="F49" s="45">
        <v>23477.2532897376</v>
      </c>
      <c r="G49" s="45">
        <f>G50+G51</f>
        <v>5030.23128967613</v>
      </c>
      <c r="H49" s="45">
        <f>H50+H51</f>
        <v>23852.2727407329</v>
      </c>
      <c r="I49" s="27"/>
    </row>
    <row r="50" ht="12.6" customHeight="1" spans="1:10">
      <c r="A50" s="23" t="s">
        <v>98</v>
      </c>
      <c r="B50" s="24" t="s">
        <v>24</v>
      </c>
      <c r="C50" s="22" t="s">
        <v>104</v>
      </c>
      <c r="D50" s="25"/>
      <c r="E50" s="46">
        <v>5442.05719737348</v>
      </c>
      <c r="F50" s="29">
        <v>23464.1020069633</v>
      </c>
      <c r="G50" s="46">
        <v>5030.23128967613</v>
      </c>
      <c r="H50" s="45">
        <f>G50+'2026.2'!H50</f>
        <v>23850.8272349924</v>
      </c>
      <c r="I50" s="27"/>
    </row>
    <row r="51" ht="12.6" customHeight="1" spans="1:10">
      <c r="A51" s="50" t="s">
        <v>100</v>
      </c>
      <c r="B51" s="24" t="s">
        <v>24</v>
      </c>
      <c r="C51" s="22" t="s">
        <v>105</v>
      </c>
      <c r="D51" s="25"/>
      <c r="E51" s="46">
        <v>3.2328872424372</v>
      </c>
      <c r="F51" s="29">
        <v>13.1512827742988</v>
      </c>
      <c r="G51" s="46">
        <v>0</v>
      </c>
      <c r="H51" s="45">
        <f>G51+'2026.2'!H51</f>
        <v>1.44550574053116</v>
      </c>
      <c r="I51" s="27"/>
    </row>
    <row r="52" ht="12.6" customHeight="1" spans="1:10">
      <c r="A52" s="23" t="s">
        <v>106</v>
      </c>
      <c r="B52" s="24" t="s">
        <v>107</v>
      </c>
      <c r="C52" s="22" t="s">
        <v>108</v>
      </c>
      <c r="D52" s="25"/>
      <c r="E52" s="30">
        <v>193.919077029991</v>
      </c>
      <c r="F52" s="30">
        <v>212.494068673304</v>
      </c>
      <c r="G52" s="30">
        <f>G46/G7*1000000</f>
        <v>198.403179328518</v>
      </c>
      <c r="H52" s="30">
        <f>H46/H7*1000000</f>
        <v>216.804571439856</v>
      </c>
      <c r="I52" s="27"/>
    </row>
    <row r="53" spans="1:10">
      <c r="A53" s="23" t="s">
        <v>109</v>
      </c>
      <c r="B53" s="24" t="s">
        <v>110</v>
      </c>
      <c r="C53" s="22" t="s">
        <v>111</v>
      </c>
      <c r="D53" s="25"/>
      <c r="E53" s="30">
        <v>206.552307497951</v>
      </c>
      <c r="F53" s="30">
        <v>225.849596206654</v>
      </c>
      <c r="G53" s="30">
        <f>G46/(G7-G40)*1000000</f>
        <v>217.989908005516</v>
      </c>
      <c r="H53" s="30">
        <f>H46/(H7-H40)*1000000</f>
        <v>233.242005405397</v>
      </c>
      <c r="I53" s="27"/>
    </row>
    <row r="54" ht="12.6" customHeight="1" spans="1:10">
      <c r="A54" s="52" t="s">
        <v>112</v>
      </c>
      <c r="B54" s="53" t="s">
        <v>113</v>
      </c>
      <c r="C54" s="54" t="s">
        <v>114</v>
      </c>
      <c r="D54" s="55"/>
      <c r="E54" s="56">
        <v>38.1808973064718</v>
      </c>
      <c r="F54" s="56">
        <v>39.1398072598059</v>
      </c>
      <c r="G54" s="56">
        <f>G49/G10*1000</f>
        <v>33.8975793636991</v>
      </c>
      <c r="H54" s="56">
        <f>H49/H10*1000</f>
        <v>36.510460269204</v>
      </c>
      <c r="I54" s="57"/>
    </row>
    <row r="55" ht="12.6" customHeight="1" spans="1:10">
      <c r="A55" s="58" t="s">
        <v>115</v>
      </c>
      <c r="B55" s="59" t="s">
        <v>116</v>
      </c>
      <c r="C55" s="60" t="s">
        <v>117</v>
      </c>
      <c r="D55" s="61"/>
      <c r="E55" s="62">
        <v>20039.6825288897</v>
      </c>
      <c r="F55" s="62">
        <v>20692.0805600147</v>
      </c>
      <c r="G55" s="62">
        <f>(G45-1.4571*G18)*29308/G15</f>
        <v>20629.6361524644</v>
      </c>
      <c r="H55" s="63">
        <f>(H45-1.4571*H18)*29308/H15</f>
        <v>20880.0886016897</v>
      </c>
      <c r="I55" s="64"/>
      <c r="J55" s="8"/>
    </row>
    <row r="56" ht="12.6" customHeight="1" spans="1:10">
      <c r="A56" s="23" t="s">
        <v>118</v>
      </c>
      <c r="B56" s="24" t="s">
        <v>119</v>
      </c>
      <c r="C56" s="39" t="s">
        <v>120</v>
      </c>
      <c r="D56" s="25"/>
      <c r="E56" s="65">
        <v>20235</v>
      </c>
      <c r="F56" s="28">
        <v>20675</v>
      </c>
      <c r="G56" s="65">
        <v>21087</v>
      </c>
      <c r="H56" s="65">
        <v>20580</v>
      </c>
      <c r="I56" s="66"/>
    </row>
    <row r="57" ht="12.6" customHeight="1" spans="1:10">
      <c r="A57" s="23" t="s">
        <v>121</v>
      </c>
      <c r="B57" s="24" t="s">
        <v>122</v>
      </c>
      <c r="C57" s="39" t="s">
        <v>123</v>
      </c>
      <c r="D57" s="25"/>
      <c r="E57" s="67">
        <v>14500</v>
      </c>
      <c r="F57" s="18">
        <v>14500</v>
      </c>
      <c r="G57" s="67">
        <v>23000</v>
      </c>
      <c r="H57" s="67">
        <v>23000</v>
      </c>
      <c r="I57" s="66"/>
      <c r="J57" s="8"/>
    </row>
    <row r="58" ht="12.6" customHeight="1" spans="1:10">
      <c r="A58" s="23" t="s">
        <v>124</v>
      </c>
      <c r="B58" s="24" t="s">
        <v>125</v>
      </c>
      <c r="C58" s="39" t="s">
        <v>126</v>
      </c>
      <c r="D58" s="25"/>
      <c r="E58" s="67">
        <v>150</v>
      </c>
      <c r="F58" s="18">
        <v>150</v>
      </c>
      <c r="G58" s="67">
        <v>140</v>
      </c>
      <c r="H58" s="67">
        <v>140</v>
      </c>
      <c r="I58" s="66"/>
      <c r="J58" s="8"/>
    </row>
    <row r="59" ht="12.6" customHeight="1" spans="1:10">
      <c r="A59" s="68" t="s">
        <v>127</v>
      </c>
      <c r="B59" s="69"/>
      <c r="C59" s="70" t="s">
        <v>128</v>
      </c>
      <c r="D59" s="71"/>
      <c r="E59" s="72">
        <v>0.822020003525622</v>
      </c>
      <c r="F59" s="72">
        <v>0.798042640409925</v>
      </c>
      <c r="G59" s="72">
        <f>G49/G45</f>
        <v>0.802326462743361</v>
      </c>
      <c r="H59" s="72">
        <f>H49/H45</f>
        <v>0.78579421241929</v>
      </c>
      <c r="I59" s="73"/>
    </row>
    <row r="60" ht="12.6" customHeight="1" spans="1:10">
      <c r="A60" s="20" t="s">
        <v>129</v>
      </c>
      <c r="B60" s="21" t="s">
        <v>24</v>
      </c>
      <c r="C60" s="39" t="s">
        <v>130</v>
      </c>
      <c r="D60" s="40"/>
      <c r="E60" s="17">
        <v>8381.54</v>
      </c>
      <c r="F60" s="17">
        <v>35386.16</v>
      </c>
      <c r="G60" s="17">
        <v>189.24</v>
      </c>
      <c r="H60" s="26">
        <v>17204.98</v>
      </c>
      <c r="I60" s="42"/>
    </row>
    <row r="61" ht="12.6" customHeight="1" spans="1:10">
      <c r="A61" s="23" t="s">
        <v>131</v>
      </c>
      <c r="B61" s="24" t="s">
        <v>24</v>
      </c>
      <c r="C61" s="22" t="s">
        <v>132</v>
      </c>
      <c r="D61" s="25"/>
      <c r="E61" s="18"/>
      <c r="F61" s="18">
        <v>0</v>
      </c>
      <c r="G61" s="18"/>
      <c r="H61" s="26">
        <v>0</v>
      </c>
      <c r="I61" s="27"/>
    </row>
    <row r="62" ht="12.6" customHeight="1" spans="1:10">
      <c r="A62" s="23" t="s">
        <v>133</v>
      </c>
      <c r="B62" s="24" t="s">
        <v>24</v>
      </c>
      <c r="C62" s="22" t="s">
        <v>134</v>
      </c>
      <c r="D62" s="25"/>
      <c r="E62" s="18"/>
      <c r="F62" s="18">
        <v>0</v>
      </c>
      <c r="G62" s="18"/>
      <c r="H62" s="26">
        <v>0</v>
      </c>
      <c r="I62" s="27"/>
    </row>
    <row r="63" ht="12.6" customHeight="1" spans="1:10">
      <c r="A63" s="23" t="s">
        <v>135</v>
      </c>
      <c r="B63" s="24" t="s">
        <v>24</v>
      </c>
      <c r="C63" s="22" t="s">
        <v>134</v>
      </c>
      <c r="D63" s="25"/>
      <c r="E63" s="18"/>
      <c r="F63" s="18">
        <v>0</v>
      </c>
      <c r="G63" s="18"/>
      <c r="H63" s="26">
        <v>0</v>
      </c>
      <c r="I63" s="27"/>
    </row>
    <row r="64" ht="12.6" customHeight="1" spans="1:10">
      <c r="A64" s="32" t="s">
        <v>136</v>
      </c>
      <c r="B64" s="33" t="s">
        <v>24</v>
      </c>
      <c r="C64" s="34" t="s">
        <v>137</v>
      </c>
      <c r="D64" s="35"/>
      <c r="E64" s="74"/>
      <c r="F64" s="74">
        <v>2188.15000000005</v>
      </c>
      <c r="G64" s="74"/>
      <c r="H64" s="75">
        <v>765.55</v>
      </c>
      <c r="I64" s="38" t="s">
        <v>143</v>
      </c>
    </row>
    <row r="65" spans="1:9">
      <c r="A65" s="8" t="s">
        <v>138</v>
      </c>
      <c r="B65" s="7" t="s">
        <v>139</v>
      </c>
      <c r="C65" s="7"/>
      <c r="D65" s="7" t="s">
        <v>140</v>
      </c>
      <c r="E65" s="7"/>
      <c r="F65" s="7"/>
      <c r="G65" s="7" t="s">
        <v>144</v>
      </c>
      <c r="H65" s="7"/>
      <c r="I65" s="7"/>
    </row>
  </sheetData>
  <mergeCells count="9">
    <mergeCell ref="A1:I1"/>
    <mergeCell ref="H2:I2"/>
    <mergeCell ref="H3:I3"/>
    <mergeCell ref="E4:H4"/>
    <mergeCell ref="A4:A5"/>
    <mergeCell ref="B4:B5"/>
    <mergeCell ref="C4:C5"/>
    <mergeCell ref="D4:D5"/>
    <mergeCell ref="I4:I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O42"/>
  <sheetViews>
    <sheetView zoomScaleSheetLayoutView="60" workbookViewId="0">
      <selection activeCell="F31" sqref="F31:F34"/>
    </sheetView>
  </sheetViews>
  <sheetFormatPr defaultColWidth="9" defaultRowHeight="15"/>
  <cols>
    <col min="3" max="3" width="17.875" customWidth="1"/>
    <col min="6" max="6" width="11.125" customWidth="1"/>
  </cols>
  <sheetData>
    <row r="6" spans="3:7">
      <c r="C6">
        <v>15352900</v>
      </c>
    </row>
    <row r="7" spans="3:7">
      <c r="C7">
        <v>11150964</v>
      </c>
    </row>
    <row r="14" spans="3:7">
      <c r="G14" s="1">
        <v>5650128.00000001</v>
      </c>
    </row>
    <row r="15" spans="3:7">
      <c r="G15" s="2"/>
    </row>
    <row r="16" spans="3:7">
      <c r="G16" s="1">
        <v>5502419.99999999</v>
      </c>
    </row>
    <row r="19" spans="3:15">
      <c r="O19">
        <v>3909</v>
      </c>
    </row>
    <row r="20" spans="3:15">
      <c r="F20">
        <v>11142</v>
      </c>
      <c r="O20">
        <v>420</v>
      </c>
    </row>
    <row r="21" spans="3:15">
      <c r="F21">
        <v>126</v>
      </c>
    </row>
    <row r="22" spans="3:15">
      <c r="F22">
        <v>117</v>
      </c>
    </row>
    <row r="23" spans="3:15">
      <c r="F23">
        <v>153</v>
      </c>
    </row>
    <row r="25" spans="3:15">
      <c r="C25">
        <v>352.41</v>
      </c>
      <c r="D25">
        <v>71.66</v>
      </c>
    </row>
    <row r="26" spans="3:15">
      <c r="C26">
        <v>11.97</v>
      </c>
      <c r="D26">
        <v>2.613</v>
      </c>
    </row>
    <row r="28" spans="3:15">
      <c r="F28">
        <v>9627</v>
      </c>
    </row>
    <row r="29" spans="3:15">
      <c r="F29">
        <v>11538</v>
      </c>
    </row>
    <row r="30" spans="3:15">
      <c r="F30">
        <v>13488</v>
      </c>
    </row>
    <row r="31" spans="3:15">
      <c r="C31" s="1">
        <v>5650128.00000001</v>
      </c>
      <c r="F31">
        <v>8474</v>
      </c>
    </row>
    <row r="32" spans="3:15">
      <c r="F32">
        <v>307</v>
      </c>
    </row>
    <row r="33" spans="3:6">
      <c r="F33">
        <v>313</v>
      </c>
    </row>
    <row r="34" spans="3:6">
      <c r="F34">
        <v>303</v>
      </c>
    </row>
    <row r="35" spans="3:6">
      <c r="C35" s="1">
        <v>5502419.99999999</v>
      </c>
    </row>
    <row r="39" spans="3:6">
      <c r="C39">
        <v>15352900</v>
      </c>
    </row>
    <row r="40" spans="3:6">
      <c r="C40">
        <v>11152548</v>
      </c>
    </row>
    <row r="42" spans="3:6">
      <c r="C42">
        <f>C39-C40</f>
        <v>4200352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2026.1</vt:lpstr>
      <vt:lpstr>2026.2</vt:lpstr>
      <vt:lpstr>2026.3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王巍</cp:lastModifiedBy>
  <dcterms:created xsi:type="dcterms:W3CDTF">2014-12-02T08:00:54Z</dcterms:created>
  <cp:lastPrinted>2016-12-20T06:39:02Z</cp:lastPrinted>
  <dcterms:modified xsi:type="dcterms:W3CDTF">2026-04-01T14:14:21Z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D1D7DB0D546242C588F4B7050A8ECB5E_13</vt:lpwstr>
  </property>
  <property fmtid="{D5CDD505-2E9C-101B-9397-08002B2CF9AE}" pid="4" name="CalculationRule">
    <vt:i4>0</vt:i4>
  </property>
</Properties>
</file>