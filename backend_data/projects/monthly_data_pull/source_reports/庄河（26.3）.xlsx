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40" tabRatio="601"/>
  </bookViews>
  <sheets>
    <sheet name="庄河" sheetId="32" r:id="rId1"/>
  </sheets>
  <externalReferences>
    <externalReference r:id="rId2"/>
  </externalReferences>
  <definedNames>
    <definedName name="Database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<sst xmlns="http://schemas.openxmlformats.org/spreadsheetml/2006/main" count="72" uniqueCount="54">
  <si>
    <t>序号</t>
  </si>
  <si>
    <t>项  目</t>
  </si>
  <si>
    <t>计量单位</t>
  </si>
  <si>
    <t>本年计划</t>
  </si>
  <si>
    <t>本月计划</t>
  </si>
  <si>
    <t>上年同期</t>
  </si>
  <si>
    <t>本月实际</t>
  </si>
  <si>
    <t>本年累计</t>
  </si>
  <si>
    <t>年计划   完成率</t>
  </si>
  <si>
    <t>与月计划比较</t>
  </si>
  <si>
    <t>与上年同期比较</t>
  </si>
  <si>
    <t>差异</t>
  </si>
  <si>
    <t>%</t>
  </si>
  <si>
    <t>装机总容量</t>
  </si>
  <si>
    <t>兆瓦</t>
  </si>
  <si>
    <t>期末供热面积</t>
  </si>
  <si>
    <t>平方米</t>
  </si>
  <si>
    <t>实际平均供热面积</t>
  </si>
  <si>
    <t>供汽量</t>
  </si>
  <si>
    <t>吨</t>
  </si>
  <si>
    <t>供热量</t>
  </si>
  <si>
    <t>吉焦</t>
  </si>
  <si>
    <t>外购热</t>
  </si>
  <si>
    <t>生产耗原煤量</t>
  </si>
  <si>
    <t>生产耗油量</t>
  </si>
  <si>
    <t>耗标煤总量</t>
  </si>
  <si>
    <t>耗水量</t>
  </si>
  <si>
    <t>其中：耗井水量</t>
  </si>
  <si>
    <t>用电量</t>
  </si>
  <si>
    <t>千瓦时</t>
  </si>
  <si>
    <t>供热用电率</t>
  </si>
  <si>
    <r>
      <t>千瓦时</t>
    </r>
    <r>
      <rPr>
        <sz val="10"/>
        <rFont val="Times New Roman"/>
        <family val="1"/>
        <charset val="0"/>
      </rPr>
      <t>/</t>
    </r>
    <r>
      <rPr>
        <sz val="10"/>
        <rFont val="宋体"/>
        <charset val="134"/>
      </rPr>
      <t>吉焦</t>
    </r>
  </si>
  <si>
    <t>供热煤耗率</t>
  </si>
  <si>
    <r>
      <t>千克</t>
    </r>
    <r>
      <rPr>
        <sz val="10"/>
        <rFont val="Times New Roman"/>
        <family val="1"/>
        <charset val="0"/>
      </rPr>
      <t>/</t>
    </r>
    <r>
      <rPr>
        <sz val="10"/>
        <rFont val="宋体"/>
        <charset val="134"/>
      </rPr>
      <t>吉焦</t>
    </r>
  </si>
  <si>
    <t>入厂煤量</t>
  </si>
  <si>
    <t>-</t>
  </si>
  <si>
    <t>期末库存煤量</t>
  </si>
  <si>
    <t>入炉煤低位发热量</t>
  </si>
  <si>
    <r>
      <t>千焦</t>
    </r>
    <r>
      <rPr>
        <sz val="10"/>
        <rFont val="Times New Roman"/>
        <family val="1"/>
        <charset val="0"/>
      </rPr>
      <t>/</t>
    </r>
    <r>
      <rPr>
        <sz val="10"/>
        <rFont val="宋体"/>
        <charset val="134"/>
      </rPr>
      <t>千克</t>
    </r>
  </si>
  <si>
    <t>入厂煤低位发热量</t>
  </si>
  <si>
    <t>锅炉热效率</t>
  </si>
  <si>
    <t>锅炉设备利用率</t>
  </si>
  <si>
    <t>供暖功耗率</t>
  </si>
  <si>
    <t>瓦/平方米</t>
  </si>
  <si>
    <t>单位面积供热量</t>
  </si>
  <si>
    <t>吉焦耳/平方米</t>
  </si>
  <si>
    <t>单位面积耗电量</t>
  </si>
  <si>
    <t>千瓦时/平方米</t>
  </si>
  <si>
    <t>单位面积耗水量</t>
  </si>
  <si>
    <t>千克/平方米</t>
  </si>
  <si>
    <t>氧化镁量</t>
  </si>
  <si>
    <t>脱硝剂量</t>
  </si>
  <si>
    <r>
      <t xml:space="preserve">          </t>
    </r>
    <r>
      <rPr>
        <sz val="12"/>
        <rFont val="宋体"/>
        <charset val="134"/>
      </rPr>
      <t>审核：</t>
    </r>
  </si>
  <si>
    <t>填表：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</si>
</sst>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* #,##0_);_(* \(#,##0\);_(* &quot;-&quot;_);_(@_)"/>
    <numFmt numFmtId="177" formatCode="_(* #,##0.00_);_(* \(#,##0.00\);_(* &quot;-&quot;??_);_(@_)"/>
    <numFmt numFmtId="178" formatCode="#,##0.00_ "/>
    <numFmt numFmtId="179" formatCode="0.0%"/>
    <numFmt numFmtId="180" formatCode="#,##0_ "/>
    <numFmt numFmtId="181" formatCode="#,##0.0_ "/>
    <numFmt numFmtId="182" formatCode="0.0_ "/>
    <numFmt numFmtId="183" formatCode="_ * #,##0.0_ ;_ * \-#,##0.0_ ;_ * &quot;-&quot;??_ ;_ @_ "/>
    <numFmt numFmtId="184" formatCode="_ * #,##0.00_ ;_ * \-#,##0.00_ ;_ * &quot;-&quot;??.0_ ;_ @_ "/>
    <numFmt numFmtId="185" formatCode="0.00_ "/>
  </numFmts>
  <fonts count="27">
    <font>
      <sz val="12"/>
      <name val="宋体"/>
      <charset val="134"/>
    </font>
    <font>
      <sz val="10"/>
      <name val="Times New Roman"/>
      <family val="1"/>
      <charset val="0"/>
    </font>
    <font>
      <sz val="12"/>
      <name val="Times New Roman"/>
      <family val="1"/>
      <charset val="0"/>
    </font>
    <font>
      <b/>
      <sz val="11"/>
      <name val="黑体"/>
      <family val="3"/>
      <charset val="134"/>
    </font>
    <font>
      <sz val="10"/>
      <name val="宋体"/>
      <charset val="134"/>
    </font>
    <font>
      <b/>
      <sz val="10"/>
      <name val="宋体"/>
      <charset val="134"/>
    </font>
    <font>
      <u/>
      <sz val="12"/>
      <color indexed="12"/>
      <name val="宋体"/>
      <charset val="134"/>
    </font>
    <font>
      <u/>
      <sz val="9"/>
      <color indexed="36"/>
      <name val="宋体"/>
      <charset val="134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gray125"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rgb="FF000000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8" fillId="3" borderId="2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1" applyNumberFormat="0" applyFill="0" applyAlignment="0" applyProtection="0">
      <alignment vertical="center"/>
    </xf>
    <xf numFmtId="0" fontId="13" fillId="0" borderId="21" applyNumberFormat="0" applyFill="0" applyAlignment="0" applyProtection="0">
      <alignment vertical="center"/>
    </xf>
    <xf numFmtId="0" fontId="14" fillId="0" borderId="2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23" applyNumberFormat="0" applyAlignment="0" applyProtection="0">
      <alignment vertical="center"/>
    </xf>
    <xf numFmtId="0" fontId="16" fillId="5" borderId="24" applyNumberFormat="0" applyAlignment="0" applyProtection="0">
      <alignment vertical="center"/>
    </xf>
    <xf numFmtId="0" fontId="17" fillId="5" borderId="23" applyNumberFormat="0" applyAlignment="0" applyProtection="0">
      <alignment vertical="center"/>
    </xf>
    <xf numFmtId="0" fontId="18" fillId="6" borderId="25" applyNumberFormat="0" applyAlignment="0" applyProtection="0">
      <alignment vertical="center"/>
    </xf>
    <xf numFmtId="0" fontId="19" fillId="0" borderId="26" applyNumberFormat="0" applyFill="0" applyAlignment="0" applyProtection="0">
      <alignment vertical="center"/>
    </xf>
    <xf numFmtId="0" fontId="20" fillId="0" borderId="27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2" fillId="0" borderId="0" applyBorder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4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26" fillId="0" borderId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" fillId="0" borderId="0" xfId="51" applyFont="1" applyAlignment="1">
      <alignment vertical="center"/>
    </xf>
    <xf numFmtId="0" fontId="2" fillId="0" borderId="0" xfId="51" applyFont="1" applyAlignment="1"/>
    <xf numFmtId="0" fontId="1" fillId="0" borderId="0" xfId="51" applyFont="1"/>
    <xf numFmtId="0" fontId="1" fillId="0" borderId="0" xfId="51" applyFont="1" applyAlignment="1">
      <alignment horizontal="center"/>
    </xf>
    <xf numFmtId="1" fontId="3" fillId="2" borderId="1" xfId="51" applyNumberFormat="1" applyFont="1" applyFill="1" applyBorder="1" applyAlignment="1">
      <alignment horizontal="center" vertical="center" wrapText="1"/>
    </xf>
    <xf numFmtId="1" fontId="3" fillId="2" borderId="2" xfId="51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" fontId="3" fillId="2" borderId="6" xfId="51" applyNumberFormat="1" applyFont="1" applyFill="1" applyBorder="1" applyAlignment="1">
      <alignment horizontal="center" vertical="center" wrapText="1"/>
    </xf>
    <xf numFmtId="0" fontId="3" fillId="2" borderId="7" xfId="51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1" fontId="1" fillId="0" borderId="0" xfId="51" applyNumberFormat="1" applyFont="1" applyBorder="1" applyAlignment="1">
      <alignment horizontal="center" vertical="center"/>
    </xf>
    <xf numFmtId="43" fontId="4" fillId="0" borderId="12" xfId="1" applyNumberFormat="1" applyFont="1" applyBorder="1" applyAlignment="1">
      <alignment vertical="center"/>
    </xf>
    <xf numFmtId="1" fontId="4" fillId="0" borderId="13" xfId="51" applyNumberFormat="1" applyFont="1" applyBorder="1" applyAlignment="1">
      <alignment horizontal="center" vertical="center"/>
    </xf>
    <xf numFmtId="178" fontId="1" fillId="0" borderId="13" xfId="0" applyNumberFormat="1" applyFont="1" applyFill="1" applyBorder="1" applyAlignment="1">
      <alignment vertical="center"/>
    </xf>
    <xf numFmtId="179" fontId="1" fillId="0" borderId="14" xfId="0" applyNumberFormat="1" applyFont="1" applyFill="1" applyBorder="1" applyAlignment="1">
      <alignment vertical="center"/>
    </xf>
    <xf numFmtId="178" fontId="1" fillId="0" borderId="13" xfId="0" applyNumberFormat="1" applyFont="1" applyFill="1" applyBorder="1" applyAlignment="1">
      <alignment vertical="center"/>
    </xf>
    <xf numFmtId="179" fontId="1" fillId="0" borderId="0" xfId="0" applyNumberFormat="1" applyFont="1" applyFill="1" applyBorder="1" applyAlignment="1">
      <alignment vertical="center"/>
    </xf>
    <xf numFmtId="180" fontId="1" fillId="0" borderId="14" xfId="0" applyNumberFormat="1" applyFont="1" applyFill="1" applyBorder="1" applyAlignment="1">
      <alignment vertical="center"/>
    </xf>
    <xf numFmtId="43" fontId="4" fillId="0" borderId="14" xfId="1" applyNumberFormat="1" applyFont="1" applyBorder="1" applyAlignment="1">
      <alignment vertical="center"/>
    </xf>
    <xf numFmtId="43" fontId="1" fillId="0" borderId="14" xfId="1" applyNumberFormat="1" applyFont="1" applyFill="1" applyBorder="1" applyAlignment="1">
      <alignment horizontal="right" vertical="center" shrinkToFit="1"/>
    </xf>
    <xf numFmtId="43" fontId="4" fillId="0" borderId="14" xfId="1" applyNumberFormat="1" applyFont="1" applyFill="1" applyBorder="1" applyAlignment="1">
      <alignment vertical="center"/>
    </xf>
    <xf numFmtId="1" fontId="4" fillId="0" borderId="13" xfId="51" applyNumberFormat="1" applyFont="1" applyFill="1" applyBorder="1" applyAlignment="1">
      <alignment horizontal="center" vertical="center"/>
    </xf>
    <xf numFmtId="43" fontId="5" fillId="0" borderId="14" xfId="1" applyNumberFormat="1" applyFont="1" applyFill="1" applyBorder="1" applyAlignment="1">
      <alignment vertical="center"/>
    </xf>
    <xf numFmtId="1" fontId="4" fillId="0" borderId="13" xfId="51" applyNumberFormat="1" applyFont="1" applyFill="1" applyBorder="1" applyAlignment="1">
      <alignment horizontal="center" vertical="center"/>
    </xf>
    <xf numFmtId="43" fontId="4" fillId="0" borderId="14" xfId="1" applyNumberFormat="1" applyFont="1" applyFill="1" applyBorder="1" applyAlignment="1">
      <alignment vertical="center"/>
    </xf>
    <xf numFmtId="180" fontId="1" fillId="0" borderId="13" xfId="0" applyNumberFormat="1" applyFont="1" applyFill="1" applyBorder="1" applyAlignment="1">
      <alignment vertical="center"/>
    </xf>
    <xf numFmtId="181" fontId="1" fillId="0" borderId="14" xfId="1" applyNumberFormat="1" applyFont="1" applyBorder="1" applyAlignment="1">
      <alignment vertical="center"/>
    </xf>
    <xf numFmtId="180" fontId="1" fillId="0" borderId="14" xfId="1" applyNumberFormat="1" applyFont="1" applyBorder="1" applyAlignment="1">
      <alignment vertical="center"/>
    </xf>
    <xf numFmtId="43" fontId="4" fillId="0" borderId="14" xfId="1" applyNumberFormat="1" applyFont="1" applyBorder="1" applyAlignment="1">
      <alignment horizontal="left" vertical="center"/>
    </xf>
    <xf numFmtId="9" fontId="1" fillId="0" borderId="14" xfId="3" applyNumberFormat="1" applyFont="1" applyFill="1" applyBorder="1" applyAlignment="1">
      <alignment vertical="center" shrinkToFit="1"/>
    </xf>
    <xf numFmtId="179" fontId="1" fillId="0" borderId="0" xfId="51" applyNumberFormat="1" applyFont="1" applyAlignment="1">
      <alignment vertical="center"/>
    </xf>
    <xf numFmtId="179" fontId="1" fillId="0" borderId="14" xfId="3" applyNumberFormat="1" applyFont="1" applyFill="1" applyBorder="1">
      <alignment vertical="center"/>
    </xf>
    <xf numFmtId="182" fontId="1" fillId="0" borderId="0" xfId="51" applyNumberFormat="1" applyFont="1" applyAlignment="1">
      <alignment vertical="center"/>
    </xf>
    <xf numFmtId="178" fontId="1" fillId="0" borderId="14" xfId="3" applyNumberFormat="1" applyFont="1" applyFill="1" applyBorder="1">
      <alignment vertical="center"/>
    </xf>
    <xf numFmtId="183" fontId="1" fillId="0" borderId="0" xfId="51" applyNumberFormat="1" applyFont="1" applyAlignment="1">
      <alignment vertical="center"/>
    </xf>
    <xf numFmtId="184" fontId="1" fillId="0" borderId="14" xfId="1" applyNumberFormat="1" applyFont="1" applyFill="1" applyBorder="1">
      <alignment vertical="center"/>
    </xf>
    <xf numFmtId="178" fontId="1" fillId="0" borderId="14" xfId="1" applyNumberFormat="1" applyFont="1" applyFill="1" applyBorder="1">
      <alignment vertical="center"/>
    </xf>
    <xf numFmtId="1" fontId="4" fillId="0" borderId="15" xfId="51" applyNumberFormat="1" applyFont="1" applyBorder="1" applyAlignment="1">
      <alignment horizontal="center" vertical="center"/>
    </xf>
    <xf numFmtId="185" fontId="1" fillId="0" borderId="14" xfId="1" applyNumberFormat="1" applyFont="1" applyFill="1" applyBorder="1">
      <alignment vertical="center"/>
    </xf>
    <xf numFmtId="1" fontId="1" fillId="0" borderId="0" xfId="51" applyNumberFormat="1" applyFont="1" applyAlignment="1">
      <alignment horizontal="center" vertical="center"/>
    </xf>
    <xf numFmtId="43" fontId="4" fillId="0" borderId="16" xfId="1" applyNumberFormat="1" applyFont="1" applyFill="1" applyBorder="1" applyAlignment="1">
      <alignment vertical="center"/>
    </xf>
    <xf numFmtId="1" fontId="4" fillId="0" borderId="17" xfId="51" applyNumberFormat="1" applyFont="1" applyBorder="1" applyAlignment="1">
      <alignment horizontal="center" vertical="center"/>
    </xf>
    <xf numFmtId="185" fontId="1" fillId="0" borderId="16" xfId="1" applyNumberFormat="1" applyFont="1" applyFill="1" applyBorder="1">
      <alignment vertical="center"/>
    </xf>
    <xf numFmtId="179" fontId="1" fillId="0" borderId="16" xfId="0" applyNumberFormat="1" applyFont="1" applyFill="1" applyBorder="1" applyAlignment="1">
      <alignment vertical="center"/>
    </xf>
    <xf numFmtId="178" fontId="1" fillId="0" borderId="18" xfId="0" applyNumberFormat="1" applyFont="1" applyFill="1" applyBorder="1" applyAlignment="1">
      <alignment vertical="center"/>
    </xf>
    <xf numFmtId="179" fontId="1" fillId="0" borderId="19" xfId="0" applyNumberFormat="1" applyFont="1" applyFill="1" applyBorder="1" applyAlignment="1">
      <alignment vertical="center"/>
    </xf>
    <xf numFmtId="180" fontId="1" fillId="0" borderId="16" xfId="0" applyNumberFormat="1" applyFont="1" applyFill="1" applyBorder="1" applyAlignment="1">
      <alignment vertical="center"/>
    </xf>
    <xf numFmtId="0" fontId="2" fillId="0" borderId="0" xfId="51" applyFont="1" applyAlignment="1">
      <alignment horizontal="center"/>
    </xf>
    <xf numFmtId="43" fontId="2" fillId="0" borderId="0" xfId="1" applyNumberFormat="1" applyFont="1" applyAlignment="1"/>
    <xf numFmtId="43" fontId="0" fillId="0" borderId="0" xfId="1" applyNumberFormat="1" applyFont="1" applyAlignment="1"/>
    <xf numFmtId="0" fontId="0" fillId="0" borderId="0" xfId="0" applyFont="1" applyAlignment="1"/>
    <xf numFmtId="43" fontId="1" fillId="0" borderId="0" xfId="1" applyNumberFormat="1" applyFont="1">
      <alignment vertical="center"/>
    </xf>
    <xf numFmtId="9" fontId="0" fillId="0" borderId="0" xfId="3">
      <alignment vertical="center"/>
    </xf>
  </cellXfs>
  <cellStyles count="6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百分比 2 2" xfId="50"/>
    <cellStyle name="常规_power" xfId="51"/>
    <cellStyle name="普通_ 备 品 备 件" xfId="52"/>
    <cellStyle name="百分比 2 3" xfId="53"/>
    <cellStyle name="常规 2 2" xfId="54"/>
    <cellStyle name="千分位[0]_ 备 品 备 件" xfId="55"/>
    <cellStyle name="常规 2 3" xfId="56"/>
    <cellStyle name="常规 2" xfId="57"/>
    <cellStyle name="常规 3" xfId="58"/>
    <cellStyle name="千分位_ 备 品 备 件" xfId="59"/>
    <cellStyle name="千位分隔 2 2" xfId="60"/>
    <cellStyle name="千位[0]_ 损益预测 (2)" xfId="61"/>
    <cellStyle name="千位_ 损益预测 (2)" xfId="62"/>
    <cellStyle name="千位分隔 2" xfId="63"/>
    <cellStyle name="千位分隔 2 3" xfId="64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&#32508;&#21512;&#25253;&#34920;\&#32508;&#21512;&#25253;&#34920;\&#32508;&#21512;&#25253;&#34920;\&#32508;&#21512;&#25253;&#34920;\&#32508;&#21512;&#25253;&#34920;\&#32508;&#21512;&#25253;&#34920;\sjsj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按主设备汇总"/>
      <sheetName val="费用汇总"/>
      <sheetName val="项目汇总"/>
      <sheetName val="修"/>
      <sheetName val="固定资产投资2"/>
      <sheetName val="管网、站2"/>
      <sheetName val="母表"/>
      <sheetName val="修理维护"/>
      <sheetName val="固定资产投资"/>
      <sheetName val="管网、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U43"/>
  <sheetViews>
    <sheetView showGridLines="0" tabSelected="1" zoomScaleSheetLayoutView="60" workbookViewId="0">
      <selection activeCell="P6" sqref="P6"/>
    </sheetView>
  </sheetViews>
  <sheetFormatPr defaultColWidth="9" defaultRowHeight="15"/>
  <cols>
    <col min="1" max="1" width="5.375" style="4" customWidth="1"/>
    <col min="2" max="2" width="15.25" style="3" customWidth="1"/>
    <col min="3" max="3" width="9.5" style="4" customWidth="1"/>
    <col min="4" max="4" width="10.625" hidden="1" customWidth="1"/>
    <col min="5" max="5" width="10.75" customWidth="1"/>
    <col min="6" max="8" width="10.25" customWidth="1"/>
    <col min="9" max="13" width="10.3" customWidth="1"/>
    <col min="14" max="15" width="9.625" style="3"/>
    <col min="16" max="16" width="10.375" style="3"/>
    <col min="17" max="252" width="9" style="3"/>
  </cols>
  <sheetData>
    <row r="1" s="1" customFormat="1" ht="18" customHeight="1" spans="1:13">
      <c r="A1" s="5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9" t="s">
        <v>8</v>
      </c>
      <c r="J1" s="10" t="s">
        <v>9</v>
      </c>
      <c r="K1" s="11"/>
      <c r="L1" s="12" t="s">
        <v>10</v>
      </c>
      <c r="M1" s="11"/>
    </row>
    <row r="2" s="1" customFormat="1" ht="19.5" customHeight="1" spans="1:13">
      <c r="A2" s="13"/>
      <c r="B2" s="14"/>
      <c r="C2" s="14"/>
      <c r="D2" s="15"/>
      <c r="E2" s="16"/>
      <c r="F2" s="16"/>
      <c r="G2" s="16"/>
      <c r="H2" s="16"/>
      <c r="I2" s="17"/>
      <c r="J2" s="18" t="s">
        <v>11</v>
      </c>
      <c r="K2" s="19" t="s">
        <v>12</v>
      </c>
      <c r="L2" s="20" t="s">
        <v>11</v>
      </c>
      <c r="M2" s="21" t="s">
        <v>12</v>
      </c>
    </row>
    <row r="3" s="1" customFormat="1" ht="15.95" customHeight="1" spans="1:13">
      <c r="A3" s="22">
        <v>1</v>
      </c>
      <c r="B3" s="23" t="s">
        <v>13</v>
      </c>
      <c r="C3" s="24" t="s">
        <v>14</v>
      </c>
      <c r="D3" s="25">
        <v>0</v>
      </c>
      <c r="E3" s="25">
        <v>14</v>
      </c>
      <c r="F3" s="25">
        <v>263</v>
      </c>
      <c r="G3" s="25">
        <v>14</v>
      </c>
      <c r="H3" s="25">
        <v>14</v>
      </c>
      <c r="I3" s="26" t="e">
        <f t="shared" ref="I3:I9" si="0">H3/D3</f>
        <v>#DIV/0!</v>
      </c>
      <c r="J3" s="27">
        <f t="shared" ref="J3:J9" si="1">G3-E3</f>
        <v>0</v>
      </c>
      <c r="K3" s="28">
        <f t="shared" ref="K3:K9" si="2">G3/E3-1</f>
        <v>0</v>
      </c>
      <c r="L3" s="29">
        <f t="shared" ref="L3:L28" si="3">G3-F3</f>
        <v>-249</v>
      </c>
      <c r="M3" s="28">
        <f t="shared" ref="M3:M12" si="4">G3/F3-1</f>
        <v>-0.946768060836502</v>
      </c>
    </row>
    <row r="4" s="1" customFormat="1" ht="15.95" customHeight="1" spans="1:13">
      <c r="A4" s="22">
        <v>2</v>
      </c>
      <c r="B4" s="30" t="s">
        <v>15</v>
      </c>
      <c r="C4" s="24" t="s">
        <v>16</v>
      </c>
      <c r="D4" s="25">
        <v>2430000</v>
      </c>
      <c r="E4" s="25">
        <v>2350000</v>
      </c>
      <c r="F4" s="25">
        <v>2346992.37</v>
      </c>
      <c r="G4" s="25">
        <v>2302718.78</v>
      </c>
      <c r="H4" s="25">
        <v>2302718.78</v>
      </c>
      <c r="I4" s="26">
        <f t="shared" si="0"/>
        <v>0.947620897119341</v>
      </c>
      <c r="J4" s="27">
        <f t="shared" si="1"/>
        <v>-47281.2200000002</v>
      </c>
      <c r="K4" s="28">
        <f t="shared" si="2"/>
        <v>-0.0201196680851065</v>
      </c>
      <c r="L4" s="29">
        <f t="shared" si="3"/>
        <v>-44273.5900000003</v>
      </c>
      <c r="M4" s="28">
        <f t="shared" si="4"/>
        <v>-0.0188639684414484</v>
      </c>
    </row>
    <row r="5" s="1" customFormat="1" ht="15.95" customHeight="1" spans="1:13">
      <c r="A5" s="22">
        <v>3</v>
      </c>
      <c r="B5" s="30" t="s">
        <v>17</v>
      </c>
      <c r="C5" s="24" t="s">
        <v>16</v>
      </c>
      <c r="D5" s="25">
        <v>2430000</v>
      </c>
      <c r="E5" s="25">
        <v>2350000</v>
      </c>
      <c r="F5" s="25">
        <v>2346992.37</v>
      </c>
      <c r="G5" s="25">
        <v>2302718.78</v>
      </c>
      <c r="H5" s="25">
        <v>2302718.78</v>
      </c>
      <c r="I5" s="26">
        <f t="shared" si="0"/>
        <v>0.947620897119341</v>
      </c>
      <c r="J5" s="27">
        <f t="shared" si="1"/>
        <v>-47281.2200000002</v>
      </c>
      <c r="K5" s="28">
        <f t="shared" si="2"/>
        <v>-0.0201196680851065</v>
      </c>
      <c r="L5" s="29">
        <f t="shared" si="3"/>
        <v>-44273.5900000003</v>
      </c>
      <c r="M5" s="28">
        <f t="shared" si="4"/>
        <v>-0.0188639684414484</v>
      </c>
    </row>
    <row r="6" s="1" customFormat="1" ht="15.95" customHeight="1" spans="1:13">
      <c r="A6" s="22">
        <v>4</v>
      </c>
      <c r="B6" s="30" t="s">
        <v>18</v>
      </c>
      <c r="C6" s="24" t="s">
        <v>19</v>
      </c>
      <c r="D6" s="31"/>
      <c r="E6" s="31"/>
      <c r="F6" s="31"/>
      <c r="G6" s="31"/>
      <c r="H6" s="31"/>
      <c r="I6" s="26"/>
      <c r="J6" s="27"/>
      <c r="K6" s="28"/>
      <c r="L6" s="29">
        <f t="shared" si="3"/>
        <v>0</v>
      </c>
      <c r="M6" s="28"/>
    </row>
    <row r="7" s="1" customFormat="1" ht="15.95" customHeight="1" spans="1:13">
      <c r="A7" s="22">
        <v>5</v>
      </c>
      <c r="B7" s="32" t="s">
        <v>20</v>
      </c>
      <c r="C7" s="33" t="s">
        <v>21</v>
      </c>
      <c r="D7" s="25">
        <v>815488.636150286</v>
      </c>
      <c r="E7" s="25">
        <v>103560</v>
      </c>
      <c r="F7" s="25">
        <v>129651.122947171</v>
      </c>
      <c r="G7" s="25">
        <v>111586.38</v>
      </c>
      <c r="H7" s="25">
        <v>552473.888551189</v>
      </c>
      <c r="I7" s="26"/>
      <c r="J7" s="27"/>
      <c r="K7" s="28"/>
      <c r="L7" s="29">
        <f t="shared" si="3"/>
        <v>-18064.7429471712</v>
      </c>
      <c r="M7" s="28"/>
    </row>
    <row r="8" s="1" customFormat="1" ht="15.95" customHeight="1" spans="1:13">
      <c r="A8" s="22">
        <v>6</v>
      </c>
      <c r="B8" s="34" t="s">
        <v>22</v>
      </c>
      <c r="C8" s="35" t="s">
        <v>21</v>
      </c>
      <c r="D8" s="25">
        <v>802404</v>
      </c>
      <c r="E8" s="25">
        <v>100700</v>
      </c>
      <c r="F8" s="25">
        <v>0</v>
      </c>
      <c r="G8" s="25">
        <v>108978</v>
      </c>
      <c r="H8" s="25">
        <v>538958</v>
      </c>
      <c r="I8" s="26">
        <f t="shared" si="0"/>
        <v>0.671679104291604</v>
      </c>
      <c r="J8" s="27">
        <f t="shared" si="1"/>
        <v>8278</v>
      </c>
      <c r="K8" s="28">
        <f t="shared" si="2"/>
        <v>0.0822045680238332</v>
      </c>
      <c r="L8" s="29">
        <f t="shared" si="3"/>
        <v>108978</v>
      </c>
      <c r="M8" s="28" t="e">
        <f t="shared" si="4"/>
        <v>#DIV/0!</v>
      </c>
    </row>
    <row r="9" s="1" customFormat="1" ht="15.95" customHeight="1" spans="1:13">
      <c r="A9" s="22">
        <v>7</v>
      </c>
      <c r="B9" s="36" t="s">
        <v>23</v>
      </c>
      <c r="C9" s="35" t="s">
        <v>19</v>
      </c>
      <c r="D9" s="25">
        <v>1157.24</v>
      </c>
      <c r="E9" s="25">
        <v>267.5</v>
      </c>
      <c r="F9" s="25">
        <v>7741.5</v>
      </c>
      <c r="G9" s="25">
        <v>241.4</v>
      </c>
      <c r="H9" s="25">
        <v>1172.4</v>
      </c>
      <c r="I9" s="26">
        <f t="shared" si="0"/>
        <v>1.0131001348035</v>
      </c>
      <c r="J9" s="27">
        <f t="shared" si="1"/>
        <v>-26.0999999999999</v>
      </c>
      <c r="K9" s="28">
        <f t="shared" si="2"/>
        <v>-0.0975700934579437</v>
      </c>
      <c r="L9" s="29">
        <f t="shared" si="3"/>
        <v>-7500.1</v>
      </c>
      <c r="M9" s="28">
        <f t="shared" si="4"/>
        <v>-0.968817412646128</v>
      </c>
    </row>
    <row r="10" s="1" customFormat="1" ht="15.95" customHeight="1" spans="1:13">
      <c r="A10" s="22">
        <v>8</v>
      </c>
      <c r="B10" s="36" t="s">
        <v>24</v>
      </c>
      <c r="C10" s="35" t="s">
        <v>19</v>
      </c>
      <c r="D10" s="31"/>
      <c r="E10" s="31"/>
      <c r="F10" s="31"/>
      <c r="G10" s="31"/>
      <c r="H10" s="25">
        <v>0</v>
      </c>
      <c r="I10" s="26"/>
      <c r="J10" s="27"/>
      <c r="K10" s="28"/>
      <c r="L10" s="29">
        <f t="shared" si="3"/>
        <v>0</v>
      </c>
      <c r="M10" s="28" t="e">
        <f t="shared" si="4"/>
        <v>#DIV/0!</v>
      </c>
    </row>
    <row r="11" s="1" customFormat="1" ht="15.95" customHeight="1" spans="1:13">
      <c r="A11" s="22">
        <v>9</v>
      </c>
      <c r="B11" s="32" t="s">
        <v>25</v>
      </c>
      <c r="C11" s="33" t="s">
        <v>19</v>
      </c>
      <c r="D11" s="31">
        <v>744.087857142857</v>
      </c>
      <c r="E11" s="31">
        <v>162.64</v>
      </c>
      <c r="F11" s="31">
        <v>5538.18514285715</v>
      </c>
      <c r="G11" s="31">
        <v>148.33</v>
      </c>
      <c r="H11" s="25">
        <v>768.610370522607</v>
      </c>
      <c r="I11" s="26">
        <f t="shared" ref="I11:I16" si="5">H11/D11</f>
        <v>1.03295647569618</v>
      </c>
      <c r="J11" s="27">
        <f t="shared" ref="J11:J19" si="6">G11-E11</f>
        <v>-14.31</v>
      </c>
      <c r="K11" s="28">
        <f t="shared" ref="K11:K16" si="7">G11/E11-1</f>
        <v>-0.0879857353664534</v>
      </c>
      <c r="L11" s="29">
        <f t="shared" si="3"/>
        <v>-5389.85514285715</v>
      </c>
      <c r="M11" s="28">
        <f t="shared" si="4"/>
        <v>-0.973216857838112</v>
      </c>
    </row>
    <row r="12" s="1" customFormat="1" ht="15.95" customHeight="1" spans="1:13">
      <c r="A12" s="22">
        <v>10</v>
      </c>
      <c r="B12" s="36" t="s">
        <v>26</v>
      </c>
      <c r="C12" s="35" t="s">
        <v>19</v>
      </c>
      <c r="D12" s="25">
        <v>192250</v>
      </c>
      <c r="E12" s="37">
        <v>31000</v>
      </c>
      <c r="F12" s="37">
        <v>75775</v>
      </c>
      <c r="G12" s="37">
        <v>51522</v>
      </c>
      <c r="H12" s="25">
        <v>148904</v>
      </c>
      <c r="I12" s="26">
        <f t="shared" si="5"/>
        <v>0.774533159947984</v>
      </c>
      <c r="J12" s="27">
        <f t="shared" si="6"/>
        <v>20522</v>
      </c>
      <c r="K12" s="28">
        <f t="shared" si="7"/>
        <v>0.662</v>
      </c>
      <c r="L12" s="29">
        <f t="shared" si="3"/>
        <v>-24253</v>
      </c>
      <c r="M12" s="28">
        <f t="shared" si="4"/>
        <v>-0.320065984823491</v>
      </c>
    </row>
    <row r="13" s="1" customFormat="1" ht="15.95" customHeight="1" spans="1:13">
      <c r="A13" s="22"/>
      <c r="B13" s="30" t="s">
        <v>27</v>
      </c>
      <c r="C13" s="24" t="s">
        <v>19</v>
      </c>
      <c r="D13" s="31"/>
      <c r="E13" s="31"/>
      <c r="F13" s="31"/>
      <c r="G13" s="31"/>
      <c r="H13" s="25">
        <v>0</v>
      </c>
      <c r="I13" s="26"/>
      <c r="J13" s="27"/>
      <c r="K13" s="28"/>
      <c r="L13" s="29">
        <f t="shared" si="3"/>
        <v>0</v>
      </c>
      <c r="M13" s="28"/>
    </row>
    <row r="14" s="1" customFormat="1" ht="15.95" customHeight="1" spans="1:13">
      <c r="A14" s="22">
        <v>11</v>
      </c>
      <c r="B14" s="30" t="s">
        <v>28</v>
      </c>
      <c r="C14" s="24" t="s">
        <v>29</v>
      </c>
      <c r="D14" s="25">
        <v>5924186</v>
      </c>
      <c r="E14" s="25">
        <v>1091000</v>
      </c>
      <c r="F14" s="25">
        <v>2181939.67000007</v>
      </c>
      <c r="G14" s="25">
        <v>977651.80000002</v>
      </c>
      <c r="H14" s="25">
        <v>3241409.30000002</v>
      </c>
      <c r="I14" s="26">
        <f t="shared" si="5"/>
        <v>0.547148469004859</v>
      </c>
      <c r="J14" s="27">
        <f t="shared" si="6"/>
        <v>-113348.19999998</v>
      </c>
      <c r="K14" s="28">
        <f t="shared" si="7"/>
        <v>-0.103893858845078</v>
      </c>
      <c r="L14" s="29">
        <f t="shared" si="3"/>
        <v>-1204287.87000005</v>
      </c>
      <c r="M14" s="28">
        <f t="shared" ref="M14:M16" si="8">G14/F14-1</f>
        <v>-0.551934540884906</v>
      </c>
    </row>
    <row r="15" s="1" customFormat="1" ht="15.95" customHeight="1" spans="1:13">
      <c r="A15" s="22">
        <v>12</v>
      </c>
      <c r="B15" s="30" t="s">
        <v>30</v>
      </c>
      <c r="C15" s="24" t="s">
        <v>31</v>
      </c>
      <c r="D15" s="38">
        <f>D14/D7</f>
        <v>7.26458436988966</v>
      </c>
      <c r="E15" s="38">
        <f>E14/E7</f>
        <v>10.5349555813055</v>
      </c>
      <c r="F15" s="38">
        <f>F14/F7</f>
        <v>16.8293156310659</v>
      </c>
      <c r="G15" s="38">
        <f>G14/G7</f>
        <v>8.76139005495133</v>
      </c>
      <c r="H15" s="38">
        <f>H14/H7</f>
        <v>5.86708144433814</v>
      </c>
      <c r="I15" s="26">
        <f t="shared" si="5"/>
        <v>0.807627958545859</v>
      </c>
      <c r="J15" s="27">
        <f t="shared" si="6"/>
        <v>-1.7735655263542</v>
      </c>
      <c r="K15" s="28">
        <f t="shared" si="7"/>
        <v>-0.16835054620462</v>
      </c>
      <c r="L15" s="29">
        <f t="shared" si="3"/>
        <v>-8.06792557611455</v>
      </c>
      <c r="M15" s="28">
        <f t="shared" si="8"/>
        <v>-0.479397127784665</v>
      </c>
    </row>
    <row r="16" s="1" customFormat="1" ht="15.95" customHeight="1" spans="1:13">
      <c r="A16" s="22">
        <v>13</v>
      </c>
      <c r="B16" s="30" t="s">
        <v>32</v>
      </c>
      <c r="C16" s="24" t="s">
        <v>33</v>
      </c>
      <c r="D16" s="38">
        <f t="shared" ref="D16:H16" si="9">D11*1000/(D7-D8)</f>
        <v>56.8672944815967</v>
      </c>
      <c r="E16" s="38">
        <f t="shared" si="9"/>
        <v>56.8671328671329</v>
      </c>
      <c r="F16" s="38">
        <f t="shared" si="9"/>
        <v>42.7160599689814</v>
      </c>
      <c r="G16" s="38">
        <f t="shared" si="9"/>
        <v>56.8667142057521</v>
      </c>
      <c r="H16" s="38">
        <f t="shared" si="9"/>
        <v>56.8671728544975</v>
      </c>
      <c r="I16" s="26">
        <f t="shared" si="5"/>
        <v>0.999997861211786</v>
      </c>
      <c r="J16" s="27">
        <f t="shared" si="6"/>
        <v>-0.00041866138074198</v>
      </c>
      <c r="K16" s="28">
        <f t="shared" si="7"/>
        <v>-7.36209757079553e-6</v>
      </c>
      <c r="L16" s="29">
        <f t="shared" si="3"/>
        <v>14.1506542367707</v>
      </c>
      <c r="M16" s="28">
        <f t="shared" si="8"/>
        <v>0.331272459282207</v>
      </c>
    </row>
    <row r="17" s="1" customFormat="1" ht="15.95" customHeight="1" spans="1:255">
      <c r="A17" s="22">
        <v>14</v>
      </c>
      <c r="B17" s="30" t="s">
        <v>34</v>
      </c>
      <c r="C17" s="24" t="s">
        <v>19</v>
      </c>
      <c r="D17" s="31"/>
      <c r="E17" s="31" t="s">
        <v>35</v>
      </c>
      <c r="F17" s="31">
        <v>1179.9</v>
      </c>
      <c r="G17" s="31">
        <v>0</v>
      </c>
      <c r="H17" s="31">
        <v>0</v>
      </c>
      <c r="I17" s="26"/>
      <c r="J17" s="27" t="e">
        <f t="shared" si="6"/>
        <v>#VALUE!</v>
      </c>
      <c r="K17" s="28"/>
      <c r="L17" s="29">
        <f t="shared" si="3"/>
        <v>-1179.9</v>
      </c>
      <c r="M17" s="28"/>
    </row>
    <row r="18" s="1" customFormat="1" ht="15.95" customHeight="1" spans="1:255">
      <c r="A18" s="22">
        <v>15</v>
      </c>
      <c r="B18" s="30" t="s">
        <v>36</v>
      </c>
      <c r="C18" s="24" t="s">
        <v>19</v>
      </c>
      <c r="D18" s="31"/>
      <c r="E18" s="31" t="s">
        <v>35</v>
      </c>
      <c r="F18" s="31">
        <v>188.1</v>
      </c>
      <c r="G18" s="31">
        <v>55.0999999999999</v>
      </c>
      <c r="H18" s="31">
        <v>55.0999999999999</v>
      </c>
      <c r="I18" s="26"/>
      <c r="J18" s="27" t="e">
        <f t="shared" si="6"/>
        <v>#VALUE!</v>
      </c>
      <c r="K18" s="28"/>
      <c r="L18" s="29">
        <f t="shared" si="3"/>
        <v>-133</v>
      </c>
      <c r="M18" s="28"/>
    </row>
    <row r="19" s="1" customFormat="1" ht="15.95" customHeight="1" spans="1:255">
      <c r="A19" s="22">
        <v>16</v>
      </c>
      <c r="B19" s="30" t="s">
        <v>37</v>
      </c>
      <c r="C19" s="24" t="s">
        <v>38</v>
      </c>
      <c r="D19" s="39">
        <v>18844.601739607</v>
      </c>
      <c r="E19" s="39">
        <f>E11*29308/E9</f>
        <v>17819.264</v>
      </c>
      <c r="F19" s="39">
        <f>F11*29308/F9</f>
        <v>20966.6253525618</v>
      </c>
      <c r="G19" s="39">
        <f>G11*29308/G9</f>
        <v>18008.5154929577</v>
      </c>
      <c r="H19" s="39">
        <f>H11*29308/H9</f>
        <v>19213.9480887722</v>
      </c>
      <c r="I19" s="26">
        <f t="shared" ref="I19:I28" si="10">H19/D19</f>
        <v>1.01959958370407</v>
      </c>
      <c r="J19" s="27">
        <f t="shared" si="6"/>
        <v>189.251492957748</v>
      </c>
      <c r="K19" s="28">
        <f t="shared" ref="K19:K28" si="11">G19/E19-1</f>
        <v>0.0106206122182009</v>
      </c>
      <c r="L19" s="29">
        <f t="shared" si="3"/>
        <v>-2958.10985960406</v>
      </c>
      <c r="M19" s="28">
        <f t="shared" ref="M19:M28" si="12">G19/F19-1</f>
        <v>-0.141086598814178</v>
      </c>
    </row>
    <row r="20" s="1" customFormat="1" ht="15.95" customHeight="1" spans="1:255">
      <c r="A20" s="22">
        <v>17</v>
      </c>
      <c r="B20" s="30" t="s">
        <v>39</v>
      </c>
      <c r="C20" s="24" t="s">
        <v>38</v>
      </c>
      <c r="D20" s="31" t="s">
        <v>35</v>
      </c>
      <c r="E20" s="31"/>
      <c r="F20" s="31"/>
      <c r="G20" s="31"/>
      <c r="H20" s="31"/>
      <c r="I20" s="26"/>
      <c r="J20" s="27"/>
      <c r="K20" s="28"/>
      <c r="L20" s="29">
        <f t="shared" si="3"/>
        <v>0</v>
      </c>
      <c r="M20" s="28"/>
    </row>
    <row r="21" s="1" customFormat="1" ht="15.95" customHeight="1" spans="1:255">
      <c r="A21" s="22">
        <v>18</v>
      </c>
      <c r="B21" s="40" t="s">
        <v>40</v>
      </c>
      <c r="C21" s="24" t="s">
        <v>12</v>
      </c>
      <c r="D21" s="41">
        <v>0.600000000000011</v>
      </c>
      <c r="E21" s="41">
        <v>0.6</v>
      </c>
      <c r="F21" s="41">
        <f>F7*1000/F11/29308</f>
        <v>0.798771626262708</v>
      </c>
      <c r="G21" s="41">
        <v>0.6</v>
      </c>
      <c r="H21" s="41">
        <v>0.6</v>
      </c>
      <c r="I21" s="26">
        <f t="shared" si="10"/>
        <v>0.999999999999982</v>
      </c>
      <c r="J21" s="27">
        <f t="shared" ref="J21:J28" si="13">G21-E21</f>
        <v>0</v>
      </c>
      <c r="K21" s="28">
        <f t="shared" si="11"/>
        <v>0</v>
      </c>
      <c r="L21" s="29">
        <f t="shared" si="3"/>
        <v>-0.198771626262708</v>
      </c>
      <c r="M21" s="28">
        <f t="shared" si="12"/>
        <v>-0.248846628657456</v>
      </c>
      <c r="N21" s="42"/>
    </row>
    <row r="22" s="1" customFormat="1" ht="15.95" customHeight="1" spans="1:255">
      <c r="A22" s="22">
        <v>19</v>
      </c>
      <c r="B22" s="40" t="s">
        <v>41</v>
      </c>
      <c r="C22" s="24" t="s">
        <v>12</v>
      </c>
      <c r="D22" s="43"/>
      <c r="E22" s="43"/>
      <c r="F22" s="43">
        <v>0.184053931163675</v>
      </c>
      <c r="G22" s="43"/>
      <c r="H22" s="43"/>
      <c r="I22" s="26" t="e">
        <f t="shared" si="10"/>
        <v>#DIV/0!</v>
      </c>
      <c r="J22" s="27">
        <f t="shared" si="13"/>
        <v>0</v>
      </c>
      <c r="K22" s="28" t="e">
        <f t="shared" si="11"/>
        <v>#DIV/0!</v>
      </c>
      <c r="L22" s="29">
        <f t="shared" si="3"/>
        <v>-0.184053931163675</v>
      </c>
      <c r="M22" s="28">
        <f t="shared" si="12"/>
        <v>-1</v>
      </c>
      <c r="N22" s="44"/>
    </row>
    <row r="23" s="1" customFormat="1" ht="15.95" customHeight="1" spans="1:255">
      <c r="A23" s="22">
        <v>20</v>
      </c>
      <c r="B23" s="40" t="s">
        <v>42</v>
      </c>
      <c r="C23" s="24" t="s">
        <v>43</v>
      </c>
      <c r="D23" s="45">
        <f>D7*1000000000/3600/3648/D5</f>
        <v>25.5537304563814</v>
      </c>
      <c r="E23" s="45">
        <f>E8*1000000000/3600/24/31/E5</f>
        <v>15.9987544167366</v>
      </c>
      <c r="F23" s="45">
        <v>20.6247725875848</v>
      </c>
      <c r="G23" s="45">
        <f>G8*1000000000/3600/24/31/G5</f>
        <v>17.6694281419535</v>
      </c>
      <c r="H23" s="45">
        <f>H8*1000000000/3600/24/90/H5</f>
        <v>30.0993951101711</v>
      </c>
      <c r="I23" s="26">
        <f t="shared" si="10"/>
        <v>1.17788653838816</v>
      </c>
      <c r="J23" s="27">
        <f t="shared" si="13"/>
        <v>1.67067372521697</v>
      </c>
      <c r="K23" s="28">
        <f t="shared" si="11"/>
        <v>0.104425237221546</v>
      </c>
      <c r="L23" s="29">
        <f t="shared" si="3"/>
        <v>-2.95534444563122</v>
      </c>
      <c r="M23" s="28">
        <f t="shared" si="12"/>
        <v>-0.143291007601713</v>
      </c>
      <c r="N23" s="46"/>
    </row>
    <row r="24" s="1" customFormat="1" ht="15.95" customHeight="1" spans="1:255">
      <c r="A24" s="22">
        <v>21</v>
      </c>
      <c r="B24" s="40" t="s">
        <v>44</v>
      </c>
      <c r="C24" s="24" t="s">
        <v>45</v>
      </c>
      <c r="D24" s="47">
        <f t="shared" ref="D24:H24" si="14">D7/D5</f>
        <v>0.335592031337566</v>
      </c>
      <c r="E24" s="47">
        <f t="shared" si="14"/>
        <v>0.044068085106383</v>
      </c>
      <c r="F24" s="47">
        <f t="shared" si="14"/>
        <v>0.055241390898587</v>
      </c>
      <c r="G24" s="47">
        <f t="shared" si="14"/>
        <v>0.0484585356098064</v>
      </c>
      <c r="H24" s="47">
        <f t="shared" si="14"/>
        <v>0.239922431410052</v>
      </c>
      <c r="I24" s="26">
        <f t="shared" si="10"/>
        <v>0.714922909384337</v>
      </c>
      <c r="J24" s="27">
        <f t="shared" si="13"/>
        <v>0.00439045050342345</v>
      </c>
      <c r="K24" s="28">
        <f t="shared" si="11"/>
        <v>0.0996288014971525</v>
      </c>
      <c r="L24" s="29">
        <f t="shared" si="3"/>
        <v>-0.00678285528878059</v>
      </c>
      <c r="M24" s="28">
        <f t="shared" si="12"/>
        <v>-0.122785744139438</v>
      </c>
    </row>
    <row r="25" s="1" customFormat="1" ht="15.95" customHeight="1" spans="1:255">
      <c r="A25" s="22">
        <v>22</v>
      </c>
      <c r="B25" s="40" t="s">
        <v>46</v>
      </c>
      <c r="C25" s="24" t="s">
        <v>47</v>
      </c>
      <c r="D25" s="47">
        <f t="shared" ref="D25:H25" si="15">D14/D5</f>
        <v>2.4379366255144</v>
      </c>
      <c r="E25" s="47">
        <f t="shared" si="15"/>
        <v>0.464255319148936</v>
      </c>
      <c r="F25" s="47">
        <f t="shared" si="15"/>
        <v>0.929674803331411</v>
      </c>
      <c r="G25" s="47">
        <f t="shared" si="15"/>
        <v>0.424564131969263</v>
      </c>
      <c r="H25" s="47">
        <f t="shared" si="15"/>
        <v>1.40764444540641</v>
      </c>
      <c r="I25" s="26">
        <f t="shared" si="10"/>
        <v>0.577391729823738</v>
      </c>
      <c r="J25" s="27">
        <f t="shared" si="13"/>
        <v>-0.0396911871796734</v>
      </c>
      <c r="K25" s="28">
        <f t="shared" si="11"/>
        <v>-0.085494307857225</v>
      </c>
      <c r="L25" s="29">
        <f t="shared" si="3"/>
        <v>-0.505110671362148</v>
      </c>
      <c r="M25" s="28">
        <f t="shared" si="12"/>
        <v>-0.543319738850754</v>
      </c>
    </row>
    <row r="26" s="1" customFormat="1" ht="15.95" customHeight="1" spans="1:255">
      <c r="A26" s="22">
        <v>23</v>
      </c>
      <c r="B26" s="32" t="s">
        <v>48</v>
      </c>
      <c r="C26" s="24" t="s">
        <v>49</v>
      </c>
      <c r="D26" s="48">
        <f t="shared" ref="D26:H26" si="16">D12*1000/D5</f>
        <v>79.1152263374486</v>
      </c>
      <c r="E26" s="48">
        <f t="shared" si="16"/>
        <v>13.1914893617021</v>
      </c>
      <c r="F26" s="48">
        <f t="shared" si="16"/>
        <v>32.286001850104</v>
      </c>
      <c r="G26" s="48">
        <f t="shared" si="16"/>
        <v>22.3744212482603</v>
      </c>
      <c r="H26" s="48">
        <f t="shared" si="16"/>
        <v>64.6644311469071</v>
      </c>
      <c r="I26" s="26">
        <f t="shared" si="10"/>
        <v>0.817344955458956</v>
      </c>
      <c r="J26" s="27">
        <f t="shared" si="13"/>
        <v>9.18293188655816</v>
      </c>
      <c r="K26" s="28">
        <f t="shared" si="11"/>
        <v>0.696125481722957</v>
      </c>
      <c r="L26" s="29">
        <f t="shared" si="3"/>
        <v>-9.91158060184372</v>
      </c>
      <c r="M26" s="28">
        <f t="shared" si="12"/>
        <v>-0.306993125003856</v>
      </c>
    </row>
    <row r="27" s="1" customFormat="1" ht="15.95" customHeight="1" spans="1:255">
      <c r="A27" s="22"/>
      <c r="B27" s="40" t="s">
        <v>50</v>
      </c>
      <c r="C27" s="49" t="s">
        <v>19</v>
      </c>
      <c r="D27" s="50">
        <v>15.325</v>
      </c>
      <c r="E27" s="50">
        <v>4.325</v>
      </c>
      <c r="F27" s="50">
        <v>74.6</v>
      </c>
      <c r="G27" s="50">
        <v>4.25</v>
      </c>
      <c r="H27" s="50">
        <v>17.625</v>
      </c>
      <c r="I27" s="26">
        <f t="shared" si="10"/>
        <v>1.15008156606852</v>
      </c>
      <c r="J27" s="27">
        <f t="shared" si="13"/>
        <v>-0.0750000000000002</v>
      </c>
      <c r="K27" s="28">
        <f t="shared" si="11"/>
        <v>-0.0173410404624278</v>
      </c>
      <c r="L27" s="29">
        <f t="shared" si="3"/>
        <v>-70.35</v>
      </c>
      <c r="M27" s="28">
        <f t="shared" si="12"/>
        <v>-0.943029490616622</v>
      </c>
    </row>
    <row r="28" s="1" customFormat="1" ht="15.95" customHeight="1" spans="1:255">
      <c r="A28" s="51">
        <v>24</v>
      </c>
      <c r="B28" s="52" t="s">
        <v>51</v>
      </c>
      <c r="C28" s="53" t="s">
        <v>19</v>
      </c>
      <c r="D28" s="54">
        <v>6.625</v>
      </c>
      <c r="E28" s="54">
        <v>2</v>
      </c>
      <c r="F28" s="54">
        <v>41.95</v>
      </c>
      <c r="G28" s="54">
        <v>2</v>
      </c>
      <c r="H28" s="54">
        <v>6.025</v>
      </c>
      <c r="I28" s="55">
        <f t="shared" si="10"/>
        <v>0.909433962264151</v>
      </c>
      <c r="J28" s="56">
        <f t="shared" si="13"/>
        <v>0</v>
      </c>
      <c r="K28" s="57">
        <f t="shared" si="11"/>
        <v>0</v>
      </c>
      <c r="L28" s="58">
        <f t="shared" si="3"/>
        <v>-39.95</v>
      </c>
      <c r="M28" s="57">
        <f t="shared" si="12"/>
        <v>-0.952324195470799</v>
      </c>
    </row>
    <row r="29" s="2" customFormat="1" ht="24" customHeight="1" spans="1:255">
      <c r="A29" s="2" t="s">
        <v>52</v>
      </c>
      <c r="C29" s="59"/>
      <c r="D29" s="60" t="s">
        <v>53</v>
      </c>
      <c r="E29" s="60"/>
      <c r="I29" s="60"/>
      <c r="J29" s="61"/>
      <c r="K29" s="60"/>
      <c r="L29" s="60"/>
      <c r="M29" s="62"/>
    </row>
    <row r="30" s="3" customFormat="1" spans="1:255">
      <c r="A30" s="4"/>
      <c r="C30" s="4"/>
      <c r="D30" s="63"/>
      <c r="E30" s="63"/>
      <c r="F30" s="63"/>
      <c r="G30" s="63"/>
      <c r="H30" s="63"/>
      <c r="I30" s="63"/>
      <c r="J30" s="63"/>
      <c r="K30" s="63"/>
      <c r="L30" s="63"/>
      <c r="M30"/>
      <c r="IS30"/>
      <c r="IT30"/>
      <c r="IU30"/>
    </row>
    <row r="34" s="3" customFormat="1" spans="1:255">
      <c r="A34" s="4"/>
      <c r="C34" s="4"/>
      <c r="D34"/>
      <c r="E34"/>
      <c r="F34"/>
      <c r="G34"/>
      <c r="H34"/>
      <c r="I34"/>
      <c r="J34"/>
      <c r="K34"/>
      <c r="L34" s="64"/>
      <c r="M34"/>
      <c r="IS34"/>
      <c r="IT34"/>
      <c r="IU34"/>
    </row>
    <row r="35" s="3" customFormat="1" spans="1:255">
      <c r="A35" s="4"/>
      <c r="C35" s="4"/>
      <c r="D35"/>
      <c r="E35"/>
      <c r="F35"/>
      <c r="G35"/>
      <c r="H35"/>
      <c r="I35"/>
      <c r="J35"/>
      <c r="K35"/>
      <c r="L35"/>
      <c r="M35"/>
      <c r="IS35"/>
      <c r="IT35"/>
      <c r="IU35"/>
    </row>
    <row r="36" s="3" customFormat="1" spans="1:255">
      <c r="A36" s="4"/>
      <c r="C36" s="4"/>
      <c r="D36"/>
      <c r="E36"/>
      <c r="F36"/>
      <c r="G36"/>
      <c r="H36"/>
      <c r="I36"/>
      <c r="J36"/>
      <c r="K36"/>
      <c r="L36"/>
      <c r="M36"/>
      <c r="IS36"/>
      <c r="IT36"/>
      <c r="IU36"/>
    </row>
    <row r="37" s="3" customFormat="1" spans="1:255">
      <c r="A37" s="4"/>
      <c r="C37" s="4"/>
      <c r="D37"/>
      <c r="E37"/>
      <c r="F37"/>
      <c r="G37"/>
      <c r="H37"/>
      <c r="I37"/>
      <c r="J37"/>
      <c r="K37"/>
      <c r="L37"/>
      <c r="M37"/>
      <c r="IS37"/>
      <c r="IT37"/>
      <c r="IU37"/>
    </row>
    <row r="43" s="3" customFormat="1" spans="1:255">
      <c r="A43" s="4"/>
      <c r="C43" s="4"/>
      <c r="D43"/>
      <c r="E43"/>
      <c r="F43"/>
      <c r="G43"/>
      <c r="H43"/>
      <c r="I43"/>
      <c r="J43"/>
      <c r="K43"/>
      <c r="L43"/>
      <c r="M43"/>
      <c r="IS43"/>
      <c r="IT43"/>
      <c r="IU43"/>
    </row>
  </sheetData>
  <mergeCells count="11">
    <mergeCell ref="J1:K1"/>
    <mergeCell ref="L1:M1"/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rintOptions horizontalCentered="1"/>
  <pageMargins left="0.550694444444444" right="0.550694444444444" top="1.01944444444444" bottom="0.751388888888889" header="0.239583333333333" footer="0.389583333333333"/>
  <pageSetup paperSize="9" orientation="landscape" horizontalDpi="600" verticalDpi="600"/>
  <headerFooter alignWithMargins="0" scaleWithDoc="0">
    <oddHeader>&amp;C&amp;"黑体"&amp;20 2021年1月份庄河环海热电有限公司生产情况报表&amp;R表    号：     ZB013
制表单位：计划生产部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太空有限公司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庄河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jhb6341</dc:creator>
  <cp:lastModifiedBy>王巍</cp:lastModifiedBy>
  <cp:revision>1</cp:revision>
  <dcterms:created xsi:type="dcterms:W3CDTF">2003-03-03T01:18:19Z</dcterms:created>
  <cp:lastPrinted>2018-02-05T07:57:34Z</cp:lastPrinted>
  <dcterms:modified xsi:type="dcterms:W3CDTF">2026-04-01T14:14:29Z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KSORubyTemplateID">
    <vt:lpwstr>14</vt:lpwstr>
  </property>
  <property fmtid="{D5CDD505-2E9C-101B-9397-08002B2CF9AE}" pid="4" name="ICV">
    <vt:lpwstr>B0E85E9DFA924CD9862B13D0D2C62E78_13</vt:lpwstr>
  </property>
  <property fmtid="{D5CDD505-2E9C-101B-9397-08002B2CF9AE}" pid="5" name="CalculationRule">
    <vt:i4>0</vt:i4>
  </property>
</Properties>
</file>