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59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7" fontId="2" fillId="2" borderId="17" applyAlignment="1" pivotButton="0" quotePrefix="0" xfId="0">
      <alignment vertical="center" wrapText="1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8" fontId="2" fillId="0" borderId="17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55" zoomScaleNormal="55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 t="n">
        <v>348</v>
      </c>
      <c r="J3" s="245" t="n">
        <v>162</v>
      </c>
      <c r="K3" s="245">
        <f>F3</f>
        <v/>
      </c>
      <c r="L3" s="250" t="n">
        <v>14</v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2311228.93</v>
      </c>
      <c r="H4" s="256">
        <f>E4+F4+G4</f>
        <v/>
      </c>
      <c r="I4" s="257" t="n"/>
      <c r="J4" s="253" t="n">
        <v>1769458.54</v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 t="n">
        <v>55000</v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7">
        <f>E8</f>
        <v/>
      </c>
      <c r="K8" s="267">
        <f>F8</f>
        <v/>
      </c>
      <c r="L8" s="267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 t="n">
        <v>4030</v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7">
        <f>E10</f>
        <v/>
      </c>
      <c r="K10" s="267">
        <f>F10</f>
        <v/>
      </c>
      <c r="L10" s="267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7">
        <f>E11</f>
        <v/>
      </c>
      <c r="K11" s="267">
        <f>F11</f>
        <v/>
      </c>
      <c r="L11" s="267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>
        <v>7626.19</v>
      </c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7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7">
        <f>E15</f>
        <v/>
      </c>
      <c r="K15" s="265">
        <f>F15</f>
        <v/>
      </c>
      <c r="L15" s="267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7">
        <f>E17</f>
        <v/>
      </c>
      <c r="K17" s="265" t="n"/>
      <c r="L17" s="267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 t="n">
        <v>43.975</v>
      </c>
      <c r="K22" s="275">
        <f>F22</f>
        <v/>
      </c>
      <c r="L22" s="267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 t="n">
        <v>28.64</v>
      </c>
      <c r="K23" s="275">
        <f>F23</f>
        <v/>
      </c>
      <c r="L23" s="267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7">
        <f>D26</f>
        <v/>
      </c>
      <c r="J26" s="267">
        <f>E26</f>
        <v/>
      </c>
      <c r="K26" s="285">
        <f>F26</f>
        <v/>
      </c>
      <c r="L26" s="267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 t="n">
        <v>9506</v>
      </c>
      <c r="F27" s="286">
        <f>K27</f>
        <v/>
      </c>
      <c r="G27" s="286" t="n">
        <v>714.5</v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7">
        <f>E8/(E12*29.308)</f>
        <v/>
      </c>
      <c r="F30" s="296">
        <f>F8/(F12*29.308)</f>
        <v/>
      </c>
      <c r="G30" s="297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300">
        <f>E8/3.6/E3/(DAY(DATE(2026,2,0))*24)</f>
        <v/>
      </c>
      <c r="F31" s="299">
        <f>F8/3.6/F3/(DAY(DATE(2026,2,0))*24)</f>
        <v/>
      </c>
      <c r="G31" s="300">
        <f>G8/3.6/G3/(DAY(DATE(2026,2,0))*24)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8">
        <f>F12*1000/F6</f>
        <v/>
      </c>
      <c r="G33" s="307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8">
        <f>F17/F6</f>
        <v/>
      </c>
      <c r="G34" s="307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5">
        <f>F15*1000/F6</f>
        <v/>
      </c>
      <c r="G35" s="314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67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7625.06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7625.06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441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3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132840.000000001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 t="n">
        <v>6</v>
      </c>
      <c r="H55" s="341" t="n">
        <v>6.4</v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26350.3</v>
      </c>
      <c r="F56" s="323">
        <f>SUM(D56:E56)</f>
        <v/>
      </c>
      <c r="G56" s="324" t="n">
        <v>28895.6</v>
      </c>
      <c r="H56" s="324" t="n">
        <v>26350.3</v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26350.3</v>
      </c>
      <c r="F57" s="323">
        <f>SUM(D57:E57)</f>
        <v/>
      </c>
      <c r="G57" s="324" t="n">
        <v>28895.6</v>
      </c>
      <c r="H57" s="324" t="n">
        <v>26350.3</v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3880.60000000001</v>
      </c>
      <c r="F58" s="323">
        <f>SUM(D58:E58)</f>
        <v/>
      </c>
      <c r="G58" s="324" t="n">
        <v>2295.5</v>
      </c>
      <c r="H58" s="324" t="n">
        <v>3880.60000000001</v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158.01</v>
      </c>
      <c r="F59" s="323">
        <f>SUM(D59:E59)</f>
        <v/>
      </c>
      <c r="G59" s="324" t="n">
        <v>235</v>
      </c>
      <c r="H59" s="324" t="n">
        <v>158.01</v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1137840</v>
      </c>
      <c r="F60" s="323">
        <f>SUM(D60:E60)</f>
        <v/>
      </c>
      <c r="G60" s="324" t="n">
        <v>706680</v>
      </c>
      <c r="H60" s="324" t="n">
        <v>1137840</v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>
        <v>706680</v>
      </c>
      <c r="E61" s="293" t="n">
        <v>1137840</v>
      </c>
      <c r="F61" s="323">
        <f>SUM(D61:E61)</f>
        <v/>
      </c>
      <c r="G61" s="324" t="n">
        <v>706680</v>
      </c>
      <c r="H61" s="324" t="n">
        <v>1137840</v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27" t="n">
        <v>307.854497930734</v>
      </c>
      <c r="E62" s="327" t="n">
        <v>293.212389836623</v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29" t="n">
        <v>0.147601594650206</v>
      </c>
      <c r="E63" s="329" t="n">
        <v>0.233928915895062</v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5">
        <f>D58/D57</f>
        <v/>
      </c>
      <c r="E64" s="305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 t="n">
        <v>24.4563186090616</v>
      </c>
      <c r="E65" s="307" t="n">
        <v>43.1812920536009</v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 t="n">
        <v>8.132726089785301</v>
      </c>
      <c r="E66" s="314" t="n">
        <v>5.99651616869638</v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26">
        <f>D73</f>
        <v/>
      </c>
      <c r="G73" s="349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49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49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26">
        <f>D76</f>
        <v/>
      </c>
      <c r="G76" s="352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26">
        <f>D77</f>
        <v/>
      </c>
      <c r="G77" s="352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D73/3.6/D71/(DAY(DATE(2026,2,0))*24)</f>
        <v/>
      </c>
      <c r="E82" s="365">
        <f>E73/3.6/E71/(DAY(DATE(2026,2,0))*24)</f>
        <v/>
      </c>
      <c r="F82" s="366">
        <f>F73/3.6/F71/(DATEDIF(DATE(2026,1,1),DATE(2026,2,1),"D")*24)</f>
        <v/>
      </c>
      <c r="G82" s="367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 t="n">
        <v>0.7887999999999999</v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>
        <v>20723.53</v>
      </c>
      <c r="E88" s="372" t="n">
        <v>20723.53</v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>
        <v>20723.53</v>
      </c>
      <c r="E89" s="372" t="n">
        <v>20723.53</v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>
        <v>3609.56501600001</v>
      </c>
      <c r="E90" s="372" t="n">
        <v>3609.56501600001</v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>
        <v>49</v>
      </c>
      <c r="E91" s="369" t="n">
        <v>49</v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>
        <v>462809.08</v>
      </c>
      <c r="E92" s="372" t="n">
        <v>462809.08</v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>
        <v>0</v>
      </c>
      <c r="E93" s="369">
        <f>D93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 t="n">
        <v>128.217410670959</v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00" t="n">
        <v>1.76544003001903</v>
      </c>
      <c r="E95" s="300">
        <f>E90/3.6/E87/(DATEDIF(DATE(2026,1,1),DATE(2026,2,1),"D")*24)</f>
        <v/>
      </c>
      <c r="F95" s="375">
        <f>F90/3.6/F87/(DAY(DATE(2026,2,0))*24)</f>
        <v/>
      </c>
      <c r="G95" s="300">
        <f>G90/3.6/G87/(DATEDIF(DATE(2026,1,1),DATE(2026,2,1),"D")*24)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 t="n">
        <v>22.3325408364309</v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 t="n">
        <v>2.36446203904451</v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380">
        <f>D7+'26.1'!I7</f>
        <v/>
      </c>
      <c r="J7" s="380">
        <f>E7+'26.1'!J7</f>
        <v/>
      </c>
      <c r="K7" s="380">
        <f>F7+'26.1'!K7</f>
        <v/>
      </c>
      <c r="L7" s="380">
        <f>G7+'26.1'!L7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0">
        <f>D8+'26.1'!I8</f>
        <v/>
      </c>
      <c r="J8" s="380">
        <f>E8+'26.1'!J8</f>
        <v/>
      </c>
      <c r="K8" s="380">
        <f>F8+'26.1'!K8</f>
        <v/>
      </c>
      <c r="L8" s="380">
        <f>G8+'26.1'!L8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>
        <f>E9+F9+G9</f>
        <v/>
      </c>
      <c r="I9" s="380">
        <f>D9+'26.1'!I9</f>
        <v/>
      </c>
      <c r="J9" s="380">
        <f>E9+'26.1'!J9</f>
        <v/>
      </c>
      <c r="K9" s="380">
        <f>F9+'26.1'!K9</f>
        <v/>
      </c>
      <c r="L9" s="380">
        <f>G9+'26.1'!L9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0">
        <f>D10+'26.1'!I10</f>
        <v/>
      </c>
      <c r="J10" s="380">
        <f>E10+'26.1'!J10</f>
        <v/>
      </c>
      <c r="K10" s="380">
        <f>F10+'26.1'!K10</f>
        <v/>
      </c>
      <c r="L10" s="380">
        <f>G10+'26.1'!L10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0">
        <f>D11+'26.1'!I11</f>
        <v/>
      </c>
      <c r="J11" s="380">
        <f>E11+'26.1'!J11</f>
        <v/>
      </c>
      <c r="K11" s="380">
        <f>F11+'26.1'!K11</f>
        <v/>
      </c>
      <c r="L11" s="380">
        <f>G11+'26.1'!L11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0">
        <f>D12+'26.1'!I12</f>
        <v/>
      </c>
      <c r="J12" s="380">
        <f>E12+'26.1'!J12</f>
        <v/>
      </c>
      <c r="K12" s="380">
        <f>F12+'26.1'!K12</f>
        <v/>
      </c>
      <c r="L12" s="380">
        <f>G12+'26.1'!L12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0">
        <f>D13+'26.1'!I13</f>
        <v/>
      </c>
      <c r="J13" s="380">
        <f>E13+'26.1'!J13</f>
        <v/>
      </c>
      <c r="K13" s="380">
        <f>F13+'26.1'!K13</f>
        <v/>
      </c>
      <c r="L13" s="380">
        <f>G13+'26.1'!L13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0">
        <f>D14+'26.1'!I14</f>
        <v/>
      </c>
      <c r="J14" s="380">
        <f>E14+'26.1'!J14</f>
        <v/>
      </c>
      <c r="K14" s="380">
        <f>F14+'26.1'!K14</f>
        <v/>
      </c>
      <c r="L14" s="380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0">
        <f>D15+'26.1'!I15</f>
        <v/>
      </c>
      <c r="J15" s="380">
        <f>E15+'26.1'!J15</f>
        <v/>
      </c>
      <c r="K15" s="380">
        <f>F15+'26.1'!K15</f>
        <v/>
      </c>
      <c r="L15" s="380">
        <f>G15+'26.1'!L15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0">
        <f>D16+'26.1'!I16</f>
        <v/>
      </c>
      <c r="J16" s="380">
        <f>E16+'26.1'!J16</f>
        <v/>
      </c>
      <c r="K16" s="380">
        <f>F16+'26.1'!K16</f>
        <v/>
      </c>
      <c r="L16" s="380">
        <f>G16+'26.1'!L16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0">
        <f>D17+'26.1'!I17</f>
        <v/>
      </c>
      <c r="J17" s="380">
        <f>E17+'26.1'!J17</f>
        <v/>
      </c>
      <c r="K17" s="380" t="n"/>
      <c r="L17" s="380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0">
        <f>D18+'26.1'!I18</f>
        <v/>
      </c>
      <c r="J18" s="380">
        <f>E18+'26.1'!J18</f>
        <v/>
      </c>
      <c r="K18" s="380">
        <f>F18+'26.1'!K18</f>
        <v/>
      </c>
      <c r="L18" s="380">
        <f>G18+'26.1'!L18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>
        <f>E17</f>
        <v/>
      </c>
      <c r="F19" s="255">
        <f>F17</f>
        <v/>
      </c>
      <c r="G19" s="255">
        <f>G17</f>
        <v/>
      </c>
      <c r="H19" s="270" t="n"/>
      <c r="I19" s="380">
        <f>D19+'26.1'!I19</f>
        <v/>
      </c>
      <c r="J19" s="380">
        <f>E19+'26.1'!J19</f>
        <v/>
      </c>
      <c r="K19" s="380">
        <f>F19+'26.1'!K19</f>
        <v/>
      </c>
      <c r="L19" s="380">
        <f>G19+'26.1'!L19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0">
        <f>D20+'26.1'!I20</f>
        <v/>
      </c>
      <c r="J20" s="380">
        <f>E20+'26.1'!J20</f>
        <v/>
      </c>
      <c r="K20" s="380">
        <f>F20+'26.1'!K20</f>
        <v/>
      </c>
      <c r="L20" s="380">
        <f>G20+'26.1'!L20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0">
        <f>D21+'26.1'!I21</f>
        <v/>
      </c>
      <c r="J21" s="380">
        <f>E21+'26.1'!J21</f>
        <v/>
      </c>
      <c r="K21" s="380">
        <f>F21+'26.1'!K21</f>
        <v/>
      </c>
      <c r="L21" s="380">
        <f>G21+'26.1'!L21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0">
        <f>D22+'26.1'!I22</f>
        <v/>
      </c>
      <c r="J22" s="380">
        <f>E22+'26.1'!J22</f>
        <v/>
      </c>
      <c r="K22" s="380">
        <f>F22+'26.1'!K22</f>
        <v/>
      </c>
      <c r="L22" s="380">
        <f>G22+'26.1'!L22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0">
        <f>D23+'26.1'!I23</f>
        <v/>
      </c>
      <c r="J23" s="380">
        <f>E23+'26.1'!J23</f>
        <v/>
      </c>
      <c r="K23" s="380">
        <f>F23+'26.1'!K23</f>
        <v/>
      </c>
      <c r="L23" s="380">
        <f>G23+'26.1'!L23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0">
        <f>D26+'26.1'!I26</f>
        <v/>
      </c>
      <c r="J26" s="380">
        <f>E26+'26.1'!J26</f>
        <v/>
      </c>
      <c r="K26" s="380">
        <f>F26+'26.1'!K26</f>
        <v/>
      </c>
      <c r="L26" s="380">
        <f>G26+'26.1'!L26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1">
        <f>'26.1'!J27+E26-E10</f>
        <v/>
      </c>
      <c r="K27" s="381">
        <f>'26.1'!K27+F26-F10</f>
        <v/>
      </c>
      <c r="L27" s="381">
        <f>'26.1'!L27+G26-G10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7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>
        <f>E8/3.6/E3/(DAY(DATE(2026,3,0))*24)</f>
        <v/>
      </c>
      <c r="F31" s="299">
        <f>F8/3.6/F3/(DAY(DATE(2026,3,0))*24)</f>
        <v/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2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2">
        <f>D43+'26.1'!E43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2">
        <f>D44+'26.1'!E44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2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3">
        <f>D58+'26.1'!G58</f>
        <v/>
      </c>
      <c r="H58" s="383">
        <f>E58+'26.1'!H58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3">
        <f>D59+'26.1'!G59</f>
        <v/>
      </c>
      <c r="H59" s="383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3">
        <f>D60+'26.1'!G60</f>
        <v/>
      </c>
      <c r="H60" s="383">
        <f>E60+'26.1'!H60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3">
        <f>D61+'26.1'!G61</f>
        <v/>
      </c>
      <c r="H61" s="383">
        <f>E61+'26.1'!H61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>
        <f>F58/3.6/F55/(DAY(DATE(2026,3,0))*24)</f>
        <v/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82">
        <f>D73+'26.1'!F73</f>
        <v/>
      </c>
      <c r="G73" s="382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2">
        <f>D74+'26.1'!F74</f>
        <v/>
      </c>
      <c r="G74" s="382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2">
        <f>D75+'26.1'!F75</f>
        <v/>
      </c>
      <c r="G75" s="382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82">
        <f>D76+'26.1'!F76</f>
        <v/>
      </c>
      <c r="G76" s="382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82">
        <f>D77+'26.1'!F77</f>
        <v/>
      </c>
      <c r="G77" s="382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D73/3.6/D71/(DAY(DATE(2026,3,0))*24)</f>
        <v/>
      </c>
      <c r="E82" s="365">
        <f>E73/3.6/E71/(DAY(DATE(2026,3,0))*24)</f>
        <v/>
      </c>
      <c r="F82" s="366">
        <f>F73/3.6/F71/(DATEDIF(DATE(2026,1,1),DATE(2026,3,1),"D")*24)</f>
        <v/>
      </c>
      <c r="G82" s="367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5">
        <f>D90+'26.1'!E90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5">
        <f>D91+'26.1'!E91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5">
        <f>D92+'26.1'!E92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>
        <v>0</v>
      </c>
      <c r="E93" s="385">
        <f>D93+'26.1'!E93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5">
        <f>D90/3.6/D87/(DAY(DATE(2026,3,0))*24)</f>
        <v/>
      </c>
      <c r="E95" s="300">
        <f>E90/3.6/E87/(DATEDIF(DATE(2026,1,1),DATE(2026,3,1),"D")*24)</f>
        <v/>
      </c>
      <c r="F95" s="375">
        <f>F90/3.6/F87/(DAY(DATE(2026,3,0))*24)</f>
        <v/>
      </c>
      <c r="G95" s="300">
        <f>G90/3.6/G87/(DATEDIF(DATE(2026,1,1),DATE(2026,3,1),"D")*24)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0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D73/3.6/D71/(DAY(DATE(2026,4,0))*24)</f>
        <v/>
      </c>
      <c r="E82" s="365">
        <f>E73/3.6/E71/(DAY(DATE(2026,4,0))*24)</f>
        <v/>
      </c>
      <c r="F82" s="366">
        <f>F73/3.6/F71/(DATEDIF(DATE(2026,1,1),DATE(2026,4,1),"D")*24)</f>
        <v/>
      </c>
      <c r="G82" s="367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9">
        <f>D90+'26.2'!E90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9">
        <f>D91+'26.2'!E91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9">
        <f>D92+'26.2'!E92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389">
        <f>D93+'26.2'!E93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5">
        <f>D90/3.6/D87/(DAY(DATE(2026,4,0))*24)</f>
        <v/>
      </c>
      <c r="E95" s="300">
        <f>E90/3.6/E87/(DATEDIF(DATE(2026,1,1),DATE(2026,4,1),"D")*24)</f>
        <v/>
      </c>
      <c r="F95" s="375">
        <f>F90/3.6/F87/(DAY(DATE(2026,4,0))*24)</f>
        <v/>
      </c>
      <c r="G95" s="300">
        <f>G90/3.6/G87/(DATEDIF(DATE(2026,1,1),DATE(2026,4,1),"D")*24)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0">
        <f>D7+'26.3'!I7</f>
        <v/>
      </c>
      <c r="J7" s="380">
        <f>E7+'26.3'!J7</f>
        <v/>
      </c>
      <c r="K7" s="380">
        <f>F7+'26.3'!K7</f>
        <v/>
      </c>
      <c r="L7" s="380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0">
        <f>D8+'26.3'!I8</f>
        <v/>
      </c>
      <c r="J8" s="380">
        <f>E8+'26.3'!J8</f>
        <v/>
      </c>
      <c r="K8" s="380">
        <f>F8+'26.3'!K8</f>
        <v/>
      </c>
      <c r="L8" s="380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0">
        <f>D9+'26.3'!I9</f>
        <v/>
      </c>
      <c r="J9" s="380">
        <f>E9+'26.3'!J9</f>
        <v/>
      </c>
      <c r="K9" s="380">
        <f>F9+'26.3'!K9</f>
        <v/>
      </c>
      <c r="L9" s="380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0">
        <f>D10+'26.3'!I10</f>
        <v/>
      </c>
      <c r="J10" s="380">
        <f>E10+'26.3'!J10</f>
        <v/>
      </c>
      <c r="K10" s="380">
        <f>F10+'26.3'!K10</f>
        <v/>
      </c>
      <c r="L10" s="380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0">
        <f>D11+'26.3'!I11</f>
        <v/>
      </c>
      <c r="J11" s="380">
        <f>E11+'26.3'!J11</f>
        <v/>
      </c>
      <c r="K11" s="380">
        <f>F11+'26.3'!K11</f>
        <v/>
      </c>
      <c r="L11" s="380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0">
        <f>D12+'26.3'!I12</f>
        <v/>
      </c>
      <c r="J12" s="380">
        <f>E12+'26.3'!J12</f>
        <v/>
      </c>
      <c r="K12" s="380">
        <f>F12+'26.3'!K12</f>
        <v/>
      </c>
      <c r="L12" s="380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0">
        <f>D13+'26.3'!I13</f>
        <v/>
      </c>
      <c r="J13" s="380">
        <f>E13+'26.3'!J13</f>
        <v/>
      </c>
      <c r="K13" s="380">
        <f>F13+'26.3'!K13</f>
        <v/>
      </c>
      <c r="L13" s="380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0">
        <f>D14+'26.3'!I14</f>
        <v/>
      </c>
      <c r="J14" s="380">
        <f>E14+'26.3'!J14</f>
        <v/>
      </c>
      <c r="K14" s="380">
        <f>F14+'26.3'!K14</f>
        <v/>
      </c>
      <c r="L14" s="380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0">
        <f>D15+'26.3'!I15</f>
        <v/>
      </c>
      <c r="J15" s="380">
        <f>E15+'26.3'!J15</f>
        <v/>
      </c>
      <c r="K15" s="380">
        <f>F15+'26.3'!K15</f>
        <v/>
      </c>
      <c r="L15" s="380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0">
        <f>D16+'26.3'!I16</f>
        <v/>
      </c>
      <c r="J16" s="380">
        <f>E16+'26.3'!J16</f>
        <v/>
      </c>
      <c r="K16" s="380">
        <f>F16+'26.3'!K16</f>
        <v/>
      </c>
      <c r="L16" s="380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0">
        <f>D17+'26.3'!I17</f>
        <v/>
      </c>
      <c r="J17" s="380">
        <f>E17+'26.3'!J17</f>
        <v/>
      </c>
      <c r="K17" s="380" t="n"/>
      <c r="L17" s="380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0">
        <f>D18+'26.3'!I18</f>
        <v/>
      </c>
      <c r="J18" s="380">
        <f>E18+'26.3'!J18</f>
        <v/>
      </c>
      <c r="K18" s="380">
        <f>F18+'26.3'!K18</f>
        <v/>
      </c>
      <c r="L18" s="380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0">
        <f>D19+'26.3'!I19</f>
        <v/>
      </c>
      <c r="J19" s="386" t="n"/>
      <c r="K19" s="380">
        <f>F19+'26.3'!K19</f>
        <v/>
      </c>
      <c r="L19" s="380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0">
        <f>D20+'26.3'!I20</f>
        <v/>
      </c>
      <c r="J20" s="380">
        <f>E20+'26.3'!J20</f>
        <v/>
      </c>
      <c r="K20" s="380">
        <f>F20+'26.3'!K20</f>
        <v/>
      </c>
      <c r="L20" s="380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0">
        <f>D21+'26.3'!I21</f>
        <v/>
      </c>
      <c r="J21" s="380">
        <f>E21+'26.3'!J21</f>
        <v/>
      </c>
      <c r="K21" s="380">
        <f>F21+'26.3'!K21</f>
        <v/>
      </c>
      <c r="L21" s="380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0">
        <f>D22+'26.3'!I22</f>
        <v/>
      </c>
      <c r="J22" s="380">
        <f>E22+'26.3'!J22</f>
        <v/>
      </c>
      <c r="K22" s="380">
        <f>F22+'26.3'!K22</f>
        <v/>
      </c>
      <c r="L22" s="380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0">
        <f>D23+'26.3'!I23</f>
        <v/>
      </c>
      <c r="J23" s="380">
        <f>E23+'26.3'!J23</f>
        <v/>
      </c>
      <c r="K23" s="380">
        <f>F23+'26.3'!K23</f>
        <v/>
      </c>
      <c r="L23" s="380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0">
        <f>D26+'26.3'!I26</f>
        <v/>
      </c>
      <c r="J26" s="380">
        <f>E26+'26.3'!J26</f>
        <v/>
      </c>
      <c r="K26" s="380">
        <f>F26+'26.3'!K26</f>
        <v/>
      </c>
      <c r="L26" s="380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1">
        <f>'26.3'!J27+E26-E10</f>
        <v/>
      </c>
      <c r="K27" s="381">
        <f>'26.3'!K27+F26-F10</f>
        <v/>
      </c>
      <c r="L27" s="381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0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2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2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2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2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3">
        <f>D58+'26.3'!G58</f>
        <v/>
      </c>
      <c r="H58" s="383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3">
        <f>D59+'26.3'!G59</f>
        <v/>
      </c>
      <c r="H59" s="383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3">
        <f>D60+'26.3'!G60</f>
        <v/>
      </c>
      <c r="H60" s="383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3">
        <f>D61+'26.3'!G61</f>
        <v/>
      </c>
      <c r="H61" s="383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82">
        <f>D73+'26.3'!F73</f>
        <v/>
      </c>
      <c r="G73" s="382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2">
        <f>D74+'26.3'!F74</f>
        <v/>
      </c>
      <c r="G74" s="382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2">
        <f>D75+'26.3'!F75</f>
        <v/>
      </c>
      <c r="G75" s="382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82">
        <f>D76+'26.3'!F76</f>
        <v/>
      </c>
      <c r="G76" s="382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82">
        <f>D77+'26.3'!F77</f>
        <v/>
      </c>
      <c r="G77" s="382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5">
        <f>D90+'26.3'!E90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5">
        <f>D91+'26.3'!E91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5">
        <f>D92+'26.3'!E92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385">
        <f>D93+'26.3'!E93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0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D90+'26.4'!E90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D91+'26.4'!E91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D92+'26.4'!E92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D93+'26.4'!E93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0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D90+'26.5'!E90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D91+'26.5'!E91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D92+'26.5'!E92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D93+'26.5'!E93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0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D90+'26.6'!E90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D91+'26.6'!E91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D92+'26.6'!E92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D93+'26.6'!E93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0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D90+'26.7'!E90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D91+'26.7'!E91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D92+'26.7'!E92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D93+'26.7'!E93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0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D90+'26.8'!E90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D91+'26.8'!E91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D92+'26.8'!E92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D93+'26.8'!E93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0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D90+'26.9'!E90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D91+'26.9'!E91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D92+'26.9'!E92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D93+'26.9'!E93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0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D90+'26.10'!E90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D91+'26.10'!E91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D92+'26.10'!E92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D93+'26.10'!E93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0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D90+'26.11'!E90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D91+'26.11'!E91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D92+'26.11'!E92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D93+'26.11'!E93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2026-02-28T11:40:56Z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