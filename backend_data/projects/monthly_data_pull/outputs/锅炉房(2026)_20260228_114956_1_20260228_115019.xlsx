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590" tabRatio="645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8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b val="1"/>
      <sz val="9"/>
    </font>
    <font>
      <name val="宋体"/>
      <charset val="134"/>
      <sz val="9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5" fillId="0" borderId="36" applyAlignment="1">
      <alignment vertical="center"/>
    </xf>
    <xf numFmtId="0" fontId="15" fillId="0" borderId="0" applyAlignment="1">
      <alignment vertical="center"/>
    </xf>
    <xf numFmtId="0" fontId="16" fillId="7" borderId="37" applyAlignment="1">
      <alignment vertical="center"/>
    </xf>
    <xf numFmtId="0" fontId="17" fillId="8" borderId="38" applyAlignment="1">
      <alignment vertical="center"/>
    </xf>
    <xf numFmtId="0" fontId="18" fillId="8" borderId="37" applyAlignment="1">
      <alignment vertical="center"/>
    </xf>
    <xf numFmtId="0" fontId="19" fillId="9" borderId="39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4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0" fontId="2" fillId="0" borderId="0" applyAlignment="1" pivotButton="0" quotePrefix="0" xfId="0">
      <alignment vertical="center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0" borderId="0" applyAlignment="1" pivotButton="0" quotePrefix="0" xfId="0">
      <alignment vertical="center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0">
      <alignment vertical="center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28" applyAlignment="1" pivotButton="0" quotePrefix="0" xfId="0">
      <alignment horizontal="center" vertical="center"/>
    </xf>
    <xf numFmtId="166" fontId="2" fillId="0" borderId="14" applyAlignment="1" pivotButton="0" quotePrefix="0" xfId="0">
      <alignment vertical="center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7" fontId="2" fillId="2" borderId="17" applyAlignment="1" pivotButton="0" quotePrefix="0" xfId="0">
      <alignment vertical="center" wrapText="1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8" fontId="2" fillId="0" borderId="17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tabSelected="1" zoomScale="55" zoomScaleNormal="55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 t="n">
        <v>348</v>
      </c>
      <c r="J3" s="245" t="n">
        <v>162</v>
      </c>
      <c r="K3" s="245">
        <f>F3</f>
        <v/>
      </c>
      <c r="L3" s="250" t="n">
        <v>14</v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>
        <v>1769458.54</v>
      </c>
      <c r="F4" s="254" t="n"/>
      <c r="G4" s="255" t="n">
        <v>2311228.93</v>
      </c>
      <c r="H4" s="256">
        <f>E4+F4+G4</f>
        <v/>
      </c>
      <c r="I4" s="257" t="n"/>
      <c r="J4" s="253" t="n">
        <v>1769458.54</v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257" t="n"/>
      <c r="J5" s="253" t="n">
        <v>55000</v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229" t="n"/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inlineStr">
        <is>
          <t xml:space="preserve"> -   </t>
        </is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264" t="n"/>
      <c r="J7" s="265">
        <f>E7</f>
        <v/>
      </c>
      <c r="K7" s="265">
        <f>F7</f>
        <v/>
      </c>
      <c r="L7" s="265">
        <f>G7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>
        <v>740710</v>
      </c>
      <c r="E8" s="261" t="n">
        <v>156456.25</v>
      </c>
      <c r="F8" s="260" t="n"/>
      <c r="G8" s="255" t="n">
        <v>255718.258551189</v>
      </c>
      <c r="H8" s="256">
        <f>E8+F8+G8</f>
        <v/>
      </c>
      <c r="I8" s="267">
        <f>D8</f>
        <v/>
      </c>
      <c r="J8" s="267">
        <f>E8</f>
        <v/>
      </c>
      <c r="K8" s="267">
        <f>F8</f>
        <v/>
      </c>
      <c r="L8" s="267">
        <f>G8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 t="n">
        <v>4030</v>
      </c>
      <c r="F9" s="260" t="n"/>
      <c r="G9" s="260" t="n"/>
      <c r="H9" s="256">
        <f>E9+F9+G9</f>
        <v/>
      </c>
      <c r="I9" s="261" t="n"/>
      <c r="J9" s="265">
        <f>E9</f>
        <v/>
      </c>
      <c r="K9" s="265">
        <f>F9</f>
        <v/>
      </c>
      <c r="L9" s="265">
        <f>G9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>
        <v>42844</v>
      </c>
      <c r="E10" s="254" t="n">
        <v>12660</v>
      </c>
      <c r="F10" s="260" t="n"/>
      <c r="G10" s="255" t="n">
        <v>513</v>
      </c>
      <c r="H10" s="256">
        <f>E10+F10+G10</f>
        <v/>
      </c>
      <c r="I10" s="267">
        <f>D10</f>
        <v/>
      </c>
      <c r="J10" s="267">
        <f>E10</f>
        <v/>
      </c>
      <c r="K10" s="267">
        <f>F10</f>
        <v/>
      </c>
      <c r="L10" s="267">
        <f>G10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>
        <v>9</v>
      </c>
      <c r="E11" s="261" t="n"/>
      <c r="F11" s="261" t="n"/>
      <c r="G11" s="261" t="n">
        <v>0</v>
      </c>
      <c r="H11" s="256">
        <f>E11+F11+G11</f>
        <v/>
      </c>
      <c r="I11" s="267">
        <f>D11</f>
        <v/>
      </c>
      <c r="J11" s="267">
        <f>E11</f>
        <v/>
      </c>
      <c r="K11" s="267">
        <f>F11</f>
        <v/>
      </c>
      <c r="L11" s="267">
        <f>G11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269">
        <f>I13+I14</f>
        <v/>
      </c>
      <c r="J12" s="265">
        <f>E12</f>
        <v/>
      </c>
      <c r="K12" s="265">
        <f>F12</f>
        <v/>
      </c>
      <c r="L12" s="265">
        <f>G12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>
        <v>27612.8043537601</v>
      </c>
      <c r="E13" s="261" t="n">
        <v>7626.19</v>
      </c>
      <c r="F13" s="261" t="n"/>
      <c r="G13" s="266" t="n">
        <v>341.787142941028</v>
      </c>
      <c r="H13" s="270" t="n"/>
      <c r="I13" s="267">
        <f>D13</f>
        <v/>
      </c>
      <c r="J13" s="265">
        <f>E13</f>
        <v/>
      </c>
      <c r="K13" s="261" t="n"/>
      <c r="L13" s="267">
        <f>G13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>
        <v>13.1139</v>
      </c>
      <c r="E14" s="261" t="n"/>
      <c r="F14" s="261" t="n"/>
      <c r="G14" s="261" t="n"/>
      <c r="H14" s="270" t="n"/>
      <c r="I14" s="267">
        <f>D14</f>
        <v/>
      </c>
      <c r="J14" s="261" t="n"/>
      <c r="K14" s="261" t="n"/>
      <c r="L14" s="261" t="n"/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>
        <v>14442</v>
      </c>
      <c r="E15" s="271" t="n">
        <v>22828</v>
      </c>
      <c r="F15" s="260" t="n"/>
      <c r="G15" s="255" t="n">
        <v>48986</v>
      </c>
      <c r="H15" s="256" t="n"/>
      <c r="I15" s="267">
        <f>D15</f>
        <v/>
      </c>
      <c r="J15" s="267">
        <f>E15</f>
        <v/>
      </c>
      <c r="K15" s="265">
        <f>F15</f>
        <v/>
      </c>
      <c r="L15" s="267">
        <f>G15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>
        <v>300</v>
      </c>
      <c r="E16" s="271" t="n"/>
      <c r="F16" s="260" t="n"/>
      <c r="G16" s="260" t="n"/>
      <c r="H16" s="256" t="n"/>
      <c r="I16" s="267">
        <f>D16</f>
        <v/>
      </c>
      <c r="J16" s="265">
        <f>E16</f>
        <v/>
      </c>
      <c r="K16" s="265">
        <f>F16</f>
        <v/>
      </c>
      <c r="L16" s="265">
        <f>G16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1787714.1</v>
      </c>
      <c r="F17" s="260" t="n"/>
      <c r="G17" s="255" t="n">
        <v>1187191.5</v>
      </c>
      <c r="H17" s="256" t="n"/>
      <c r="I17" s="267">
        <f>D17</f>
        <v/>
      </c>
      <c r="J17" s="267">
        <f>E17</f>
        <v/>
      </c>
      <c r="K17" s="265" t="n"/>
      <c r="L17" s="267">
        <f>G17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>
        <v>5088913.6</v>
      </c>
      <c r="E18" s="271" t="n"/>
      <c r="F18" s="260" t="n"/>
      <c r="G18" s="260" t="n"/>
      <c r="H18" s="270" t="n"/>
      <c r="I18" s="267">
        <f>D18</f>
        <v/>
      </c>
      <c r="J18" s="261" t="n"/>
      <c r="K18" s="261" t="n"/>
      <c r="L18" s="261" t="n"/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>
        <v>0</v>
      </c>
      <c r="E19" s="255">
        <f>E17</f>
        <v/>
      </c>
      <c r="F19" s="255">
        <f>F17</f>
        <v/>
      </c>
      <c r="G19" s="255">
        <f>G17</f>
        <v/>
      </c>
      <c r="H19" s="270" t="n"/>
      <c r="I19" s="267">
        <f>D19</f>
        <v/>
      </c>
      <c r="J19" s="261" t="n"/>
      <c r="K19" s="261" t="n"/>
      <c r="L19" s="265">
        <f>G19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>
        <v>13000</v>
      </c>
      <c r="E20" s="271" t="n"/>
      <c r="F20" s="260" t="n"/>
      <c r="G20" s="260" t="n"/>
      <c r="H20" s="270" t="n"/>
      <c r="I20" s="267">
        <f>D20</f>
        <v/>
      </c>
      <c r="J20" s="261" t="n"/>
      <c r="K20" s="261" t="n"/>
      <c r="L20" s="261" t="n"/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>
        <v>571020.4</v>
      </c>
      <c r="E21" s="271" t="n"/>
      <c r="F21" s="260" t="n"/>
      <c r="G21" s="260" t="n"/>
      <c r="H21" s="270" t="n"/>
      <c r="I21" s="267">
        <f>D21</f>
        <v/>
      </c>
      <c r="J21" s="261" t="n"/>
      <c r="K21" s="261" t="n"/>
      <c r="L21" s="261" t="n"/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>
        <v>734.29</v>
      </c>
      <c r="E22" s="273" t="n">
        <v>43.975</v>
      </c>
      <c r="F22" s="273" t="n"/>
      <c r="G22" s="273" t="n">
        <v>7.925</v>
      </c>
      <c r="H22" s="274" t="n"/>
      <c r="I22" s="267">
        <f>D22</f>
        <v/>
      </c>
      <c r="J22" s="275" t="n">
        <v>43.975</v>
      </c>
      <c r="K22" s="275">
        <f>F22</f>
        <v/>
      </c>
      <c r="L22" s="267">
        <f>G22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>
        <v>253.8</v>
      </c>
      <c r="E23" s="273" t="n">
        <v>28.64</v>
      </c>
      <c r="F23" s="273" t="n"/>
      <c r="G23" s="273" t="n">
        <v>1.925</v>
      </c>
      <c r="H23" s="274" t="n"/>
      <c r="I23" s="267">
        <f>D23</f>
        <v/>
      </c>
      <c r="J23" s="275" t="n">
        <v>28.64</v>
      </c>
      <c r="K23" s="275">
        <f>F23</f>
        <v/>
      </c>
      <c r="L23" s="267">
        <f>G23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>
        <v>16216</v>
      </c>
      <c r="E26" s="282" t="n">
        <v>9596</v>
      </c>
      <c r="F26" s="283" t="n"/>
      <c r="G26" s="255" t="n">
        <v>119</v>
      </c>
      <c r="H26" s="284" t="n"/>
      <c r="I26" s="267">
        <f>D26</f>
        <v/>
      </c>
      <c r="J26" s="267">
        <f>E26</f>
        <v/>
      </c>
      <c r="K26" s="285">
        <f>F26</f>
        <v/>
      </c>
      <c r="L26" s="267">
        <f>G26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>
        <v>23827</v>
      </c>
      <c r="E27" s="286" t="n">
        <v>9506</v>
      </c>
      <c r="F27" s="286">
        <f>K27</f>
        <v/>
      </c>
      <c r="G27" s="286" t="n">
        <v>714.5</v>
      </c>
      <c r="H27" s="287" t="n"/>
      <c r="I27" s="264" t="n">
        <v>23827</v>
      </c>
      <c r="J27" s="288">
        <f>'[2]25.12'!$J$27+E26-E10</f>
        <v/>
      </c>
      <c r="K27" s="288">
        <f>'[2]25.12'!$K$27+F26-F10</f>
        <v/>
      </c>
      <c r="L27" s="288">
        <f>'[2]25.12'!$L$27+G26-G10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17654.6900884676</v>
      </c>
      <c r="F29" s="261" t="n"/>
      <c r="G29" s="293" t="n"/>
      <c r="H29" s="294" t="n"/>
      <c r="I29" s="295" t="n"/>
      <c r="J29" s="261" t="n">
        <v>17654.6900884676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7">
        <f>E8/(E12*29.308)</f>
        <v/>
      </c>
      <c r="F30" s="296">
        <f>F8/(F12*29.308)</f>
        <v/>
      </c>
      <c r="G30" s="297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D8/3.6/D3/(DAY(DATE(2026,2,0))*24)</f>
        <v/>
      </c>
      <c r="E31" s="300">
        <f>E8/3.6/E3/(DAY(DATE(2026,2,0))*24)</f>
        <v/>
      </c>
      <c r="F31" s="299">
        <f>F8/3.6/F3/(DAY(DATE(2026,2,0))*24)</f>
        <v/>
      </c>
      <c r="G31" s="300">
        <f>G8/3.6/G3/(DAY(DATE(2026,2,0))*24)</f>
        <v/>
      </c>
      <c r="H31" s="300">
        <f>H8/3.6/H3/(DAY(DATE(2026,2,0))*24)</f>
        <v/>
      </c>
      <c r="I31" s="301">
        <f>I8/3.6/I3/(DATEDIF(DATE(2026,1,1),DATE(2026,2,1),"D")*24)</f>
        <v/>
      </c>
      <c r="J31" s="299">
        <f>J8/3.6/J3/(DATEDIF(DATE(2026,1,1),DATE(2026,2,1),"D")*24)</f>
        <v/>
      </c>
      <c r="K31" s="299">
        <f>K8/3.6/K3/(DATEDIF(DATE(2026,1,1),DATE(2026,2,1),"D")*24)</f>
        <v/>
      </c>
      <c r="L31" s="299">
        <f>(L8-L36)/3.6/L3/(DATEDIF(DATE(2026,1,1),DATE(2026,2,1),"D")*24)</f>
        <v/>
      </c>
      <c r="M31" s="300">
        <f>M8/3.6/M3/(DATEDIF(DATE(2026,1,1),DATE(2026,2,1),"D")*24)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8">
        <f>F12*1000/F6</f>
        <v/>
      </c>
      <c r="G33" s="307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8">
        <f>F17/F6</f>
        <v/>
      </c>
      <c r="G34" s="307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5">
        <f>F15*1000/F6</f>
        <v/>
      </c>
      <c r="G35" s="314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>
        <v>249708</v>
      </c>
      <c r="H36" s="318" t="n"/>
      <c r="I36" s="318" t="n"/>
      <c r="J36" s="318" t="n"/>
      <c r="K36" s="318" t="n"/>
      <c r="L36" s="267">
        <f>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7625.06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7625.06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441</v>
      </c>
      <c r="E42" s="326">
        <f>D42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>
        <v>3</v>
      </c>
      <c r="E43" s="326">
        <f>D43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>
        <v>132840.000000001</v>
      </c>
      <c r="E44" s="326">
        <f>D44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26">
        <f>D45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D42/3.6/D39/(DAY(DATE(2026,2,0))*24)</f>
        <v/>
      </c>
      <c r="E47" s="330">
        <f>E42/3.6/E39/(DATEDIF(DATE(2026,1,1),DATE(2026,2,1),"D")*24)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 t="n">
        <v>6</v>
      </c>
      <c r="H55" s="341" t="n">
        <v>6.4</v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>
        <v>28895.6</v>
      </c>
      <c r="E56" s="293" t="n">
        <v>26350.3</v>
      </c>
      <c r="F56" s="323">
        <f>SUM(D56:E56)</f>
        <v/>
      </c>
      <c r="G56" s="324" t="n">
        <v>28895.6</v>
      </c>
      <c r="H56" s="324" t="n">
        <v>26350.3</v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>
        <v>28895.6</v>
      </c>
      <c r="E57" s="289" t="n">
        <v>26350.3</v>
      </c>
      <c r="F57" s="323">
        <f>SUM(D57:E57)</f>
        <v/>
      </c>
      <c r="G57" s="324" t="n">
        <v>28895.6</v>
      </c>
      <c r="H57" s="324" t="n">
        <v>26350.3</v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>
        <v>2295.5</v>
      </c>
      <c r="E58" s="342" t="n">
        <v>3880.60000000001</v>
      </c>
      <c r="F58" s="323">
        <f>SUM(D58:E58)</f>
        <v/>
      </c>
      <c r="G58" s="324" t="n">
        <v>2295.5</v>
      </c>
      <c r="H58" s="324" t="n">
        <v>3880.60000000001</v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>
        <v>235</v>
      </c>
      <c r="E59" s="293" t="n">
        <v>158.01</v>
      </c>
      <c r="F59" s="323">
        <f>SUM(D59:E59)</f>
        <v/>
      </c>
      <c r="G59" s="324" t="n">
        <v>235</v>
      </c>
      <c r="H59" s="324" t="n">
        <v>158.01</v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>
        <v>706680</v>
      </c>
      <c r="E60" s="293" t="n">
        <v>1137840</v>
      </c>
      <c r="F60" s="323">
        <f>SUM(D60:E60)</f>
        <v/>
      </c>
      <c r="G60" s="324" t="n">
        <v>706680</v>
      </c>
      <c r="H60" s="324" t="n">
        <v>1137840</v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>
        <v>706680</v>
      </c>
      <c r="E61" s="293" t="n">
        <v>1137840</v>
      </c>
      <c r="F61" s="323">
        <f>SUM(D61:E61)</f>
        <v/>
      </c>
      <c r="G61" s="324" t="n">
        <v>706680</v>
      </c>
      <c r="H61" s="324" t="n">
        <v>1137840</v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27" t="n">
        <v>307.854497930734</v>
      </c>
      <c r="E62" s="327" t="n">
        <v>293.212389836623</v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29" t="n">
        <v>0.147601594650206</v>
      </c>
      <c r="E63" s="329" t="n">
        <v>0.233928915895062</v>
      </c>
      <c r="F63" s="329">
        <f>F58/3.6/F55/(DAY(DATE(2026,2,0))*24)</f>
        <v/>
      </c>
      <c r="G63" s="301">
        <f>G58/3.6/G55/(DATEDIF(DATE(2026,1,1),DATE(2026,2,1),"D")*24)</f>
        <v/>
      </c>
      <c r="H63" s="299">
        <f>H58/3.6/H55/(DATEDIF(DATE(2026,1,1),DATE(2026,2,1),"D")*24)</f>
        <v/>
      </c>
      <c r="I63" s="300">
        <f>I58/3.6/I55/(DATEDIF(DATE(2026,1,1),DATE(2026,2,1),"D")*24)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5">
        <f>D58/D57</f>
        <v/>
      </c>
      <c r="E64" s="305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 t="n">
        <v>24.4563186090616</v>
      </c>
      <c r="E65" s="307" t="n">
        <v>43.1812920536009</v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 t="n">
        <v>8.132726089785301</v>
      </c>
      <c r="E66" s="314" t="n">
        <v>5.99651616869638</v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26">
        <f>D73</f>
        <v/>
      </c>
      <c r="G73" s="349">
        <f>E73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</f>
        <v/>
      </c>
      <c r="G74" s="349">
        <f>E74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</f>
        <v/>
      </c>
      <c r="G75" s="349">
        <f>E75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26">
        <f>D76</f>
        <v/>
      </c>
      <c r="G76" s="352" t="n"/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26">
        <f>D77</f>
        <v/>
      </c>
      <c r="G77" s="352" t="n"/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64">
        <f>D73/3.6/D71/(DAY(DATE(2026,2,0))*24)</f>
        <v/>
      </c>
      <c r="E82" s="365">
        <f>E73/3.6/E71/(DAY(DATE(2026,2,0))*24)</f>
        <v/>
      </c>
      <c r="F82" s="366">
        <f>F73/3.6/F71/(DATEDIF(DATE(2026,1,1),DATE(2026,2,1),"D")*24)</f>
        <v/>
      </c>
      <c r="G82" s="367">
        <f>G73/3.6/G71/(DATEDIF(DATE(2026,1,1),DATE(2026,2,1),"D")*24)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 t="n">
        <v>0.7887999999999999</v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>
        <v>20723.53</v>
      </c>
      <c r="E88" s="372" t="n">
        <v>20723.53</v>
      </c>
      <c r="F88" s="373">
        <f>F56+D88</f>
        <v/>
      </c>
      <c r="G88" s="373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>
        <v>20723.53</v>
      </c>
      <c r="E89" s="372" t="n">
        <v>20723.53</v>
      </c>
      <c r="F89" s="373">
        <f>F57+D89</f>
        <v/>
      </c>
      <c r="G89" s="373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>
        <v>3609.56501600001</v>
      </c>
      <c r="E90" s="372" t="n">
        <v>3609.56501600001</v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>
        <v>49</v>
      </c>
      <c r="E91" s="369" t="n">
        <v>49</v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>
        <v>462809.08</v>
      </c>
      <c r="E92" s="372" t="n">
        <v>462809.08</v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>
        <v>0</v>
      </c>
      <c r="E93" s="369">
        <f>D93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 t="n">
        <v>128.217410670959</v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00" t="n">
        <v>1.76544003001903</v>
      </c>
      <c r="E95" s="300">
        <f>E90/3.6/E87/(DATEDIF(DATE(2026,1,1),DATE(2026,2,1),"D")*24)</f>
        <v/>
      </c>
      <c r="F95" s="375">
        <f>F90/3.6/F87/(DAY(DATE(2026,2,0))*24)</f>
        <v/>
      </c>
      <c r="G95" s="300">
        <f>G90/3.6/G87/(DATEDIF(DATE(2026,1,1),DATE(2026,2,1),"D")*24)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 t="n">
        <v>22.3325408364309</v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 t="n">
        <v>2.36446203904451</v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380">
        <f>D7+'26.1'!I7</f>
        <v/>
      </c>
      <c r="J7" s="380">
        <f>E7+'26.1'!J7</f>
        <v/>
      </c>
      <c r="K7" s="380">
        <f>F7+'26.1'!K7</f>
        <v/>
      </c>
      <c r="L7" s="380">
        <f>G7+'26.1'!L7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0">
        <f>D8+'26.1'!I8</f>
        <v/>
      </c>
      <c r="J8" s="380">
        <f>E8+'26.1'!J8</f>
        <v/>
      </c>
      <c r="K8" s="380">
        <f>F8+'26.1'!K8</f>
        <v/>
      </c>
      <c r="L8" s="380">
        <f>G8+'26.1'!L8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[1]售热量!$E$25</f>
        <v/>
      </c>
      <c r="F9" s="260" t="n"/>
      <c r="G9" s="260" t="n"/>
      <c r="H9" s="256">
        <f>E9+F9+G9</f>
        <v/>
      </c>
      <c r="I9" s="380">
        <f>D9+'26.1'!I9</f>
        <v/>
      </c>
      <c r="J9" s="380">
        <f>E9+'26.1'!J9</f>
        <v/>
      </c>
      <c r="K9" s="380">
        <f>F9+'26.1'!K9</f>
        <v/>
      </c>
      <c r="L9" s="380">
        <f>G9+'26.1'!L9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0">
        <f>D10+'26.1'!I10</f>
        <v/>
      </c>
      <c r="J10" s="380">
        <f>E10+'26.1'!J10</f>
        <v/>
      </c>
      <c r="K10" s="380">
        <f>F10+'26.1'!K10</f>
        <v/>
      </c>
      <c r="L10" s="380">
        <f>G10+'26.1'!L10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0">
        <f>D11+'26.1'!I11</f>
        <v/>
      </c>
      <c r="J11" s="380">
        <f>E11+'26.1'!J11</f>
        <v/>
      </c>
      <c r="K11" s="380">
        <f>F11+'26.1'!K11</f>
        <v/>
      </c>
      <c r="L11" s="380">
        <f>G11+'26.1'!L11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0">
        <f>D12+'26.1'!I12</f>
        <v/>
      </c>
      <c r="J12" s="380">
        <f>E12+'26.1'!J12</f>
        <v/>
      </c>
      <c r="K12" s="380">
        <f>F12+'26.1'!K12</f>
        <v/>
      </c>
      <c r="L12" s="380">
        <f>G12+'26.1'!L12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0">
        <f>D13+'26.1'!I13</f>
        <v/>
      </c>
      <c r="J13" s="380">
        <f>E13+'26.1'!J13</f>
        <v/>
      </c>
      <c r="K13" s="380">
        <f>F13+'26.1'!K13</f>
        <v/>
      </c>
      <c r="L13" s="380">
        <f>G13+'26.1'!L13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0">
        <f>D14+'26.1'!I14</f>
        <v/>
      </c>
      <c r="J14" s="380">
        <f>E14+'26.1'!J14</f>
        <v/>
      </c>
      <c r="K14" s="380">
        <f>F14+'26.1'!K14</f>
        <v/>
      </c>
      <c r="L14" s="380">
        <f>G14+'26.1'!L14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0">
        <f>D15+'26.1'!I15</f>
        <v/>
      </c>
      <c r="J15" s="380">
        <f>E15+'26.1'!J15</f>
        <v/>
      </c>
      <c r="K15" s="380">
        <f>F15+'26.1'!K15</f>
        <v/>
      </c>
      <c r="L15" s="380">
        <f>G15+'26.1'!L15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0">
        <f>D16+'26.1'!I16</f>
        <v/>
      </c>
      <c r="J16" s="380">
        <f>E16+'26.1'!J16</f>
        <v/>
      </c>
      <c r="K16" s="380">
        <f>F16+'26.1'!K16</f>
        <v/>
      </c>
      <c r="L16" s="380">
        <f>G16+'26.1'!L16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/>
      <c r="F17" s="260" t="n"/>
      <c r="G17" s="255" t="n"/>
      <c r="H17" s="256" t="n"/>
      <c r="I17" s="380">
        <f>D17+'26.1'!I17</f>
        <v/>
      </c>
      <c r="J17" s="380">
        <f>E17+'26.1'!J17</f>
        <v/>
      </c>
      <c r="K17" s="380" t="n"/>
      <c r="L17" s="380">
        <f>G17+'26.1'!L17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0">
        <f>D18+'26.1'!I18</f>
        <v/>
      </c>
      <c r="J18" s="380">
        <f>E18+'26.1'!J18</f>
        <v/>
      </c>
      <c r="K18" s="380">
        <f>F18+'26.1'!K18</f>
        <v/>
      </c>
      <c r="L18" s="380">
        <f>G18+'26.1'!L18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>
        <f>E17</f>
        <v/>
      </c>
      <c r="F19" s="255">
        <f>F17</f>
        <v/>
      </c>
      <c r="G19" s="255">
        <f>G17</f>
        <v/>
      </c>
      <c r="H19" s="270" t="n"/>
      <c r="I19" s="380">
        <f>D19+'26.1'!I19</f>
        <v/>
      </c>
      <c r="J19" s="380">
        <f>E19+'26.1'!J19</f>
        <v/>
      </c>
      <c r="K19" s="380">
        <f>F19+'26.1'!K19</f>
        <v/>
      </c>
      <c r="L19" s="380">
        <f>G19+'26.1'!L19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0">
        <f>D20+'26.1'!I20</f>
        <v/>
      </c>
      <c r="J20" s="380">
        <f>E20+'26.1'!J20</f>
        <v/>
      </c>
      <c r="K20" s="380">
        <f>F20+'26.1'!K20</f>
        <v/>
      </c>
      <c r="L20" s="380">
        <f>G20+'26.1'!L20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0">
        <f>D21+'26.1'!I21</f>
        <v/>
      </c>
      <c r="J21" s="380">
        <f>E21+'26.1'!J21</f>
        <v/>
      </c>
      <c r="K21" s="380">
        <f>F21+'26.1'!K21</f>
        <v/>
      </c>
      <c r="L21" s="380">
        <f>G21+'26.1'!L21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0">
        <f>D22+'26.1'!I22</f>
        <v/>
      </c>
      <c r="J22" s="380">
        <f>E22+'26.1'!J22</f>
        <v/>
      </c>
      <c r="K22" s="380">
        <f>F22+'26.1'!K22</f>
        <v/>
      </c>
      <c r="L22" s="380">
        <f>G22+'26.1'!L22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0">
        <f>D23+'26.1'!I23</f>
        <v/>
      </c>
      <c r="J23" s="380">
        <f>E23+'26.1'!J23</f>
        <v/>
      </c>
      <c r="K23" s="380">
        <f>F23+'26.1'!K23</f>
        <v/>
      </c>
      <c r="L23" s="380">
        <f>G23+'26.1'!L23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0">
        <f>D26+'26.1'!I26</f>
        <v/>
      </c>
      <c r="J26" s="380">
        <f>E26+'26.1'!J26</f>
        <v/>
      </c>
      <c r="K26" s="380">
        <f>F26+'26.1'!K26</f>
        <v/>
      </c>
      <c r="L26" s="380">
        <f>G26+'26.1'!L26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1">
        <f>'26.1'!J27+E26-E10</f>
        <v/>
      </c>
      <c r="K27" s="381">
        <f>'26.1'!K27+F26-F10</f>
        <v/>
      </c>
      <c r="L27" s="381">
        <f>'26.1'!L27+G26-G10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7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D8/3.6/D3/(DAY(DATE(2026,3,0))*24)</f>
        <v/>
      </c>
      <c r="E31" s="299">
        <f>E8/3.6/E3/(DAY(DATE(2026,3,0))*24)</f>
        <v/>
      </c>
      <c r="F31" s="299">
        <f>F8/3.6/F3/(DAY(DATE(2026,3,0))*24)</f>
        <v/>
      </c>
      <c r="G31" s="299">
        <f>(G8-G36)/3.6/G3/(DAY(DATE(2026,3,0))*24)</f>
        <v/>
      </c>
      <c r="H31" s="300">
        <f>H8/3.6/H3/(DAY(DATE(2026,3,0))*24)</f>
        <v/>
      </c>
      <c r="I31" s="301">
        <f>I8/3.6/I3/(DATEDIF(DATE(2026,1,1),DATE(2026,3,1),"D")*24)</f>
        <v/>
      </c>
      <c r="J31" s="299">
        <f>J8/3.6/J3/(DATEDIF(DATE(2026,1,1),DATE(2026,3,1),"D")*24)</f>
        <v/>
      </c>
      <c r="K31" s="299">
        <f>K8/3.6/K3/(DATEDIF(DATE(2026,1,1),DATE(2026,3,1),"D")*24)</f>
        <v/>
      </c>
      <c r="L31" s="299">
        <f>(L8-L36)/3.6/L3/(DATEDIF(DATE(2026,1,1),DATE(2026,3,1),"D")*24)</f>
        <v/>
      </c>
      <c r="M31" s="300">
        <f>M8/3.6/M3/(DATEDIF(DATE(2026,1,1),DATE(2026,3,1),"D")*24)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>
        <f>G36+'26.1'!G36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2">
        <f>D42+'26.1'!E42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2">
        <f>D43+'26.1'!E43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2">
        <f>D44+'26.1'!E44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2">
        <f>D45+'26.1'!E45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D42/3.6/D39/(DAY(DATE(2026,3,0))*24)</f>
        <v/>
      </c>
      <c r="E47" s="330">
        <f>E42/3.6/E39/(DATEDIF(DATE(2026,1,1),DATE(2026,3,1),"D")*24)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3">
        <f>D58+'26.1'!G58</f>
        <v/>
      </c>
      <c r="H58" s="383">
        <f>E58+'26.1'!H58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3">
        <f>D59+'26.1'!G59</f>
        <v/>
      </c>
      <c r="H59" s="383">
        <f>E59+'26.1'!H59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3">
        <f>D60+'26.1'!G60</f>
        <v/>
      </c>
      <c r="H60" s="383">
        <f>E60+'26.1'!H60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3">
        <f>D61+'26.1'!G61</f>
        <v/>
      </c>
      <c r="H61" s="383">
        <f>E61+'26.1'!H61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D58/3.6/D55/(DAY(DATE(2026,3,0))*24)</f>
        <v/>
      </c>
      <c r="E63" s="299">
        <f>E58/3.6/E55/(DAY(DATE(2026,3,0))*24)</f>
        <v/>
      </c>
      <c r="F63" s="329">
        <f>F58/3.6/F55/(DAY(DATE(2026,3,0))*24)</f>
        <v/>
      </c>
      <c r="G63" s="301">
        <f>G58/3.6/G55/(DATEDIF(DATE(2026,1,1),DATE(2026,3,1),"D")*24)</f>
        <v/>
      </c>
      <c r="H63" s="299">
        <f>H58/3.6/H55/(DATEDIF(DATE(2026,1,1),DATE(2026,3,1),"D")*24)</f>
        <v/>
      </c>
      <c r="I63" s="300">
        <f>I58/3.6/I55/(DATEDIF(DATE(2026,1,1),DATE(2026,3,1),"D")*24)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82">
        <f>D73+'26.1'!F73</f>
        <v/>
      </c>
      <c r="G73" s="382">
        <f>E73+'26.1'!G73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2">
        <f>D74+'26.1'!F74</f>
        <v/>
      </c>
      <c r="G74" s="382">
        <f>E74+'26.1'!G74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2">
        <f>D75+'26.1'!F75</f>
        <v/>
      </c>
      <c r="G75" s="382">
        <f>E75+'26.1'!G75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82">
        <f>D76+'26.1'!F76</f>
        <v/>
      </c>
      <c r="G76" s="382">
        <f>E76+'26.1'!G76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82">
        <f>D77+'26.1'!F77</f>
        <v/>
      </c>
      <c r="G77" s="382">
        <f>E77+'26.1'!G77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64">
        <f>D73/3.6/D71/(DAY(DATE(2026,3,0))*24)</f>
        <v/>
      </c>
      <c r="E82" s="365">
        <f>E73/3.6/E71/(DAY(DATE(2026,3,0))*24)</f>
        <v/>
      </c>
      <c r="F82" s="366">
        <f>F73/3.6/F71/(DATEDIF(DATE(2026,1,1),DATE(2026,3,1),"D")*24)</f>
        <v/>
      </c>
      <c r="G82" s="367">
        <f>G73/3.6/G71/(DATEDIF(DATE(2026,1,1),DATE(2026,3,1),"D")*24)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373">
        <f>F56+D88</f>
        <v/>
      </c>
      <c r="G88" s="373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373">
        <f>F57+D89</f>
        <v/>
      </c>
      <c r="G89" s="373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385">
        <f>D90+'26.1'!E90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385">
        <f>D91+'26.1'!E91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385">
        <f>D92+'26.1'!E92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>
        <v>0</v>
      </c>
      <c r="E93" s="385">
        <f>D93+'26.1'!E93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5">
        <f>D90/3.6/D87/(DAY(DATE(2026,3,0))*24)</f>
        <v/>
      </c>
      <c r="E95" s="300">
        <f>E90/3.6/E87/(DATEDIF(DATE(2026,1,1),DATE(2026,3,1),"D")*24)</f>
        <v/>
      </c>
      <c r="F95" s="375">
        <f>F90/3.6/F87/(DAY(DATE(2026,3,0))*24)</f>
        <v/>
      </c>
      <c r="G95" s="300">
        <f>G90/3.6/G87/(DATEDIF(DATE(2026,1,1),DATE(2026,3,1),"D")*24)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6">
        <f>D7+'26.2'!I7</f>
        <v/>
      </c>
      <c r="J7" s="386">
        <f>E7+'26.2'!J7</f>
        <v/>
      </c>
      <c r="K7" s="386">
        <f>F7+'26.2'!K7</f>
        <v/>
      </c>
      <c r="L7" s="386">
        <f>G7+'26.2'!L7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6">
        <f>D8+'26.2'!I8</f>
        <v/>
      </c>
      <c r="J8" s="386">
        <f>E8+'26.2'!J8</f>
        <v/>
      </c>
      <c r="K8" s="386">
        <f>F8+'26.2'!K8</f>
        <v/>
      </c>
      <c r="L8" s="386">
        <f>G8+'26.2'!L8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[1]售热量!$G$25</f>
        <v/>
      </c>
      <c r="F9" s="260" t="n"/>
      <c r="G9" s="260" t="n"/>
      <c r="H9" s="256">
        <f>E9+F9+G9</f>
        <v/>
      </c>
      <c r="I9" s="386">
        <f>D9+'26.2'!I9</f>
        <v/>
      </c>
      <c r="J9" s="386">
        <f>E9+'26.2'!J9</f>
        <v/>
      </c>
      <c r="K9" s="386">
        <f>F9+'26.2'!K9</f>
        <v/>
      </c>
      <c r="L9" s="386">
        <f>G9+'26.2'!L9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6">
        <f>D10+'26.2'!I10</f>
        <v/>
      </c>
      <c r="J10" s="386">
        <f>E10+'26.2'!J10</f>
        <v/>
      </c>
      <c r="K10" s="386">
        <f>F10+'26.2'!K10</f>
        <v/>
      </c>
      <c r="L10" s="386">
        <f>G10+'26.2'!L10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6">
        <f>D11+'26.2'!I11</f>
        <v/>
      </c>
      <c r="J11" s="386">
        <f>E11+'26.2'!J11</f>
        <v/>
      </c>
      <c r="K11" s="386">
        <f>F11+'26.2'!K11</f>
        <v/>
      </c>
      <c r="L11" s="386">
        <f>G11+'26.2'!L11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6">
        <f>D12+'26.2'!I12</f>
        <v/>
      </c>
      <c r="J12" s="386">
        <f>E12+'26.2'!J12</f>
        <v/>
      </c>
      <c r="K12" s="386">
        <f>F12+'26.2'!K12</f>
        <v/>
      </c>
      <c r="L12" s="386">
        <f>G12+'26.2'!L12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6">
        <f>D13+'26.2'!I13</f>
        <v/>
      </c>
      <c r="J13" s="386">
        <f>E13+'26.2'!J13</f>
        <v/>
      </c>
      <c r="K13" s="386">
        <f>F13+'26.2'!K13</f>
        <v/>
      </c>
      <c r="L13" s="386">
        <f>G13+'26.2'!L13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6">
        <f>D14+'26.2'!I14</f>
        <v/>
      </c>
      <c r="J14" s="386">
        <f>E14+'26.2'!J14</f>
        <v/>
      </c>
      <c r="K14" s="386">
        <f>F14+'26.2'!K14</f>
        <v/>
      </c>
      <c r="L14" s="386">
        <f>G14+'26.2'!L14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6">
        <f>D15+'26.2'!I15</f>
        <v/>
      </c>
      <c r="J15" s="386">
        <f>E15+'26.2'!J15</f>
        <v/>
      </c>
      <c r="K15" s="386">
        <f>F15+'26.2'!K15</f>
        <v/>
      </c>
      <c r="L15" s="386">
        <f>G15+'26.2'!L15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6">
        <f>D16+'26.2'!I16</f>
        <v/>
      </c>
      <c r="J16" s="386">
        <f>E16+'26.2'!J16</f>
        <v/>
      </c>
      <c r="K16" s="386">
        <f>F16+'26.2'!K16</f>
        <v/>
      </c>
      <c r="L16" s="386">
        <f>G16+'26.2'!L16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6">
        <f>D17+'26.2'!I17</f>
        <v/>
      </c>
      <c r="J17" s="386">
        <f>E17+'26.2'!J17</f>
        <v/>
      </c>
      <c r="K17" s="380" t="n"/>
      <c r="L17" s="386">
        <f>G17+'26.2'!L17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6">
        <f>D18+'26.2'!I18</f>
        <v/>
      </c>
      <c r="J18" s="386">
        <f>E18+'26.2'!J18</f>
        <v/>
      </c>
      <c r="K18" s="386">
        <f>F18+'26.2'!K18</f>
        <v/>
      </c>
      <c r="L18" s="386">
        <f>G18+'26.2'!L18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6">
        <f>D19+'26.2'!I19</f>
        <v/>
      </c>
      <c r="J19" s="386" t="n"/>
      <c r="K19" s="386">
        <f>F19+'26.2'!K19</f>
        <v/>
      </c>
      <c r="L19" s="386">
        <f>G19+'26.2'!L19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6">
        <f>D20+'26.2'!I20</f>
        <v/>
      </c>
      <c r="J20" s="386">
        <f>E20+'26.2'!J20</f>
        <v/>
      </c>
      <c r="K20" s="386">
        <f>F20+'26.2'!K20</f>
        <v/>
      </c>
      <c r="L20" s="386">
        <f>G20+'26.2'!L20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6">
        <f>D21+'26.2'!I21</f>
        <v/>
      </c>
      <c r="J21" s="386">
        <f>E21+'26.2'!J21</f>
        <v/>
      </c>
      <c r="K21" s="386">
        <f>F21+'26.2'!K21</f>
        <v/>
      </c>
      <c r="L21" s="386">
        <f>G21+'26.2'!L21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6">
        <f>D22+'26.2'!I22</f>
        <v/>
      </c>
      <c r="J22" s="386">
        <f>E22+'26.2'!J22</f>
        <v/>
      </c>
      <c r="K22" s="386">
        <f>F22+'26.2'!K22</f>
        <v/>
      </c>
      <c r="L22" s="386">
        <f>G22+'26.2'!L22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6">
        <f>D23+'26.2'!I23</f>
        <v/>
      </c>
      <c r="J23" s="386">
        <f>E23+'26.2'!J23</f>
        <v/>
      </c>
      <c r="K23" s="386">
        <f>F23+'26.2'!K23</f>
        <v/>
      </c>
      <c r="L23" s="386">
        <f>G23+'26.2'!L23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6">
        <f>D26+'26.2'!I26</f>
        <v/>
      </c>
      <c r="J26" s="386">
        <f>E26+'26.2'!J26</f>
        <v/>
      </c>
      <c r="K26" s="386">
        <f>F26+'26.2'!K26</f>
        <v/>
      </c>
      <c r="L26" s="386">
        <f>G26+'26.2'!L26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8">
        <f>'26.2'!J27+E26-E10</f>
        <v/>
      </c>
      <c r="K27" s="388">
        <f>'26.2'!K27+F26-F10</f>
        <v/>
      </c>
      <c r="L27" s="388">
        <f>'26.2'!L27+G26-G10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D8/3.6/D3/(DAY(DATE(2026,4,0))*24)</f>
        <v/>
      </c>
      <c r="E31" s="299">
        <f>E8/3.6/E3/(DAY(DATE(2026,4,0))*24)</f>
        <v/>
      </c>
      <c r="F31" s="299">
        <f>F8/3.6/F3/(DAY(DATE(2026,4,0))*24)</f>
        <v/>
      </c>
      <c r="G31" s="299">
        <f>(G8-G36)/3.6/G3/(DAY(DATE(2026,4,0))*24)</f>
        <v/>
      </c>
      <c r="H31" s="300">
        <f>H8/3.6/H3/(DAY(DATE(2026,4,0))*24)</f>
        <v/>
      </c>
      <c r="I31" s="301">
        <f>I8/3.6/I3/(DATEDIF(DATE(2026,1,1),DATE(2026,4,1),"D")*24)</f>
        <v/>
      </c>
      <c r="J31" s="299">
        <f>J8/3.6/J3/(DATEDIF(DATE(2026,1,1),DATE(2026,4,1),"D")*24)</f>
        <v/>
      </c>
      <c r="K31" s="299">
        <f>K8/3.6/K3/(DATEDIF(DATE(2026,1,1),DATE(2026,4,1),"D")*24)</f>
        <v/>
      </c>
      <c r="L31" s="299">
        <f>(L8-L36)/3.6/L3/(DATEDIF(DATE(2026,1,1),DATE(2026,4,1),"D")*24)</f>
        <v/>
      </c>
      <c r="M31" s="300">
        <f>M8/3.6/M3/(DATEDIF(DATE(2026,1,1),DATE(2026,4,1),"D")*24)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6">
        <f>G36+'26.2'!L36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26">
        <f>D42+'26.2'!E42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26">
        <f>D43+'26.2'!E43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26">
        <f>D44+'26.2'!E44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326">
        <f>D45+'26.2'!E45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D42/3.6/D39/(DAY(DATE(2026,4,0))*24)</f>
        <v/>
      </c>
      <c r="E47" s="330">
        <f>E42/3.6/E39/(DATEDIF(DATE(2026,1,1),DATE(2026,4,1),"D")*24)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24">
        <f>D58+'26.2'!G58</f>
        <v/>
      </c>
      <c r="H58" s="324">
        <f>E58+'26.2'!H58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24">
        <f>D59+'26.2'!G59</f>
        <v/>
      </c>
      <c r="H59" s="324">
        <f>E59+'26.2'!H59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24">
        <f>D60+'26.2'!G60</f>
        <v/>
      </c>
      <c r="H60" s="324">
        <f>E60+'26.2'!H60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24">
        <f>D61+'26.2'!G61</f>
        <v/>
      </c>
      <c r="H61" s="324">
        <f>E61+'26.2'!H61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D58/3.6/D55/(DAY(DATE(2026,4,0))*24)</f>
        <v/>
      </c>
      <c r="E63" s="299">
        <f>E58/3.6/E55/(DAY(DATE(2026,4,0))*24)</f>
        <v/>
      </c>
      <c r="F63" s="329">
        <f>F58/3.6/F55/(DAY(DATE(2026,4,0))*24)</f>
        <v/>
      </c>
      <c r="G63" s="301">
        <f>G58/3.6/G55/(DATEDIF(DATE(2026,1,1),DATE(2026,4,1),"D")*24)</f>
        <v/>
      </c>
      <c r="H63" s="299">
        <f>H58/3.6/H55/(DATEDIF(DATE(2026,1,1),DATE(2026,4,1),"D")*24)</f>
        <v/>
      </c>
      <c r="I63" s="300">
        <f>I58/3.6/I55/(DATEDIF(DATE(2026,1,1),DATE(2026,4,1),"D")*24)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26">
        <f>D73+'26.2'!F73</f>
        <v/>
      </c>
      <c r="G73" s="326">
        <f>E73+'26.2'!G73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D74+'26.2'!F74</f>
        <v/>
      </c>
      <c r="G74" s="326">
        <f>E74+'26.2'!G74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D75+'26.2'!F75</f>
        <v/>
      </c>
      <c r="G75" s="326">
        <f>E75+'26.2'!G75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26">
        <f>D76+'26.2'!F76</f>
        <v/>
      </c>
      <c r="G76" s="326">
        <f>E76+'26.2'!G76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26">
        <f>D77+'26.2'!F77</f>
        <v/>
      </c>
      <c r="G77" s="326">
        <f>E77+'26.2'!G77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64">
        <f>D73/3.6/D71/(DAY(DATE(2026,4,0))*24)</f>
        <v/>
      </c>
      <c r="E82" s="365">
        <f>E73/3.6/E71/(DAY(DATE(2026,4,0))*24)</f>
        <v/>
      </c>
      <c r="F82" s="366">
        <f>F73/3.6/F71/(DATEDIF(DATE(2026,1,1),DATE(2026,4,1),"D")*24)</f>
        <v/>
      </c>
      <c r="G82" s="367">
        <f>G73/3.6/G71/(DATEDIF(DATE(2026,1,1),DATE(2026,4,1),"D")*24)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373">
        <f>F56+D88</f>
        <v/>
      </c>
      <c r="G88" s="373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373">
        <f>F57+D89</f>
        <v/>
      </c>
      <c r="G89" s="373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389">
        <f>D90+'26.2'!E90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389">
        <f>D91+'26.2'!E91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389">
        <f>D92+'26.2'!E92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389">
        <f>D93+'26.2'!E93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5">
        <f>D90/3.6/D87/(DAY(DATE(2026,4,0))*24)</f>
        <v/>
      </c>
      <c r="E95" s="300">
        <f>E90/3.6/E87/(DATEDIF(DATE(2026,1,1),DATE(2026,4,1),"D")*24)</f>
        <v/>
      </c>
      <c r="F95" s="375">
        <f>F90/3.6/F87/(DAY(DATE(2026,4,0))*24)</f>
        <v/>
      </c>
      <c r="G95" s="300">
        <f>G90/3.6/G87/(DATEDIF(DATE(2026,1,1),DATE(2026,4,1),"D")*24)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0">
        <f>D7+'26.3'!I7</f>
        <v/>
      </c>
      <c r="J7" s="380">
        <f>E7+'26.3'!J7</f>
        <v/>
      </c>
      <c r="K7" s="380">
        <f>F7+'26.3'!K7</f>
        <v/>
      </c>
      <c r="L7" s="380">
        <f>G7+'26.3'!L7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380">
        <f>D8+'26.3'!I8</f>
        <v/>
      </c>
      <c r="J8" s="380">
        <f>E8+'26.3'!J8</f>
        <v/>
      </c>
      <c r="K8" s="380">
        <f>F8+'26.3'!K8</f>
        <v/>
      </c>
      <c r="L8" s="380">
        <f>G8+'26.3'!L8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[1]售热量!$I$25</f>
        <v/>
      </c>
      <c r="F9" s="260" t="n"/>
      <c r="G9" s="260" t="n"/>
      <c r="H9" s="256">
        <f>E9+F9+G9</f>
        <v/>
      </c>
      <c r="I9" s="380">
        <f>D9+'26.3'!I9</f>
        <v/>
      </c>
      <c r="J9" s="380">
        <f>E9+'26.3'!J9</f>
        <v/>
      </c>
      <c r="K9" s="380">
        <f>F9+'26.3'!K9</f>
        <v/>
      </c>
      <c r="L9" s="380">
        <f>G9+'26.3'!L9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0">
        <f>D10+'26.3'!I10</f>
        <v/>
      </c>
      <c r="J10" s="380">
        <f>E10+'26.3'!J10</f>
        <v/>
      </c>
      <c r="K10" s="380">
        <f>F10+'26.3'!K10</f>
        <v/>
      </c>
      <c r="L10" s="380">
        <f>G10+'26.3'!L10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0">
        <f>D11+'26.3'!I11</f>
        <v/>
      </c>
      <c r="J11" s="380">
        <f>E11+'26.3'!J11</f>
        <v/>
      </c>
      <c r="K11" s="380">
        <f>F11+'26.3'!K11</f>
        <v/>
      </c>
      <c r="L11" s="380">
        <f>G11+'26.3'!L11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0">
        <f>D12+'26.3'!I12</f>
        <v/>
      </c>
      <c r="J12" s="380">
        <f>E12+'26.3'!J12</f>
        <v/>
      </c>
      <c r="K12" s="380">
        <f>F12+'26.3'!K12</f>
        <v/>
      </c>
      <c r="L12" s="380">
        <f>G12+'26.3'!L12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0">
        <f>D13+'26.3'!I13</f>
        <v/>
      </c>
      <c r="J13" s="380">
        <f>E13+'26.3'!J13</f>
        <v/>
      </c>
      <c r="K13" s="380">
        <f>F13+'26.3'!K13</f>
        <v/>
      </c>
      <c r="L13" s="380">
        <f>G13+'26.3'!L13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0">
        <f>D14+'26.3'!I14</f>
        <v/>
      </c>
      <c r="J14" s="380">
        <f>E14+'26.3'!J14</f>
        <v/>
      </c>
      <c r="K14" s="380">
        <f>F14+'26.3'!K14</f>
        <v/>
      </c>
      <c r="L14" s="380">
        <f>G14+'26.3'!L14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0">
        <f>D15+'26.3'!I15</f>
        <v/>
      </c>
      <c r="J15" s="380">
        <f>E15+'26.3'!J15</f>
        <v/>
      </c>
      <c r="K15" s="380">
        <f>F15+'26.3'!K15</f>
        <v/>
      </c>
      <c r="L15" s="380">
        <f>G15+'26.3'!L15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0">
        <f>D16+'26.3'!I16</f>
        <v/>
      </c>
      <c r="J16" s="380">
        <f>E16+'26.3'!J16</f>
        <v/>
      </c>
      <c r="K16" s="380">
        <f>F16+'26.3'!K16</f>
        <v/>
      </c>
      <c r="L16" s="380">
        <f>G16+'26.3'!L16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0">
        <f>D17+'26.3'!I17</f>
        <v/>
      </c>
      <c r="J17" s="380">
        <f>E17+'26.3'!J17</f>
        <v/>
      </c>
      <c r="K17" s="380" t="n"/>
      <c r="L17" s="380">
        <f>G17+'26.3'!L17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0">
        <f>D18+'26.3'!I18</f>
        <v/>
      </c>
      <c r="J18" s="380">
        <f>E18+'26.3'!J18</f>
        <v/>
      </c>
      <c r="K18" s="380">
        <f>F18+'26.3'!K18</f>
        <v/>
      </c>
      <c r="L18" s="380">
        <f>G18+'26.3'!L18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0">
        <f>D19+'26.3'!I19</f>
        <v/>
      </c>
      <c r="J19" s="386" t="n"/>
      <c r="K19" s="380">
        <f>F19+'26.3'!K19</f>
        <v/>
      </c>
      <c r="L19" s="380">
        <f>G19+'26.3'!L19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0">
        <f>D20+'26.3'!I20</f>
        <v/>
      </c>
      <c r="J20" s="380">
        <f>E20+'26.3'!J20</f>
        <v/>
      </c>
      <c r="K20" s="380">
        <f>F20+'26.3'!K20</f>
        <v/>
      </c>
      <c r="L20" s="380">
        <f>G20+'26.3'!L20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0">
        <f>D21+'26.3'!I21</f>
        <v/>
      </c>
      <c r="J21" s="380">
        <f>E21+'26.3'!J21</f>
        <v/>
      </c>
      <c r="K21" s="380">
        <f>F21+'26.3'!K21</f>
        <v/>
      </c>
      <c r="L21" s="380">
        <f>G21+'26.3'!L21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0">
        <f>D22+'26.3'!I22</f>
        <v/>
      </c>
      <c r="J22" s="380">
        <f>E22+'26.3'!J22</f>
        <v/>
      </c>
      <c r="K22" s="380">
        <f>F22+'26.3'!K22</f>
        <v/>
      </c>
      <c r="L22" s="380">
        <f>G22+'26.3'!L22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0">
        <f>D23+'26.3'!I23</f>
        <v/>
      </c>
      <c r="J23" s="380">
        <f>E23+'26.3'!J23</f>
        <v/>
      </c>
      <c r="K23" s="380">
        <f>F23+'26.3'!K23</f>
        <v/>
      </c>
      <c r="L23" s="380">
        <f>G23+'26.3'!L23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0">
        <f>D26+'26.3'!I26</f>
        <v/>
      </c>
      <c r="J26" s="380">
        <f>E26+'26.3'!J26</f>
        <v/>
      </c>
      <c r="K26" s="380">
        <f>F26+'26.3'!K26</f>
        <v/>
      </c>
      <c r="L26" s="380">
        <f>G26+'26.3'!L26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381">
        <f>'26.3'!J27+E26-E10</f>
        <v/>
      </c>
      <c r="K27" s="381">
        <f>'26.3'!K27+F26-F10</f>
        <v/>
      </c>
      <c r="L27" s="381">
        <f>'26.3'!L27+G26-G10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0">
        <f>D8/3.6/D3/(5*24)</f>
        <v/>
      </c>
      <c r="E31" s="390">
        <f>E8/3.6/E3/(5*24)</f>
        <v/>
      </c>
      <c r="F31" s="390">
        <f>F8/3.6/F3/(5*24)</f>
        <v/>
      </c>
      <c r="G31" s="299">
        <f>(G8-G36)/3.6/G3/(DAY(DATE(2026,5,0))*24)</f>
        <v/>
      </c>
      <c r="H31" s="391">
        <f>H8/3.6/H3/(5*24)</f>
        <v/>
      </c>
      <c r="I31" s="392">
        <f>I8/3.6/I3/(DATEDIF(DATE(2026,1,1),DATE(2026,5,1),"D")*24)</f>
        <v/>
      </c>
      <c r="J31" s="393">
        <f>J8/3.6/J3/(DATEDIF(DATE(2026,1,1),DATE(2026,5,1),"D")*24)</f>
        <v/>
      </c>
      <c r="K31" s="393">
        <f>K8/3.6/K3/(DATEDIF(DATE(2026,1,1),DATE(2026,5,1),"D")*24)</f>
        <v/>
      </c>
      <c r="L31" s="393">
        <f>(L8-L36)/3.6/L3/(DATEDIF(DATE(2026,1,1),DATE(2026,5,1),"D")*24)</f>
        <v/>
      </c>
      <c r="M31" s="394">
        <f>M8/3.6/M3/(DATEDIF(DATE(2026,1,1),DATE(2026,5,1),"D")*24)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0">
        <f>G36+'26.3'!L36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2">
        <f>D42+'26.3'!E42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2">
        <f>D43+'26.3'!E43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2">
        <f>D44+'26.3'!E44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2">
        <f>D45+'26.3'!E45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95">
        <f>D42/3.6/D39/(5*24)</f>
        <v/>
      </c>
      <c r="E47" s="396">
        <f>E42/3.6/E39/(DATEDIF(DATE(2026,1,1),DATE(2026,5,1),"D")*24)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3">
        <f>D58+'26.3'!G58</f>
        <v/>
      </c>
      <c r="H58" s="383">
        <f>E58+'26.3'!H58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3">
        <f>D59+'26.3'!G59</f>
        <v/>
      </c>
      <c r="H59" s="383">
        <f>E59+'26.3'!H59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3">
        <f>D60+'26.3'!G60</f>
        <v/>
      </c>
      <c r="H60" s="383">
        <f>E60+'26.3'!H60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3">
        <f>D61+'26.3'!G61</f>
        <v/>
      </c>
      <c r="H61" s="383">
        <f>E61+'26.3'!H61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0">
        <f>D58/3.6/D55/(5*24)</f>
        <v/>
      </c>
      <c r="E63" s="390">
        <f>E58/3.6/E55/(5*24)</f>
        <v/>
      </c>
      <c r="F63" s="395">
        <f>F58/3.6/F55/(5*24)</f>
        <v/>
      </c>
      <c r="G63" s="392">
        <f>G58/3.6/G55/(DATEDIF(DATE(2026,1,1),DATE(2026,5,1),"D")*24)</f>
        <v/>
      </c>
      <c r="H63" s="393">
        <f>H58/3.6/H55/(DATEDIF(DATE(2026,1,1),DATE(2026,5,1),"D")*24)</f>
        <v/>
      </c>
      <c r="I63" s="394">
        <f>I58/3.6/I55/(DATEDIF(DATE(2026,1,1),DATE(2026,5,1),"D")*24)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82">
        <f>D73+'26.3'!F73</f>
        <v/>
      </c>
      <c r="G73" s="382">
        <f>E73+'26.3'!G73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2">
        <f>D74+'26.3'!F74</f>
        <v/>
      </c>
      <c r="G74" s="382">
        <f>E74+'26.3'!G74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2">
        <f>D75+'26.3'!F75</f>
        <v/>
      </c>
      <c r="G75" s="382">
        <f>E75+'26.3'!G75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82">
        <f>D76+'26.3'!F76</f>
        <v/>
      </c>
      <c r="G76" s="382">
        <f>E76+'26.3'!G76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82">
        <f>D77+'26.3'!F77</f>
        <v/>
      </c>
      <c r="G77" s="382">
        <f>E77+'26.3'!G77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97">
        <f>D73/3.6/D71/(5*24)</f>
        <v/>
      </c>
      <c r="E82" s="398">
        <f>E73/3.6/E71/(5*24)</f>
        <v/>
      </c>
      <c r="F82" s="399">
        <f>F73/3.6/F71/(DATEDIF(DATE(2026,1,1),DATE(2026,5,1),"D")*24)</f>
        <v/>
      </c>
      <c r="G82" s="400">
        <f>G73/3.6/G71/(DATEDIF(DATE(2026,1,1),DATE(2026,5,1),"D")*24)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385">
        <f>D90+'26.3'!E90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385">
        <f>D91+'26.3'!E91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385">
        <f>D92+'26.3'!E92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385">
        <f>D93+'26.3'!E93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02">
        <f>D90/3.6/D87/(5*24)</f>
        <v/>
      </c>
      <c r="E95" s="394">
        <f>E90/3.6/E87/(DATEDIF(DATE(2026,1,1),DATE(2026,5,1),"D")*24)</f>
        <v/>
      </c>
      <c r="F95" s="402">
        <f>F90/3.6/F87/(5*24)</f>
        <v/>
      </c>
      <c r="G95" s="394">
        <f>G90/3.6/G87/(DATEDIF(DATE(2026,1,1),DATE(2026,5,1),"D")*24)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D7+'26.4'!I7</f>
        <v/>
      </c>
      <c r="J7" s="403">
        <f>E7+'26.4'!J7</f>
        <v/>
      </c>
      <c r="K7" s="403">
        <f>F7+'26.4'!K7</f>
        <v/>
      </c>
      <c r="L7" s="403">
        <f>G7+'26.4'!L7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D8+'26.4'!I8</f>
        <v/>
      </c>
      <c r="J8" s="403">
        <f>E8+'26.4'!J8</f>
        <v/>
      </c>
      <c r="K8" s="403">
        <f>F8+'26.4'!K8</f>
        <v/>
      </c>
      <c r="L8" s="403">
        <f>G8+'26.4'!L8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[1]售热量!$K$25</f>
        <v/>
      </c>
      <c r="F9" s="260" t="n"/>
      <c r="G9" s="260" t="n"/>
      <c r="H9" s="256">
        <f>E9+F9+G9</f>
        <v/>
      </c>
      <c r="I9" s="403">
        <f>D9+'26.4'!I9</f>
        <v/>
      </c>
      <c r="J9" s="403">
        <f>E9+'26.4'!J9</f>
        <v/>
      </c>
      <c r="K9" s="403">
        <f>F9+'26.4'!K9</f>
        <v/>
      </c>
      <c r="L9" s="403">
        <f>G9+'26.4'!L9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D10+'26.4'!I10</f>
        <v/>
      </c>
      <c r="J10" s="403">
        <f>E10+'26.4'!J10</f>
        <v/>
      </c>
      <c r="K10" s="403">
        <f>F10+'26.4'!K10</f>
        <v/>
      </c>
      <c r="L10" s="403">
        <f>G10+'26.4'!L10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D11+'26.4'!I11</f>
        <v/>
      </c>
      <c r="J11" s="403">
        <f>E11+'26.4'!J11</f>
        <v/>
      </c>
      <c r="K11" s="403">
        <f>F11+'26.4'!K11</f>
        <v/>
      </c>
      <c r="L11" s="403">
        <f>G11+'26.4'!L11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D12+'26.4'!I12</f>
        <v/>
      </c>
      <c r="J12" s="403">
        <f>E12+'26.4'!J12</f>
        <v/>
      </c>
      <c r="K12" s="403">
        <f>F12+'26.4'!K12</f>
        <v/>
      </c>
      <c r="L12" s="403">
        <f>G12+'26.4'!L12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D13+'26.4'!I13</f>
        <v/>
      </c>
      <c r="J13" s="403">
        <f>E13+'26.4'!J13</f>
        <v/>
      </c>
      <c r="K13" s="403">
        <f>F13+'26.4'!K13</f>
        <v/>
      </c>
      <c r="L13" s="403">
        <f>G13+'26.4'!L13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D14+'26.4'!I14</f>
        <v/>
      </c>
      <c r="J14" s="403">
        <f>E14+'26.4'!J14</f>
        <v/>
      </c>
      <c r="K14" s="403">
        <f>F14+'26.4'!K14</f>
        <v/>
      </c>
      <c r="L14" s="403">
        <f>G14+'26.4'!L14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D15+'26.4'!I15</f>
        <v/>
      </c>
      <c r="J15" s="403">
        <f>E15+'26.4'!J15</f>
        <v/>
      </c>
      <c r="K15" s="403">
        <f>F15+'26.4'!K15</f>
        <v/>
      </c>
      <c r="L15" s="403">
        <f>G15+'26.4'!L15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D16+'26.4'!I16</f>
        <v/>
      </c>
      <c r="J16" s="403">
        <f>E16+'26.4'!J16</f>
        <v/>
      </c>
      <c r="K16" s="403">
        <f>F16+'26.4'!K16</f>
        <v/>
      </c>
      <c r="L16" s="403">
        <f>G16+'26.4'!L16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D17+'26.4'!I17</f>
        <v/>
      </c>
      <c r="J17" s="403">
        <f>E17+'26.4'!J17</f>
        <v/>
      </c>
      <c r="K17" s="380" t="n"/>
      <c r="L17" s="403">
        <f>G17+'26.4'!L17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D18+'26.4'!I18</f>
        <v/>
      </c>
      <c r="J18" s="403">
        <f>E18+'26.4'!J18</f>
        <v/>
      </c>
      <c r="K18" s="403">
        <f>F18+'26.4'!K18</f>
        <v/>
      </c>
      <c r="L18" s="403">
        <f>G18+'26.4'!L18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403">
        <f>D19+'26.4'!I19</f>
        <v/>
      </c>
      <c r="J19" s="386" t="n"/>
      <c r="K19" s="403">
        <f>F19+'26.4'!K19</f>
        <v/>
      </c>
      <c r="L19" s="403">
        <f>G19+'26.4'!L19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D20+'26.4'!I20</f>
        <v/>
      </c>
      <c r="J20" s="403">
        <f>E20+'26.4'!J20</f>
        <v/>
      </c>
      <c r="K20" s="403">
        <f>F20+'26.4'!K20</f>
        <v/>
      </c>
      <c r="L20" s="403">
        <f>G20+'26.4'!L20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D21+'26.4'!I21</f>
        <v/>
      </c>
      <c r="J21" s="403">
        <f>E21+'26.4'!J21</f>
        <v/>
      </c>
      <c r="K21" s="403">
        <f>F21+'26.4'!K21</f>
        <v/>
      </c>
      <c r="L21" s="403">
        <f>G21+'26.4'!L21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D22+'26.4'!I22</f>
        <v/>
      </c>
      <c r="J22" s="403">
        <f>E22+'26.4'!J22</f>
        <v/>
      </c>
      <c r="K22" s="403">
        <f>F22+'26.4'!K22</f>
        <v/>
      </c>
      <c r="L22" s="403">
        <f>G22+'26.4'!L22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D23+'26.4'!I23</f>
        <v/>
      </c>
      <c r="J23" s="403">
        <f>E23+'26.4'!J23</f>
        <v/>
      </c>
      <c r="K23" s="403">
        <f>F23+'26.4'!K23</f>
        <v/>
      </c>
      <c r="L23" s="403">
        <f>G23+'26.4'!L23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D26+'26.4'!I26</f>
        <v/>
      </c>
      <c r="J26" s="403">
        <f>E26+'26.4'!J26</f>
        <v/>
      </c>
      <c r="K26" s="403">
        <f>F26+'26.4'!K26</f>
        <v/>
      </c>
      <c r="L26" s="403">
        <f>G26+'26.4'!L26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404">
        <f>'26.4'!J27+E26-E10</f>
        <v/>
      </c>
      <c r="K27" s="404">
        <f>'26.4'!K27+F26-F10</f>
        <v/>
      </c>
      <c r="L27" s="404">
        <f>'26.4'!L27+G26-G10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D8/3.6/D3/(DAY(DATE(2026,6,0))*24)</f>
        <v/>
      </c>
      <c r="E31" s="393">
        <f>E8/3.6/E3/(DAY(DATE(2026,6,0))*24)</f>
        <v/>
      </c>
      <c r="F31" s="393">
        <f>F8/3.6/F3/(DAY(DATE(2026,6,0))*24)</f>
        <v/>
      </c>
      <c r="G31" s="393">
        <f>(G8-G36)/3.6/G3/(DAY(DATE(2026,6,0))*24)</f>
        <v/>
      </c>
      <c r="H31" s="394">
        <f>H8/3.6/H3/(DAY(DATE(2026,6,0))*24)</f>
        <v/>
      </c>
      <c r="I31" s="392">
        <f>I8/3.6/I3/(DATEDIF(DATE(2026,1,1),DATE(2026,6,1),"D")*24)</f>
        <v/>
      </c>
      <c r="J31" s="393">
        <f>J8/3.6/J3/(DATEDIF(DATE(2026,1,1),DATE(2026,6,1),"D")*24)</f>
        <v/>
      </c>
      <c r="K31" s="393">
        <f>K8/3.6/K3/(DATEDIF(DATE(2026,1,1),DATE(2026,6,1),"D")*24)</f>
        <v/>
      </c>
      <c r="L31" s="393">
        <f>(L8-L36)/3.6/L3/(DATEDIF(DATE(2026,1,1),DATE(2026,6,1),"D")*24)</f>
        <v/>
      </c>
      <c r="M31" s="394">
        <f>M8/3.6/M3/(DATEDIF(DATE(2026,1,1),DATE(2026,6,1),"D")*24)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G36+'26.4'!L36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D42+'26.4'!E42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D43+'26.4'!E43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D44+'26.4'!E44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D45+'26.4'!E45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D42/3.6/D39/(DAY(DATE(2026,6,0))*24)</f>
        <v/>
      </c>
      <c r="E47" s="396">
        <f>E42/3.6/E39/(DATEDIF(DATE(2026,1,1),DATE(2026,6,1),"D")*24)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D58+'26.4'!G58</f>
        <v/>
      </c>
      <c r="H58" s="407">
        <f>E58+'26.4'!H58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D59+'26.4'!G59</f>
        <v/>
      </c>
      <c r="H59" s="407">
        <f>E59+'26.4'!H59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D60+'26.4'!G60</f>
        <v/>
      </c>
      <c r="H60" s="407">
        <f>E60+'26.4'!H60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D61+'26.4'!G61</f>
        <v/>
      </c>
      <c r="H61" s="407">
        <f>E61+'26.4'!H61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D58/3.6/D55/(DAY(DATE(2026,6,0))*24)</f>
        <v/>
      </c>
      <c r="E63" s="393">
        <f>E58/3.6/E55/(DAY(DATE(2026,6,0))*24)</f>
        <v/>
      </c>
      <c r="F63" s="406">
        <f>F58/3.6/F55/(DAY(DATE(2026,6,0))*24)</f>
        <v/>
      </c>
      <c r="G63" s="392">
        <f>G58/3.6/G55/(DATEDIF(DATE(2026,1,1),DATE(2026,6,1),"D")*24)</f>
        <v/>
      </c>
      <c r="H63" s="393">
        <f>H58/3.6/H55/(DATEDIF(DATE(2026,1,1),DATE(2026,6,1),"D")*24)</f>
        <v/>
      </c>
      <c r="I63" s="394">
        <f>I58/3.6/I55/(DATEDIF(DATE(2026,1,1),DATE(2026,6,1),"D")*24)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D73+'26.4'!F73</f>
        <v/>
      </c>
      <c r="G73" s="405">
        <f>E73+'26.4'!G73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D74+'26.4'!F74</f>
        <v/>
      </c>
      <c r="G74" s="405">
        <f>E74+'26.4'!G74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D75+'26.4'!F75</f>
        <v/>
      </c>
      <c r="G75" s="405">
        <f>E75+'26.4'!G75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D76+'26.4'!F76</f>
        <v/>
      </c>
      <c r="G76" s="405">
        <f>E76+'26.4'!G76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D77+'26.4'!F77</f>
        <v/>
      </c>
      <c r="G77" s="405">
        <f>E77+'26.4'!G77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D73/3.6/D71/(DAY(DATE(2026,6,0))*24)</f>
        <v/>
      </c>
      <c r="E82" s="409">
        <f>E73/3.6/E71/(DAY(DATE(2026,6,0))*24)</f>
        <v/>
      </c>
      <c r="F82" s="399">
        <f>F73/3.6/F71/(DATEDIF(DATE(2026,1,1),DATE(2026,6,1),"D")*24)</f>
        <v/>
      </c>
      <c r="G82" s="400">
        <f>G73/3.6/G71/(DATEDIF(DATE(2026,1,1),DATE(2026,6,1),"D")*24)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D90+'26.4'!E90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D91+'26.4'!E91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D92+'26.4'!E92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D93+'26.4'!E93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D90/3.6/D87/(DAY(DATE(2026,6,0))*24)</f>
        <v/>
      </c>
      <c r="E95" s="394">
        <f>E90/3.6/E87/(DATEDIF(DATE(2026,1,1),DATE(2026,6,1),"D")*24)</f>
        <v/>
      </c>
      <c r="F95" s="411">
        <f>F90/3.6/F87/(DAY(DATE(2026,6,0))*24)</f>
        <v/>
      </c>
      <c r="G95" s="394">
        <f>G90/3.6/G87/(DATEDIF(DATE(2026,1,1),DATE(2026,6,1),"D")*24)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D7+'26.5'!I7</f>
        <v/>
      </c>
      <c r="J7" s="412">
        <f>E7+'26.5'!J7</f>
        <v/>
      </c>
      <c r="K7" s="412">
        <f>F7+'26.5'!K7</f>
        <v/>
      </c>
      <c r="L7" s="412">
        <f>G7+'26.5'!L7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D8+'26.5'!I8</f>
        <v/>
      </c>
      <c r="J8" s="412">
        <f>E8+'26.5'!J8</f>
        <v/>
      </c>
      <c r="K8" s="412">
        <f>F8+'26.5'!K8</f>
        <v/>
      </c>
      <c r="L8" s="412">
        <f>G8+'26.5'!L8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[1]售热量!$M$25</f>
        <v/>
      </c>
      <c r="F9" s="260" t="n"/>
      <c r="G9" s="260" t="n"/>
      <c r="H9" s="256">
        <f>E9+F9+G9</f>
        <v/>
      </c>
      <c r="I9" s="412">
        <f>D9+'26.5'!I9</f>
        <v/>
      </c>
      <c r="J9" s="412">
        <f>E9+'26.5'!J9</f>
        <v/>
      </c>
      <c r="K9" s="412">
        <f>F9+'26.5'!K9</f>
        <v/>
      </c>
      <c r="L9" s="412">
        <f>G9+'26.5'!L9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D10+'26.5'!I10</f>
        <v/>
      </c>
      <c r="J10" s="412">
        <f>E10+'26.5'!J10</f>
        <v/>
      </c>
      <c r="K10" s="412">
        <f>F10+'26.5'!K10</f>
        <v/>
      </c>
      <c r="L10" s="412">
        <f>G10+'26.5'!L10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D11+'26.5'!I11</f>
        <v/>
      </c>
      <c r="J11" s="412">
        <f>E11+'26.5'!J11</f>
        <v/>
      </c>
      <c r="K11" s="412">
        <f>F11+'26.5'!K11</f>
        <v/>
      </c>
      <c r="L11" s="412">
        <f>G11+'26.5'!L11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D12+'26.5'!I12</f>
        <v/>
      </c>
      <c r="J12" s="412">
        <f>E12+'26.5'!J12</f>
        <v/>
      </c>
      <c r="K12" s="412">
        <f>F12+'26.5'!K12</f>
        <v/>
      </c>
      <c r="L12" s="412">
        <f>G12+'26.5'!L12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D13+'26.5'!I13</f>
        <v/>
      </c>
      <c r="J13" s="412">
        <f>E13+'26.5'!J13</f>
        <v/>
      </c>
      <c r="K13" s="412">
        <f>F13+'26.5'!K13</f>
        <v/>
      </c>
      <c r="L13" s="412">
        <f>G13+'26.5'!L13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D14+'26.5'!I14</f>
        <v/>
      </c>
      <c r="J14" s="412">
        <f>E14+'26.5'!J14</f>
        <v/>
      </c>
      <c r="K14" s="412">
        <f>F14+'26.5'!K14</f>
        <v/>
      </c>
      <c r="L14" s="412">
        <f>G14+'26.5'!L14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D15+'26.5'!I15</f>
        <v/>
      </c>
      <c r="J15" s="412">
        <f>E15+'26.5'!J15</f>
        <v/>
      </c>
      <c r="K15" s="412">
        <f>F15+'26.5'!K15</f>
        <v/>
      </c>
      <c r="L15" s="412">
        <f>G15+'26.5'!L15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D16+'26.5'!I16</f>
        <v/>
      </c>
      <c r="J16" s="412">
        <f>E16+'26.5'!J16</f>
        <v/>
      </c>
      <c r="K16" s="412">
        <f>F16+'26.5'!K16</f>
        <v/>
      </c>
      <c r="L16" s="412">
        <f>G16+'26.5'!L16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D17+'26.5'!I17</f>
        <v/>
      </c>
      <c r="J17" s="412">
        <f>E17+'26.5'!J17</f>
        <v/>
      </c>
      <c r="K17" s="380" t="n"/>
      <c r="L17" s="412">
        <f>G17+'26.5'!L17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D18+'26.5'!I18</f>
        <v/>
      </c>
      <c r="J18" s="412">
        <f>E18+'26.5'!J18</f>
        <v/>
      </c>
      <c r="K18" s="412">
        <f>F18+'26.5'!K18</f>
        <v/>
      </c>
      <c r="L18" s="412">
        <f>G18+'26.5'!L18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D19+'26.5'!I19</f>
        <v/>
      </c>
      <c r="J19" s="386" t="n"/>
      <c r="K19" s="412">
        <f>F19+'26.5'!K19</f>
        <v/>
      </c>
      <c r="L19" s="412">
        <f>G19+'26.5'!L19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D20+'26.5'!I20</f>
        <v/>
      </c>
      <c r="J20" s="412">
        <f>E20+'26.5'!J20</f>
        <v/>
      </c>
      <c r="K20" s="412">
        <f>F20+'26.5'!K20</f>
        <v/>
      </c>
      <c r="L20" s="412">
        <f>G20+'26.5'!L20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D21+'26.5'!I21</f>
        <v/>
      </c>
      <c r="J21" s="412">
        <f>E21+'26.5'!J21</f>
        <v/>
      </c>
      <c r="K21" s="412">
        <f>F21+'26.5'!K21</f>
        <v/>
      </c>
      <c r="L21" s="412">
        <f>G21+'26.5'!L21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D22+'26.5'!I22</f>
        <v/>
      </c>
      <c r="J22" s="412">
        <f>E22+'26.5'!J22</f>
        <v/>
      </c>
      <c r="K22" s="412">
        <f>F22+'26.5'!K22</f>
        <v/>
      </c>
      <c r="L22" s="412">
        <f>G22+'26.5'!L22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D23+'26.5'!I23</f>
        <v/>
      </c>
      <c r="J23" s="412">
        <f>E23+'26.5'!J23</f>
        <v/>
      </c>
      <c r="K23" s="412">
        <f>F23+'26.5'!K23</f>
        <v/>
      </c>
      <c r="L23" s="412">
        <f>G23+'26.5'!L23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D26+'26.5'!I26</f>
        <v/>
      </c>
      <c r="J26" s="412">
        <f>E26+'26.5'!J26</f>
        <v/>
      </c>
      <c r="K26" s="412">
        <f>F26+'26.5'!K26</f>
        <v/>
      </c>
      <c r="L26" s="412">
        <f>G26+'26.5'!L26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'26.5'!J27+E26-E10</f>
        <v/>
      </c>
      <c r="K27" s="413">
        <f>'26.5'!K27+F26-F10</f>
        <v/>
      </c>
      <c r="L27" s="413">
        <f>'26.5'!L27+G26-G10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D8/3.6/D3/(DAY(DATE(2026,7,0))*24)</f>
        <v/>
      </c>
      <c r="E31" s="393">
        <f>E8/3.6/E3/(DAY(DATE(2026,7,0))*24)</f>
        <v/>
      </c>
      <c r="F31" s="393">
        <f>F8/3.6/F3/(DAY(DATE(2026,7,0))*24)</f>
        <v/>
      </c>
      <c r="G31" s="393">
        <f>(G8-G36)/3.6/G3/(DAY(DATE(2026,7,0))*24)</f>
        <v/>
      </c>
      <c r="H31" s="394">
        <f>H8/3.6/H3/(DAY(DATE(2026,7,0))*24)</f>
        <v/>
      </c>
      <c r="I31" s="392">
        <f>I8/3.6/I3/(DATEDIF(DATE(2026,1,1),DATE(2026,7,1),"D")*24)</f>
        <v/>
      </c>
      <c r="J31" s="393">
        <f>J8/3.6/J3/(DATEDIF(DATE(2026,1,1),DATE(2026,7,1),"D")*24)</f>
        <v/>
      </c>
      <c r="K31" s="393">
        <f>K8/3.6/K3/(DATEDIF(DATE(2026,1,1),DATE(2026,7,1),"D")*24)</f>
        <v/>
      </c>
      <c r="L31" s="393">
        <f>(L8-L36)/3.6/L3/(DATEDIF(DATE(2026,1,1),DATE(2026,7,1),"D")*24)</f>
        <v/>
      </c>
      <c r="M31" s="394">
        <f>M8/3.6/M3/(DATEDIF(DATE(2026,1,1),DATE(2026,7,1),"D")*24)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G36+'26.5'!L36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14">
        <f>D42+'26.5'!E42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D43+'26.5'!E43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D44+'26.5'!E44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D45+'26.5'!E45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D42/3.6/D39/(DAY(DATE(2026,7,0))*24)</f>
        <v/>
      </c>
      <c r="E47" s="396">
        <f>E42/3.6/E39/(DATEDIF(DATE(2026,1,1),DATE(2026,7,1),"D")*24)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D58+'26.5'!G58</f>
        <v/>
      </c>
      <c r="H58" s="415">
        <f>E58+'26.5'!H58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D59+'26.5'!G59</f>
        <v/>
      </c>
      <c r="H59" s="415">
        <f>E59+'26.5'!H59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D60+'26.5'!G60</f>
        <v/>
      </c>
      <c r="H60" s="415">
        <f>E60+'26.5'!H60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D61+'26.5'!G61</f>
        <v/>
      </c>
      <c r="H61" s="415">
        <f>E61+'26.5'!H61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D58/3.6/D55/(DAY(DATE(2026,7,0))*24)</f>
        <v/>
      </c>
      <c r="E63" s="393">
        <f>E58/3.6/E55/(DAY(DATE(2026,7,0))*24)</f>
        <v/>
      </c>
      <c r="F63" s="406">
        <f>F58/3.6/F55/(DAY(DATE(2026,7,0))*24)</f>
        <v/>
      </c>
      <c r="G63" s="392">
        <f>G58/3.6/G55/(DATEDIF(DATE(2026,1,1),DATE(2026,7,1),"D")*24)</f>
        <v/>
      </c>
      <c r="H63" s="393">
        <f>H58/3.6/H55/(DATEDIF(DATE(2026,1,1),DATE(2026,7,1),"D")*24)</f>
        <v/>
      </c>
      <c r="I63" s="394">
        <f>I58/3.6/I55/(DATEDIF(DATE(2026,1,1),DATE(2026,7,1),"D")*24)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D73+'26.5'!F73</f>
        <v/>
      </c>
      <c r="G73" s="414">
        <f>E73+'26.5'!G73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D74+'26.5'!F74</f>
        <v/>
      </c>
      <c r="G74" s="414">
        <f>E74+'26.5'!G74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D75+'26.5'!F75</f>
        <v/>
      </c>
      <c r="G75" s="414">
        <f>E75+'26.5'!G75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D76+'26.5'!F76</f>
        <v/>
      </c>
      <c r="G76" s="414">
        <f>E76+'26.5'!G76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D77+'26.5'!F77</f>
        <v/>
      </c>
      <c r="G77" s="414">
        <f>E77+'26.5'!G77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D73/3.6/D71/(DAY(DATE(2026,7,0))*24)</f>
        <v/>
      </c>
      <c r="E82" s="409">
        <f>E73/3.6/E71/(DAY(DATE(2026,7,0))*24)</f>
        <v/>
      </c>
      <c r="F82" s="399">
        <f>F73/3.6/F71/(DATEDIF(DATE(2026,1,1),DATE(2026,7,1),"D")*24)</f>
        <v/>
      </c>
      <c r="G82" s="400">
        <f>G73/3.6/G71/(DATEDIF(DATE(2026,1,1),DATE(2026,7,1),"D")*24)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D90+'26.5'!E90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D91+'26.5'!E91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D92+'26.5'!E92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D93+'26.5'!E93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D90/3.6/D87/(DAY(DATE(2026,7,0))*24)</f>
        <v/>
      </c>
      <c r="E95" s="394">
        <f>E90/3.6/E87/(DATEDIF(DATE(2026,1,1),DATE(2026,7,1),"D")*24)</f>
        <v/>
      </c>
      <c r="F95" s="411">
        <f>F90/3.6/F87/(DAY(DATE(2026,7,0))*24)</f>
        <v/>
      </c>
      <c r="G95" s="394">
        <f>G90/3.6/G87/(DATEDIF(DATE(2026,1,1),DATE(2026,7,1),"D")*24)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D7+'26.6'!I7</f>
        <v/>
      </c>
      <c r="J7" s="403">
        <f>E7+'26.6'!J7</f>
        <v/>
      </c>
      <c r="K7" s="403">
        <f>F7+'26.6'!K7</f>
        <v/>
      </c>
      <c r="L7" s="403">
        <f>G7+'26.6'!L7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D8+'26.6'!I8</f>
        <v/>
      </c>
      <c r="J8" s="403">
        <f>E8+'26.6'!J8</f>
        <v/>
      </c>
      <c r="K8" s="403">
        <f>F8+'26.6'!K8</f>
        <v/>
      </c>
      <c r="L8" s="403">
        <f>G8+'26.6'!L8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[1]售热量!$O$25</f>
        <v/>
      </c>
      <c r="F9" s="260" t="n"/>
      <c r="G9" s="260" t="n"/>
      <c r="H9" s="256">
        <f>E9+F9+G9</f>
        <v/>
      </c>
      <c r="I9" s="403">
        <f>D9+'26.6'!I9</f>
        <v/>
      </c>
      <c r="J9" s="403">
        <f>E9+'26.6'!J9</f>
        <v/>
      </c>
      <c r="K9" s="403">
        <f>F9+'26.6'!K9</f>
        <v/>
      </c>
      <c r="L9" s="403">
        <f>G9+'26.6'!L9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D10+'26.6'!I10</f>
        <v/>
      </c>
      <c r="J10" s="403">
        <f>E10+'26.6'!J10</f>
        <v/>
      </c>
      <c r="K10" s="403">
        <f>F10+'26.6'!K10</f>
        <v/>
      </c>
      <c r="L10" s="403">
        <f>G10+'26.6'!L10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D11+'26.6'!I11</f>
        <v/>
      </c>
      <c r="J11" s="403">
        <f>E11+'26.6'!J11</f>
        <v/>
      </c>
      <c r="K11" s="403">
        <f>F11+'26.6'!K11</f>
        <v/>
      </c>
      <c r="L11" s="403">
        <f>G11+'26.6'!L11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D12+'26.6'!I12</f>
        <v/>
      </c>
      <c r="J12" s="403">
        <f>E12+'26.6'!J12</f>
        <v/>
      </c>
      <c r="K12" s="403">
        <f>F12+'26.6'!K12</f>
        <v/>
      </c>
      <c r="L12" s="403">
        <f>G12+'26.6'!L12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D13+'26.6'!I13</f>
        <v/>
      </c>
      <c r="J13" s="403">
        <f>E13+'26.6'!J13</f>
        <v/>
      </c>
      <c r="K13" s="403">
        <f>F13+'26.6'!K13</f>
        <v/>
      </c>
      <c r="L13" s="403">
        <f>G13+'26.6'!L13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D14+'26.6'!I14</f>
        <v/>
      </c>
      <c r="J14" s="403">
        <f>E14+'26.6'!J14</f>
        <v/>
      </c>
      <c r="K14" s="403">
        <f>F14+'26.6'!K14</f>
        <v/>
      </c>
      <c r="L14" s="403">
        <f>G14+'26.6'!L14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D15+'26.6'!I15</f>
        <v/>
      </c>
      <c r="J15" s="403">
        <f>E15+'26.6'!J15</f>
        <v/>
      </c>
      <c r="K15" s="403">
        <f>F15+'26.6'!K15</f>
        <v/>
      </c>
      <c r="L15" s="403">
        <f>G15+'26.6'!L15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D16+'26.6'!I16</f>
        <v/>
      </c>
      <c r="J16" s="403">
        <f>E16+'26.6'!J16</f>
        <v/>
      </c>
      <c r="K16" s="403">
        <f>F16+'26.6'!K16</f>
        <v/>
      </c>
      <c r="L16" s="403">
        <f>G16+'26.6'!L16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D17+'26.6'!I17</f>
        <v/>
      </c>
      <c r="J17" s="403">
        <f>E17+'26.6'!J17</f>
        <v/>
      </c>
      <c r="K17" s="380" t="n"/>
      <c r="L17" s="403">
        <f>G17+'26.6'!L17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D18+'26.6'!I18</f>
        <v/>
      </c>
      <c r="J18" s="403">
        <f>E18+'26.6'!J18</f>
        <v/>
      </c>
      <c r="K18" s="403">
        <f>F18+'26.6'!K18</f>
        <v/>
      </c>
      <c r="L18" s="403">
        <f>G18+'26.6'!L18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D19+'26.6'!I19</f>
        <v/>
      </c>
      <c r="J19" s="386" t="n"/>
      <c r="K19" s="403">
        <f>F19+'26.6'!K19</f>
        <v/>
      </c>
      <c r="L19" s="403">
        <f>G19+'26.6'!L19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D20+'26.6'!I20</f>
        <v/>
      </c>
      <c r="J20" s="403">
        <f>E20+'26.6'!J20</f>
        <v/>
      </c>
      <c r="K20" s="403">
        <f>F20+'26.6'!K20</f>
        <v/>
      </c>
      <c r="L20" s="403">
        <f>G20+'26.6'!L20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D21+'26.6'!I21</f>
        <v/>
      </c>
      <c r="J21" s="403">
        <f>E21+'26.6'!J21</f>
        <v/>
      </c>
      <c r="K21" s="403">
        <f>F21+'26.6'!K21</f>
        <v/>
      </c>
      <c r="L21" s="403">
        <f>G21+'26.6'!L21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D22+'26.6'!I22</f>
        <v/>
      </c>
      <c r="J22" s="403">
        <f>E22+'26.6'!J22</f>
        <v/>
      </c>
      <c r="K22" s="403">
        <f>F22+'26.6'!K22</f>
        <v/>
      </c>
      <c r="L22" s="403">
        <f>G22+'26.6'!L22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D23+'26.6'!I23</f>
        <v/>
      </c>
      <c r="J23" s="403">
        <f>E23+'26.6'!J23</f>
        <v/>
      </c>
      <c r="K23" s="403">
        <f>F23+'26.6'!K23</f>
        <v/>
      </c>
      <c r="L23" s="403">
        <f>G23+'26.6'!L23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D26+'26.6'!I26</f>
        <v/>
      </c>
      <c r="J26" s="403">
        <f>E26+'26.6'!J26</f>
        <v/>
      </c>
      <c r="K26" s="403">
        <f>F26+'26.6'!K26</f>
        <v/>
      </c>
      <c r="L26" s="403">
        <f>G26+'26.6'!L26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'26.6'!J27+E26-E10</f>
        <v/>
      </c>
      <c r="K27" s="404">
        <f>'26.6'!K27+F26-F10</f>
        <v/>
      </c>
      <c r="L27" s="404">
        <f>'26.6'!L27+G26-G10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D8/3.6/D3/(DAY(DATE(2026,8,0))*24)</f>
        <v/>
      </c>
      <c r="E31" s="393">
        <f>E8/3.6/E3/(DAY(DATE(2026,8,0))*24)</f>
        <v/>
      </c>
      <c r="F31" s="393">
        <f>F8/3.6/F3/(DAY(DATE(2026,8,0))*24)</f>
        <v/>
      </c>
      <c r="G31" s="393">
        <f>(G8-G36)/3.6/G3/(DAY(DATE(2026,8,0))*24)</f>
        <v/>
      </c>
      <c r="H31" s="394">
        <f>H8/3.6/H3/(DAY(DATE(2026,8,0))*24)</f>
        <v/>
      </c>
      <c r="I31" s="392">
        <f>I8/3.6/I3/(DATEDIF(DATE(2026,1,1),DATE(2026,8,1),"D")*24)</f>
        <v/>
      </c>
      <c r="J31" s="393">
        <f>J8/3.6/J3/(DATEDIF(DATE(2026,1,1),DATE(2026,8,1),"D")*24)</f>
        <v/>
      </c>
      <c r="K31" s="393">
        <f>K8/3.6/K3/(DATEDIF(DATE(2026,1,1),DATE(2026,8,1),"D")*24)</f>
        <v/>
      </c>
      <c r="L31" s="393">
        <f>(L8-L36)/3.6/L3/(DATEDIF(DATE(2026,1,1),DATE(2026,8,1),"D")*24)</f>
        <v/>
      </c>
      <c r="M31" s="394">
        <f>M8/3.6/M3/(DATEDIF(DATE(2026,1,1),DATE(2026,8,1),"D")*24)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G36+'26.6'!L36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D42+'26.6'!E42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D43+'26.6'!E43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D44+'26.6'!E44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D45+'26.6'!E45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D42/3.6/D39/(DAY(DATE(2026,8,0))*24)</f>
        <v/>
      </c>
      <c r="E47" s="396">
        <f>E42/3.6/E39/(DATEDIF(DATE(2026,1,1),DATE(2026,8,1),"D")*24)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D58+'26.6'!G58</f>
        <v/>
      </c>
      <c r="H58" s="407">
        <f>E58+'26.6'!H58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D59+'26.6'!G59</f>
        <v/>
      </c>
      <c r="H59" s="407">
        <f>E59+'26.6'!H59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D60+'26.6'!G60</f>
        <v/>
      </c>
      <c r="H60" s="407">
        <f>E60+'26.6'!H60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D61+'26.6'!G61</f>
        <v/>
      </c>
      <c r="H61" s="407">
        <f>E61+'26.6'!H61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D58/3.6/D55/(DAY(DATE(2026,8,0))*24)</f>
        <v/>
      </c>
      <c r="E63" s="393">
        <f>E58/3.6/E55/(DAY(DATE(2026,8,0))*24)</f>
        <v/>
      </c>
      <c r="F63" s="406">
        <f>F58/3.6/F55/(DAY(DATE(2026,8,0))*24)</f>
        <v/>
      </c>
      <c r="G63" s="392">
        <f>G58/3.6/G55/(DATEDIF(DATE(2026,1,1),DATE(2026,8,1),"D")*24)</f>
        <v/>
      </c>
      <c r="H63" s="393">
        <f>H58/3.6/H55/(DATEDIF(DATE(2026,1,1),DATE(2026,8,1),"D")*24)</f>
        <v/>
      </c>
      <c r="I63" s="394">
        <f>I58/3.6/I55/(DATEDIF(DATE(2026,1,1),DATE(2026,8,1),"D")*24)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D73+'26.6'!F73</f>
        <v/>
      </c>
      <c r="G73" s="405">
        <f>E73+'26.6'!G73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D74+'26.6'!F74</f>
        <v/>
      </c>
      <c r="G74" s="405">
        <f>E74+'26.6'!G74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D75+'26.6'!F75</f>
        <v/>
      </c>
      <c r="G75" s="405">
        <f>E75+'26.6'!G75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D76+'26.6'!F76</f>
        <v/>
      </c>
      <c r="G76" s="405">
        <f>E76+'26.6'!G76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D77+'26.6'!F77</f>
        <v/>
      </c>
      <c r="G77" s="405">
        <f>E77+'26.6'!G77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D73/3.6/D71/(DAY(DATE(2026,8,0))*24)</f>
        <v/>
      </c>
      <c r="E82" s="409">
        <f>E73/3.6/E71/(DAY(DATE(2026,8,0))*24)</f>
        <v/>
      </c>
      <c r="F82" s="399">
        <f>F73/3.6/F71/(DATEDIF(DATE(2026,1,1),DATE(2026,8,1),"D")*24)</f>
        <v/>
      </c>
      <c r="G82" s="400">
        <f>G73/3.6/G71/(DATEDIF(DATE(2026,1,1),DATE(2026,8,1),"D")*24)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D90+'26.6'!E90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D91+'26.6'!E91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D92+'26.6'!E92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D93+'26.6'!E93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D90/3.6/D87/(DAY(DATE(2026,8,0))*24)</f>
        <v/>
      </c>
      <c r="E95" s="394">
        <f>E90/3.6/E87/(DATEDIF(DATE(2026,1,1),DATE(2026,8,1),"D")*24)</f>
        <v/>
      </c>
      <c r="F95" s="411">
        <f>F90/3.6/F87/(DAY(DATE(2026,8,0))*24)</f>
        <v/>
      </c>
      <c r="G95" s="394">
        <f>G90/3.6/G87/(DATEDIF(DATE(2026,1,1),DATE(2026,8,1),"D")*24)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D7+'26.7'!I7</f>
        <v/>
      </c>
      <c r="J7" s="412">
        <f>E7+'26.7'!J7</f>
        <v/>
      </c>
      <c r="K7" s="412">
        <f>F7+'26.7'!K7</f>
        <v/>
      </c>
      <c r="L7" s="412">
        <f>G7+'26.7'!L7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D8+'26.7'!I8</f>
        <v/>
      </c>
      <c r="J8" s="412">
        <f>E8+'26.7'!J8</f>
        <v/>
      </c>
      <c r="K8" s="412">
        <f>F8+'26.7'!K8</f>
        <v/>
      </c>
      <c r="L8" s="412">
        <f>G8+'26.7'!L8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[1]售热量!$Q$25</f>
        <v/>
      </c>
      <c r="F9" s="260" t="n"/>
      <c r="G9" s="260" t="n"/>
      <c r="H9" s="256">
        <f>E9+F9+G9</f>
        <v/>
      </c>
      <c r="I9" s="412">
        <f>D9+'26.7'!I9</f>
        <v/>
      </c>
      <c r="J9" s="412">
        <f>E9+'26.7'!J9</f>
        <v/>
      </c>
      <c r="K9" s="412">
        <f>F9+'26.7'!K9</f>
        <v/>
      </c>
      <c r="L9" s="412">
        <f>G9+'26.7'!L9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D10+'26.7'!I10</f>
        <v/>
      </c>
      <c r="J10" s="412">
        <f>E10+'26.7'!J10</f>
        <v/>
      </c>
      <c r="K10" s="412">
        <f>F10+'26.7'!K10</f>
        <v/>
      </c>
      <c r="L10" s="412">
        <f>G10+'26.7'!L10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D11+'26.7'!I11</f>
        <v/>
      </c>
      <c r="J11" s="412">
        <f>E11+'26.7'!J11</f>
        <v/>
      </c>
      <c r="K11" s="412">
        <f>F11+'26.7'!K11</f>
        <v/>
      </c>
      <c r="L11" s="412">
        <f>G11+'26.7'!L11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D12+'26.7'!I12</f>
        <v/>
      </c>
      <c r="J12" s="412">
        <f>E12+'26.7'!J12</f>
        <v/>
      </c>
      <c r="K12" s="412">
        <f>F12+'26.7'!K12</f>
        <v/>
      </c>
      <c r="L12" s="412">
        <f>G12+'26.7'!L12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D13+'26.7'!I13</f>
        <v/>
      </c>
      <c r="J13" s="412">
        <f>E13+'26.7'!J13</f>
        <v/>
      </c>
      <c r="K13" s="412">
        <f>F13+'26.7'!K13</f>
        <v/>
      </c>
      <c r="L13" s="412">
        <f>G13+'26.7'!L13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D14+'26.7'!I14</f>
        <v/>
      </c>
      <c r="J14" s="412">
        <f>E14+'26.7'!J14</f>
        <v/>
      </c>
      <c r="K14" s="412">
        <f>F14+'26.7'!K14</f>
        <v/>
      </c>
      <c r="L14" s="412">
        <f>G14+'26.7'!L14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D15+'26.7'!I15</f>
        <v/>
      </c>
      <c r="J15" s="412">
        <f>E15+'26.7'!J15</f>
        <v/>
      </c>
      <c r="K15" s="412">
        <f>F15+'26.7'!K15</f>
        <v/>
      </c>
      <c r="L15" s="412">
        <f>G15+'26.7'!L15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D16+'26.7'!I16</f>
        <v/>
      </c>
      <c r="J16" s="412">
        <f>E16+'26.7'!J16</f>
        <v/>
      </c>
      <c r="K16" s="412">
        <f>F16+'26.7'!K16</f>
        <v/>
      </c>
      <c r="L16" s="412">
        <f>G16+'26.7'!L16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D17+'26.7'!I17</f>
        <v/>
      </c>
      <c r="J17" s="412">
        <f>E17+'26.7'!J17</f>
        <v/>
      </c>
      <c r="K17" s="380" t="n"/>
      <c r="L17" s="412">
        <f>G17+'26.7'!L17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D18+'26.7'!I18</f>
        <v/>
      </c>
      <c r="J18" s="412">
        <f>E18+'26.7'!J18</f>
        <v/>
      </c>
      <c r="K18" s="412">
        <f>F18+'26.7'!K18</f>
        <v/>
      </c>
      <c r="L18" s="412">
        <f>G18+'26.7'!L18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D19+'26.7'!I19</f>
        <v/>
      </c>
      <c r="J19" s="386" t="n"/>
      <c r="K19" s="412">
        <f>F19+'26.7'!K19</f>
        <v/>
      </c>
      <c r="L19" s="412">
        <f>G19+'26.7'!L19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D20+'26.7'!I20</f>
        <v/>
      </c>
      <c r="J20" s="412">
        <f>E20+'26.7'!J20</f>
        <v/>
      </c>
      <c r="K20" s="412">
        <f>F20+'26.7'!K20</f>
        <v/>
      </c>
      <c r="L20" s="412">
        <f>G20+'26.7'!L20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D21+'26.7'!I21</f>
        <v/>
      </c>
      <c r="J21" s="412">
        <f>E21+'26.7'!J21</f>
        <v/>
      </c>
      <c r="K21" s="412">
        <f>F21+'26.7'!K21</f>
        <v/>
      </c>
      <c r="L21" s="412">
        <f>G21+'26.7'!L21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D22+'26.7'!I22</f>
        <v/>
      </c>
      <c r="J22" s="412">
        <f>E22+'26.7'!J22</f>
        <v/>
      </c>
      <c r="K22" s="412">
        <f>F22+'26.7'!K22</f>
        <v/>
      </c>
      <c r="L22" s="412">
        <f>G22+'26.7'!L22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D23+'26.7'!I23</f>
        <v/>
      </c>
      <c r="J23" s="412">
        <f>E23+'26.7'!J23</f>
        <v/>
      </c>
      <c r="K23" s="412">
        <f>F23+'26.7'!K23</f>
        <v/>
      </c>
      <c r="L23" s="412">
        <f>G23+'26.7'!L23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D26+'26.7'!I26</f>
        <v/>
      </c>
      <c r="J26" s="412">
        <f>E26+'26.7'!J26</f>
        <v/>
      </c>
      <c r="K26" s="412">
        <f>F26+'26.7'!K26</f>
        <v/>
      </c>
      <c r="L26" s="412">
        <f>G26+'26.7'!L26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'26.7'!J27+E26-E10</f>
        <v/>
      </c>
      <c r="K27" s="413">
        <f>'26.7'!K27+F26-F10</f>
        <v/>
      </c>
      <c r="L27" s="413">
        <f>'26.7'!L27+G26-G10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D8/3.6/D3/(DAY(DATE(2026,9,0))*24)</f>
        <v/>
      </c>
      <c r="E31" s="393">
        <f>E8/3.6/E3/(DAY(DATE(2026,9,0))*24)</f>
        <v/>
      </c>
      <c r="F31" s="393">
        <f>F8/3.6/F3/(DAY(DATE(2026,9,0))*24)</f>
        <v/>
      </c>
      <c r="G31" s="393">
        <f>(G8-G36)/3.6/G3/(DAY(DATE(2026,9,0))*24)</f>
        <v/>
      </c>
      <c r="H31" s="394">
        <f>H8/3.6/H3/(DAY(DATE(2026,9,0))*24)</f>
        <v/>
      </c>
      <c r="I31" s="392">
        <f>I8/3.6/I3/(DATEDIF(DATE(2026,1,1),DATE(2026,9,1),"D")*24)</f>
        <v/>
      </c>
      <c r="J31" s="393">
        <f>J8/3.6/J3/(DATEDIF(DATE(2026,1,1),DATE(2026,9,1),"D")*24)</f>
        <v/>
      </c>
      <c r="K31" s="393">
        <f>K8/3.6/K3/(DATEDIF(DATE(2026,1,1),DATE(2026,9,1),"D")*24)</f>
        <v/>
      </c>
      <c r="L31" s="393">
        <f>(L8-L36)/3.6/L3/(DATEDIF(DATE(2026,1,1),DATE(2026,9,1),"D")*24)</f>
        <v/>
      </c>
      <c r="M31" s="394">
        <f>M8/3.6/M3/(DATEDIF(DATE(2026,1,1),DATE(2026,9,1),"D")*24)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G36+'26.7'!L36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D42+'26.7'!E42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D43+'26.7'!E43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D44+'26.7'!E44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D45+'26.7'!E45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D42/3.6/D39/(DAY(DATE(2026,9,0))*24)</f>
        <v/>
      </c>
      <c r="E47" s="396">
        <f>E42/3.6/E39/(DATEDIF(DATE(2026,1,1),DATE(2026,9,1),"D")*24)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D58+'26.7'!G58</f>
        <v/>
      </c>
      <c r="H58" s="415">
        <f>E58+'26.7'!H58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D59+'26.7'!G59</f>
        <v/>
      </c>
      <c r="H59" s="415">
        <f>E59+'26.7'!H59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D60+'26.7'!G60</f>
        <v/>
      </c>
      <c r="H60" s="415">
        <f>E60+'26.7'!H60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D61+'26.7'!G61</f>
        <v/>
      </c>
      <c r="H61" s="415">
        <f>E61+'26.7'!H61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D58/3.6/D55/(DAY(DATE(2026,9,0))*24)</f>
        <v/>
      </c>
      <c r="E63" s="393">
        <f>E58/3.6/E55/(DAY(DATE(2026,9,0))*24)</f>
        <v/>
      </c>
      <c r="F63" s="406">
        <f>F58/3.6/F55/(DAY(DATE(2026,9,0))*24)</f>
        <v/>
      </c>
      <c r="G63" s="392">
        <f>G58/3.6/G55/(DATEDIF(DATE(2026,1,1),DATE(2026,9,1),"D")*24)</f>
        <v/>
      </c>
      <c r="H63" s="393">
        <f>H58/3.6/H55/(DATEDIF(DATE(2026,1,1),DATE(2026,9,1),"D")*24)</f>
        <v/>
      </c>
      <c r="I63" s="394">
        <f>I58/3.6/I55/(DATEDIF(DATE(2026,1,1),DATE(2026,9,1),"D")*24)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D73+'26.7'!F73</f>
        <v/>
      </c>
      <c r="G73" s="414">
        <f>E73+'26.7'!G73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D74+'26.7'!F74</f>
        <v/>
      </c>
      <c r="G74" s="414">
        <f>E74+'26.7'!G74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D75+'26.7'!F75</f>
        <v/>
      </c>
      <c r="G75" s="414">
        <f>E75+'26.7'!G75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D76+'26.7'!F76</f>
        <v/>
      </c>
      <c r="G76" s="414">
        <f>E76+'26.7'!G76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D77+'26.7'!F77</f>
        <v/>
      </c>
      <c r="G77" s="414">
        <f>E77+'26.7'!G77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D73/3.6/D71/(DAY(DATE(2026,9,0))*24)</f>
        <v/>
      </c>
      <c r="E82" s="409">
        <f>E73/3.6/E71/(DAY(DATE(2026,9,0))*24)</f>
        <v/>
      </c>
      <c r="F82" s="399">
        <f>F73/3.6/F71/(DATEDIF(DATE(2026,1,1),DATE(2026,9,1),"D")*24)</f>
        <v/>
      </c>
      <c r="G82" s="400">
        <f>G73/3.6/G71/(DATEDIF(DATE(2026,1,1),DATE(2026,9,1),"D")*24)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D90+'26.7'!E90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D91+'26.7'!E91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D92+'26.7'!E92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D93+'26.7'!E93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D90/3.6/D87/(DAY(DATE(2026,9,0))*24)</f>
        <v/>
      </c>
      <c r="E95" s="394">
        <f>E90/3.6/E87/(DATEDIF(DATE(2026,1,1),DATE(2026,9,1),"D")*24)</f>
        <v/>
      </c>
      <c r="F95" s="411">
        <f>F90/3.6/F87/(DAY(DATE(2026,9,0))*24)</f>
        <v/>
      </c>
      <c r="G95" s="394">
        <f>G90/3.6/G87/(DATEDIF(DATE(2026,1,1),DATE(2026,9,1),"D")*24)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D7+'26.8'!I7</f>
        <v/>
      </c>
      <c r="J7" s="403">
        <f>E7+'26.8'!J7</f>
        <v/>
      </c>
      <c r="K7" s="403">
        <f>F7+'26.8'!K7</f>
        <v/>
      </c>
      <c r="L7" s="403">
        <f>G7+'26.8'!L7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D8+'26.8'!I8</f>
        <v/>
      </c>
      <c r="J8" s="403">
        <f>E8+'26.8'!J8</f>
        <v/>
      </c>
      <c r="K8" s="403">
        <f>F8+'26.8'!K8</f>
        <v/>
      </c>
      <c r="L8" s="403">
        <f>G8+'26.8'!L8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[1]售热量!$S$25</f>
        <v/>
      </c>
      <c r="F9" s="260" t="n"/>
      <c r="G9" s="260" t="n"/>
      <c r="H9" s="256">
        <f>E9+F9+G9</f>
        <v/>
      </c>
      <c r="I9" s="403">
        <f>D9+'26.8'!I9</f>
        <v/>
      </c>
      <c r="J9" s="403">
        <f>E9+'26.8'!J9</f>
        <v/>
      </c>
      <c r="K9" s="403">
        <f>F9+'26.8'!K9</f>
        <v/>
      </c>
      <c r="L9" s="403">
        <f>G9+'26.8'!L9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D10+'26.8'!I10</f>
        <v/>
      </c>
      <c r="J10" s="403">
        <f>E10+'26.8'!J10</f>
        <v/>
      </c>
      <c r="K10" s="403">
        <f>F10+'26.8'!K10</f>
        <v/>
      </c>
      <c r="L10" s="403">
        <f>G10+'26.8'!L10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D11+'26.8'!I11</f>
        <v/>
      </c>
      <c r="J11" s="403">
        <f>E11+'26.8'!J11</f>
        <v/>
      </c>
      <c r="K11" s="403">
        <f>F11+'26.8'!K11</f>
        <v/>
      </c>
      <c r="L11" s="403">
        <f>G11+'26.8'!L11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D12+'26.8'!I12</f>
        <v/>
      </c>
      <c r="J12" s="403">
        <f>E12+'26.8'!J12</f>
        <v/>
      </c>
      <c r="K12" s="403">
        <f>F12+'26.8'!K12</f>
        <v/>
      </c>
      <c r="L12" s="403">
        <f>G12+'26.8'!L12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D13+'26.8'!I13</f>
        <v/>
      </c>
      <c r="J13" s="403">
        <f>E13+'26.8'!J13</f>
        <v/>
      </c>
      <c r="K13" s="403">
        <f>F13+'26.8'!K13</f>
        <v/>
      </c>
      <c r="L13" s="403">
        <f>G13+'26.8'!L13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D14+'26.8'!I14</f>
        <v/>
      </c>
      <c r="J14" s="403">
        <f>E14+'26.8'!J14</f>
        <v/>
      </c>
      <c r="K14" s="403">
        <f>F14+'26.8'!K14</f>
        <v/>
      </c>
      <c r="L14" s="403">
        <f>G14+'26.8'!L14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D15+'26.8'!I15</f>
        <v/>
      </c>
      <c r="J15" s="403">
        <f>E15+'26.8'!J15</f>
        <v/>
      </c>
      <c r="K15" s="403">
        <f>F15+'26.8'!K15</f>
        <v/>
      </c>
      <c r="L15" s="403">
        <f>G15+'26.8'!L15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D16+'26.8'!I16</f>
        <v/>
      </c>
      <c r="J16" s="403">
        <f>E16+'26.8'!J16</f>
        <v/>
      </c>
      <c r="K16" s="403">
        <f>F16+'26.8'!K16</f>
        <v/>
      </c>
      <c r="L16" s="403">
        <f>G16+'26.8'!L16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D17+'26.8'!I17</f>
        <v/>
      </c>
      <c r="J17" s="403">
        <f>E17+'26.8'!J17</f>
        <v/>
      </c>
      <c r="K17" s="380" t="n"/>
      <c r="L17" s="403">
        <f>G17+'26.8'!L17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D18+'26.8'!I18</f>
        <v/>
      </c>
      <c r="J18" s="403">
        <f>E18+'26.8'!J18</f>
        <v/>
      </c>
      <c r="K18" s="403">
        <f>F18+'26.8'!K18</f>
        <v/>
      </c>
      <c r="L18" s="403">
        <f>G18+'26.8'!L18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D19+'26.8'!I19</f>
        <v/>
      </c>
      <c r="J19" s="386" t="n"/>
      <c r="K19" s="403">
        <f>F19+'26.8'!K19</f>
        <v/>
      </c>
      <c r="L19" s="403">
        <f>G19+'26.8'!L19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D20+'26.8'!I20</f>
        <v/>
      </c>
      <c r="J20" s="403">
        <f>E20+'26.8'!J20</f>
        <v/>
      </c>
      <c r="K20" s="403">
        <f>F20+'26.8'!K20</f>
        <v/>
      </c>
      <c r="L20" s="403">
        <f>G20+'26.8'!L20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D21+'26.8'!I21</f>
        <v/>
      </c>
      <c r="J21" s="403">
        <f>E21+'26.8'!J21</f>
        <v/>
      </c>
      <c r="K21" s="403">
        <f>F21+'26.8'!K21</f>
        <v/>
      </c>
      <c r="L21" s="403">
        <f>G21+'26.8'!L21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D22+'26.8'!I22</f>
        <v/>
      </c>
      <c r="J22" s="403">
        <f>E22+'26.8'!J22</f>
        <v/>
      </c>
      <c r="K22" s="403">
        <f>F22+'26.8'!K22</f>
        <v/>
      </c>
      <c r="L22" s="403">
        <f>G22+'26.8'!L22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D23+'26.8'!I23</f>
        <v/>
      </c>
      <c r="J23" s="403">
        <f>E23+'26.8'!J23</f>
        <v/>
      </c>
      <c r="K23" s="403">
        <f>F23+'26.8'!K23</f>
        <v/>
      </c>
      <c r="L23" s="403">
        <f>G23+'26.8'!L23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D26+'26.8'!I26</f>
        <v/>
      </c>
      <c r="J26" s="403">
        <f>E26+'26.8'!J26</f>
        <v/>
      </c>
      <c r="K26" s="403">
        <f>F26+'26.8'!K26</f>
        <v/>
      </c>
      <c r="L26" s="403">
        <f>G26+'26.8'!L26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'26.8'!J27+E26-E10</f>
        <v/>
      </c>
      <c r="K27" s="404">
        <f>'26.8'!K27+F26-F10</f>
        <v/>
      </c>
      <c r="L27" s="404">
        <f>'26.8'!L27+G26-G10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D8/3.6/D3/(DAY(DATE(2026,10,0))*24)</f>
        <v/>
      </c>
      <c r="E31" s="393">
        <f>E8/3.6/E3/(DAY(DATE(2026,10,0))*24)</f>
        <v/>
      </c>
      <c r="F31" s="393">
        <f>F8/3.6/F3/(DAY(DATE(2026,10,0))*24)</f>
        <v/>
      </c>
      <c r="G31" s="393">
        <f>(G8-G36)/3.6/G3/(DAY(DATE(2026,10,0))*24)</f>
        <v/>
      </c>
      <c r="H31" s="394">
        <f>H8/3.6/H3/(DAY(DATE(2026,10,0))*24)</f>
        <v/>
      </c>
      <c r="I31" s="392">
        <f>I8/3.6/I3/(DATEDIF(DATE(2026,1,1),DATE(2026,10,1),"D")*24)</f>
        <v/>
      </c>
      <c r="J31" s="393">
        <f>J8/3.6/J3/(DATEDIF(DATE(2026,1,1),DATE(2026,10,1),"D")*24)</f>
        <v/>
      </c>
      <c r="K31" s="393">
        <f>K8/3.6/K3/(DATEDIF(DATE(2026,1,1),DATE(2026,10,1),"D")*24)</f>
        <v/>
      </c>
      <c r="L31" s="393">
        <f>(L8-L36)/3.6/L3/(DATEDIF(DATE(2026,1,1),DATE(2026,10,1),"D")*24)</f>
        <v/>
      </c>
      <c r="M31" s="394">
        <f>M8/3.6/M3/(DATEDIF(DATE(2026,1,1),DATE(2026,10,1),"D")*24)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G36+'26.8'!L36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05">
        <f>D42+'26.8'!E42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D43+'26.8'!E43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D44+'26.8'!E44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405">
        <f>D45+'26.8'!E45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D42/3.6/D39/(DAY(DATE(2026,10,0))*24)</f>
        <v/>
      </c>
      <c r="E47" s="396">
        <f>E42/3.6/E39/(DATEDIF(DATE(2026,1,1),DATE(2026,10,1),"D")*24)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D58+'26.8'!G58</f>
        <v/>
      </c>
      <c r="H58" s="407">
        <f>E58+'26.8'!H58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D59+'26.8'!G59</f>
        <v/>
      </c>
      <c r="H59" s="407">
        <f>E59+'26.8'!H59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D60+'26.8'!G60</f>
        <v/>
      </c>
      <c r="H60" s="407">
        <f>E60+'26.8'!H60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D61+'26.8'!G61</f>
        <v/>
      </c>
      <c r="H61" s="407">
        <f>E61+'26.8'!H61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D58/3.6/D55/(DAY(DATE(2026,10,0))*24)</f>
        <v/>
      </c>
      <c r="E63" s="393">
        <f>E58/3.6/E55/(DAY(DATE(2026,10,0))*24)</f>
        <v/>
      </c>
      <c r="F63" s="406">
        <f>F58/3.6/F55/(DAY(DATE(2026,10,0))*24)</f>
        <v/>
      </c>
      <c r="G63" s="392">
        <f>G58/3.6/G55/(DATEDIF(DATE(2026,1,1),DATE(2026,10,1),"D")*24)</f>
        <v/>
      </c>
      <c r="H63" s="393">
        <f>H58/3.6/H55/(DATEDIF(DATE(2026,1,1),DATE(2026,10,1),"D")*24)</f>
        <v/>
      </c>
      <c r="I63" s="394">
        <f>I58/3.6/I55/(DATEDIF(DATE(2026,1,1),DATE(2026,10,1),"D")*24)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D73+'26.8'!F73</f>
        <v/>
      </c>
      <c r="G73" s="405">
        <f>E73+'26.8'!G73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D74+'26.8'!F74</f>
        <v/>
      </c>
      <c r="G74" s="405">
        <f>E74+'26.8'!G74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D75+'26.8'!F75</f>
        <v/>
      </c>
      <c r="G75" s="405">
        <f>E75+'26.8'!G75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D76+'26.8'!F76</f>
        <v/>
      </c>
      <c r="G76" s="405">
        <f>E76+'26.8'!G76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D77+'26.8'!F77</f>
        <v/>
      </c>
      <c r="G77" s="405">
        <f>E77+'26.8'!G77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D73/3.6/D71/(DAY(DATE(2026,10,0))*24)</f>
        <v/>
      </c>
      <c r="E82" s="409">
        <f>E73/3.6/E71/(DAY(DATE(2026,10,0))*24)</f>
        <v/>
      </c>
      <c r="F82" s="399">
        <f>F73/3.6/F71/(DATEDIF(DATE(2026,1,1),DATE(2026,10,1),"D")*24)</f>
        <v/>
      </c>
      <c r="G82" s="400">
        <f>G73/3.6/G71/(DATEDIF(DATE(2026,1,1),DATE(2026,10,1),"D")*24)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D90+'26.8'!E90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D91+'26.8'!E91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D92+'26.8'!E92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D93+'26.8'!E93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D90/3.6/D87/(DAY(DATE(2026,10,0))*24)</f>
        <v/>
      </c>
      <c r="E95" s="394">
        <f>E90/3.6/E87/(DATEDIF(DATE(2026,1,1),DATE(2026,10,1),"D")*24)</f>
        <v/>
      </c>
      <c r="F95" s="411">
        <f>F90/3.6/F87/(DAY(DATE(2026,10,0))*24)</f>
        <v/>
      </c>
      <c r="G95" s="394">
        <f>G90/3.6/G87/(DATEDIF(DATE(2026,1,1),DATE(2026,10,1),"D")*24)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D7+'26.9'!I7</f>
        <v/>
      </c>
      <c r="J7" s="412">
        <f>E7+'26.9'!J7</f>
        <v/>
      </c>
      <c r="K7" s="412">
        <f>F7+'26.9'!K7</f>
        <v/>
      </c>
      <c r="L7" s="412">
        <f>G7+'26.9'!L7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D8+'26.9'!I8</f>
        <v/>
      </c>
      <c r="J8" s="412">
        <f>E8+'26.9'!J8</f>
        <v/>
      </c>
      <c r="K8" s="412">
        <f>F8+'26.9'!K8</f>
        <v/>
      </c>
      <c r="L8" s="412">
        <f>G8+'26.9'!L8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[1]售热量!$U$25</f>
        <v/>
      </c>
      <c r="F9" s="260" t="n"/>
      <c r="G9" s="260" t="n"/>
      <c r="H9" s="256">
        <f>E9+F9+G9</f>
        <v/>
      </c>
      <c r="I9" s="412">
        <f>D9+'26.9'!I9</f>
        <v/>
      </c>
      <c r="J9" s="412">
        <f>E9+'26.9'!J9</f>
        <v/>
      </c>
      <c r="K9" s="412">
        <f>F9+'26.9'!K9</f>
        <v/>
      </c>
      <c r="L9" s="412">
        <f>G9+'26.9'!L9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D10+'26.9'!I10</f>
        <v/>
      </c>
      <c r="J10" s="412">
        <f>E10+'26.9'!J10</f>
        <v/>
      </c>
      <c r="K10" s="412">
        <f>F10+'26.9'!K10</f>
        <v/>
      </c>
      <c r="L10" s="412">
        <f>G10+'26.9'!L10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D11+'26.9'!I11</f>
        <v/>
      </c>
      <c r="J11" s="412">
        <f>E11+'26.9'!J11</f>
        <v/>
      </c>
      <c r="K11" s="412">
        <f>F11+'26.9'!K11</f>
        <v/>
      </c>
      <c r="L11" s="412">
        <f>G11+'26.9'!L11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D12+'26.9'!I12</f>
        <v/>
      </c>
      <c r="J12" s="412">
        <f>E12+'26.9'!J12</f>
        <v/>
      </c>
      <c r="K12" s="412">
        <f>F12+'26.9'!K12</f>
        <v/>
      </c>
      <c r="L12" s="412">
        <f>G12+'26.9'!L12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D13+'26.9'!I13</f>
        <v/>
      </c>
      <c r="J13" s="412">
        <f>E13+'26.9'!J13</f>
        <v/>
      </c>
      <c r="K13" s="412">
        <f>F13+'26.9'!K13</f>
        <v/>
      </c>
      <c r="L13" s="412">
        <f>G13+'26.9'!L13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D14+'26.9'!I14</f>
        <v/>
      </c>
      <c r="J14" s="412">
        <f>E14+'26.9'!J14</f>
        <v/>
      </c>
      <c r="K14" s="412">
        <f>F14+'26.9'!K14</f>
        <v/>
      </c>
      <c r="L14" s="412">
        <f>G14+'26.9'!L14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D15+'26.9'!I15</f>
        <v/>
      </c>
      <c r="J15" s="412">
        <f>E15+'26.9'!J15</f>
        <v/>
      </c>
      <c r="K15" s="412">
        <f>F15+'26.9'!K15</f>
        <v/>
      </c>
      <c r="L15" s="412">
        <f>G15+'26.9'!L15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D16+'26.9'!I16</f>
        <v/>
      </c>
      <c r="J16" s="412">
        <f>E16+'26.9'!J16</f>
        <v/>
      </c>
      <c r="K16" s="412">
        <f>F16+'26.9'!K16</f>
        <v/>
      </c>
      <c r="L16" s="412">
        <f>G16+'26.9'!L16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D17+'26.9'!I17</f>
        <v/>
      </c>
      <c r="J17" s="412">
        <f>E17+'26.9'!J17</f>
        <v/>
      </c>
      <c r="K17" s="380" t="n"/>
      <c r="L17" s="412">
        <f>G17+'26.9'!L17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D18+'26.9'!I18</f>
        <v/>
      </c>
      <c r="J18" s="412">
        <f>E18+'26.9'!J18</f>
        <v/>
      </c>
      <c r="K18" s="412">
        <f>F18+'26.9'!K18</f>
        <v/>
      </c>
      <c r="L18" s="412">
        <f>G18+'26.9'!L18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D19+'26.9'!I19</f>
        <v/>
      </c>
      <c r="J19" s="386" t="n"/>
      <c r="K19" s="412">
        <f>F19+'26.9'!K19</f>
        <v/>
      </c>
      <c r="L19" s="412">
        <f>G19+'26.9'!L19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D20+'26.9'!I20</f>
        <v/>
      </c>
      <c r="J20" s="412">
        <f>E20+'26.9'!J20</f>
        <v/>
      </c>
      <c r="K20" s="412">
        <f>F20+'26.9'!K20</f>
        <v/>
      </c>
      <c r="L20" s="412">
        <f>G20+'26.9'!L20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D21+'26.9'!I21</f>
        <v/>
      </c>
      <c r="J21" s="412">
        <f>E21+'26.9'!J21</f>
        <v/>
      </c>
      <c r="K21" s="412">
        <f>F21+'26.9'!K21</f>
        <v/>
      </c>
      <c r="L21" s="412">
        <f>G21+'26.9'!L21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D22+'26.9'!I22</f>
        <v/>
      </c>
      <c r="J22" s="412">
        <f>E22+'26.9'!J22</f>
        <v/>
      </c>
      <c r="K22" s="412">
        <f>F22+'26.9'!K22</f>
        <v/>
      </c>
      <c r="L22" s="412">
        <f>G22+'26.9'!L22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D23+'26.9'!I23</f>
        <v/>
      </c>
      <c r="J23" s="412">
        <f>E23+'26.9'!J23</f>
        <v/>
      </c>
      <c r="K23" s="412">
        <f>F23+'26.9'!K23</f>
        <v/>
      </c>
      <c r="L23" s="412">
        <f>G23+'26.9'!L23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D26+'26.9'!I26</f>
        <v/>
      </c>
      <c r="J26" s="412">
        <f>E26+'26.9'!J26</f>
        <v/>
      </c>
      <c r="K26" s="412">
        <f>F26+'26.9'!K26</f>
        <v/>
      </c>
      <c r="L26" s="412">
        <f>G26+'26.9'!L26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76403</v>
      </c>
      <c r="J27" s="413">
        <f>'26.9'!J27+E26-E10</f>
        <v/>
      </c>
      <c r="K27" s="413">
        <f>'26.9'!K27+F26-F10</f>
        <v/>
      </c>
      <c r="L27" s="413">
        <f>'26.9'!L27+G26-G10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D8/3.6/D3/(DAY(DATE(2026,11,0))*24)</f>
        <v/>
      </c>
      <c r="E31" s="393">
        <f>E8/3.6/E3/(DAY(DATE(2026,11,0))*24)</f>
        <v/>
      </c>
      <c r="F31" s="393">
        <f>F8/3.6/F3/(DAY(DATE(2026,11,0))*24)</f>
        <v/>
      </c>
      <c r="G31" s="393">
        <f>(G8-G36)/3.6/G3/(DAY(DATE(2026,11,0))*24)</f>
        <v/>
      </c>
      <c r="H31" s="394">
        <f>H8/3.6/H3/(DAY(DATE(2026,11,0))*24)</f>
        <v/>
      </c>
      <c r="I31" s="392">
        <f>I8/3.6/I3/(DATEDIF(DATE(2026,1,1),DATE(2026,11,1),"D")*24)</f>
        <v/>
      </c>
      <c r="J31" s="393">
        <f>J8/3.6/J3/(DATEDIF(DATE(2026,1,1),DATE(2026,11,1),"D")*24)</f>
        <v/>
      </c>
      <c r="K31" s="393">
        <f>K8/3.6/K3/(DATEDIF(DATE(2026,1,1),DATE(2026,11,1),"D")*24)</f>
        <v/>
      </c>
      <c r="L31" s="393">
        <f>(L8-L36)/3.6/L3/(DATEDIF(DATE(2026,1,1),DATE(2026,11,1),"D")*24)</f>
        <v/>
      </c>
      <c r="M31" s="394">
        <f>M8/3.6/M3/(DATEDIF(DATE(2026,1,1),DATE(2026,11,1),"D")*24)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G36+'26.9'!L36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D42+'26.9'!E42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D43+'26.9'!E43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D44+'26.9'!E44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D45+'26.9'!E45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D42/3.6/D39/(DAY(DATE(2026,11,0))*24)</f>
        <v/>
      </c>
      <c r="E47" s="396">
        <f>E42/3.6/E39/(DATEDIF(DATE(2026,1,1),DATE(2026,11,1),"D")*24)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D58+'26.9'!G58</f>
        <v/>
      </c>
      <c r="H58" s="415">
        <f>E58+'26.9'!H58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D59+'26.9'!G59</f>
        <v/>
      </c>
      <c r="H59" s="415">
        <f>E59+'26.9'!H59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D60+'26.9'!G60</f>
        <v/>
      </c>
      <c r="H60" s="415">
        <f>E60+'26.9'!H60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D61+'26.9'!G61</f>
        <v/>
      </c>
      <c r="H61" s="415">
        <f>E61+'26.9'!H61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D58/3.6/D55/(DAY(DATE(2026,11,0))*24)</f>
        <v/>
      </c>
      <c r="E63" s="393">
        <f>E58/3.6/E55/(DAY(DATE(2026,11,0))*24)</f>
        <v/>
      </c>
      <c r="F63" s="406">
        <f>F58/3.6/F55/(DAY(DATE(2026,11,0))*24)</f>
        <v/>
      </c>
      <c r="G63" s="392">
        <f>G58/3.6/G55/(DATEDIF(DATE(2026,1,1),DATE(2026,11,1),"D")*24)</f>
        <v/>
      </c>
      <c r="H63" s="393">
        <f>H58/3.6/H55/(DATEDIF(DATE(2026,1,1),DATE(2026,11,1),"D")*24)</f>
        <v/>
      </c>
      <c r="I63" s="394">
        <f>I58/3.6/I55/(DATEDIF(DATE(2026,1,1),DATE(2026,11,1),"D")*24)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D73+'26.9'!F73</f>
        <v/>
      </c>
      <c r="G73" s="414">
        <f>E73+'26.9'!G73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D74+'26.9'!F74</f>
        <v/>
      </c>
      <c r="G74" s="414">
        <f>E74+'26.9'!G74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D75+'26.9'!F75</f>
        <v/>
      </c>
      <c r="G75" s="414">
        <f>E75+'26.9'!G75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D76+'26.9'!F76</f>
        <v/>
      </c>
      <c r="G76" s="414">
        <f>E76+'26.9'!G76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D77+'26.9'!F77</f>
        <v/>
      </c>
      <c r="G77" s="414">
        <f>E77+'26.9'!G77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D73/3.6/D71/(DAY(DATE(2026,11,0))*24)</f>
        <v/>
      </c>
      <c r="E82" s="409">
        <f>E73/3.6/E71/(DAY(DATE(2026,11,0))*24)</f>
        <v/>
      </c>
      <c r="F82" s="399">
        <f>F73/3.6/F71/(DATEDIF(DATE(2026,1,1),DATE(2026,11,1),"D")*24)</f>
        <v/>
      </c>
      <c r="G82" s="400">
        <f>G73/3.6/G71/(DATEDIF(DATE(2026,1,1),DATE(2026,11,1),"D")*24)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D90+'26.9'!E90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D91+'26.9'!E91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D92+'26.9'!E92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D93+'26.9'!E93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D90/3.6/D87/(DAY(DATE(2026,11,0))*24)</f>
        <v/>
      </c>
      <c r="E95" s="394">
        <f>E90/3.6/E87/(DATEDIF(DATE(2026,1,1),DATE(2026,11,1),"D")*24)</f>
        <v/>
      </c>
      <c r="F95" s="411">
        <f>F90/3.6/F87/(DAY(DATE(2026,11,0))*24)</f>
        <v/>
      </c>
      <c r="G95" s="394">
        <f>G90/3.6/G87/(DATEDIF(DATE(2026,1,1),DATE(2026,11,1),"D")*24)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D7+'26.10'!I7</f>
        <v/>
      </c>
      <c r="J7" s="403">
        <f>E7+'26.10'!J7</f>
        <v/>
      </c>
      <c r="K7" s="403">
        <f>F7+'26.10'!K7</f>
        <v/>
      </c>
      <c r="L7" s="403">
        <f>G7+'26.10'!L7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D8+'26.10'!I8</f>
        <v/>
      </c>
      <c r="J8" s="403">
        <f>E8+'26.10'!J8</f>
        <v/>
      </c>
      <c r="K8" s="403">
        <f>F8+'26.10'!K8</f>
        <v/>
      </c>
      <c r="L8" s="403">
        <f>G8+'26.10'!L8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[1]售热量!$W$25</f>
        <v/>
      </c>
      <c r="F9" s="260" t="n"/>
      <c r="G9" s="260" t="n"/>
      <c r="H9" s="256">
        <f>E9+F9+G9</f>
        <v/>
      </c>
      <c r="I9" s="403">
        <f>D9+'26.10'!I9</f>
        <v/>
      </c>
      <c r="J9" s="403">
        <f>E9+'26.10'!J9</f>
        <v/>
      </c>
      <c r="K9" s="403">
        <f>F9+'26.10'!K9</f>
        <v/>
      </c>
      <c r="L9" s="403">
        <f>G9+'26.10'!L9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D10+'26.10'!I10</f>
        <v/>
      </c>
      <c r="J10" s="403">
        <f>E10+'26.10'!J10</f>
        <v/>
      </c>
      <c r="K10" s="403">
        <f>F10+'26.10'!K10</f>
        <v/>
      </c>
      <c r="L10" s="403">
        <f>G10+'26.10'!L10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03">
        <f>D11+'26.10'!I11</f>
        <v/>
      </c>
      <c r="J11" s="403">
        <f>E11+'26.10'!J11</f>
        <v/>
      </c>
      <c r="K11" s="403">
        <f>F11+'26.10'!K11</f>
        <v/>
      </c>
      <c r="L11" s="403">
        <f>G11+'26.10'!L11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D12+'26.10'!I12</f>
        <v/>
      </c>
      <c r="J12" s="403">
        <f>E12+'26.10'!J12</f>
        <v/>
      </c>
      <c r="K12" s="403">
        <f>F12+'26.10'!K12</f>
        <v/>
      </c>
      <c r="L12" s="403">
        <f>G12+'26.10'!L12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D13+'26.10'!I13</f>
        <v/>
      </c>
      <c r="J13" s="403">
        <f>E13+'26.10'!J13</f>
        <v/>
      </c>
      <c r="K13" s="403">
        <f>F13+'26.10'!K13</f>
        <v/>
      </c>
      <c r="L13" s="403">
        <f>G13+'26.10'!L13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D14+'26.10'!I14</f>
        <v/>
      </c>
      <c r="J14" s="403">
        <f>E14+'26.10'!J14</f>
        <v/>
      </c>
      <c r="K14" s="403">
        <f>F14+'26.10'!K14</f>
        <v/>
      </c>
      <c r="L14" s="403">
        <f>G14+'26.10'!L14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D15+'26.10'!I15</f>
        <v/>
      </c>
      <c r="J15" s="403">
        <f>E15+'26.10'!J15</f>
        <v/>
      </c>
      <c r="K15" s="403">
        <f>F15+'26.10'!K15</f>
        <v/>
      </c>
      <c r="L15" s="403">
        <f>G15+'26.10'!L15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D16+'26.10'!I16</f>
        <v/>
      </c>
      <c r="J16" s="403">
        <f>E16+'26.10'!J16</f>
        <v/>
      </c>
      <c r="K16" s="403">
        <f>F16+'26.10'!K16</f>
        <v/>
      </c>
      <c r="L16" s="403">
        <f>G16+'26.10'!L16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D17+'26.10'!I17</f>
        <v/>
      </c>
      <c r="J17" s="403">
        <f>E17+'26.10'!J17</f>
        <v/>
      </c>
      <c r="K17" s="380" t="n"/>
      <c r="L17" s="403">
        <f>G17+'26.10'!L17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D18+'26.10'!I18</f>
        <v/>
      </c>
      <c r="J18" s="403">
        <f>E18+'26.10'!J18</f>
        <v/>
      </c>
      <c r="K18" s="403">
        <f>F18+'26.10'!K18</f>
        <v/>
      </c>
      <c r="L18" s="403">
        <f>G18+'26.10'!L18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D19+'26.10'!I19</f>
        <v/>
      </c>
      <c r="J19" s="386" t="n"/>
      <c r="K19" s="403">
        <f>F19+'26.10'!K19</f>
        <v/>
      </c>
      <c r="L19" s="403">
        <f>G19+'26.10'!L19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D20+'26.10'!I20</f>
        <v/>
      </c>
      <c r="J20" s="403">
        <f>E20+'26.10'!J20</f>
        <v/>
      </c>
      <c r="K20" s="403">
        <f>F20+'26.10'!K20</f>
        <v/>
      </c>
      <c r="L20" s="403">
        <f>G20+'26.10'!L20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D21+'26.10'!I21</f>
        <v/>
      </c>
      <c r="J21" s="403">
        <f>E21+'26.10'!J21</f>
        <v/>
      </c>
      <c r="K21" s="403">
        <f>F21+'26.10'!K21</f>
        <v/>
      </c>
      <c r="L21" s="403">
        <f>G21+'26.10'!L21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D22+'26.10'!I22</f>
        <v/>
      </c>
      <c r="J22" s="403">
        <f>E22+'26.10'!J22</f>
        <v/>
      </c>
      <c r="K22" s="403">
        <f>F22+'26.10'!K22</f>
        <v/>
      </c>
      <c r="L22" s="403">
        <f>G22+'26.10'!L22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D23+'26.10'!I23</f>
        <v/>
      </c>
      <c r="J23" s="403">
        <f>E23+'26.10'!J23</f>
        <v/>
      </c>
      <c r="K23" s="403">
        <f>F23+'26.10'!K23</f>
        <v/>
      </c>
      <c r="L23" s="403">
        <f>G23+'26.10'!L23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D26+'26.10'!I26</f>
        <v/>
      </c>
      <c r="J26" s="403">
        <f>E26+'26.10'!J26</f>
        <v/>
      </c>
      <c r="K26" s="403">
        <f>F26+'26.10'!K26</f>
        <v/>
      </c>
      <c r="L26" s="403">
        <f>G26+'26.10'!L26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68931.3</v>
      </c>
      <c r="J27" s="404">
        <f>'26.10'!J27+E26-E10</f>
        <v/>
      </c>
      <c r="K27" s="404">
        <f>'26.10'!K27+F26-F10</f>
        <v/>
      </c>
      <c r="L27" s="404">
        <f>'26.10'!L27+G26-G10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D8/3.6/D3/(DAY(DATE(2026,12,0))*24)</f>
        <v/>
      </c>
      <c r="E31" s="393">
        <f>E8/3.6/E3/(DAY(DATE(2026,12,0))*24)</f>
        <v/>
      </c>
      <c r="F31" s="393">
        <f>F8/3.6/F3/(DAY(DATE(2026,12,0))*24)</f>
        <v/>
      </c>
      <c r="G31" s="393">
        <f>(G8-G36)/3.6/G3/(DAY(DATE(2026,12,0))*24)</f>
        <v/>
      </c>
      <c r="H31" s="394">
        <f>H8/3.6/H3/(DAY(DATE(2026,12,0))*24)</f>
        <v/>
      </c>
      <c r="I31" s="392">
        <f>I8/3.6/I3/(DATEDIF(DATE(2026,1,1),DATE(2026,12,1),"D")*24)</f>
        <v/>
      </c>
      <c r="J31" s="393">
        <f>J8/3.6/J3/(DATEDIF(DATE(2026,1,1),DATE(2026,12,1),"D")*24)</f>
        <v/>
      </c>
      <c r="K31" s="393">
        <f>K8/3.6/K3/(DATEDIF(DATE(2026,1,1),DATE(2026,12,1),"D")*24)</f>
        <v/>
      </c>
      <c r="L31" s="393">
        <f>(L8-L36)/3.6/L3/(DATEDIF(DATE(2026,1,1),DATE(2026,12,1),"D")*24)</f>
        <v/>
      </c>
      <c r="M31" s="394">
        <f>M8/3.6/M3/(DATEDIF(DATE(2026,1,1),DATE(2026,12,1),"D")*24)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G36+'26.10'!L36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D42+'26.10'!E42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D43+'26.10'!E43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D44+'26.10'!E44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D45+'26.10'!E45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D42/3.6/D39/(DAY(DATE(2026,12,0))*24)</f>
        <v/>
      </c>
      <c r="E47" s="396">
        <f>E42/3.6/E39/(DATEDIF(DATE(2026,1,1),DATE(2026,12,1),"D")*24)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D58+'26.10'!G58</f>
        <v/>
      </c>
      <c r="H58" s="407">
        <f>E58+'26.10'!H58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D59+'26.10'!G59</f>
        <v/>
      </c>
      <c r="H59" s="407">
        <f>E59+'26.10'!H59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D60+'26.10'!G60</f>
        <v/>
      </c>
      <c r="H60" s="407">
        <f>E60+'26.10'!H60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D61+'26.10'!G61</f>
        <v/>
      </c>
      <c r="H61" s="407">
        <f>E61+'26.10'!H61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D58/3.6/D55/(DAY(DATE(2026,12,0))*24)</f>
        <v/>
      </c>
      <c r="E63" s="393">
        <f>E58/3.6/E55/(DAY(DATE(2026,12,0))*24)</f>
        <v/>
      </c>
      <c r="F63" s="406">
        <f>F58/3.6/F55/(DAY(DATE(2026,12,0))*24)</f>
        <v/>
      </c>
      <c r="G63" s="392">
        <f>G58/3.6/G55/(DATEDIF(DATE(2026,1,1),DATE(2026,12,1),"D")*24)</f>
        <v/>
      </c>
      <c r="H63" s="393">
        <f>H58/3.6/H55/(DATEDIF(DATE(2026,1,1),DATE(2026,12,1),"D")*24)</f>
        <v/>
      </c>
      <c r="I63" s="394">
        <f>I58/3.6/I55/(DATEDIF(DATE(2026,1,1),DATE(2026,12,1),"D")*24)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D73+'26.10'!F73</f>
        <v/>
      </c>
      <c r="G73" s="405">
        <f>E73+'26.10'!G73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D74+'26.10'!F74</f>
        <v/>
      </c>
      <c r="G74" s="405">
        <f>E74+'26.10'!G74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D75+'26.10'!F75</f>
        <v/>
      </c>
      <c r="G75" s="405">
        <f>E75+'26.10'!G75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D76+'26.10'!F76</f>
        <v/>
      </c>
      <c r="G76" s="405">
        <f>E76+'26.10'!G76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D77+'26.10'!F77</f>
        <v/>
      </c>
      <c r="G77" s="405">
        <f>E77+'26.10'!G77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D73/3.6/D71/(DAY(DATE(2026,12,0))*24)</f>
        <v/>
      </c>
      <c r="E82" s="409">
        <f>E73/3.6/E71/(DAY(DATE(2026,12,0))*24)</f>
        <v/>
      </c>
      <c r="F82" s="399">
        <f>F73/3.6/F71/(DATEDIF(DATE(2026,1,1),DATE(2026,12,1),"D")*24)</f>
        <v/>
      </c>
      <c r="G82" s="400">
        <f>G73/3.6/G71/(DATEDIF(DATE(2026,1,1),DATE(2026,12,1),"D")*24)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D90+'26.10'!E90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D91+'26.10'!E91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D92+'26.10'!E92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D93+'26.10'!E93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D90/3.6/D87/(DAY(DATE(2026,12,0))*24)</f>
        <v/>
      </c>
      <c r="E95" s="394">
        <f>E90/3.6/E87/(DATEDIF(DATE(2026,1,1),DATE(2026,12,1),"D")*24)</f>
        <v/>
      </c>
      <c r="F95" s="411">
        <f>F90/3.6/F87/(DAY(DATE(2026,12,0))*24)</f>
        <v/>
      </c>
      <c r="G95" s="394">
        <f>G90/3.6/G87/(DATEDIF(DATE(2026,1,1),DATE(2026,12,1),"D")*24)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D7+'26.11'!I7</f>
        <v/>
      </c>
      <c r="J7" s="412">
        <f>E7+'26.11'!J7</f>
        <v/>
      </c>
      <c r="K7" s="412">
        <f>F7+'26.11'!K7</f>
        <v/>
      </c>
      <c r="L7" s="412">
        <f>G7+'26.11'!L7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D8+'26.11'!I8</f>
        <v/>
      </c>
      <c r="J8" s="412">
        <f>E8+'26.11'!J8</f>
        <v/>
      </c>
      <c r="K8" s="412">
        <f>F8+'26.11'!K8</f>
        <v/>
      </c>
      <c r="L8" s="412">
        <f>G8+'26.11'!L8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[1]售热量!$Y$25</f>
        <v/>
      </c>
      <c r="F9" s="260" t="n"/>
      <c r="G9" s="260" t="n"/>
      <c r="H9" s="256">
        <f>E9+F9+G9</f>
        <v/>
      </c>
      <c r="I9" s="412">
        <f>D9+'26.11'!I9</f>
        <v/>
      </c>
      <c r="J9" s="412">
        <f>E9+'26.11'!J9</f>
        <v/>
      </c>
      <c r="K9" s="412">
        <f>F9+'26.11'!K9</f>
        <v/>
      </c>
      <c r="L9" s="412">
        <f>G9+'26.11'!L9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D10+'26.11'!I10</f>
        <v/>
      </c>
      <c r="J10" s="412">
        <f>E10+'26.11'!J10</f>
        <v/>
      </c>
      <c r="K10" s="412">
        <f>F10+'26.11'!K10</f>
        <v/>
      </c>
      <c r="L10" s="412">
        <f>G10+'26.11'!L10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12">
        <f>D11+'26.11'!I11</f>
        <v/>
      </c>
      <c r="J11" s="412">
        <f>E11+'26.11'!J11</f>
        <v/>
      </c>
      <c r="K11" s="412">
        <f>F11+'26.11'!K11</f>
        <v/>
      </c>
      <c r="L11" s="412">
        <f>G11+'26.11'!L11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D12+'26.11'!I12</f>
        <v/>
      </c>
      <c r="J12" s="412">
        <f>E12+'26.11'!J12</f>
        <v/>
      </c>
      <c r="K12" s="412">
        <f>F12+'26.11'!K12</f>
        <v/>
      </c>
      <c r="L12" s="412">
        <f>G12+'26.11'!L12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D13+'26.11'!I13</f>
        <v/>
      </c>
      <c r="J13" s="412">
        <f>E13+'26.11'!J13</f>
        <v/>
      </c>
      <c r="K13" s="412">
        <f>F13+'26.11'!K13</f>
        <v/>
      </c>
      <c r="L13" s="412">
        <f>G13+'26.11'!L13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D14+'26.11'!I14</f>
        <v/>
      </c>
      <c r="J14" s="412">
        <f>E14+'26.11'!J14</f>
        <v/>
      </c>
      <c r="K14" s="412">
        <f>F14+'26.11'!K14</f>
        <v/>
      </c>
      <c r="L14" s="412">
        <f>G14+'26.11'!L14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D15+'26.11'!I15</f>
        <v/>
      </c>
      <c r="J15" s="412">
        <f>E15+'26.11'!J15</f>
        <v/>
      </c>
      <c r="K15" s="412">
        <f>F15+'26.11'!K15</f>
        <v/>
      </c>
      <c r="L15" s="412">
        <f>G15+'26.11'!L15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D16+'26.11'!I16</f>
        <v/>
      </c>
      <c r="J16" s="412">
        <f>E16+'26.11'!J16</f>
        <v/>
      </c>
      <c r="K16" s="412">
        <f>F16+'26.11'!K16</f>
        <v/>
      </c>
      <c r="L16" s="412">
        <f>G16+'26.11'!L16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1665006.8</v>
      </c>
      <c r="F17" s="260" t="n"/>
      <c r="G17" s="255" t="n">
        <v>1105022.09999999</v>
      </c>
      <c r="H17" s="256" t="n"/>
      <c r="I17" s="412">
        <f>D17+'26.11'!I17</f>
        <v/>
      </c>
      <c r="J17" s="412">
        <f>E17+'26.11'!J17</f>
        <v/>
      </c>
      <c r="K17" s="380" t="n"/>
      <c r="L17" s="412">
        <f>G17+'26.11'!L17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D18+'26.11'!I18</f>
        <v/>
      </c>
      <c r="J18" s="412">
        <f>E18+'26.11'!J18</f>
        <v/>
      </c>
      <c r="K18" s="412">
        <f>F18+'26.11'!K18</f>
        <v/>
      </c>
      <c r="L18" s="412">
        <f>G18+'26.11'!L18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D19+'26.11'!I19</f>
        <v/>
      </c>
      <c r="J19" s="386" t="n"/>
      <c r="K19" s="412">
        <f>F19+'26.11'!K19</f>
        <v/>
      </c>
      <c r="L19" s="412">
        <f>G19+'26.11'!L19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D20+'26.11'!I20</f>
        <v/>
      </c>
      <c r="J20" s="412">
        <f>E20+'26.11'!J20</f>
        <v/>
      </c>
      <c r="K20" s="412">
        <f>F20+'26.11'!K20</f>
        <v/>
      </c>
      <c r="L20" s="412">
        <f>G20+'26.11'!L20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D21+'26.11'!I21</f>
        <v/>
      </c>
      <c r="J21" s="412">
        <f>E21+'26.11'!J21</f>
        <v/>
      </c>
      <c r="K21" s="412">
        <f>F21+'26.11'!K21</f>
        <v/>
      </c>
      <c r="L21" s="412">
        <f>G21+'26.11'!L21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D22+'26.11'!I22</f>
        <v/>
      </c>
      <c r="J22" s="412">
        <f>E22+'26.11'!J22</f>
        <v/>
      </c>
      <c r="K22" s="412">
        <f>F22+'26.11'!K22</f>
        <v/>
      </c>
      <c r="L22" s="412">
        <f>G22+'26.11'!L22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D23+'26.11'!I23</f>
        <v/>
      </c>
      <c r="J23" s="412">
        <f>E23+'26.11'!J23</f>
        <v/>
      </c>
      <c r="K23" s="412">
        <f>F23+'26.11'!K23</f>
        <v/>
      </c>
      <c r="L23" s="412">
        <f>G23+'26.11'!L23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D26+'26.11'!I26</f>
        <v/>
      </c>
      <c r="J26" s="412">
        <f>E26+'26.11'!J26</f>
        <v/>
      </c>
      <c r="K26" s="412">
        <f>F26+'26.11'!K26</f>
        <v/>
      </c>
      <c r="L26" s="412">
        <f>G26+'26.11'!L26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50324</v>
      </c>
      <c r="J27" s="413">
        <f>'26.11'!J27+E26-E10</f>
        <v/>
      </c>
      <c r="K27" s="413">
        <f>'26.11'!K27+F26-F10</f>
        <v/>
      </c>
      <c r="L27" s="413">
        <f>'26.11'!L27+G26-G10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>
        <v>17636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D8/3.6/D3/(DAY(DATE(2027,1,0))*24)</f>
        <v/>
      </c>
      <c r="E31" s="393">
        <f>E8/3.6/E3/(DAY(DATE(2027,1,0))*24)</f>
        <v/>
      </c>
      <c r="F31" s="393">
        <f>F8/3.6/F3/(DAY(DATE(2027,1,0))*24)</f>
        <v/>
      </c>
      <c r="G31" s="393">
        <f>(G8-G36)/3.6/G3/(DAY(DATE(2027,1,0))*24)</f>
        <v/>
      </c>
      <c r="H31" s="394">
        <f>H8/3.6/H3/(DAY(DATE(2027,1,0))*24)</f>
        <v/>
      </c>
      <c r="I31" s="392">
        <f>I8/3.6/I3/(DATEDIF(DATE(2026,1,1),DATE(2027,1,1),"D")*24)</f>
        <v/>
      </c>
      <c r="J31" s="393">
        <f>J8/3.6/J3/(DATEDIF(DATE(2026,1,1),DATE(2027,1,1),"D")*24)</f>
        <v/>
      </c>
      <c r="K31" s="393">
        <f>K8/3.6/K3/(DATEDIF(DATE(2026,1,1),DATE(2027,1,1),"D")*24)</f>
        <v/>
      </c>
      <c r="L31" s="393">
        <f>(L8-L36)/3.6/L3/(DATEDIF(DATE(2026,1,1),DATE(2027,1,1),"D")*24)</f>
        <v/>
      </c>
      <c r="M31" s="394">
        <f>M8/3.6/M3/(DATEDIF(DATE(2026,1,1),DATE(2027,1,1),"D")*24)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G36+'26.11'!L36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7603.52230769231</v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D42+'26.11'!E42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D43+'26.11'!E43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D44+'26.11'!E44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D45+'26.11'!E45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D42/3.6/D39/(DAY(DATE(2027,1,0))*24)</f>
        <v/>
      </c>
      <c r="E47" s="396">
        <f>E42/3.6/E39/(DATEDIF(DATE(2026,1,1),DATE(2027,1,1),"D")*24)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D58+'26.11'!G58</f>
        <v/>
      </c>
      <c r="H58" s="415">
        <f>E58+'26.11'!H58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D59+'26.11'!G59</f>
        <v/>
      </c>
      <c r="H59" s="415">
        <f>E59+'26.11'!H59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D60+'26.11'!G60</f>
        <v/>
      </c>
      <c r="H60" s="415">
        <f>E60+'26.11'!H60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D61+'26.11'!G61</f>
        <v/>
      </c>
      <c r="H61" s="415">
        <f>E61+'26.11'!H61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D58/3.6/D55/(DAY(DATE(2027,1,0))*24)</f>
        <v/>
      </c>
      <c r="E63" s="393">
        <f>E58/3.6/E55/(DAY(DATE(2027,1,0))*24)</f>
        <v/>
      </c>
      <c r="F63" s="406">
        <f>F58/3.6/F55/(DAY(DATE(2027,1,0))*24)</f>
        <v/>
      </c>
      <c r="G63" s="392">
        <f>G58/3.6/G55/(DATEDIF(DATE(2026,1,1),DATE(2027,1,1),"D")*24)</f>
        <v/>
      </c>
      <c r="H63" s="393">
        <f>H58/3.6/H55/(DATEDIF(DATE(2026,1,1),DATE(2027,1,1),"D")*24)</f>
        <v/>
      </c>
      <c r="I63" s="394">
        <f>I58/3.6/I55/(DATEDIF(DATE(2026,1,1),DATE(2027,1,1),"D")*24)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D73+'26.11'!F73</f>
        <v/>
      </c>
      <c r="G73" s="414">
        <f>E73+'26.11'!G73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D74+'26.11'!F74</f>
        <v/>
      </c>
      <c r="G74" s="414">
        <f>E74+'26.11'!G74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D75+'26.11'!F75</f>
        <v/>
      </c>
      <c r="G75" s="414">
        <f>E75+'26.11'!G75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D76+'26.11'!F76</f>
        <v/>
      </c>
      <c r="G76" s="414">
        <f>E76+'26.11'!G76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D77+'26.11'!F77</f>
        <v/>
      </c>
      <c r="G77" s="414">
        <f>E77+'26.11'!G77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D73/3.6/D71/(DAY(DATE(2027,1,0))*24)</f>
        <v/>
      </c>
      <c r="E82" s="409">
        <f>E73/3.6/E71/(DAY(DATE(2027,1,0))*24)</f>
        <v/>
      </c>
      <c r="F82" s="399">
        <f>F73/3.6/F71/(DATEDIF(DATE(2026,1,1),DATE(2027,1,1),"D")*24)</f>
        <v/>
      </c>
      <c r="G82" s="400">
        <f>G73/3.6/G71/(DATEDIF(DATE(2026,1,1),DATE(2027,1,1),"D")*24)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D90+'26.11'!E90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D91+'26.11'!E91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D92+'26.11'!E92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D93+'26.11'!E93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D90/3.6/D87/(DAY(DATE(2027,1,0))*24)</f>
        <v/>
      </c>
      <c r="E95" s="394">
        <f>E90/3.6/E87/(DATEDIF(DATE(2026,1,1),DATE(2027,1,1),"D")*24)</f>
        <v/>
      </c>
      <c r="F95" s="411">
        <f>F90/3.6/F87/(DAY(DATE(2027,1,0))*24)</f>
        <v/>
      </c>
      <c r="G95" s="394">
        <f>G90/3.6/G87/(DATEDIF(DATE(2026,1,1),DATE(2027,1,1),"D")*24)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2026-02-28T11:50:23Z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