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3" pivotButton="0" quotePrefix="0" xfId="0"/>
    <xf numFmtId="167" fontId="2" fillId="3" borderId="4" pivotButton="0" quotePrefix="0" xfId="0"/>
    <xf numFmtId="167" fontId="2" fillId="3" borderId="7" pivotButton="0" quotePrefix="0" xfId="0"/>
    <xf numFmtId="167" fontId="2" fillId="3" borderId="8" pivotButton="0" quotePrefix="0" xfId="0"/>
    <xf numFmtId="167" fontId="2" fillId="3" borderId="10" pivotButton="0" quotePrefix="0" xfId="0"/>
    <xf numFmtId="167" fontId="2" fillId="3" borderId="11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7" fontId="2" fillId="3" borderId="3" pivotButton="0" quotePrefix="0" xfId="0"/>
    <xf numFmtId="167" fontId="2" fillId="3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7" fontId="2" fillId="3" borderId="8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10" pivotButton="0" quotePrefix="0" xfId="0"/>
    <xf numFmtId="167" fontId="2" fillId="3" borderId="11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7" fontId="2" fillId="0" borderId="10" applyAlignment="1" pivotButton="0" quotePrefix="0" xfId="0">
      <alignment horizontal="right"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zqb8182</author>
    <author>微软用户</author>
  </authors>
  <commentList>
    <comment ref="N15" authorId="0" shapeId="0">
      <text>
        <t>zqb8182:
改</t>
      </text>
    </comment>
    <comment ref="N16" authorId="0" shapeId="0">
      <text>
        <t>zqb8182:
改</t>
      </text>
    </comment>
    <comment ref="E20" authorId="1" shapeId="0">
      <text>
        <t>扣除天然气炉耗水量</t>
      </text>
    </comment>
    <comment ref="N38" authorId="0" shapeId="0">
      <text>
        <t>zqb8182:
联动改</t>
      </text>
    </comment>
    <comment ref="N40" authorId="0" shapeId="0">
      <text>
        <t>zqb8182:
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I7" sqref="I7:I9 H7:H10 I11 H12:I13 E15:E16 H15:I16 H18:H20 E18:E23 H22:H23 I18:I24 H25:I28 E25:E29 E31 H31:I31 E33:E34 H33:I34 E40:E41 H40:H41 E43:E44 H43:H44 I40:I48 E49:E51 H49:I51 H57:I57 E57:E58 E60 H60:I62 E64:E66 H65:I66 G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[1]产量!$C$15</f>
        <v/>
      </c>
      <c r="F7" s="150">
        <f>[1]产量!$C$19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</f>
        <v/>
      </c>
      <c r="L7" s="152">
        <f>F7</f>
        <v/>
      </c>
      <c r="M7" s="149">
        <f>SUM(K7:L7)</f>
        <v/>
      </c>
      <c r="N7" s="152" t="n">
        <v>22641600</v>
      </c>
      <c r="O7" s="153" t="n">
        <v>15352900</v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[1]产量!$E$15</f>
        <v/>
      </c>
      <c r="F8" s="150">
        <f>[1]产量!$E$19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</f>
        <v/>
      </c>
      <c r="L8" s="152">
        <f>F8</f>
        <v/>
      </c>
      <c r="M8" s="149">
        <f>SUM(K8:L8)</f>
        <v/>
      </c>
      <c r="N8" s="152" t="n">
        <v>15642792</v>
      </c>
      <c r="O8" s="153" t="n">
        <v>11150964</v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[1]产量!$G$6</f>
        <v/>
      </c>
      <c r="F9" s="150">
        <f>[1]产量!$G$7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</f>
        <v/>
      </c>
      <c r="L9" s="152">
        <f>F9</f>
        <v/>
      </c>
      <c r="M9" s="149">
        <f>SUM(K9:L9)</f>
        <v/>
      </c>
      <c r="N9" s="152" t="n">
        <v>570124</v>
      </c>
      <c r="O9" s="153" t="n">
        <v>292094.32</v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</f>
        <v/>
      </c>
      <c r="L10" s="152">
        <f>F10</f>
        <v/>
      </c>
      <c r="M10" s="149">
        <f>SUM(K10:L10)</f>
        <v/>
      </c>
      <c r="N10" s="152" t="n">
        <v>113115</v>
      </c>
      <c r="O10" s="153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[1]产量!$G$28</f>
        <v/>
      </c>
      <c r="F11" s="150">
        <f>[1]产量!$G$30</f>
        <v/>
      </c>
      <c r="G11" s="149">
        <f>SUM(E11:F11)</f>
        <v/>
      </c>
      <c r="H11" s="149">
        <f>H9-H10</f>
        <v/>
      </c>
      <c r="I11" s="151" t="n"/>
      <c r="J11" s="149">
        <f>M11+N11+O11</f>
        <v/>
      </c>
      <c r="K11" s="152">
        <f>E11</f>
        <v/>
      </c>
      <c r="L11" s="152">
        <f>F11</f>
        <v/>
      </c>
      <c r="M11" s="149">
        <f>SUM(K11:L11)</f>
        <v/>
      </c>
      <c r="N11" s="152">
        <f>H11</f>
        <v/>
      </c>
      <c r="O11" s="153" t="n">
        <v>292094.32</v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[1]产量!$G$15</f>
        <v/>
      </c>
      <c r="F12" s="150">
        <f>[1]产量!$G$19</f>
        <v/>
      </c>
      <c r="G12" s="149">
        <f>SUM(E12:F12)</f>
        <v/>
      </c>
      <c r="H12" s="149" t="n"/>
      <c r="I12" s="151" t="n"/>
      <c r="J12" s="149">
        <f>M12+N12+O12</f>
        <v/>
      </c>
      <c r="K12" s="152">
        <f>E12</f>
        <v/>
      </c>
      <c r="L12" s="152">
        <f>F12</f>
        <v/>
      </c>
      <c r="M12" s="149">
        <f>SUM(K12:L12)</f>
        <v/>
      </c>
      <c r="N12" s="152">
        <f>H12</f>
        <v/>
      </c>
      <c r="O12" s="153" t="n">
        <v>0</v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 t="n">
        <v>6337791.65</v>
      </c>
      <c r="O13" s="157" t="n">
        <v>3019870.33</v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 t="n">
        <v>14337.393088</v>
      </c>
      <c r="L15" s="152">
        <f>F15</f>
        <v/>
      </c>
      <c r="M15" s="149">
        <f>SUM(K15:L15)</f>
        <v/>
      </c>
      <c r="N15" s="153" t="n">
        <v>7865</v>
      </c>
      <c r="O15" s="153" t="n">
        <v>4953.18904627418</v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 t="n">
        <v>53934.606912</v>
      </c>
      <c r="L16" s="152">
        <f>F16</f>
        <v/>
      </c>
      <c r="M16" s="149">
        <f>SUM(K16:L16)</f>
        <v/>
      </c>
      <c r="N16" s="153" t="n">
        <v>31436</v>
      </c>
      <c r="O16" s="153" t="n">
        <v>15701.0009537258</v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 t="n">
        <v>14.5532772</v>
      </c>
      <c r="L18" s="152">
        <f>F18</f>
        <v/>
      </c>
      <c r="M18" s="149">
        <f>SUM(K18:L18)</f>
        <v/>
      </c>
      <c r="N18" s="152" t="n">
        <v>3</v>
      </c>
      <c r="O18" s="153" t="n">
        <v>0.0479630432979863</v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 t="n">
        <v>54.7467228</v>
      </c>
      <c r="L19" s="152">
        <f>F19</f>
        <v/>
      </c>
      <c r="M19" s="149">
        <f>SUM(K19:L19)</f>
        <v/>
      </c>
      <c r="N19" s="152" t="n">
        <v>11</v>
      </c>
      <c r="O19" s="153" t="n">
        <v>0.152036956702014</v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 t="n">
        <v>177610</v>
      </c>
      <c r="L20" s="152">
        <f>F20</f>
        <v/>
      </c>
      <c r="M20" s="149">
        <f>SUM(K20:L20)</f>
        <v/>
      </c>
      <c r="N20" s="152" t="n">
        <v>94794</v>
      </c>
      <c r="O20" s="152" t="n">
        <v>34653</v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 t="n">
        <v>121213</v>
      </c>
      <c r="L21" s="152">
        <f>F21</f>
        <v/>
      </c>
      <c r="M21" s="149">
        <f>SUM(K21:L21)</f>
        <v/>
      </c>
      <c r="N21" s="152">
        <f>H21</f>
        <v/>
      </c>
      <c r="O21" s="153" t="n">
        <v>11538</v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 t="n">
        <v>6.4</v>
      </c>
      <c r="L22" s="152">
        <f>F22</f>
        <v/>
      </c>
      <c r="M22" s="149">
        <f>SUM(K22:L22)</f>
        <v/>
      </c>
      <c r="N22" s="152" t="n">
        <v>15</v>
      </c>
      <c r="O22" s="153" t="n">
        <v>2.31</v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 t="n">
        <v>9.699999999999999</v>
      </c>
      <c r="L23" s="152">
        <f>F23</f>
        <v/>
      </c>
      <c r="M23" s="149">
        <f>SUM(K23:L23)</f>
        <v/>
      </c>
      <c r="N23" s="152" t="n">
        <v>10</v>
      </c>
      <c r="O23" s="153" t="n">
        <v>2.3</v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</f>
        <v/>
      </c>
      <c r="L24" s="152">
        <f>F24</f>
        <v/>
      </c>
      <c r="M24" s="149">
        <f>SUM(K24:L24)</f>
        <v/>
      </c>
      <c r="N24" s="152">
        <f>H24</f>
        <v/>
      </c>
      <c r="O24" s="153" t="n">
        <v>601.88</v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 t="n">
        <v>2045</v>
      </c>
      <c r="L25" s="152">
        <f>F25</f>
        <v/>
      </c>
      <c r="M25" s="149">
        <f>SUM(K25:L25)</f>
        <v/>
      </c>
      <c r="N25" s="152" t="n">
        <v>702</v>
      </c>
      <c r="O25" s="153" t="n">
        <v>364.38</v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 t="n">
        <v>377.74</v>
      </c>
      <c r="L26" s="152">
        <f>F26</f>
        <v/>
      </c>
      <c r="M26" s="149">
        <f>SUM(K26:L26)</f>
        <v/>
      </c>
      <c r="N26" s="152" t="n">
        <v>319</v>
      </c>
      <c r="O26" s="153" t="n">
        <v>74.273</v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 t="n">
        <v>1.075</v>
      </c>
      <c r="L27" s="152">
        <f>F27</f>
        <v/>
      </c>
      <c r="M27" s="165">
        <f>SUM(K27:L27)</f>
        <v/>
      </c>
      <c r="N27" s="152" t="n">
        <v>1</v>
      </c>
      <c r="O27" s="153" t="n">
        <v>0.05</v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 t="n">
        <v>0</v>
      </c>
      <c r="L28" s="152">
        <f>F28</f>
        <v/>
      </c>
      <c r="M28" s="165">
        <f>SUM(K28:L28)</f>
        <v/>
      </c>
      <c r="N28" s="152" t="n">
        <v>0</v>
      </c>
      <c r="O28" s="153" t="n">
        <v>0</v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 t="n">
        <v>28</v>
      </c>
      <c r="L29" s="152">
        <f>F29</f>
        <v/>
      </c>
      <c r="M29" s="149">
        <f>SUM(K29:L29)</f>
        <v/>
      </c>
      <c r="N29" s="152">
        <f>H29</f>
        <v/>
      </c>
      <c r="O29" s="153">
        <f>I29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</f>
        <v/>
      </c>
      <c r="L30" s="152">
        <f>F30</f>
        <v/>
      </c>
      <c r="M30" s="149">
        <f>M7-M8</f>
        <v/>
      </c>
      <c r="N30" s="152">
        <f>H30</f>
        <v/>
      </c>
      <c r="O30" s="153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 t="n">
        <v>6593264.5</v>
      </c>
      <c r="L31" s="152">
        <f>F31</f>
        <v/>
      </c>
      <c r="M31" s="149">
        <f>SUM(K31:L31)</f>
        <v/>
      </c>
      <c r="N31" s="152">
        <f>H31</f>
        <v/>
      </c>
      <c r="O31" s="153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52">
        <f>H32</f>
        <v/>
      </c>
      <c r="O32" s="153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 t="n">
        <v>3573096.00147514</v>
      </c>
      <c r="L33" s="152">
        <f>F33</f>
        <v/>
      </c>
      <c r="M33" s="149">
        <f>SUM(K33:L33)</f>
        <v/>
      </c>
      <c r="N33" s="152" t="n">
        <v>1400555</v>
      </c>
      <c r="O33" s="153" t="n">
        <v>1007688.19151684</v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 t="n">
        <v>13441322.778525</v>
      </c>
      <c r="L34" s="152">
        <f>F34</f>
        <v/>
      </c>
      <c r="M34" s="149">
        <f>SUM(K34:L34)</f>
        <v/>
      </c>
      <c r="N34" s="152" t="n">
        <v>5598253</v>
      </c>
      <c r="O34" s="153" t="n">
        <v>3194247.80848316</v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152" t="n">
        <v>9817.246900174699</v>
      </c>
      <c r="L40" s="152">
        <f>F40</f>
        <v/>
      </c>
      <c r="M40" s="149">
        <f>SUM(K40:L40)</f>
        <v/>
      </c>
      <c r="N40" s="153" t="n">
        <v>5641</v>
      </c>
      <c r="O40" s="153" t="n">
        <v>3561.75043843677</v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152" t="n">
        <v>21.20558020812</v>
      </c>
      <c r="L41" s="152">
        <f>F41</f>
        <v/>
      </c>
      <c r="M41" s="149">
        <f>SUM(K41:L41)</f>
        <v/>
      </c>
      <c r="N41" s="152" t="n">
        <v>4</v>
      </c>
      <c r="O41" s="153" t="n">
        <v>0.0685186332828376</v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 t="n"/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 t="n">
        <v>36930.6550800009</v>
      </c>
      <c r="L43" s="152">
        <f>F43</f>
        <v/>
      </c>
      <c r="M43" s="149">
        <f>SUM(K43:L43)</f>
        <v/>
      </c>
      <c r="N43" s="152" t="n">
        <v>22549</v>
      </c>
      <c r="O43" s="153" t="n">
        <v>11290.3114555853</v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 t="n">
        <v>79.77379608</v>
      </c>
      <c r="L44" s="152">
        <f>F44</f>
        <v/>
      </c>
      <c r="M44" s="149">
        <f>SUM(K44:L44)</f>
        <v/>
      </c>
      <c r="N44" s="152" t="n">
        <v>16</v>
      </c>
      <c r="O44" s="153" t="n">
        <v>0.217195652431448</v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 t="n"/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 t="n"/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 t="n"/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 t="n"/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20159.4936</v>
      </c>
      <c r="L49" s="149" t="n"/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99360</v>
      </c>
      <c r="L50" s="149" t="n">
        <v>89280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58.8333333333333</v>
      </c>
      <c r="L51" s="149" t="n">
        <v>108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D7/10000/D6/(DAY(DATE(2026,2,0))*24)</f>
        <v/>
      </c>
      <c r="E52" s="179">
        <f>E7/10000/E6/(DAY(DATE(2026,2,0))*24)</f>
        <v/>
      </c>
      <c r="F52" s="179">
        <f>F7/10000/F6/(DAY(DATE(2026,2,0))*24)</f>
        <v/>
      </c>
      <c r="G52" s="179">
        <f>G7/10000/G6/(DAY(DATE(2026,2,0))*24)</f>
        <v/>
      </c>
      <c r="H52" s="179">
        <f>H7/10000/H6/(DAY(DATE(2026,2,0))*24)</f>
        <v/>
      </c>
      <c r="I52" s="180">
        <f>I7/10000/I6/(DAY(DATE(2026,2,0))*24)</f>
        <v/>
      </c>
      <c r="J52" s="179">
        <f>J7/10000/J6/(DATEDIF(DATE(2026,1,1),DATE(2026,2,1),"D")*24)</f>
        <v/>
      </c>
      <c r="K52" s="179">
        <f>K7/10000/K6/(DATEDIF(DATE(2026,1,1),DATE(2026,2,1),"D")*24)</f>
        <v/>
      </c>
      <c r="L52" s="179">
        <f>L7/10000/L6/(DATEDIF(DATE(2026,1,1),DATE(2026,2,1),"D")*24)</f>
        <v/>
      </c>
      <c r="M52" s="179">
        <f>M7/10000/M6/(DATEDIF(DATE(2026,1,1),DATE(2026,2,1),"D")*24)</f>
        <v/>
      </c>
      <c r="N52" s="179">
        <f>N7/10000/N6/(DATEDIF(DATE(2026,1,1),DATE(2026,2,1),"D")*24)</f>
        <v/>
      </c>
      <c r="O52" s="180">
        <f>O7/10000/O6/(DATEDIF(DATE(2026,1,1),DATE(2026,2,1),"D")*24)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D9*1000/1986/((DAY(DATE(2026,2,0))*24)*3600)</f>
        <v/>
      </c>
      <c r="E53" s="183">
        <f>E9*1000/577/((DAY(DATE(2026,2,0))*24)*3600)</f>
        <v/>
      </c>
      <c r="F53" s="180">
        <f>F9*1000/528/((DAY(DATE(2026,2,0))*24)*3600)</f>
        <v/>
      </c>
      <c r="G53" s="183">
        <f>G9*1000/1442/((DAY(DATE(2026,2,0))*24)*3600)</f>
        <v/>
      </c>
      <c r="H53" s="180">
        <f>H9*1000/414/((DAY(DATE(2026,2,0))*24)*3600)</f>
        <v/>
      </c>
      <c r="I53" s="180">
        <f>I9*1000/130/((DAY(DATE(2026,2,0))*24)*3600)</f>
        <v/>
      </c>
      <c r="J53" s="179">
        <f>J9*1000/1986/((DATEDIF(DATE(2026,1,1),DATE(2026,2,1),"D")*24)*3600)</f>
        <v/>
      </c>
      <c r="K53" s="183">
        <f>K9*1000/577/((DATEDIF(DATE(2026,1,1),DATE(2026,2,1),"D")*24)*3600)</f>
        <v/>
      </c>
      <c r="L53" s="180">
        <f>L9*1000/528/((DATEDIF(DATE(2026,1,1),DATE(2026,2,1),"D")*24)*3600)</f>
        <v/>
      </c>
      <c r="M53" s="183">
        <f>M9*1000/1442/((DATEDIF(DATE(2026,1,1),DATE(2026,2,1),"D")*24)*3600)</f>
        <v/>
      </c>
      <c r="N53" s="180">
        <f>N9*1000/414/((DATEDIF(DATE(2026,1,1),DATE(2026,2,1),"D")*24)*3600)</f>
        <v/>
      </c>
      <c r="O53" s="180">
        <f>O9*1000/130/((DATEDIF(DATE(2026,1,1),DATE(2026,2,1),"D")*24)*3600)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 t="n">
        <v>26761</v>
      </c>
      <c r="L57" s="152">
        <f>F57</f>
        <v/>
      </c>
      <c r="M57" s="149">
        <f>SUM(K57:L57)</f>
        <v/>
      </c>
      <c r="N57" s="152" t="n">
        <v>4890.18</v>
      </c>
      <c r="O57" s="153" t="n">
        <v>17015.74</v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</f>
        <v/>
      </c>
      <c r="L58" s="152">
        <f>F58</f>
        <v/>
      </c>
      <c r="M58" s="149">
        <f>SUM(K58:L58)</f>
        <v/>
      </c>
      <c r="N58" s="152">
        <f>H58</f>
        <v/>
      </c>
      <c r="O58" s="153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190">
        <f>K59</f>
        <v/>
      </c>
      <c r="F59" s="190">
        <f>L59</f>
        <v/>
      </c>
      <c r="G59" s="156">
        <f>SUM(E59:F59)</f>
        <v/>
      </c>
      <c r="H59" s="190">
        <f>N59</f>
        <v/>
      </c>
      <c r="I59" s="190">
        <f>O59</f>
        <v/>
      </c>
      <c r="J59" s="156">
        <f>M59+N59+O59</f>
        <v/>
      </c>
      <c r="K59" s="191">
        <f>'[13]25.12'!$K$59+E57-E14-E58</f>
        <v/>
      </c>
      <c r="L59" s="191">
        <f>'[13]25.12'!$L$59+F57-F14-F58</f>
        <v/>
      </c>
      <c r="M59" s="155">
        <f>SUM(K59:L59)</f>
        <v/>
      </c>
      <c r="N59" s="192" t="n">
        <v>13468.56</v>
      </c>
      <c r="O59" s="191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95" t="n">
        <v>0</v>
      </c>
      <c r="L60" s="195">
        <f>F60</f>
        <v/>
      </c>
      <c r="M60" s="175">
        <f>SUM(K60:L60)</f>
        <v/>
      </c>
      <c r="N60" s="195">
        <f>H60</f>
        <v/>
      </c>
      <c r="O60" s="196" t="n">
        <v>1027192</v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99">
        <f>E61</f>
        <v/>
      </c>
      <c r="L61" s="199">
        <f>F61</f>
        <v/>
      </c>
      <c r="M61" s="149">
        <f>SUM(K61:L61)</f>
        <v/>
      </c>
      <c r="N61" s="199" t="n">
        <v>1828619</v>
      </c>
      <c r="O61" s="200" t="n">
        <v>1027192</v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99">
        <f>E62</f>
        <v/>
      </c>
      <c r="L62" s="199">
        <f>F62</f>
        <v/>
      </c>
      <c r="M62" s="149">
        <f>SUM(K62:L62)</f>
        <v/>
      </c>
      <c r="N62" s="199" t="n">
        <v>40661</v>
      </c>
      <c r="O62" s="200" t="n">
        <v>22885</v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99">
        <f>E63</f>
        <v/>
      </c>
      <c r="L63" s="199">
        <f>F63</f>
        <v/>
      </c>
      <c r="M63" s="149">
        <f>SUM(K63:L63)</f>
        <v/>
      </c>
      <c r="N63" s="199">
        <f>H63</f>
        <v/>
      </c>
      <c r="O63" s="20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99" t="n">
        <v>73699</v>
      </c>
      <c r="L64" s="199">
        <f>F64</f>
        <v/>
      </c>
      <c r="M64" s="149">
        <f>SUM(K64:L64)</f>
        <v/>
      </c>
      <c r="N64" s="199">
        <f>H64</f>
        <v/>
      </c>
      <c r="O64" s="20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99" t="n">
        <v>6302</v>
      </c>
      <c r="L65" s="199">
        <f>F65</f>
        <v/>
      </c>
      <c r="M65" s="197">
        <f>SUM(K65:L65)</f>
        <v/>
      </c>
      <c r="N65" s="199" t="n">
        <v>23814</v>
      </c>
      <c r="O65" s="20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03" t="n">
        <v>1072980</v>
      </c>
      <c r="L66" s="203">
        <f>F66</f>
        <v/>
      </c>
      <c r="M66" s="201">
        <f>SUM(K66:L66)</f>
        <v/>
      </c>
      <c r="N66" s="203" t="n">
        <v>754606</v>
      </c>
      <c r="O66" s="204" t="n">
        <v>619963</v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5">
        <f>E67</f>
        <v/>
      </c>
      <c r="L67" s="195">
        <f>F67</f>
        <v/>
      </c>
      <c r="M67" s="193">
        <f>SUM(K67:L67)</f>
        <v/>
      </c>
      <c r="N67" s="195">
        <f>H67</f>
        <v/>
      </c>
      <c r="O67" s="196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/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9">
        <f>E68</f>
        <v/>
      </c>
      <c r="L68" s="199">
        <f>F68</f>
        <v/>
      </c>
      <c r="M68" s="197">
        <f>SUM(K68:L68)</f>
        <v/>
      </c>
      <c r="N68" s="199">
        <f>H68</f>
        <v/>
      </c>
      <c r="O68" s="200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[2]产量!$C$15</f>
        <v/>
      </c>
      <c r="F7" s="150">
        <f>[2]产量!$C$19</f>
        <v/>
      </c>
      <c r="G7" s="149">
        <f>SUM(E7:F7)</f>
        <v/>
      </c>
      <c r="H7" s="149" t="n">
        <v>22641600</v>
      </c>
      <c r="I7" s="151" t="n">
        <v>15352900</v>
      </c>
      <c r="J7" s="149">
        <f>M7+N7+O7</f>
        <v/>
      </c>
      <c r="K7" s="152">
        <f>E7+'26.1'!K7</f>
        <v/>
      </c>
      <c r="L7" s="152">
        <f>F7+'26.1'!L7</f>
        <v/>
      </c>
      <c r="M7" s="149">
        <f>SUM(K7:L7)</f>
        <v/>
      </c>
      <c r="N7" s="152">
        <f>H7+'26.1'!N7</f>
        <v/>
      </c>
      <c r="O7" s="152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[2]产量!$E$15</f>
        <v/>
      </c>
      <c r="F8" s="150">
        <f>[2]产量!$E$19</f>
        <v/>
      </c>
      <c r="G8" s="149">
        <f>SUM(E8:F8)</f>
        <v/>
      </c>
      <c r="H8" s="149" t="n">
        <v>15642792</v>
      </c>
      <c r="I8" s="151" t="n">
        <v>11150964</v>
      </c>
      <c r="J8" s="149">
        <f>M8+N8+O8</f>
        <v/>
      </c>
      <c r="K8" s="152">
        <f>E8+'26.1'!K8</f>
        <v/>
      </c>
      <c r="L8" s="152">
        <f>F8+'26.1'!L8</f>
        <v/>
      </c>
      <c r="M8" s="149">
        <f>SUM(K8:L8)</f>
        <v/>
      </c>
      <c r="N8" s="152">
        <f>H8+'26.1'!N8</f>
        <v/>
      </c>
      <c r="O8" s="152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[2]产量!$G$6</f>
        <v/>
      </c>
      <c r="F9" s="150">
        <f>[2]产量!$G$7</f>
        <v/>
      </c>
      <c r="G9" s="149">
        <f>SUM(E9:F9)</f>
        <v/>
      </c>
      <c r="H9" s="149" t="n">
        <v>570124</v>
      </c>
      <c r="I9" s="151" t="n">
        <v>292094.32</v>
      </c>
      <c r="J9" s="149">
        <f>M9+N9+O9</f>
        <v/>
      </c>
      <c r="K9" s="152">
        <f>E9+'26.1'!K9</f>
        <v/>
      </c>
      <c r="L9" s="152">
        <f>F9+'26.1'!L9</f>
        <v/>
      </c>
      <c r="M9" s="149">
        <f>SUM(K9:L9)</f>
        <v/>
      </c>
      <c r="N9" s="152">
        <f>H9+'26.1'!N9</f>
        <v/>
      </c>
      <c r="O9" s="152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[2]产量!$G$29</f>
        <v/>
      </c>
      <c r="G10" s="149">
        <f>SUM(E10:F10)</f>
        <v/>
      </c>
      <c r="H10" s="149" t="n">
        <v>113115</v>
      </c>
      <c r="I10" s="154" t="n"/>
      <c r="J10" s="149">
        <f>M10+N10+O10</f>
        <v/>
      </c>
      <c r="K10" s="152">
        <f>E10+'26.1'!K10</f>
        <v/>
      </c>
      <c r="L10" s="152">
        <f>F10+'26.1'!L10</f>
        <v/>
      </c>
      <c r="M10" s="149">
        <f>SUM(K10:L10)</f>
        <v/>
      </c>
      <c r="N10" s="152">
        <f>H10+'26.1'!N10</f>
        <v/>
      </c>
      <c r="O10" s="152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[2]产量!$G$28</f>
        <v/>
      </c>
      <c r="F11" s="150">
        <f>[2]产量!$G$30</f>
        <v/>
      </c>
      <c r="G11" s="149">
        <f>SUM(E11:F11)</f>
        <v/>
      </c>
      <c r="H11" s="149">
        <f>H9-H10</f>
        <v/>
      </c>
      <c r="I11" s="151" t="n">
        <v>292094.32</v>
      </c>
      <c r="J11" s="149">
        <f>M11+N11+O11</f>
        <v/>
      </c>
      <c r="K11" s="152">
        <f>E11+'26.1'!K11</f>
        <v/>
      </c>
      <c r="L11" s="152">
        <f>F11+'26.1'!L11</f>
        <v/>
      </c>
      <c r="M11" s="149">
        <f>SUM(K11:L11)</f>
        <v/>
      </c>
      <c r="N11" s="152">
        <f>H11+'26.1'!N11</f>
        <v/>
      </c>
      <c r="O11" s="152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[2]产量!$G$15</f>
        <v/>
      </c>
      <c r="F12" s="150">
        <f>[2]产量!$G$19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E12+'26.1'!K12</f>
        <v/>
      </c>
      <c r="L12" s="152">
        <f>F12+'26.1'!L12</f>
        <v/>
      </c>
      <c r="M12" s="149">
        <f>SUM(K12:L12)</f>
        <v/>
      </c>
      <c r="N12" s="152">
        <f>H12+'26.1'!N12</f>
        <v/>
      </c>
      <c r="O12" s="152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>
        <v>6337791.65</v>
      </c>
      <c r="I13" s="157" t="n">
        <v>3019870.33</v>
      </c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>
        <v>14337.393088</v>
      </c>
      <c r="F15" s="149" t="n">
        <v>13051.1898</v>
      </c>
      <c r="G15" s="149">
        <f>SUM(E15:F15)</f>
        <v/>
      </c>
      <c r="H15" s="149" t="n">
        <v>7865</v>
      </c>
      <c r="I15" s="151" t="n">
        <v>4953.18904627418</v>
      </c>
      <c r="J15" s="149">
        <f>M15+N15+O15</f>
        <v/>
      </c>
      <c r="K15" s="152">
        <f>E15+'26.1'!K15</f>
        <v/>
      </c>
      <c r="L15" s="152">
        <f>F15+'26.1'!L15</f>
        <v/>
      </c>
      <c r="M15" s="149">
        <f>SUM(K15:L15)</f>
        <v/>
      </c>
      <c r="N15" s="152">
        <f>H15+'26.1'!N15</f>
        <v/>
      </c>
      <c r="O15" s="152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>
        <v>53934.606912</v>
      </c>
      <c r="F16" s="149" t="n">
        <v>60187.8102</v>
      </c>
      <c r="G16" s="149">
        <f>SUM(E16:F16)</f>
        <v/>
      </c>
      <c r="H16" s="149" t="n">
        <v>31436</v>
      </c>
      <c r="I16" s="151" t="n">
        <v>15701.0009537258</v>
      </c>
      <c r="J16" s="149">
        <f>M16+N16+O16</f>
        <v/>
      </c>
      <c r="K16" s="152">
        <f>E16+'26.1'!K16</f>
        <v/>
      </c>
      <c r="L16" s="152">
        <f>F16+'26.1'!L16</f>
        <v/>
      </c>
      <c r="M16" s="149">
        <f>SUM(K16:L16)</f>
        <v/>
      </c>
      <c r="N16" s="152">
        <f>H16+'26.1'!N16</f>
        <v/>
      </c>
      <c r="O16" s="152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>
        <v>14.5532772</v>
      </c>
      <c r="F18" s="149" t="n">
        <v>4.455</v>
      </c>
      <c r="G18" s="149">
        <f>SUM(E18:F18)</f>
        <v/>
      </c>
      <c r="H18" s="149" t="n">
        <v>3</v>
      </c>
      <c r="I18" s="151" t="n">
        <v>0.0479630432979863</v>
      </c>
      <c r="J18" s="149">
        <f>M18+N18+O18</f>
        <v/>
      </c>
      <c r="K18" s="152">
        <f>E18+'26.1'!K18</f>
        <v/>
      </c>
      <c r="L18" s="152">
        <f>F18+'26.1'!L18</f>
        <v/>
      </c>
      <c r="M18" s="149">
        <f>SUM(K18:L18)</f>
        <v/>
      </c>
      <c r="N18" s="152">
        <f>H18+'26.1'!N18</f>
        <v/>
      </c>
      <c r="O18" s="152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>
        <v>54.7467228</v>
      </c>
      <c r="F19" s="149" t="n">
        <v>20.545</v>
      </c>
      <c r="G19" s="149">
        <f>SUM(E19:F19)</f>
        <v/>
      </c>
      <c r="H19" s="149" t="n">
        <v>11</v>
      </c>
      <c r="I19" s="151" t="n">
        <v>0.152036956702014</v>
      </c>
      <c r="J19" s="149">
        <f>M19+N19+O19</f>
        <v/>
      </c>
      <c r="K19" s="152">
        <f>E19+'26.1'!K19</f>
        <v/>
      </c>
      <c r="L19" s="152">
        <f>F19+'26.1'!L19</f>
        <v/>
      </c>
      <c r="M19" s="149">
        <f>SUM(K19:L19)</f>
        <v/>
      </c>
      <c r="N19" s="152">
        <f>H19+'26.1'!N19</f>
        <v/>
      </c>
      <c r="O19" s="152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>
        <v>177610</v>
      </c>
      <c r="F20" s="149" t="n">
        <v>194774</v>
      </c>
      <c r="G20" s="149">
        <f>SUM(E20:F20)</f>
        <v/>
      </c>
      <c r="H20" s="149" t="n">
        <v>94794</v>
      </c>
      <c r="I20" s="151" t="n">
        <v>34653</v>
      </c>
      <c r="J20" s="149">
        <f>M20+N20+O20</f>
        <v/>
      </c>
      <c r="K20" s="152">
        <f>E20+'26.1'!K20</f>
        <v/>
      </c>
      <c r="L20" s="152">
        <f>F20+'26.1'!L20</f>
        <v/>
      </c>
      <c r="M20" s="149">
        <f>SUM(K20:L20)</f>
        <v/>
      </c>
      <c r="N20" s="152">
        <f>H20+'26.1'!N20</f>
        <v/>
      </c>
      <c r="O20" s="152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>
        <v>121213</v>
      </c>
      <c r="F21" s="149" t="n"/>
      <c r="G21" s="149">
        <f>SUM(E21:F21)</f>
        <v/>
      </c>
      <c r="H21" s="149" t="n"/>
      <c r="I21" s="151" t="n">
        <v>11538</v>
      </c>
      <c r="J21" s="149">
        <f>M21+N21+O21</f>
        <v/>
      </c>
      <c r="K21" s="152">
        <f>E21+'26.1'!K21</f>
        <v/>
      </c>
      <c r="L21" s="152">
        <f>F21+'26.1'!L21</f>
        <v/>
      </c>
      <c r="M21" s="149">
        <f>SUM(K21:L21)</f>
        <v/>
      </c>
      <c r="N21" s="152">
        <f>H21+'26.1'!N21</f>
        <v/>
      </c>
      <c r="O21" s="152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>
        <v>6.4</v>
      </c>
      <c r="F22" s="149" t="n">
        <v>40</v>
      </c>
      <c r="G22" s="149">
        <f>SUM(E22:F22)</f>
        <v/>
      </c>
      <c r="H22" s="149" t="n">
        <v>15</v>
      </c>
      <c r="I22" s="151" t="n">
        <v>2.31</v>
      </c>
      <c r="J22" s="149">
        <f>M22+N22+O22</f>
        <v/>
      </c>
      <c r="K22" s="152">
        <f>E22+'26.1'!K22</f>
        <v/>
      </c>
      <c r="L22" s="152">
        <f>F22+'26.1'!L22</f>
        <v/>
      </c>
      <c r="M22" s="149">
        <f>SUM(K22:L22)</f>
        <v/>
      </c>
      <c r="N22" s="152">
        <f>H22+'26.1'!N22</f>
        <v/>
      </c>
      <c r="O22" s="152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>
        <v>9.699999999999999</v>
      </c>
      <c r="F23" s="149" t="n">
        <v>32</v>
      </c>
      <c r="G23" s="149">
        <f>SUM(E23:F23)</f>
        <v/>
      </c>
      <c r="H23" s="149" t="n">
        <v>10</v>
      </c>
      <c r="I23" s="151" t="n">
        <v>2.3</v>
      </c>
      <c r="J23" s="149">
        <f>M23+N23+O23</f>
        <v/>
      </c>
      <c r="K23" s="152">
        <f>E23+'26.1'!K23</f>
        <v/>
      </c>
      <c r="L23" s="152">
        <f>F23+'26.1'!L23</f>
        <v/>
      </c>
      <c r="M23" s="149">
        <f>SUM(K23:L23)</f>
        <v/>
      </c>
      <c r="N23" s="152">
        <f>H23+'26.1'!N23</f>
        <v/>
      </c>
      <c r="O23" s="152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29" t="n"/>
      <c r="I24" s="151" t="n">
        <v>601.88</v>
      </c>
      <c r="J24" s="149">
        <f>M24+N24+O24</f>
        <v/>
      </c>
      <c r="K24" s="152">
        <f>E24+'26.1'!K24</f>
        <v/>
      </c>
      <c r="L24" s="152">
        <f>F24+'26.1'!L24</f>
        <v/>
      </c>
      <c r="M24" s="149">
        <f>SUM(K24:L24)</f>
        <v/>
      </c>
      <c r="N24" s="152">
        <f>H24+'26.1'!N24</f>
        <v/>
      </c>
      <c r="O24" s="152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>
        <v>2045</v>
      </c>
      <c r="F25" s="149" t="n">
        <v>854</v>
      </c>
      <c r="G25" s="149">
        <f>SUM(E25:F25)</f>
        <v/>
      </c>
      <c r="H25" s="149" t="n">
        <v>702</v>
      </c>
      <c r="I25" s="151" t="n">
        <v>364.38</v>
      </c>
      <c r="J25" s="149">
        <f>M25+N25+O25</f>
        <v/>
      </c>
      <c r="K25" s="152">
        <f>E25+'26.1'!K25</f>
        <v/>
      </c>
      <c r="L25" s="152">
        <f>F25+'26.1'!L25</f>
        <v/>
      </c>
      <c r="M25" s="149">
        <f>SUM(K25:L25)</f>
        <v/>
      </c>
      <c r="N25" s="152">
        <f>H25+'26.1'!N25</f>
        <v/>
      </c>
      <c r="O25" s="152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>
        <v>377.74</v>
      </c>
      <c r="F26" s="149" t="n">
        <v>201</v>
      </c>
      <c r="G26" s="149">
        <f>SUM(E26:F26)</f>
        <v/>
      </c>
      <c r="H26" s="149" t="n">
        <v>319</v>
      </c>
      <c r="I26" s="161" t="n">
        <v>74.273</v>
      </c>
      <c r="J26" s="149">
        <f>M26+N26+O26</f>
        <v/>
      </c>
      <c r="K26" s="152">
        <f>E26+'26.1'!K26</f>
        <v/>
      </c>
      <c r="L26" s="152">
        <f>F26+'26.1'!L26</f>
        <v/>
      </c>
      <c r="M26" s="149">
        <f>SUM(K26:L26)</f>
        <v/>
      </c>
      <c r="N26" s="152">
        <f>H26+'26.1'!N26</f>
        <v/>
      </c>
      <c r="O26" s="152">
        <f>I26+'26.1'!O26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>
        <v>1.075</v>
      </c>
      <c r="F27" s="165" t="n">
        <v>1</v>
      </c>
      <c r="G27" s="165">
        <f>SUM(E27:F27)</f>
        <v/>
      </c>
      <c r="H27" s="165" t="n">
        <v>1</v>
      </c>
      <c r="I27" s="48" t="n">
        <v>0.05</v>
      </c>
      <c r="J27" s="165">
        <f>M27+N27+O27</f>
        <v/>
      </c>
      <c r="K27" s="152">
        <f>E27+'26.1'!K27</f>
        <v/>
      </c>
      <c r="L27" s="152">
        <f>F27+'26.1'!L27</f>
        <v/>
      </c>
      <c r="M27" s="165">
        <f>SUM(K27:L27)</f>
        <v/>
      </c>
      <c r="N27" s="152">
        <f>H27+'26.1'!N27</f>
        <v/>
      </c>
      <c r="O27" s="152">
        <f>I27+'26.1'!O27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>
        <v>0</v>
      </c>
      <c r="F28" s="165" t="n">
        <v>0</v>
      </c>
      <c r="G28" s="165">
        <f>SUM(E28:F28)</f>
        <v/>
      </c>
      <c r="H28" s="165" t="n">
        <v>0</v>
      </c>
      <c r="I28" s="168" t="n">
        <v>0</v>
      </c>
      <c r="J28" s="165">
        <f>M28+N28+O28</f>
        <v/>
      </c>
      <c r="K28" s="152">
        <f>E28+'26.1'!K28</f>
        <v/>
      </c>
      <c r="L28" s="152">
        <f>F28+'26.1'!L28</f>
        <v/>
      </c>
      <c r="M28" s="165">
        <f>SUM(K28:L28)</f>
        <v/>
      </c>
      <c r="N28" s="152">
        <f>H28+'26.1'!N28</f>
        <v/>
      </c>
      <c r="O28" s="152">
        <f>I28+'26.1'!O28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>
        <v>28</v>
      </c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E29+'26.1'!K29</f>
        <v/>
      </c>
      <c r="L29" s="152">
        <f>F29+'26.1'!L29</f>
        <v/>
      </c>
      <c r="M29" s="149">
        <f>SUM(K29:L29)</f>
        <v/>
      </c>
      <c r="N29" s="152">
        <f>H29+'26.1'!N29</f>
        <v/>
      </c>
      <c r="O29" s="152">
        <f>I29+'26.1'!O29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E30+'26.1'!K30</f>
        <v/>
      </c>
      <c r="L30" s="152">
        <f>F30+'26.1'!L30</f>
        <v/>
      </c>
      <c r="M30" s="149">
        <f>M7-M8</f>
        <v/>
      </c>
      <c r="N30" s="152">
        <f>H30+'26.1'!N30</f>
        <v/>
      </c>
      <c r="O30" s="152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>
        <v>6593264.5</v>
      </c>
      <c r="F31" s="149" t="n">
        <v>573928</v>
      </c>
      <c r="G31" s="149">
        <f>SUM(E31:F31)</f>
        <v/>
      </c>
      <c r="H31" s="149" t="n"/>
      <c r="I31" s="151" t="n"/>
      <c r="J31" s="149">
        <f>M31+N31+O31</f>
        <v/>
      </c>
      <c r="K31" s="152">
        <f>E31+'26.1'!K31</f>
        <v/>
      </c>
      <c r="L31" s="152">
        <f>F31+'26.1'!L31</f>
        <v/>
      </c>
      <c r="M31" s="149">
        <f>SUM(K31:L31)</f>
        <v/>
      </c>
      <c r="N31" s="152">
        <f>H31+'26.1'!N31</f>
        <v/>
      </c>
      <c r="O31" s="152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>
        <v>3573096.00147514</v>
      </c>
      <c r="F33" s="149" t="n">
        <v>2844984.384</v>
      </c>
      <c r="G33" s="149">
        <f>SUM(E33:F33)</f>
        <v/>
      </c>
      <c r="H33" s="149" t="n">
        <v>1400555</v>
      </c>
      <c r="I33" s="151" t="n">
        <v>1007688.19151684</v>
      </c>
      <c r="J33" s="149">
        <f>M33+N33+O33</f>
        <v/>
      </c>
      <c r="K33" s="152">
        <f>E33+'26.1'!K33</f>
        <v/>
      </c>
      <c r="L33" s="152">
        <f>F33+'26.1'!L33</f>
        <v/>
      </c>
      <c r="M33" s="149">
        <f>SUM(K33:L33)</f>
        <v/>
      </c>
      <c r="N33" s="152">
        <f>H33+'26.1'!N33</f>
        <v/>
      </c>
      <c r="O33" s="152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>
        <v>13441322.778525</v>
      </c>
      <c r="F34" s="149" t="n">
        <v>13120135.616</v>
      </c>
      <c r="G34" s="149">
        <f>SUM(E34:F34)</f>
        <v/>
      </c>
      <c r="H34" s="149" t="n">
        <v>5598253</v>
      </c>
      <c r="I34" s="151" t="n">
        <v>3194247.80848316</v>
      </c>
      <c r="J34" s="149">
        <f>M34+N34+O34</f>
        <v/>
      </c>
      <c r="K34" s="152">
        <f>E34+'26.1'!K34</f>
        <v/>
      </c>
      <c r="L34" s="152">
        <f>F34+'26.1'!L34</f>
        <v/>
      </c>
      <c r="M34" s="149">
        <f>SUM(K34:L34)</f>
        <v/>
      </c>
      <c r="N34" s="152">
        <f>H34+'26.1'!N34</f>
        <v/>
      </c>
      <c r="O34" s="152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>
        <v>9817.246900174699</v>
      </c>
      <c r="F40" s="149" t="n">
        <v>8544.63729638324</v>
      </c>
      <c r="G40" s="149">
        <f>SUM(E40:F40)</f>
        <v/>
      </c>
      <c r="H40" s="149" t="n">
        <v>5641</v>
      </c>
      <c r="I40" s="151" t="n">
        <v>3561.75043843677</v>
      </c>
      <c r="J40" s="149">
        <f>M40+N40+O40</f>
        <v/>
      </c>
      <c r="K40" s="152">
        <f>E40+'26.1'!K40</f>
        <v/>
      </c>
      <c r="L40" s="152">
        <f>F40+'26.1'!L40</f>
        <v/>
      </c>
      <c r="M40" s="149">
        <f>SUM(K40:L40)</f>
        <v/>
      </c>
      <c r="N40" s="152">
        <f>H40+'26.1'!N40</f>
        <v/>
      </c>
      <c r="O40" s="152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>
        <v>21.20558020812</v>
      </c>
      <c r="F41" s="149" t="n">
        <v>6.4913805</v>
      </c>
      <c r="G41" s="149">
        <f>SUM(E41:F41)</f>
        <v/>
      </c>
      <c r="H41" s="149" t="n">
        <v>4</v>
      </c>
      <c r="I41" s="151" t="n">
        <v>0.0685186332828376</v>
      </c>
      <c r="J41" s="149">
        <f>M41+N41+O41</f>
        <v/>
      </c>
      <c r="K41" s="152">
        <f>E41+'26.1'!K41</f>
        <v/>
      </c>
      <c r="L41" s="152">
        <f>F41+'26.1'!L41</f>
        <v/>
      </c>
      <c r="M41" s="149">
        <f>SUM(K41:L41)</f>
        <v/>
      </c>
      <c r="N41" s="152">
        <f>H41+'26.1'!N41</f>
        <v/>
      </c>
      <c r="O41" s="152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>
        <v>36930.6550800009</v>
      </c>
      <c r="F43" s="149" t="n">
        <v>39405.0669481916</v>
      </c>
      <c r="G43" s="149">
        <f>SUM(E43:F43)</f>
        <v/>
      </c>
      <c r="H43" s="149" t="n">
        <v>22549</v>
      </c>
      <c r="I43" s="151" t="n">
        <v>11290.3114555853</v>
      </c>
      <c r="J43" s="149">
        <f>M43+N43+O43</f>
        <v/>
      </c>
      <c r="K43" s="152">
        <f>E43+'26.1'!K43</f>
        <v/>
      </c>
      <c r="L43" s="152">
        <f>F43+'26.1'!L43</f>
        <v/>
      </c>
      <c r="M43" s="149">
        <f>SUM(K43:L43)</f>
        <v/>
      </c>
      <c r="N43" s="152">
        <f>H43+'26.1'!N43</f>
        <v/>
      </c>
      <c r="O43" s="152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>
        <v>79.77379608</v>
      </c>
      <c r="F44" s="149" t="n">
        <v>29.9361195</v>
      </c>
      <c r="G44" s="149">
        <f>SUM(E44:F44)</f>
        <v/>
      </c>
      <c r="H44" s="149" t="n">
        <v>16</v>
      </c>
      <c r="I44" s="151" t="n">
        <v>0.217195652431448</v>
      </c>
      <c r="J44" s="149">
        <f>M44+N44+O44</f>
        <v/>
      </c>
      <c r="K44" s="152">
        <f>E44+'26.1'!K44</f>
        <v/>
      </c>
      <c r="L44" s="152">
        <f>F44+'26.1'!L44</f>
        <v/>
      </c>
      <c r="M44" s="149">
        <f>SUM(K44:L44)</f>
        <v/>
      </c>
      <c r="N44" s="152">
        <f>H44+'26.1'!N44</f>
        <v/>
      </c>
      <c r="O44" s="152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>
        <v>20159.4936</v>
      </c>
      <c r="F49" s="149" t="n">
        <v>19277</v>
      </c>
      <c r="G49" s="160" t="n"/>
      <c r="H49" s="149" t="n">
        <v>20991.6</v>
      </c>
      <c r="I49" s="151" t="n">
        <v>20480</v>
      </c>
      <c r="J49" s="160" t="n"/>
      <c r="K49" s="149" t="n">
        <v>20159.4936</v>
      </c>
      <c r="L49" s="149" t="n">
        <v>19277</v>
      </c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>
        <v>99360</v>
      </c>
      <c r="F50" s="149" t="n">
        <v>99840</v>
      </c>
      <c r="G50" s="149">
        <f>SUM(E50:F50)</f>
        <v/>
      </c>
      <c r="H50" s="149" t="n">
        <v>36720</v>
      </c>
      <c r="I50" s="151" t="n">
        <v>23000</v>
      </c>
      <c r="J50" s="149">
        <f>M50+N50+O50</f>
        <v/>
      </c>
      <c r="K50" s="149" t="n">
        <v>99360</v>
      </c>
      <c r="L50" s="149" t="n">
        <v>99840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>
        <v>58.8333333333333</v>
      </c>
      <c r="F51" s="149" t="n">
        <v>120</v>
      </c>
      <c r="G51" s="149">
        <f>SUM(E51:F51)</f>
        <v/>
      </c>
      <c r="H51" s="149" t="n">
        <v>350</v>
      </c>
      <c r="I51" s="151" t="n">
        <v>140</v>
      </c>
      <c r="J51" s="149">
        <f>M51+N51+O51</f>
        <v/>
      </c>
      <c r="K51" s="149" t="n">
        <v>58.8333333333333</v>
      </c>
      <c r="L51" s="149" t="n">
        <v>120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D7/10000/D6/(DAY(DATE(2026,3,0))*24)</f>
        <v/>
      </c>
      <c r="E52" s="179">
        <f>E7/10000/E6/(DAY(DATE(2026,3,0))*24)</f>
        <v/>
      </c>
      <c r="F52" s="179">
        <f>F7/10000/F6/(DAY(DATE(2026,3,0))*24)</f>
        <v/>
      </c>
      <c r="G52" s="179">
        <f>G7/10000/G6/(DAY(DATE(2026,3,0))*24)</f>
        <v/>
      </c>
      <c r="H52" s="179">
        <f>H7/10000/H6/(DAY(DATE(2026,3,0))*24)</f>
        <v/>
      </c>
      <c r="I52" s="180">
        <f>I7/10000/I6/(DAY(DATE(2026,3,0))*24)</f>
        <v/>
      </c>
      <c r="J52" s="179">
        <f>J7/10000/J6/(DATEDIF(DATE(2026,1,1),DATE(2026,3,1),"D")*24)</f>
        <v/>
      </c>
      <c r="K52" s="179">
        <f>K7/10000/K6/(DATEDIF(DATE(2026,1,1),DATE(2026,3,1),"D")*24)</f>
        <v/>
      </c>
      <c r="L52" s="179">
        <f>L7/10000/L6/(DATEDIF(DATE(2026,1,1),DATE(2026,3,1),"D")*24)</f>
        <v/>
      </c>
      <c r="M52" s="179">
        <f>M7/10000/M6/(DATEDIF(DATE(2026,1,1),DATE(2026,3,1),"D")*24)</f>
        <v/>
      </c>
      <c r="N52" s="179">
        <f>N7/10000/N6/(DATEDIF(DATE(2026,1,1),DATE(2026,3,1),"D")*24)</f>
        <v/>
      </c>
      <c r="O52" s="180">
        <f>O7/10000/O6/(DATEDIF(DATE(2026,1,1),DATE(2026,3,1),"D")*24)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D9*1000/1986/((DAY(DATE(2026,3,0))*24)*3600)</f>
        <v/>
      </c>
      <c r="E53" s="183">
        <f>E9*1000/577/((DAY(DATE(2026,3,0))*24)*3600)</f>
        <v/>
      </c>
      <c r="F53" s="180">
        <f>F9*1000/528/((DAY(DATE(2026,3,0))*24)*3600)</f>
        <v/>
      </c>
      <c r="G53" s="183">
        <f>G9*1000/1442/((DAY(DATE(2026,3,0))*24)*3600)</f>
        <v/>
      </c>
      <c r="H53" s="180">
        <f>H9*1000/414/((DAY(DATE(2026,3,0))*24)*3600)</f>
        <v/>
      </c>
      <c r="I53" s="180">
        <f>I9*1000/130/((DAY(DATE(2026,3,0))*24)*3600)</f>
        <v/>
      </c>
      <c r="J53" s="179">
        <f>J9*1000/1986/((DATEDIF(DATE(2026,1,1),DATE(2026,3,1),"D")*24)*3600)</f>
        <v/>
      </c>
      <c r="K53" s="183">
        <f>K9*1000/577/((DATEDIF(DATE(2026,1,1),DATE(2026,3,1),"D")*24)*3600)</f>
        <v/>
      </c>
      <c r="L53" s="180">
        <f>L9*1000/528/((DATEDIF(DATE(2026,1,1),DATE(2026,3,1),"D")*24)*3600)</f>
        <v/>
      </c>
      <c r="M53" s="183">
        <f>M9*1000/1442/((DATEDIF(DATE(2026,1,1),DATE(2026,3,1),"D")*24)*3600)</f>
        <v/>
      </c>
      <c r="N53" s="180">
        <f>N9*1000/414/((DATEDIF(DATE(2026,1,1),DATE(2026,3,1),"D")*24)*3600)</f>
        <v/>
      </c>
      <c r="O53" s="180">
        <f>O9*1000/130/((DATEDIF(DATE(2026,1,1),DATE(2026,3,1),"D")*24)*3600)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>
        <v>26761</v>
      </c>
      <c r="F57" s="175" t="n">
        <v>66608</v>
      </c>
      <c r="G57" s="175" t="n"/>
      <c r="H57" s="175" t="n">
        <v>4890.18</v>
      </c>
      <c r="I57" s="176" t="n">
        <v>0</v>
      </c>
      <c r="J57" s="158">
        <f>M57+N57+O57</f>
        <v/>
      </c>
      <c r="K57" s="152">
        <f>E57+'26.1'!K57</f>
        <v/>
      </c>
      <c r="L57" s="152">
        <f>F57+'26.1'!L57</f>
        <v/>
      </c>
      <c r="M57" s="149">
        <f>SUM(K57:L57)</f>
        <v/>
      </c>
      <c r="N57" s="152">
        <f>H57+'26.1'!N57</f>
        <v/>
      </c>
      <c r="O57" s="152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>
        <v>42844</v>
      </c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E58+'26.1'!K58</f>
        <v/>
      </c>
      <c r="L58" s="152">
        <f>F58+'26.1'!L58</f>
        <v/>
      </c>
      <c r="M58" s="149">
        <f>SUM(K58:L58)</f>
        <v/>
      </c>
      <c r="N58" s="152">
        <f>H58+'26.1'!N58</f>
        <v/>
      </c>
      <c r="O58" s="152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'26.1'!K59+E57-E14-E58</f>
        <v/>
      </c>
      <c r="L59" s="192">
        <f>'26.1'!L59+F57-F14-F58</f>
        <v/>
      </c>
      <c r="M59" s="155">
        <f>SUM(K59:L59)</f>
        <v/>
      </c>
      <c r="N59" s="192">
        <f>'26.1'!N59+H57-H14-H58</f>
        <v/>
      </c>
      <c r="O59" s="192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>
        <v>0</v>
      </c>
      <c r="F60" s="193" t="n">
        <v>0</v>
      </c>
      <c r="G60" s="175" t="n"/>
      <c r="H60" s="193" t="n">
        <v>1828619</v>
      </c>
      <c r="I60" s="194" t="n">
        <v>1027192</v>
      </c>
      <c r="J60" s="175">
        <f>M60+N60+O60</f>
        <v/>
      </c>
      <c r="K60" s="152">
        <f>E60+'26.1'!K60</f>
        <v/>
      </c>
      <c r="L60" s="152">
        <f>F60+'26.1'!L60</f>
        <v/>
      </c>
      <c r="M60" s="175">
        <f>SUM(K60:L60)</f>
        <v/>
      </c>
      <c r="N60" s="152">
        <f>H60+'26.1'!N60</f>
        <v/>
      </c>
      <c r="O60" s="152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>
        <v>1828619</v>
      </c>
      <c r="I61" s="198" t="n">
        <v>1027192</v>
      </c>
      <c r="J61" s="149">
        <f>M61+N61+O61</f>
        <v/>
      </c>
      <c r="K61" s="152">
        <f>E61+'26.1'!K61</f>
        <v/>
      </c>
      <c r="L61" s="152">
        <f>F61+'26.1'!L61</f>
        <v/>
      </c>
      <c r="M61" s="149">
        <f>SUM(K61:L61)</f>
        <v/>
      </c>
      <c r="N61" s="152">
        <f>H61+'26.1'!N61</f>
        <v/>
      </c>
      <c r="O61" s="152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>
        <v>40661</v>
      </c>
      <c r="I62" s="198" t="n">
        <v>22885</v>
      </c>
      <c r="J62" s="149">
        <f>M62+N62+O62</f>
        <v/>
      </c>
      <c r="K62" s="152">
        <f>E62+'26.1'!K62</f>
        <v/>
      </c>
      <c r="L62" s="152">
        <f>F62+'26.1'!L62</f>
        <v/>
      </c>
      <c r="M62" s="149">
        <f>SUM(K62:L62)</f>
        <v/>
      </c>
      <c r="N62" s="152">
        <f>H62+'26.1'!N62</f>
        <v/>
      </c>
      <c r="O62" s="152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>
        <v>25920</v>
      </c>
      <c r="G63" s="149">
        <f>SUM(E63:F63)</f>
        <v/>
      </c>
      <c r="H63" s="197" t="n"/>
      <c r="I63" s="198" t="n"/>
      <c r="J63" s="149">
        <f>M63+N63+O63</f>
        <v/>
      </c>
      <c r="K63" s="152">
        <f>E63+'26.1'!K63</f>
        <v/>
      </c>
      <c r="L63" s="152">
        <f>F63+'26.1'!L63</f>
        <v/>
      </c>
      <c r="M63" s="149">
        <f>SUM(K63:L63)</f>
        <v/>
      </c>
      <c r="N63" s="152">
        <f>H63+'26.1'!N63</f>
        <v/>
      </c>
      <c r="O63" s="152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>
        <v>73699</v>
      </c>
      <c r="F64" s="197" t="n">
        <v>0</v>
      </c>
      <c r="G64" s="149">
        <f>SUM(E64:F64)</f>
        <v/>
      </c>
      <c r="H64" s="197" t="n"/>
      <c r="I64" s="198" t="n"/>
      <c r="J64" s="149">
        <f>M64+N64+O64</f>
        <v/>
      </c>
      <c r="K64" s="152">
        <f>E64+'26.1'!K64</f>
        <v/>
      </c>
      <c r="L64" s="152">
        <f>F64+'26.1'!L64</f>
        <v/>
      </c>
      <c r="M64" s="149">
        <f>SUM(K64:L64)</f>
        <v/>
      </c>
      <c r="N64" s="152">
        <f>H64+'26.1'!N64</f>
        <v/>
      </c>
      <c r="O64" s="152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>
        <v>6302</v>
      </c>
      <c r="F65" s="197" t="n">
        <v>32849</v>
      </c>
      <c r="G65" s="197">
        <f>SUM(E65:F65)</f>
        <v/>
      </c>
      <c r="H65" s="197" t="n">
        <v>23814</v>
      </c>
      <c r="I65" s="198" t="n">
        <v>7404</v>
      </c>
      <c r="J65" s="197">
        <f>M65+N65+O65</f>
        <v/>
      </c>
      <c r="K65" s="152">
        <f>E65+'26.1'!K65</f>
        <v/>
      </c>
      <c r="L65" s="152">
        <f>F65+'26.1'!L65</f>
        <v/>
      </c>
      <c r="M65" s="197">
        <f>SUM(K65:L65)</f>
        <v/>
      </c>
      <c r="N65" s="152">
        <f>H65+'26.1'!N65</f>
        <v/>
      </c>
      <c r="O65" s="152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>
        <v>1072980</v>
      </c>
      <c r="F66" s="201" t="n">
        <v>1283190</v>
      </c>
      <c r="G66" s="201">
        <f>SUM(E66:F66)</f>
        <v/>
      </c>
      <c r="H66" s="201" t="n">
        <v>754606</v>
      </c>
      <c r="I66" s="202" t="n">
        <v>619963</v>
      </c>
      <c r="J66" s="201">
        <f>M66+N66+O66</f>
        <v/>
      </c>
      <c r="K66" s="152">
        <f>E66+'26.1'!K66</f>
        <v/>
      </c>
      <c r="L66" s="152">
        <f>F66+'26.1'!L66</f>
        <v/>
      </c>
      <c r="M66" s="201">
        <f>SUM(K66:L66)</f>
        <v/>
      </c>
      <c r="N66" s="152">
        <f>H66+'26.1'!N66</f>
        <v/>
      </c>
      <c r="O66" s="152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E67+'26.1'!K67</f>
        <v/>
      </c>
      <c r="L67" s="152">
        <f>F67+'26.1'!L67</f>
        <v/>
      </c>
      <c r="M67" s="193">
        <f>SUM(K67:L67)</f>
        <v/>
      </c>
      <c r="N67" s="152">
        <f>H67+'26.1'!N67</f>
        <v/>
      </c>
      <c r="O67" s="152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>
        <v>0</v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E68+'26.1'!K68</f>
        <v/>
      </c>
      <c r="L68" s="152">
        <f>F68+'26.1'!L68</f>
        <v/>
      </c>
      <c r="M68" s="197">
        <f>SUM(K68:L68)</f>
        <v/>
      </c>
      <c r="N68" s="152">
        <f>H68+'26.1'!N68</f>
        <v/>
      </c>
      <c r="O68" s="152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11" t="n"/>
      <c r="G79" s="211" t="n"/>
      <c r="H79" s="1" t="n">
        <v>36462</v>
      </c>
    </row>
    <row r="80" customFormat="1" s="1">
      <c r="F80" s="211" t="n"/>
      <c r="G80" s="211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[3]产量!$C$15</f>
        <v/>
      </c>
      <c r="F7" s="213">
        <f>[3]产量!$C$19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E7+'26.2'!K7</f>
        <v/>
      </c>
      <c r="L7" s="214">
        <f>F7+'26.2'!L7</f>
        <v/>
      </c>
      <c r="M7" s="149">
        <f>SUM(K7:L7)</f>
        <v/>
      </c>
      <c r="N7" s="214">
        <f>H7+'26.2'!N7</f>
        <v/>
      </c>
      <c r="O7" s="214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[3]产量!$E$15</f>
        <v/>
      </c>
      <c r="F8" s="213">
        <f>[3]产量!$E$19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E8+'26.2'!K8</f>
        <v/>
      </c>
      <c r="L8" s="214">
        <f>F8+'26.2'!L8</f>
        <v/>
      </c>
      <c r="M8" s="149">
        <f>SUM(K8:L8)</f>
        <v/>
      </c>
      <c r="N8" s="214">
        <f>H8+'26.2'!N8</f>
        <v/>
      </c>
      <c r="O8" s="214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[3]产量!$G$6</f>
        <v/>
      </c>
      <c r="F9" s="213">
        <f>[3]产量!$G$7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E9+'26.2'!K9</f>
        <v/>
      </c>
      <c r="L9" s="214">
        <f>F9+'26.2'!L9</f>
        <v/>
      </c>
      <c r="M9" s="149">
        <f>SUM(K9:L9)</f>
        <v/>
      </c>
      <c r="N9" s="214">
        <f>H9+'26.2'!N9</f>
        <v/>
      </c>
      <c r="O9" s="214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[3]产量!$G$29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E10+'26.2'!K10</f>
        <v/>
      </c>
      <c r="L10" s="214">
        <f>F10+'26.2'!L10</f>
        <v/>
      </c>
      <c r="M10" s="149">
        <f>SUM(K10:L10)</f>
        <v/>
      </c>
      <c r="N10" s="214">
        <f>H10+'26.2'!N10</f>
        <v/>
      </c>
      <c r="O10" s="214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[3]产量!$G$28</f>
        <v/>
      </c>
      <c r="F11" s="213">
        <f>[3]产量!$G$30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E11+'26.2'!K11</f>
        <v/>
      </c>
      <c r="L11" s="214">
        <f>F11+'26.2'!L11</f>
        <v/>
      </c>
      <c r="M11" s="149">
        <f>SUM(K11:L11)</f>
        <v/>
      </c>
      <c r="N11" s="214">
        <f>H11+'26.2'!N11</f>
        <v/>
      </c>
      <c r="O11" s="214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[3]产量!$G$15</f>
        <v/>
      </c>
      <c r="F12" s="213">
        <f>[3]产量!$G$19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E12+'26.2'!K12</f>
        <v/>
      </c>
      <c r="L12" s="214">
        <f>F12+'26.2'!L12</f>
        <v/>
      </c>
      <c r="M12" s="149">
        <f>SUM(K12:L12)</f>
        <v/>
      </c>
      <c r="N12" s="214">
        <f>H12+'26.2'!N12</f>
        <v/>
      </c>
      <c r="O12" s="214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E15+'26.2'!K15</f>
        <v/>
      </c>
      <c r="L15" s="214">
        <f>F15+'26.2'!L15</f>
        <v/>
      </c>
      <c r="M15" s="149">
        <f>SUM(K15:L15)</f>
        <v/>
      </c>
      <c r="N15" s="214">
        <f>H15+'26.2'!N15</f>
        <v/>
      </c>
      <c r="O15" s="214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E16+'26.2'!K16</f>
        <v/>
      </c>
      <c r="L16" s="214">
        <f>F16+'26.2'!L16</f>
        <v/>
      </c>
      <c r="M16" s="149">
        <f>SUM(K16:L16)</f>
        <v/>
      </c>
      <c r="N16" s="214">
        <f>H16+'26.2'!N16</f>
        <v/>
      </c>
      <c r="O16" s="214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E18+'26.2'!K18</f>
        <v/>
      </c>
      <c r="L18" s="214">
        <f>F18+'26.2'!L18</f>
        <v/>
      </c>
      <c r="M18" s="149">
        <f>SUM(K18:L18)</f>
        <v/>
      </c>
      <c r="N18" s="214">
        <f>H18+'26.2'!N18</f>
        <v/>
      </c>
      <c r="O18" s="214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E19+'26.2'!K19</f>
        <v/>
      </c>
      <c r="L19" s="214">
        <f>F19+'26.2'!L19</f>
        <v/>
      </c>
      <c r="M19" s="149">
        <f>SUM(K19:L19)</f>
        <v/>
      </c>
      <c r="N19" s="214">
        <f>H19+'26.2'!N19</f>
        <v/>
      </c>
      <c r="O19" s="214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E20+'26.2'!K20</f>
        <v/>
      </c>
      <c r="L20" s="214">
        <f>F20+'26.2'!L20</f>
        <v/>
      </c>
      <c r="M20" s="149">
        <f>SUM(K20:L20)</f>
        <v/>
      </c>
      <c r="N20" s="214">
        <f>H20+'26.2'!N20</f>
        <v/>
      </c>
      <c r="O20" s="214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E21+'26.2'!K21</f>
        <v/>
      </c>
      <c r="L21" s="214">
        <f>F21+'26.2'!L21</f>
        <v/>
      </c>
      <c r="M21" s="149">
        <f>SUM(K21:L21)</f>
        <v/>
      </c>
      <c r="N21" s="214">
        <f>H21+'26.2'!N21</f>
        <v/>
      </c>
      <c r="O21" s="214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E22+'26.2'!K22</f>
        <v/>
      </c>
      <c r="L22" s="214">
        <f>F22+'26.2'!L22</f>
        <v/>
      </c>
      <c r="M22" s="149">
        <f>SUM(K22:L22)</f>
        <v/>
      </c>
      <c r="N22" s="214">
        <f>H22+'26.2'!N22</f>
        <v/>
      </c>
      <c r="O22" s="214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E23+'26.2'!K23</f>
        <v/>
      </c>
      <c r="L23" s="214">
        <f>F23+'26.2'!L23</f>
        <v/>
      </c>
      <c r="M23" s="149">
        <f>SUM(K23:L23)</f>
        <v/>
      </c>
      <c r="N23" s="214">
        <f>H23+'26.2'!N23</f>
        <v/>
      </c>
      <c r="O23" s="214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29" t="n"/>
      <c r="I24" s="151" t="n"/>
      <c r="J24" s="149">
        <f>M24+N24+O24</f>
        <v/>
      </c>
      <c r="K24" s="214">
        <f>E24+'26.2'!K24</f>
        <v/>
      </c>
      <c r="L24" s="214">
        <f>F24+'26.2'!L24</f>
        <v/>
      </c>
      <c r="M24" s="149">
        <f>SUM(K24:L24)</f>
        <v/>
      </c>
      <c r="N24" s="214">
        <f>H24+'26.2'!N24</f>
        <v/>
      </c>
      <c r="O24" s="214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29" t="n"/>
      <c r="I25" s="151" t="n"/>
      <c r="J25" s="149">
        <f>M25+N25+O25</f>
        <v/>
      </c>
      <c r="K25" s="214">
        <f>E25+'26.2'!K25</f>
        <v/>
      </c>
      <c r="L25" s="214">
        <f>F25+'26.2'!L25</f>
        <v/>
      </c>
      <c r="M25" s="149">
        <f>SUM(K25:L25)</f>
        <v/>
      </c>
      <c r="N25" s="214">
        <f>H25+'26.2'!N25</f>
        <v/>
      </c>
      <c r="O25" s="214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E26+'26.2'!K26</f>
        <v/>
      </c>
      <c r="L26" s="214">
        <f>F26+'26.2'!L26</f>
        <v/>
      </c>
      <c r="M26" s="149">
        <f>SUM(K26:L26)</f>
        <v/>
      </c>
      <c r="N26" s="214">
        <f>H26+'26.2'!N26</f>
        <v/>
      </c>
      <c r="O26" s="214">
        <f>I26+'26.2'!O26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E27+'26.2'!K27</f>
        <v/>
      </c>
      <c r="L27" s="214">
        <f>F27+'26.2'!L27</f>
        <v/>
      </c>
      <c r="M27" s="165">
        <f>SUM(K27:L27)</f>
        <v/>
      </c>
      <c r="N27" s="214">
        <f>H27+'26.2'!N27</f>
        <v/>
      </c>
      <c r="O27" s="214">
        <f>I27+'26.2'!O27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E28+'26.2'!K28</f>
        <v/>
      </c>
      <c r="L28" s="214">
        <f>F28+'26.2'!L28</f>
        <v/>
      </c>
      <c r="M28" s="165">
        <f>SUM(K28:L28)</f>
        <v/>
      </c>
      <c r="N28" s="214">
        <f>H28+'26.2'!N28</f>
        <v/>
      </c>
      <c r="O28" s="214">
        <f>I28+'26.2'!O28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E29+'26.2'!K29</f>
        <v/>
      </c>
      <c r="L29" s="214">
        <f>F29+'26.2'!L29</f>
        <v/>
      </c>
      <c r="M29" s="149">
        <f>SUM(K29:L29)</f>
        <v/>
      </c>
      <c r="N29" s="214">
        <f>H29+'26.2'!N29</f>
        <v/>
      </c>
      <c r="O29" s="214">
        <f>I29+'26.2'!O29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E30+'26.2'!K30</f>
        <v/>
      </c>
      <c r="L30" s="214">
        <f>F30+'26.2'!L30</f>
        <v/>
      </c>
      <c r="M30" s="149">
        <f>M7-M8</f>
        <v/>
      </c>
      <c r="N30" s="214">
        <f>H30+'26.2'!N30</f>
        <v/>
      </c>
      <c r="O30" s="214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>
        <v>0</v>
      </c>
      <c r="I31" s="151" t="n"/>
      <c r="J31" s="149">
        <f>M31+N31+O31</f>
        <v/>
      </c>
      <c r="K31" s="214">
        <f>E31+'26.2'!K31</f>
        <v/>
      </c>
      <c r="L31" s="214">
        <f>F31+'26.2'!L31</f>
        <v/>
      </c>
      <c r="M31" s="149">
        <f>SUM(K31:L31)</f>
        <v/>
      </c>
      <c r="N31" s="214">
        <f>H31+'26.2'!N31</f>
        <v/>
      </c>
      <c r="O31" s="214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E33+'26.2'!K33</f>
        <v/>
      </c>
      <c r="L33" s="214">
        <f>F33+'26.2'!L33</f>
        <v/>
      </c>
      <c r="M33" s="149">
        <f>SUM(K33:L33)</f>
        <v/>
      </c>
      <c r="N33" s="214">
        <f>H33+'26.2'!N33</f>
        <v/>
      </c>
      <c r="O33" s="214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E34+'26.2'!K34</f>
        <v/>
      </c>
      <c r="L34" s="214">
        <f>F34+'26.2'!L34</f>
        <v/>
      </c>
      <c r="M34" s="149">
        <f>SUM(K34:L34)</f>
        <v/>
      </c>
      <c r="N34" s="214">
        <f>H34+'26.2'!N34</f>
        <v/>
      </c>
      <c r="O34" s="214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214">
        <f>E40+'26.2'!K40</f>
        <v/>
      </c>
      <c r="L40" s="214">
        <f>F40+'26.2'!L40</f>
        <v/>
      </c>
      <c r="M40" s="149">
        <f>SUM(K40:L40)</f>
        <v/>
      </c>
      <c r="N40" s="214">
        <f>H40+'26.2'!N40</f>
        <v/>
      </c>
      <c r="O40" s="214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214">
        <f>E41+'26.2'!K41</f>
        <v/>
      </c>
      <c r="L41" s="214">
        <f>F41+'26.2'!L41</f>
        <v/>
      </c>
      <c r="M41" s="149">
        <f>SUM(K41:L41)</f>
        <v/>
      </c>
      <c r="N41" s="214">
        <f>H41+'26.2'!N41</f>
        <v/>
      </c>
      <c r="O41" s="214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E43+'26.2'!K43</f>
        <v/>
      </c>
      <c r="L43" s="214">
        <f>F43+'26.2'!L43</f>
        <v/>
      </c>
      <c r="M43" s="149">
        <f>SUM(K43:L43)</f>
        <v/>
      </c>
      <c r="N43" s="214">
        <f>H43+'26.2'!N43</f>
        <v/>
      </c>
      <c r="O43" s="214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E44+'26.2'!K44</f>
        <v/>
      </c>
      <c r="L44" s="214">
        <f>F44+'26.2'!L44</f>
        <v/>
      </c>
      <c r="M44" s="149">
        <f>SUM(K44:L44)</f>
        <v/>
      </c>
      <c r="N44" s="214">
        <f>H44+'26.2'!N44</f>
        <v/>
      </c>
      <c r="O44" s="214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20227</v>
      </c>
      <c r="L49" s="149" t="n">
        <v>18454</v>
      </c>
      <c r="M49" s="160" t="n">
        <v>0</v>
      </c>
      <c r="N49" s="149" t="n">
        <v>19867.98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D7/10000/D6/(DAY(DATE(2026,4,0))*24)</f>
        <v/>
      </c>
      <c r="E52" s="179">
        <f>E7/10000/E6/(DAY(DATE(2026,4,0))*24)</f>
        <v/>
      </c>
      <c r="F52" s="179">
        <f>F7/10000/F6/(DAY(DATE(2026,4,0))*24)</f>
        <v/>
      </c>
      <c r="G52" s="179">
        <f>G7/10000/G6/(DAY(DATE(2026,4,0))*24)</f>
        <v/>
      </c>
      <c r="H52" s="179">
        <f>H7/10000/H6/(DAY(DATE(2026,4,0))*24)</f>
        <v/>
      </c>
      <c r="I52" s="180">
        <f>I7/10000/I6/(DAY(DATE(2026,4,0))*24)</f>
        <v/>
      </c>
      <c r="J52" s="179">
        <f>J7/10000/J6/(DATEDIF(DATE(2026,1,1),DATE(2026,4,1),"D")*24)</f>
        <v/>
      </c>
      <c r="K52" s="179">
        <f>K7/10000/K6/(DATEDIF(DATE(2026,1,1),DATE(2026,4,1),"D")*24)</f>
        <v/>
      </c>
      <c r="L52" s="179">
        <f>L7/10000/L6/(DATEDIF(DATE(2026,1,1),DATE(2026,4,1),"D")*24)</f>
        <v/>
      </c>
      <c r="M52" s="179">
        <f>M7/10000/M6/(DATEDIF(DATE(2026,1,1),DATE(2026,4,1),"D")*24)</f>
        <v/>
      </c>
      <c r="N52" s="179">
        <f>N7/10000/N6/(DATEDIF(DATE(2026,1,1),DATE(2026,4,1),"D")*24)</f>
        <v/>
      </c>
      <c r="O52" s="180">
        <f>O7/10000/O6/(DATEDIF(DATE(2026,1,1),DATE(2026,4,1),"D")*24)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D9*1000/1986/((DAY(DATE(2026,4,0))*24)*3600)</f>
        <v/>
      </c>
      <c r="E53" s="183">
        <f>E9*1000/577/((DAY(DATE(2026,4,0))*24)*3600)</f>
        <v/>
      </c>
      <c r="F53" s="180">
        <f>F9*1000/528/((DAY(DATE(2026,4,0))*24)*3600)</f>
        <v/>
      </c>
      <c r="G53" s="183">
        <f>G9*1000/1442/((DAY(DATE(2026,4,0))*24)*3600)</f>
        <v/>
      </c>
      <c r="H53" s="180">
        <f>H9*1000/414/((DAY(DATE(2026,4,0))*24)*3600)</f>
        <v/>
      </c>
      <c r="I53" s="180">
        <f>I9*1000/130/((DAY(DATE(2026,4,0))*24)*3600)</f>
        <v/>
      </c>
      <c r="J53" s="179">
        <f>J9*1000/1986/((DATEDIF(DATE(2026,1,1),DATE(2026,4,1),"D")*24)*3600)</f>
        <v/>
      </c>
      <c r="K53" s="183">
        <f>K9*1000/577/((DATEDIF(DATE(2026,1,1),DATE(2026,4,1),"D")*24)*3600)</f>
        <v/>
      </c>
      <c r="L53" s="180">
        <f>L9*1000/528/((DATEDIF(DATE(2026,1,1),DATE(2026,4,1),"D")*24)*3600)</f>
        <v/>
      </c>
      <c r="M53" s="183">
        <f>M9*1000/1442/((DATEDIF(DATE(2026,1,1),DATE(2026,4,1),"D")*24)*3600)</f>
        <v/>
      </c>
      <c r="N53" s="180">
        <f>N9*1000/414/((DATEDIF(DATE(2026,1,1),DATE(2026,4,1),"D")*24)*3600)</f>
        <v/>
      </c>
      <c r="O53" s="180">
        <f>O9*1000/130/((DATEDIF(DATE(2026,1,1),DATE(2026,4,1),"D")*24)*3600)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E57+'26.2'!K57</f>
        <v/>
      </c>
      <c r="L57" s="214">
        <f>F57+'26.2'!L57</f>
        <v/>
      </c>
      <c r="M57" s="149">
        <f>SUM(K57:L57)</f>
        <v/>
      </c>
      <c r="N57" s="214">
        <f>H57+'26.2'!N57</f>
        <v/>
      </c>
      <c r="O57" s="214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E58+'26.2'!K58</f>
        <v/>
      </c>
      <c r="L58" s="214">
        <f>F58+'26.2'!L58</f>
        <v/>
      </c>
      <c r="M58" s="149">
        <f>SUM(K58:L58)</f>
        <v/>
      </c>
      <c r="N58" s="214">
        <f>H58+'26.2'!N58</f>
        <v/>
      </c>
      <c r="O58" s="214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'26.2'!K59+E57-E14-E58</f>
        <v/>
      </c>
      <c r="L59" s="215">
        <f>'26.2'!L59+F57-F14-F58</f>
        <v/>
      </c>
      <c r="M59" s="155">
        <f>SUM(K59:L59)</f>
        <v/>
      </c>
      <c r="N59" s="215">
        <f>'26.2'!N59+H57-H14-H58</f>
        <v/>
      </c>
      <c r="O59" s="215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E60+'26.2'!K60</f>
        <v/>
      </c>
      <c r="L60" s="214">
        <f>F60+'26.2'!L60</f>
        <v/>
      </c>
      <c r="M60" s="175">
        <f>SUM(K60:L60)</f>
        <v/>
      </c>
      <c r="N60" s="214">
        <f>H60+'26.2'!N60</f>
        <v/>
      </c>
      <c r="O60" s="214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E61+'26.2'!K61</f>
        <v/>
      </c>
      <c r="L61" s="214">
        <f>F61+'26.2'!L61</f>
        <v/>
      </c>
      <c r="M61" s="149">
        <f>SUM(K61:L61)</f>
        <v/>
      </c>
      <c r="N61" s="214">
        <f>H61+'26.2'!N61</f>
        <v/>
      </c>
      <c r="O61" s="214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E62+'26.2'!K62</f>
        <v/>
      </c>
      <c r="L62" s="214">
        <f>F62+'26.2'!L62</f>
        <v/>
      </c>
      <c r="M62" s="149">
        <f>SUM(K62:L62)</f>
        <v/>
      </c>
      <c r="N62" s="214">
        <f>H62+'26.2'!N62</f>
        <v/>
      </c>
      <c r="O62" s="214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E63+'26.2'!K63</f>
        <v/>
      </c>
      <c r="L63" s="214">
        <f>F63+'26.2'!L63</f>
        <v/>
      </c>
      <c r="M63" s="149">
        <f>SUM(K63:L63)</f>
        <v/>
      </c>
      <c r="N63" s="214">
        <f>H63+'26.2'!N63</f>
        <v/>
      </c>
      <c r="O63" s="214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E64+'26.2'!K64</f>
        <v/>
      </c>
      <c r="L64" s="214">
        <f>F64+'26.2'!L64</f>
        <v/>
      </c>
      <c r="M64" s="149">
        <f>SUM(K64:L64)</f>
        <v/>
      </c>
      <c r="N64" s="214">
        <f>H64+'26.2'!N64</f>
        <v/>
      </c>
      <c r="O64" s="214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E65+'26.2'!K65</f>
        <v/>
      </c>
      <c r="L65" s="214">
        <f>F65+'26.2'!L65</f>
        <v/>
      </c>
      <c r="M65" s="197">
        <f>SUM(K65:L65)</f>
        <v/>
      </c>
      <c r="N65" s="214">
        <f>H65+'26.2'!N65</f>
        <v/>
      </c>
      <c r="O65" s="214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E66+'26.2'!K66</f>
        <v/>
      </c>
      <c r="L66" s="214">
        <f>F66+'26.2'!L66</f>
        <v/>
      </c>
      <c r="M66" s="201">
        <f>SUM(K66:L66)</f>
        <v/>
      </c>
      <c r="N66" s="214">
        <f>H66+'26.2'!N66</f>
        <v/>
      </c>
      <c r="O66" s="214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E67+'26.2'!K67</f>
        <v/>
      </c>
      <c r="L67" s="214">
        <f>F67+'26.2'!L67</f>
        <v/>
      </c>
      <c r="M67" s="193">
        <f>SUM(K67:L67)</f>
        <v/>
      </c>
      <c r="N67" s="214">
        <f>H67+'26.2'!N67</f>
        <v/>
      </c>
      <c r="O67" s="214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E68+'26.2'!K68</f>
        <v/>
      </c>
      <c r="L68" s="214">
        <f>F68+'26.2'!L68</f>
        <v/>
      </c>
      <c r="M68" s="197">
        <f>SUM(K68:L68)</f>
        <v/>
      </c>
      <c r="N68" s="214">
        <f>H68+'26.2'!N68</f>
        <v/>
      </c>
      <c r="O68" s="214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[4]产量!$C$15</f>
        <v/>
      </c>
      <c r="F7" s="150">
        <f>[4]产量!$C$19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E7+'26.3'!K7</f>
        <v/>
      </c>
      <c r="L7" s="152">
        <f>F7+'26.3'!L7</f>
        <v/>
      </c>
      <c r="M7" s="149">
        <f>SUM(K7:L7)</f>
        <v/>
      </c>
      <c r="N7" s="152">
        <f>H7+'26.3'!N7</f>
        <v/>
      </c>
      <c r="O7" s="152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[4]产量!$E$15</f>
        <v/>
      </c>
      <c r="F8" s="150">
        <f>[4]产量!$E$19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E8+'26.3'!K8</f>
        <v/>
      </c>
      <c r="L8" s="152">
        <f>F8+'26.3'!L8</f>
        <v/>
      </c>
      <c r="M8" s="149">
        <f>SUM(K8:L8)</f>
        <v/>
      </c>
      <c r="N8" s="152">
        <f>H8+'26.3'!N8</f>
        <v/>
      </c>
      <c r="O8" s="152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[4]产量!$G$6</f>
        <v/>
      </c>
      <c r="F9" s="150">
        <f>[4]产量!$G$7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E9+'26.3'!K9</f>
        <v/>
      </c>
      <c r="L9" s="152">
        <f>F9+'26.3'!L9</f>
        <v/>
      </c>
      <c r="M9" s="149">
        <f>SUM(K9:L9)</f>
        <v/>
      </c>
      <c r="N9" s="152">
        <f>H9+'26.3'!N9</f>
        <v/>
      </c>
      <c r="O9" s="152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[4]产量!$G$29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E10+'26.3'!K10</f>
        <v/>
      </c>
      <c r="L10" s="152">
        <f>F10+'26.3'!L10</f>
        <v/>
      </c>
      <c r="M10" s="149">
        <f>SUM(K10:L10)</f>
        <v/>
      </c>
      <c r="N10" s="152">
        <f>H10+'26.3'!N10</f>
        <v/>
      </c>
      <c r="O10" s="152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[4]产量!$G$28</f>
        <v/>
      </c>
      <c r="F11" s="150">
        <f>[4]产量!$G$30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E11+'26.3'!K11</f>
        <v/>
      </c>
      <c r="L11" s="152">
        <f>F11+'26.3'!L11</f>
        <v/>
      </c>
      <c r="M11" s="149">
        <f>SUM(K11:L11)</f>
        <v/>
      </c>
      <c r="N11" s="152">
        <f>H11+'26.3'!N11</f>
        <v/>
      </c>
      <c r="O11" s="152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[4]产量!$G$15</f>
        <v/>
      </c>
      <c r="F12" s="150">
        <f>[4]产量!$G$19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E12+'26.3'!K12</f>
        <v/>
      </c>
      <c r="L12" s="152">
        <f>F12+'26.3'!L12</f>
        <v/>
      </c>
      <c r="M12" s="149">
        <f>SUM(K12:L12)</f>
        <v/>
      </c>
      <c r="N12" s="152">
        <f>H12+'26.3'!N12</f>
        <v/>
      </c>
      <c r="O12" s="152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E15+'26.3'!K15</f>
        <v/>
      </c>
      <c r="L15" s="152">
        <f>F15+'26.3'!L15</f>
        <v/>
      </c>
      <c r="M15" s="149">
        <f>SUM(K15:L15)</f>
        <v/>
      </c>
      <c r="N15" s="152">
        <f>H15+'26.3'!N15</f>
        <v/>
      </c>
      <c r="O15" s="152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E16+'26.3'!K16</f>
        <v/>
      </c>
      <c r="L16" s="152">
        <f>F16+'26.3'!L16</f>
        <v/>
      </c>
      <c r="M16" s="149">
        <f>SUM(K16:L16)</f>
        <v/>
      </c>
      <c r="N16" s="152">
        <f>H16+'26.3'!N16</f>
        <v/>
      </c>
      <c r="O16" s="152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E18+'26.3'!K18</f>
        <v/>
      </c>
      <c r="L18" s="152">
        <f>F18+'26.3'!L18</f>
        <v/>
      </c>
      <c r="M18" s="149">
        <f>SUM(K18:L18)</f>
        <v/>
      </c>
      <c r="N18" s="152">
        <f>H18+'26.3'!N18</f>
        <v/>
      </c>
      <c r="O18" s="152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E19+'26.3'!K19</f>
        <v/>
      </c>
      <c r="L19" s="152">
        <f>F19+'26.3'!L19</f>
        <v/>
      </c>
      <c r="M19" s="149">
        <f>SUM(K19:L19)</f>
        <v/>
      </c>
      <c r="N19" s="152">
        <f>H19+'26.3'!N19</f>
        <v/>
      </c>
      <c r="O19" s="152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E20+'26.3'!K20</f>
        <v/>
      </c>
      <c r="L20" s="152">
        <f>F20+'26.3'!L20</f>
        <v/>
      </c>
      <c r="M20" s="149">
        <f>SUM(K20:L20)</f>
        <v/>
      </c>
      <c r="N20" s="152">
        <f>H20+'26.3'!N20</f>
        <v/>
      </c>
      <c r="O20" s="152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E21+'26.3'!K21</f>
        <v/>
      </c>
      <c r="L21" s="152">
        <f>F21+'26.3'!L21</f>
        <v/>
      </c>
      <c r="M21" s="149">
        <f>SUM(K21:L21)</f>
        <v/>
      </c>
      <c r="N21" s="152">
        <f>H21+'26.3'!N21</f>
        <v/>
      </c>
      <c r="O21" s="152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E22+'26.3'!K22</f>
        <v/>
      </c>
      <c r="L22" s="152">
        <f>F22+'26.3'!L22</f>
        <v/>
      </c>
      <c r="M22" s="149">
        <f>SUM(K22:L22)</f>
        <v/>
      </c>
      <c r="N22" s="152">
        <f>H22+'26.3'!N22</f>
        <v/>
      </c>
      <c r="O22" s="152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E23+'26.3'!K23</f>
        <v/>
      </c>
      <c r="L23" s="152">
        <f>F23+'26.3'!L23</f>
        <v/>
      </c>
      <c r="M23" s="149">
        <f>SUM(K23:L23)</f>
        <v/>
      </c>
      <c r="N23" s="152">
        <f>H23+'26.3'!N23</f>
        <v/>
      </c>
      <c r="O23" s="152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E24+'26.3'!K24</f>
        <v/>
      </c>
      <c r="L24" s="152">
        <f>F24+'26.3'!L24</f>
        <v/>
      </c>
      <c r="M24" s="149">
        <f>SUM(K24:L24)</f>
        <v/>
      </c>
      <c r="N24" s="152">
        <f>H24+'26.3'!N24</f>
        <v/>
      </c>
      <c r="O24" s="152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E25+'26.3'!K25</f>
        <v/>
      </c>
      <c r="L25" s="152">
        <f>F25+'26.3'!L25</f>
        <v/>
      </c>
      <c r="M25" s="149">
        <f>SUM(K25:L25)</f>
        <v/>
      </c>
      <c r="N25" s="152">
        <f>H25+'26.3'!N25</f>
        <v/>
      </c>
      <c r="O25" s="152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E26+'26.3'!K26</f>
        <v/>
      </c>
      <c r="L26" s="152">
        <f>F26+'26.3'!L26</f>
        <v/>
      </c>
      <c r="M26" s="149">
        <f>SUM(K26:L26)</f>
        <v/>
      </c>
      <c r="N26" s="152">
        <f>H26+'26.3'!N26</f>
        <v/>
      </c>
      <c r="O26" s="152">
        <f>I26+'26.3'!O26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E27+'26.3'!K27</f>
        <v/>
      </c>
      <c r="L27" s="152">
        <f>F27+'26.3'!L27</f>
        <v/>
      </c>
      <c r="M27" s="165">
        <f>SUM(K27:L27)</f>
        <v/>
      </c>
      <c r="N27" s="152">
        <f>H27+'26.3'!N27</f>
        <v/>
      </c>
      <c r="O27" s="152">
        <f>I27+'26.3'!O27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E28+'26.3'!K28</f>
        <v/>
      </c>
      <c r="L28" s="152">
        <f>F28+'26.3'!L28</f>
        <v/>
      </c>
      <c r="M28" s="165">
        <f>SUM(K28:L28)</f>
        <v/>
      </c>
      <c r="N28" s="152">
        <f>H28+'26.3'!N28</f>
        <v/>
      </c>
      <c r="O28" s="152">
        <f>I28+'26.3'!O28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E29+'26.3'!K29</f>
        <v/>
      </c>
      <c r="L29" s="152">
        <f>F29+'26.3'!L29</f>
        <v/>
      </c>
      <c r="M29" s="149">
        <f>SUM(K29:L29)</f>
        <v/>
      </c>
      <c r="N29" s="152">
        <f>H29+'26.3'!N29</f>
        <v/>
      </c>
      <c r="O29" s="152">
        <f>I29+'26.3'!O29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E30+'26.3'!K30</f>
        <v/>
      </c>
      <c r="L30" s="152">
        <f>F30+'26.3'!L30</f>
        <v/>
      </c>
      <c r="M30" s="149">
        <f>M7-M8</f>
        <v/>
      </c>
      <c r="N30" s="152">
        <f>H30+'26.3'!N30</f>
        <v/>
      </c>
      <c r="O30" s="152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E31+'26.3'!K31</f>
        <v/>
      </c>
      <c r="L31" s="152">
        <f>F31+'26.3'!L31</f>
        <v/>
      </c>
      <c r="M31" s="149">
        <f>SUM(K31:L31)</f>
        <v/>
      </c>
      <c r="N31" s="152">
        <f>H31+'26.3'!N31</f>
        <v/>
      </c>
      <c r="O31" s="152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E33+'26.3'!K33</f>
        <v/>
      </c>
      <c r="L33" s="152">
        <f>F33+'26.3'!L33</f>
        <v/>
      </c>
      <c r="M33" s="149">
        <f>SUM(K33:L33)</f>
        <v/>
      </c>
      <c r="N33" s="152">
        <f>H33+'26.3'!N33</f>
        <v/>
      </c>
      <c r="O33" s="152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E34+'26.3'!K34</f>
        <v/>
      </c>
      <c r="L34" s="152">
        <f>F34+'26.3'!L34</f>
        <v/>
      </c>
      <c r="M34" s="149">
        <f>SUM(K34:L34)</f>
        <v/>
      </c>
      <c r="N34" s="152">
        <f>H34+'26.3'!N34</f>
        <v/>
      </c>
      <c r="O34" s="152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6" t="n"/>
      <c r="I40" s="151" t="n"/>
      <c r="J40" s="149">
        <f>M40+N40+O40</f>
        <v/>
      </c>
      <c r="K40" s="152">
        <f>E40+'26.3'!K40</f>
        <v/>
      </c>
      <c r="L40" s="152">
        <f>F40+'26.3'!L40</f>
        <v/>
      </c>
      <c r="M40" s="149">
        <f>SUM(K40:L40)</f>
        <v/>
      </c>
      <c r="N40" s="152">
        <f>H40+'26.3'!N40</f>
        <v/>
      </c>
      <c r="O40" s="152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6" t="n"/>
      <c r="I41" s="151" t="n"/>
      <c r="J41" s="149">
        <f>M41+N41+O41</f>
        <v/>
      </c>
      <c r="K41" s="152">
        <f>E41+'26.3'!K41</f>
        <v/>
      </c>
      <c r="L41" s="152">
        <f>F41+'26.3'!L41</f>
        <v/>
      </c>
      <c r="M41" s="149">
        <f>SUM(K41:L41)</f>
        <v/>
      </c>
      <c r="N41" s="152">
        <f>H41+'26.3'!N41</f>
        <v/>
      </c>
      <c r="O41" s="152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E43+'26.3'!K43</f>
        <v/>
      </c>
      <c r="L43" s="152">
        <f>F43+'26.3'!L43</f>
        <v/>
      </c>
      <c r="M43" s="149">
        <f>SUM(K43:L43)</f>
        <v/>
      </c>
      <c r="N43" s="152">
        <f>H43+'26.3'!N43</f>
        <v/>
      </c>
      <c r="O43" s="152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E44+'26.3'!K44</f>
        <v/>
      </c>
      <c r="L44" s="152">
        <f>F44+'26.3'!L44</f>
        <v/>
      </c>
      <c r="M44" s="149">
        <f>SUM(K44:L44)</f>
        <v/>
      </c>
      <c r="N44" s="152">
        <f>H44+'26.3'!N44</f>
        <v/>
      </c>
      <c r="O44" s="152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52">
        <f>D7/10000/D6/(5*24)</f>
        <v/>
      </c>
      <c r="E52" s="152">
        <f>E7/10000/E6/(5*24)</f>
        <v/>
      </c>
      <c r="F52" s="152">
        <f>F7/10000/F6/(5*24)</f>
        <v/>
      </c>
      <c r="G52" s="152">
        <f>G7/10000/G6/(5*24)</f>
        <v/>
      </c>
      <c r="H52" s="152">
        <f>H7/10000/H6/(5*24)</f>
        <v/>
      </c>
      <c r="I52" s="153">
        <f>I7/10000/I6/(5*24)</f>
        <v/>
      </c>
      <c r="J52" s="179">
        <f>J7/10000/J6/(DATEDIF(DATE(2026,1,1),DATE(2026,5,1),"D")*24)</f>
        <v/>
      </c>
      <c r="K52" s="179">
        <f>K7/10000/K6/(DATEDIF(DATE(2026,1,1),DATE(2026,5,1),"D")*24)</f>
        <v/>
      </c>
      <c r="L52" s="179">
        <f>L7/10000/L6/(DATEDIF(DATE(2026,1,1),DATE(2026,5,1),"D")*24)</f>
        <v/>
      </c>
      <c r="M52" s="179">
        <f>M7/10000/M6/(DATEDIF(DATE(2026,1,1),DATE(2026,5,1),"D")*24)</f>
        <v/>
      </c>
      <c r="N52" s="179">
        <f>N7/10000/N6/(DATEDIF(DATE(2026,1,1),DATE(2026,5,1),"D")*24)</f>
        <v/>
      </c>
      <c r="O52" s="180">
        <f>O7/10000/O6/(DATEDIF(DATE(2026,1,1),DATE(2026,5,1),"D")*24)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216">
        <f>D9*1000/1986/((5*24)*3600)</f>
        <v/>
      </c>
      <c r="E53" s="216">
        <f>E9*1000/577/((5*24)*3600)</f>
        <v/>
      </c>
      <c r="F53" s="153">
        <f>F9*1000/528/((5*24)*3600)</f>
        <v/>
      </c>
      <c r="G53" s="216">
        <f>G9*1000/1442/((5*24)*3600)</f>
        <v/>
      </c>
      <c r="H53" s="153">
        <f>H9*1000/414/((5*24)*3600)</f>
        <v/>
      </c>
      <c r="I53" s="153">
        <f>I9*1000/130/((5*24)*3600)</f>
        <v/>
      </c>
      <c r="J53" s="179">
        <f>J9*1000/1986/((DATEDIF(DATE(2026,1,1),DATE(2026,5,1),"D")*24)*3600)</f>
        <v/>
      </c>
      <c r="K53" s="183">
        <f>K9*1000/577/((DATEDIF(DATE(2026,1,1),DATE(2026,5,1),"D")*24)*3600)</f>
        <v/>
      </c>
      <c r="L53" s="180">
        <f>L9*1000/528/((DATEDIF(DATE(2026,1,1),DATE(2026,5,1),"D")*24)*3600)</f>
        <v/>
      </c>
      <c r="M53" s="183">
        <f>M9*1000/1442/((DATEDIF(DATE(2026,1,1),DATE(2026,5,1),"D")*24)*3600)</f>
        <v/>
      </c>
      <c r="N53" s="180">
        <f>N9*1000/414/((DATEDIF(DATE(2026,1,1),DATE(2026,5,1),"D")*24)*3600)</f>
        <v/>
      </c>
      <c r="O53" s="180">
        <f>O9*1000/130/((DATEDIF(DATE(2026,1,1),DATE(2026,5,1),"D")*24)*3600)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E57+'26.3'!K57</f>
        <v/>
      </c>
      <c r="L57" s="152">
        <f>F57+'26.3'!L57</f>
        <v/>
      </c>
      <c r="M57" s="149">
        <f>SUM(K57:L57)</f>
        <v/>
      </c>
      <c r="N57" s="152">
        <f>H57+'26.3'!N57</f>
        <v/>
      </c>
      <c r="O57" s="152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E58+'26.3'!K58</f>
        <v/>
      </c>
      <c r="L58" s="152">
        <f>F58+'26.3'!L58</f>
        <v/>
      </c>
      <c r="M58" s="149">
        <f>SUM(K58:L58)</f>
        <v/>
      </c>
      <c r="N58" s="152">
        <f>H58+'26.3'!N58</f>
        <v/>
      </c>
      <c r="O58" s="152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'26.3'!K59+E57-E14-E58</f>
        <v/>
      </c>
      <c r="L59" s="192">
        <f>'26.3'!L59+F57-F14-F58</f>
        <v/>
      </c>
      <c r="M59" s="155">
        <f>SUM(K59:L59)</f>
        <v/>
      </c>
      <c r="N59" s="192">
        <f>'26.3'!N59+H57-H14-H58</f>
        <v/>
      </c>
      <c r="O59" s="192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E60+'26.3'!K60</f>
        <v/>
      </c>
      <c r="L60" s="152">
        <f>F60+'26.3'!L60</f>
        <v/>
      </c>
      <c r="M60" s="175">
        <f>SUM(K60:L60)</f>
        <v/>
      </c>
      <c r="N60" s="152">
        <f>H60+'26.3'!N60</f>
        <v/>
      </c>
      <c r="O60" s="152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E61+'26.3'!K61</f>
        <v/>
      </c>
      <c r="L61" s="152">
        <f>F61+'26.3'!L61</f>
        <v/>
      </c>
      <c r="M61" s="149">
        <f>SUM(K61:L61)</f>
        <v/>
      </c>
      <c r="N61" s="152">
        <f>H61+'26.3'!N61</f>
        <v/>
      </c>
      <c r="O61" s="152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E62+'26.3'!K62</f>
        <v/>
      </c>
      <c r="L62" s="152">
        <f>F62+'26.3'!L62</f>
        <v/>
      </c>
      <c r="M62" s="149">
        <f>SUM(K62:L62)</f>
        <v/>
      </c>
      <c r="N62" s="152">
        <f>H62+'26.3'!N62</f>
        <v/>
      </c>
      <c r="O62" s="152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E63+'26.3'!K63</f>
        <v/>
      </c>
      <c r="L63" s="152">
        <f>F63+'26.3'!L63</f>
        <v/>
      </c>
      <c r="M63" s="149">
        <f>SUM(K63:L63)</f>
        <v/>
      </c>
      <c r="N63" s="152">
        <f>H63+'26.3'!N63</f>
        <v/>
      </c>
      <c r="O63" s="152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E64+'26.3'!K64</f>
        <v/>
      </c>
      <c r="L64" s="152">
        <f>F64+'26.3'!L64</f>
        <v/>
      </c>
      <c r="M64" s="149">
        <f>SUM(K64:L64)</f>
        <v/>
      </c>
      <c r="N64" s="152">
        <f>H64+'26.3'!N64</f>
        <v/>
      </c>
      <c r="O64" s="152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E65+'26.3'!K65</f>
        <v/>
      </c>
      <c r="L65" s="152">
        <f>F65+'26.3'!L65</f>
        <v/>
      </c>
      <c r="M65" s="197">
        <f>SUM(K65:L65)</f>
        <v/>
      </c>
      <c r="N65" s="152">
        <f>H65+'26.3'!N65</f>
        <v/>
      </c>
      <c r="O65" s="152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E66+'26.3'!K66</f>
        <v/>
      </c>
      <c r="L66" s="152">
        <f>F66+'26.3'!L66</f>
        <v/>
      </c>
      <c r="M66" s="201">
        <f>SUM(K66:L66)</f>
        <v/>
      </c>
      <c r="N66" s="152">
        <f>H66+'26.3'!N66</f>
        <v/>
      </c>
      <c r="O66" s="152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E67+'26.3'!K67</f>
        <v/>
      </c>
      <c r="L67" s="152">
        <f>F67+'26.3'!L67</f>
        <v/>
      </c>
      <c r="M67" s="193">
        <f>SUM(K67:L67)</f>
        <v/>
      </c>
      <c r="N67" s="152">
        <f>H67+'26.3'!N67</f>
        <v/>
      </c>
      <c r="O67" s="152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E68+'26.3'!K68</f>
        <v/>
      </c>
      <c r="L68" s="152">
        <f>F68+'26.3'!L68</f>
        <v/>
      </c>
      <c r="M68" s="197">
        <f>SUM(K68:L68)</f>
        <v/>
      </c>
      <c r="N68" s="152">
        <f>H68+'26.3'!N68</f>
        <v/>
      </c>
      <c r="O68" s="152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>
        <v>37296</v>
      </c>
      <c r="G73" s="120" t="n"/>
      <c r="H73" s="1" t="n"/>
      <c r="J73" s="206" t="n"/>
      <c r="K73" s="206" t="n"/>
      <c r="L73" s="210" t="n">
        <v>1827232</v>
      </c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[5]产量!$C$15</f>
        <v/>
      </c>
      <c r="F7" s="213">
        <f>[5]产量!$C$19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E7+'26.4'!K7</f>
        <v/>
      </c>
      <c r="L7" s="214">
        <f>F7+'26.4'!L7</f>
        <v/>
      </c>
      <c r="M7" s="149">
        <f>SUM(K7:L7)</f>
        <v/>
      </c>
      <c r="N7" s="214">
        <f>H7+'26.4'!N7</f>
        <v/>
      </c>
      <c r="O7" s="214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[5]产量!$E$15</f>
        <v/>
      </c>
      <c r="F8" s="213">
        <f>[5]产量!$E$19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E8+'26.4'!K8</f>
        <v/>
      </c>
      <c r="L8" s="214">
        <f>F8+'26.4'!L8</f>
        <v/>
      </c>
      <c r="M8" s="149">
        <f>SUM(K8:L8)</f>
        <v/>
      </c>
      <c r="N8" s="214">
        <f>H8+'26.4'!N8</f>
        <v/>
      </c>
      <c r="O8" s="214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[5]产量!$G$6</f>
        <v/>
      </c>
      <c r="F9" s="213">
        <f>[5]产量!$G$7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E9+'26.4'!K9</f>
        <v/>
      </c>
      <c r="L9" s="214">
        <f>F9+'26.4'!L9</f>
        <v/>
      </c>
      <c r="M9" s="149">
        <f>SUM(K9:L9)</f>
        <v/>
      </c>
      <c r="N9" s="214">
        <f>H9+'26.4'!N9</f>
        <v/>
      </c>
      <c r="O9" s="214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[5]产量!$G$29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E10+'26.4'!K10</f>
        <v/>
      </c>
      <c r="L10" s="214">
        <f>F10+'26.4'!L10</f>
        <v/>
      </c>
      <c r="M10" s="149">
        <f>SUM(K10:L10)</f>
        <v/>
      </c>
      <c r="N10" s="214">
        <f>H10+'26.4'!N10</f>
        <v/>
      </c>
      <c r="O10" s="214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[5]产量!$G$28</f>
        <v/>
      </c>
      <c r="F11" s="213">
        <f>[5]产量!$G$30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E11+'26.4'!K11</f>
        <v/>
      </c>
      <c r="L11" s="214">
        <f>F11+'26.4'!L11</f>
        <v/>
      </c>
      <c r="M11" s="149">
        <f>SUM(K11:L11)</f>
        <v/>
      </c>
      <c r="N11" s="214">
        <f>H11+'26.4'!N11</f>
        <v/>
      </c>
      <c r="O11" s="214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[5]产量!$G$15</f>
        <v/>
      </c>
      <c r="F12" s="213">
        <f>[5]产量!$G$19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E12+'26.4'!K12</f>
        <v/>
      </c>
      <c r="L12" s="214">
        <f>F12+'26.4'!L12</f>
        <v/>
      </c>
      <c r="M12" s="149">
        <f>SUM(K12:L12)</f>
        <v/>
      </c>
      <c r="N12" s="214">
        <f>H12+'26.4'!N12</f>
        <v/>
      </c>
      <c r="O12" s="214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E15+'26.4'!K15</f>
        <v/>
      </c>
      <c r="L15" s="214">
        <f>F15+'26.4'!L15</f>
        <v/>
      </c>
      <c r="M15" s="149">
        <f>SUM(K15:L15)</f>
        <v/>
      </c>
      <c r="N15" s="214">
        <f>H15+'26.4'!N15</f>
        <v/>
      </c>
      <c r="O15" s="214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E16+'26.4'!K16</f>
        <v/>
      </c>
      <c r="L16" s="214">
        <f>F16+'26.4'!L16</f>
        <v/>
      </c>
      <c r="M16" s="149">
        <f>SUM(K16:L16)</f>
        <v/>
      </c>
      <c r="N16" s="214">
        <f>H16+'26.4'!N16</f>
        <v/>
      </c>
      <c r="O16" s="214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E18+'26.4'!K18</f>
        <v/>
      </c>
      <c r="L18" s="214">
        <f>F18+'26.4'!L18</f>
        <v/>
      </c>
      <c r="M18" s="149">
        <f>SUM(K18:L18)</f>
        <v/>
      </c>
      <c r="N18" s="214">
        <f>H18+'26.4'!N18</f>
        <v/>
      </c>
      <c r="O18" s="214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E19+'26.4'!K19</f>
        <v/>
      </c>
      <c r="L19" s="214">
        <f>F19+'26.4'!L19</f>
        <v/>
      </c>
      <c r="M19" s="149">
        <f>SUM(K19:L19)</f>
        <v/>
      </c>
      <c r="N19" s="214">
        <f>H19+'26.4'!N19</f>
        <v/>
      </c>
      <c r="O19" s="214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E20+'26.4'!K20</f>
        <v/>
      </c>
      <c r="L20" s="214">
        <f>F20+'26.4'!L20</f>
        <v/>
      </c>
      <c r="M20" s="149">
        <f>SUM(K20:L20)</f>
        <v/>
      </c>
      <c r="N20" s="214">
        <f>H20+'26.4'!N20</f>
        <v/>
      </c>
      <c r="O20" s="214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E21+'26.4'!K21</f>
        <v/>
      </c>
      <c r="L21" s="214">
        <f>F21+'26.4'!L21</f>
        <v/>
      </c>
      <c r="M21" s="149">
        <f>SUM(K21:L21)</f>
        <v/>
      </c>
      <c r="N21" s="214">
        <f>H21+'26.4'!N21</f>
        <v/>
      </c>
      <c r="O21" s="214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E22+'26.4'!K22</f>
        <v/>
      </c>
      <c r="L22" s="214">
        <f>F22+'26.4'!L22</f>
        <v/>
      </c>
      <c r="M22" s="149">
        <f>SUM(K22:L22)</f>
        <v/>
      </c>
      <c r="N22" s="214">
        <f>H22+'26.4'!N22</f>
        <v/>
      </c>
      <c r="O22" s="214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E23+'26.4'!K23</f>
        <v/>
      </c>
      <c r="L23" s="214">
        <f>F23+'26.4'!L23</f>
        <v/>
      </c>
      <c r="M23" s="149">
        <f>SUM(K23:L23)</f>
        <v/>
      </c>
      <c r="N23" s="214">
        <f>H23+'26.4'!N23</f>
        <v/>
      </c>
      <c r="O23" s="214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E24+'26.4'!K24</f>
        <v/>
      </c>
      <c r="L24" s="214">
        <f>F24+'26.4'!L24</f>
        <v/>
      </c>
      <c r="M24" s="149">
        <f>SUM(K24:L24)</f>
        <v/>
      </c>
      <c r="N24" s="214">
        <f>H24+'26.4'!N24</f>
        <v/>
      </c>
      <c r="O24" s="214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E25+'26.4'!K25</f>
        <v/>
      </c>
      <c r="L25" s="214">
        <f>F25+'26.4'!L25</f>
        <v/>
      </c>
      <c r="M25" s="149">
        <f>SUM(K25:L25)</f>
        <v/>
      </c>
      <c r="N25" s="214">
        <f>H25+'26.4'!N25</f>
        <v/>
      </c>
      <c r="O25" s="214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E26+'26.4'!K26</f>
        <v/>
      </c>
      <c r="L26" s="214">
        <f>F26+'26.4'!L26</f>
        <v/>
      </c>
      <c r="M26" s="149">
        <f>SUM(K26:L26)</f>
        <v/>
      </c>
      <c r="N26" s="214">
        <f>H26+'26.4'!N26</f>
        <v/>
      </c>
      <c r="O26" s="214">
        <f>I26+'26.4'!O26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E27+'26.4'!K27</f>
        <v/>
      </c>
      <c r="L27" s="214">
        <f>F27+'26.4'!L27</f>
        <v/>
      </c>
      <c r="M27" s="165">
        <f>SUM(K27:L27)</f>
        <v/>
      </c>
      <c r="N27" s="214">
        <f>H27+'26.4'!N27</f>
        <v/>
      </c>
      <c r="O27" s="214">
        <f>I27+'26.4'!O27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E28+'26.4'!K28</f>
        <v/>
      </c>
      <c r="L28" s="214">
        <f>F28+'26.4'!L28</f>
        <v/>
      </c>
      <c r="M28" s="165">
        <f>SUM(K28:L28)</f>
        <v/>
      </c>
      <c r="N28" s="214">
        <f>H28+'26.4'!N28</f>
        <v/>
      </c>
      <c r="O28" s="214">
        <f>I28+'26.4'!O28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E29+'26.4'!K29</f>
        <v/>
      </c>
      <c r="L29" s="214">
        <f>F29+'26.4'!L29</f>
        <v/>
      </c>
      <c r="M29" s="149">
        <f>SUM(K29:L29)</f>
        <v/>
      </c>
      <c r="N29" s="214">
        <f>H29+'26.4'!N29</f>
        <v/>
      </c>
      <c r="O29" s="214">
        <f>I29+'26.4'!O29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E30+'26.4'!K30</f>
        <v/>
      </c>
      <c r="L30" s="214">
        <f>F30+'26.4'!L30</f>
        <v/>
      </c>
      <c r="M30" s="149">
        <f>M7-M8</f>
        <v/>
      </c>
      <c r="N30" s="214">
        <f>H30+'26.4'!N30</f>
        <v/>
      </c>
      <c r="O30" s="214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E31+'26.4'!K31</f>
        <v/>
      </c>
      <c r="L31" s="214">
        <f>F31+'26.4'!L31</f>
        <v/>
      </c>
      <c r="M31" s="149">
        <f>SUM(K31:L31)</f>
        <v/>
      </c>
      <c r="N31" s="214">
        <f>H31+'26.4'!N31</f>
        <v/>
      </c>
      <c r="O31" s="214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E33+'26.4'!K33</f>
        <v/>
      </c>
      <c r="L33" s="214">
        <f>F33+'26.4'!L33</f>
        <v/>
      </c>
      <c r="M33" s="149">
        <f>SUM(K33:L33)</f>
        <v/>
      </c>
      <c r="N33" s="214">
        <f>H33+'26.4'!N33</f>
        <v/>
      </c>
      <c r="O33" s="214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E34+'26.4'!K34</f>
        <v/>
      </c>
      <c r="L34" s="214">
        <f>F34+'26.4'!L34</f>
        <v/>
      </c>
      <c r="M34" s="149">
        <f>SUM(K34:L34)</f>
        <v/>
      </c>
      <c r="N34" s="214">
        <f>H34+'26.4'!N34</f>
        <v/>
      </c>
      <c r="O34" s="214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E40+'26.4'!K40</f>
        <v/>
      </c>
      <c r="L40" s="214">
        <f>F40+'26.4'!L40</f>
        <v/>
      </c>
      <c r="M40" s="149">
        <f>SUM(K40:L40)</f>
        <v/>
      </c>
      <c r="N40" s="214">
        <f>H40+'26.4'!N40</f>
        <v/>
      </c>
      <c r="O40" s="214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E41+'26.4'!K41</f>
        <v/>
      </c>
      <c r="L41" s="214">
        <f>F41+'26.4'!L41</f>
        <v/>
      </c>
      <c r="M41" s="149">
        <f>SUM(K41:L41)</f>
        <v/>
      </c>
      <c r="N41" s="214">
        <f>H41+'26.4'!N41</f>
        <v/>
      </c>
      <c r="O41" s="214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E43+'26.4'!K43</f>
        <v/>
      </c>
      <c r="L43" s="214">
        <f>F43+'26.4'!L43</f>
        <v/>
      </c>
      <c r="M43" s="149">
        <f>SUM(K43:L43)</f>
        <v/>
      </c>
      <c r="N43" s="214">
        <f>H43+'26.4'!N43</f>
        <v/>
      </c>
      <c r="O43" s="214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E44+'26.4'!K44</f>
        <v/>
      </c>
      <c r="L44" s="214">
        <f>F44+'26.4'!L44</f>
        <v/>
      </c>
      <c r="M44" s="149">
        <f>SUM(K44:L44)</f>
        <v/>
      </c>
      <c r="N44" s="214">
        <f>H44+'26.4'!N44</f>
        <v/>
      </c>
      <c r="O44" s="214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D7/10000/D6/(DAY(DATE(2026,6,0))*24)</f>
        <v/>
      </c>
      <c r="E52" s="179">
        <f>E7/10000/E6/(DAY(DATE(2026,6,0))*24)</f>
        <v/>
      </c>
      <c r="F52" s="179">
        <f>F7/10000/F6/(DAY(DATE(2026,6,0))*24)</f>
        <v/>
      </c>
      <c r="G52" s="179">
        <f>G7/10000/G6/(DAY(DATE(2026,6,0))*24)</f>
        <v/>
      </c>
      <c r="H52" s="179">
        <f>H7/10000/H6/(DAY(DATE(2026,6,0))*24)</f>
        <v/>
      </c>
      <c r="I52" s="180">
        <f>I7/10000/I6/(DAY(DATE(2026,6,0))*24)</f>
        <v/>
      </c>
      <c r="J52" s="179">
        <f>J7/10000/J6/(DATEDIF(DATE(2026,1,1),DATE(2026,6,1),"D")*24)</f>
        <v/>
      </c>
      <c r="K52" s="179">
        <f>K7/10000/K6/(DATEDIF(DATE(2026,1,1),DATE(2026,6,1),"D")*24)</f>
        <v/>
      </c>
      <c r="L52" s="179">
        <f>L7/10000/L6/(DATEDIF(DATE(2026,1,1),DATE(2026,6,1),"D")*24)</f>
        <v/>
      </c>
      <c r="M52" s="179">
        <f>M7/10000/M6/(DATEDIF(DATE(2026,1,1),DATE(2026,6,1),"D")*24)</f>
        <v/>
      </c>
      <c r="N52" s="179">
        <f>N7/10000/N6/(DATEDIF(DATE(2026,1,1),DATE(2026,6,1),"D")*24)</f>
        <v/>
      </c>
      <c r="O52" s="180">
        <f>O7/10000/O6/(DATEDIF(DATE(2026,1,1),DATE(2026,6,1),"D")*24)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D9*1000/1986/((DAY(DATE(2026,6,0))*24)*3600)</f>
        <v/>
      </c>
      <c r="E53" s="183">
        <f>E9*1000/577/((DAY(DATE(2026,6,0))*24)*3600)</f>
        <v/>
      </c>
      <c r="F53" s="180">
        <f>F9*1000/528/((DAY(DATE(2026,6,0))*24)*3600)</f>
        <v/>
      </c>
      <c r="G53" s="183">
        <f>G9*1000/1442/((DAY(DATE(2026,6,0))*24)*3600)</f>
        <v/>
      </c>
      <c r="H53" s="180">
        <f>H9*1000/414/((DAY(DATE(2026,6,0))*24)*3600)</f>
        <v/>
      </c>
      <c r="I53" s="180">
        <f>I9*1000/130/((DAY(DATE(2026,6,0))*24)*3600)</f>
        <v/>
      </c>
      <c r="J53" s="179">
        <f>J9*1000/1986/((DATEDIF(DATE(2026,1,1),DATE(2026,6,1),"D")*24)*3600)</f>
        <v/>
      </c>
      <c r="K53" s="183">
        <f>K9*1000/577/((DATEDIF(DATE(2026,1,1),DATE(2026,6,1),"D")*24)*3600)</f>
        <v/>
      </c>
      <c r="L53" s="180">
        <f>L9*1000/528/((DATEDIF(DATE(2026,1,1),DATE(2026,6,1),"D")*24)*3600)</f>
        <v/>
      </c>
      <c r="M53" s="183">
        <f>M9*1000/1442/((DATEDIF(DATE(2026,1,1),DATE(2026,6,1),"D")*24)*3600)</f>
        <v/>
      </c>
      <c r="N53" s="180">
        <f>N9*1000/414/((DATEDIF(DATE(2026,1,1),DATE(2026,6,1),"D")*24)*3600)</f>
        <v/>
      </c>
      <c r="O53" s="180">
        <f>O9*1000/130/((DATEDIF(DATE(2026,1,1),DATE(2026,6,1),"D")*24)*3600)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E57+'26.4'!K57</f>
        <v/>
      </c>
      <c r="L57" s="214">
        <f>F57+'26.4'!L57</f>
        <v/>
      </c>
      <c r="M57" s="149">
        <f>SUM(K57:L57)</f>
        <v/>
      </c>
      <c r="N57" s="214">
        <f>H57+'26.4'!N57</f>
        <v/>
      </c>
      <c r="O57" s="214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E58+'26.4'!K58</f>
        <v/>
      </c>
      <c r="L58" s="214">
        <f>F58+'26.4'!L58</f>
        <v/>
      </c>
      <c r="M58" s="149">
        <f>SUM(K58:L58)</f>
        <v/>
      </c>
      <c r="N58" s="214">
        <f>H58+'26.4'!N58</f>
        <v/>
      </c>
      <c r="O58" s="214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'26.4'!K59+E57-E14-E58</f>
        <v/>
      </c>
      <c r="L59" s="215">
        <f>'26.4'!L59+F57-F14-F58</f>
        <v/>
      </c>
      <c r="M59" s="155">
        <f>SUM(K59:L59)</f>
        <v/>
      </c>
      <c r="N59" s="215">
        <f>'26.4'!N59+H57-H14-H58</f>
        <v/>
      </c>
      <c r="O59" s="215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E60+'26.4'!K60</f>
        <v/>
      </c>
      <c r="L60" s="214">
        <f>F60+'26.4'!L60</f>
        <v/>
      </c>
      <c r="M60" s="175">
        <f>SUM(K60:L60)</f>
        <v/>
      </c>
      <c r="N60" s="214">
        <f>H60+'26.4'!N60</f>
        <v/>
      </c>
      <c r="O60" s="214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E61+'26.4'!K61</f>
        <v/>
      </c>
      <c r="L61" s="214">
        <f>F61+'26.4'!L61</f>
        <v/>
      </c>
      <c r="M61" s="149">
        <f>SUM(K61:L61)</f>
        <v/>
      </c>
      <c r="N61" s="214">
        <f>H61+'26.4'!N61</f>
        <v/>
      </c>
      <c r="O61" s="214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E62+'26.4'!K62</f>
        <v/>
      </c>
      <c r="L62" s="214">
        <f>F62+'26.4'!L62</f>
        <v/>
      </c>
      <c r="M62" s="149">
        <f>SUM(K62:L62)</f>
        <v/>
      </c>
      <c r="N62" s="214">
        <f>H62+'26.4'!N62</f>
        <v/>
      </c>
      <c r="O62" s="214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E63+'26.4'!K63</f>
        <v/>
      </c>
      <c r="L63" s="214">
        <f>F63+'26.4'!L63</f>
        <v/>
      </c>
      <c r="M63" s="149">
        <f>SUM(K63:L63)</f>
        <v/>
      </c>
      <c r="N63" s="214">
        <f>H63+'26.4'!N63</f>
        <v/>
      </c>
      <c r="O63" s="214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E64+'26.4'!K64</f>
        <v/>
      </c>
      <c r="L64" s="214">
        <f>F64+'26.4'!L64</f>
        <v/>
      </c>
      <c r="M64" s="149">
        <f>SUM(K64:L64)</f>
        <v/>
      </c>
      <c r="N64" s="214">
        <f>H64+'26.4'!N64</f>
        <v/>
      </c>
      <c r="O64" s="214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E65+'26.4'!K65</f>
        <v/>
      </c>
      <c r="L65" s="214">
        <f>F65+'26.4'!L65</f>
        <v/>
      </c>
      <c r="M65" s="197">
        <f>SUM(K65:L65)</f>
        <v/>
      </c>
      <c r="N65" s="214">
        <f>H65+'26.4'!N65</f>
        <v/>
      </c>
      <c r="O65" s="214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E66+'26.4'!K66</f>
        <v/>
      </c>
      <c r="L66" s="214">
        <f>F66+'26.4'!L66</f>
        <v/>
      </c>
      <c r="M66" s="201">
        <f>SUM(K66:L66)</f>
        <v/>
      </c>
      <c r="N66" s="214">
        <f>H66+'26.4'!N66</f>
        <v/>
      </c>
      <c r="O66" s="214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E67+'26.4'!K67</f>
        <v/>
      </c>
      <c r="L67" s="214">
        <f>F67+'26.4'!L67</f>
        <v/>
      </c>
      <c r="M67" s="193">
        <f>SUM(K67:L67)</f>
        <v/>
      </c>
      <c r="N67" s="214">
        <f>H67+'26.4'!N67</f>
        <v/>
      </c>
      <c r="O67" s="214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E68+'26.4'!K68</f>
        <v/>
      </c>
      <c r="L68" s="214">
        <f>F68+'26.4'!L68</f>
        <v/>
      </c>
      <c r="M68" s="197">
        <f>SUM(K68:L68)</f>
        <v/>
      </c>
      <c r="N68" s="214">
        <f>H68+'26.4'!N68</f>
        <v/>
      </c>
      <c r="O68" s="214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[6]产量!$C$15</f>
        <v/>
      </c>
      <c r="F7" s="150">
        <f>[6]产量!$C$19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E7+'26.5'!K7</f>
        <v/>
      </c>
      <c r="L7" s="152">
        <f>F7+'26.5'!L7</f>
        <v/>
      </c>
      <c r="M7" s="149">
        <f>SUM(K7:L7)</f>
        <v/>
      </c>
      <c r="N7" s="152">
        <f>H7+'26.5'!N7</f>
        <v/>
      </c>
      <c r="O7" s="152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[6]产量!$E$15</f>
        <v/>
      </c>
      <c r="F8" s="150">
        <f>[6]产量!$E$19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E8+'26.5'!K8</f>
        <v/>
      </c>
      <c r="L8" s="152">
        <f>F8+'26.5'!L8</f>
        <v/>
      </c>
      <c r="M8" s="149">
        <f>SUM(K8:L8)</f>
        <v/>
      </c>
      <c r="N8" s="152">
        <f>H8+'26.5'!N8</f>
        <v/>
      </c>
      <c r="O8" s="152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[6]产量!$G$6</f>
        <v/>
      </c>
      <c r="F9" s="150">
        <f>[6]产量!$G$7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E9+'26.5'!K9</f>
        <v/>
      </c>
      <c r="L9" s="152">
        <f>F9+'26.5'!L9</f>
        <v/>
      </c>
      <c r="M9" s="149">
        <f>SUM(K9:L9)</f>
        <v/>
      </c>
      <c r="N9" s="152">
        <f>H9+'26.5'!N9</f>
        <v/>
      </c>
      <c r="O9" s="152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[6]产量!$G$29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E10+'26.5'!K10</f>
        <v/>
      </c>
      <c r="L10" s="152">
        <f>F10+'26.5'!L10</f>
        <v/>
      </c>
      <c r="M10" s="149">
        <f>SUM(K10:L10)</f>
        <v/>
      </c>
      <c r="N10" s="152">
        <f>H10+'26.5'!N10</f>
        <v/>
      </c>
      <c r="O10" s="152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[6]产量!$G$28</f>
        <v/>
      </c>
      <c r="F11" s="150">
        <f>[6]产量!$G$30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E11+'26.5'!K11</f>
        <v/>
      </c>
      <c r="L11" s="152">
        <f>F11+'26.5'!L11</f>
        <v/>
      </c>
      <c r="M11" s="149">
        <f>SUM(K11:L11)</f>
        <v/>
      </c>
      <c r="N11" s="152">
        <f>H11+'26.5'!N11</f>
        <v/>
      </c>
      <c r="O11" s="152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[6]产量!$G$15</f>
        <v/>
      </c>
      <c r="F12" s="150">
        <f>[6]产量!$G$19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E12+'26.5'!K12</f>
        <v/>
      </c>
      <c r="L12" s="152">
        <f>F12+'26.5'!L12</f>
        <v/>
      </c>
      <c r="M12" s="149">
        <f>SUM(K12:L12)</f>
        <v/>
      </c>
      <c r="N12" s="152">
        <f>H12+'26.5'!N12</f>
        <v/>
      </c>
      <c r="O12" s="152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E15+'26.5'!K15</f>
        <v/>
      </c>
      <c r="L15" s="152">
        <f>F15+'26.5'!L15</f>
        <v/>
      </c>
      <c r="M15" s="149">
        <f>SUM(K15:L15)</f>
        <v/>
      </c>
      <c r="N15" s="152">
        <f>H15+'26.5'!N15</f>
        <v/>
      </c>
      <c r="O15" s="152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E16+'26.5'!K16</f>
        <v/>
      </c>
      <c r="L16" s="152">
        <f>F16+'26.5'!L16</f>
        <v/>
      </c>
      <c r="M16" s="149">
        <f>SUM(K16:L16)</f>
        <v/>
      </c>
      <c r="N16" s="152">
        <f>H16+'26.5'!N16</f>
        <v/>
      </c>
      <c r="O16" s="152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E18+'26.5'!K18</f>
        <v/>
      </c>
      <c r="L18" s="152">
        <f>F18+'26.5'!L18</f>
        <v/>
      </c>
      <c r="M18" s="149">
        <f>SUM(K18:L18)</f>
        <v/>
      </c>
      <c r="N18" s="152">
        <f>H18+'26.5'!N18</f>
        <v/>
      </c>
      <c r="O18" s="152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E19+'26.5'!K19</f>
        <v/>
      </c>
      <c r="L19" s="152">
        <f>F19+'26.5'!L19</f>
        <v/>
      </c>
      <c r="M19" s="149">
        <f>SUM(K19:L19)</f>
        <v/>
      </c>
      <c r="N19" s="152">
        <f>H19+'26.5'!N19</f>
        <v/>
      </c>
      <c r="O19" s="152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E20+'26.5'!K20</f>
        <v/>
      </c>
      <c r="L20" s="152">
        <f>F20+'26.5'!L20</f>
        <v/>
      </c>
      <c r="M20" s="149">
        <f>SUM(K20:L20)</f>
        <v/>
      </c>
      <c r="N20" s="152">
        <f>H20+'26.5'!N20</f>
        <v/>
      </c>
      <c r="O20" s="152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E21+'26.5'!K21</f>
        <v/>
      </c>
      <c r="L21" s="152">
        <f>F21+'26.5'!L21</f>
        <v/>
      </c>
      <c r="M21" s="149">
        <f>SUM(K21:L21)</f>
        <v/>
      </c>
      <c r="N21" s="152">
        <f>H21+'26.5'!N21</f>
        <v/>
      </c>
      <c r="O21" s="152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E22+'26.5'!K22</f>
        <v/>
      </c>
      <c r="L22" s="152">
        <f>F22+'26.5'!L22</f>
        <v/>
      </c>
      <c r="M22" s="149">
        <f>SUM(K22:L22)</f>
        <v/>
      </c>
      <c r="N22" s="152">
        <f>H22+'26.5'!N22</f>
        <v/>
      </c>
      <c r="O22" s="152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E23+'26.5'!K23</f>
        <v/>
      </c>
      <c r="L23" s="152">
        <f>F23+'26.5'!L23</f>
        <v/>
      </c>
      <c r="M23" s="149">
        <f>SUM(K23:L23)</f>
        <v/>
      </c>
      <c r="N23" s="152">
        <f>H23+'26.5'!N23</f>
        <v/>
      </c>
      <c r="O23" s="152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E24+'26.5'!K24</f>
        <v/>
      </c>
      <c r="L24" s="152">
        <f>F24+'26.5'!L24</f>
        <v/>
      </c>
      <c r="M24" s="149">
        <f>SUM(K24:L24)</f>
        <v/>
      </c>
      <c r="N24" s="152">
        <f>H24+'26.5'!N24</f>
        <v/>
      </c>
      <c r="O24" s="152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E25+'26.5'!K25</f>
        <v/>
      </c>
      <c r="L25" s="152">
        <f>F25+'26.5'!L25</f>
        <v/>
      </c>
      <c r="M25" s="149">
        <f>SUM(K25:L25)</f>
        <v/>
      </c>
      <c r="N25" s="152">
        <f>H25+'26.5'!N25</f>
        <v/>
      </c>
      <c r="O25" s="152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E26+'26.5'!K26</f>
        <v/>
      </c>
      <c r="L26" s="152">
        <f>F26+'26.5'!L26</f>
        <v/>
      </c>
      <c r="M26" s="149">
        <f>SUM(K26:L26)</f>
        <v/>
      </c>
      <c r="N26" s="152">
        <f>H26+'26.5'!N26</f>
        <v/>
      </c>
      <c r="O26" s="152">
        <f>I26+'26.5'!O26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E27+'26.5'!K27</f>
        <v/>
      </c>
      <c r="L27" s="152">
        <f>F27+'26.5'!L27</f>
        <v/>
      </c>
      <c r="M27" s="165">
        <f>SUM(K27:L27)</f>
        <v/>
      </c>
      <c r="N27" s="152">
        <f>H27+'26.5'!N27</f>
        <v/>
      </c>
      <c r="O27" s="152">
        <f>I27+'26.5'!O27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E28+'26.5'!K28</f>
        <v/>
      </c>
      <c r="L28" s="152">
        <f>F28+'26.5'!L28</f>
        <v/>
      </c>
      <c r="M28" s="165">
        <f>SUM(K28:L28)</f>
        <v/>
      </c>
      <c r="N28" s="152">
        <f>H28+'26.5'!N28</f>
        <v/>
      </c>
      <c r="O28" s="152">
        <f>I28+'26.5'!O28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E29+'26.5'!K29</f>
        <v/>
      </c>
      <c r="L29" s="152">
        <f>F29+'26.5'!L29</f>
        <v/>
      </c>
      <c r="M29" s="149">
        <f>SUM(K29:L29)</f>
        <v/>
      </c>
      <c r="N29" s="152">
        <f>H29+'26.5'!N29</f>
        <v/>
      </c>
      <c r="O29" s="152">
        <f>I29+'26.5'!O29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E30+'26.5'!K30</f>
        <v/>
      </c>
      <c r="L30" s="152">
        <f>F30+'26.5'!L30</f>
        <v/>
      </c>
      <c r="M30" s="149">
        <f>M7-M8</f>
        <v/>
      </c>
      <c r="N30" s="152">
        <f>H30+'26.5'!N30</f>
        <v/>
      </c>
      <c r="O30" s="152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E31+'26.5'!K31</f>
        <v/>
      </c>
      <c r="L31" s="152">
        <f>F31+'26.5'!L31</f>
        <v/>
      </c>
      <c r="M31" s="149">
        <f>SUM(K31:L31)</f>
        <v/>
      </c>
      <c r="N31" s="152">
        <f>H31+'26.5'!N31</f>
        <v/>
      </c>
      <c r="O31" s="152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E33+'26.5'!K33</f>
        <v/>
      </c>
      <c r="L33" s="152">
        <f>F33+'26.5'!L33</f>
        <v/>
      </c>
      <c r="M33" s="149">
        <f>SUM(K33:L33)</f>
        <v/>
      </c>
      <c r="N33" s="152">
        <f>H33+'26.5'!N33</f>
        <v/>
      </c>
      <c r="O33" s="152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E34+'26.5'!K34</f>
        <v/>
      </c>
      <c r="L34" s="152">
        <f>F34+'26.5'!L34</f>
        <v/>
      </c>
      <c r="M34" s="149">
        <f>SUM(K34:L34)</f>
        <v/>
      </c>
      <c r="N34" s="152">
        <f>H34+'26.5'!N34</f>
        <v/>
      </c>
      <c r="O34" s="152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E40+'26.5'!K40</f>
        <v/>
      </c>
      <c r="L40" s="152">
        <f>F40+'26.5'!L40</f>
        <v/>
      </c>
      <c r="M40" s="149">
        <f>SUM(K40:L40)</f>
        <v/>
      </c>
      <c r="N40" s="152">
        <f>H40+'26.5'!N40</f>
        <v/>
      </c>
      <c r="O40" s="152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E41+'26.5'!K41</f>
        <v/>
      </c>
      <c r="L41" s="152">
        <f>F41+'26.5'!L41</f>
        <v/>
      </c>
      <c r="M41" s="149">
        <f>SUM(K41:L41)</f>
        <v/>
      </c>
      <c r="N41" s="152">
        <f>H41+'26.5'!N41</f>
        <v/>
      </c>
      <c r="O41" s="152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E43+'26.5'!K43</f>
        <v/>
      </c>
      <c r="L43" s="152">
        <f>F43+'26.5'!L43</f>
        <v/>
      </c>
      <c r="M43" s="149">
        <f>SUM(K43:L43)</f>
        <v/>
      </c>
      <c r="N43" s="152">
        <f>H43+'26.5'!N43</f>
        <v/>
      </c>
      <c r="O43" s="152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E44+'26.5'!K44</f>
        <v/>
      </c>
      <c r="L44" s="152">
        <f>F44+'26.5'!L44</f>
        <v/>
      </c>
      <c r="M44" s="149">
        <f>SUM(K44:L44)</f>
        <v/>
      </c>
      <c r="N44" s="152">
        <f>H44+'26.5'!N44</f>
        <v/>
      </c>
      <c r="O44" s="152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D7/10000/D6/(DAY(DATE(2026,7,0))*24)</f>
        <v/>
      </c>
      <c r="E52" s="179">
        <f>E7/10000/E6/(DAY(DATE(2026,7,0))*24)</f>
        <v/>
      </c>
      <c r="F52" s="179">
        <f>F7/10000/F6/(DAY(DATE(2026,7,0))*24)</f>
        <v/>
      </c>
      <c r="G52" s="179">
        <f>G7/10000/G6/(DAY(DATE(2026,7,0))*24)</f>
        <v/>
      </c>
      <c r="H52" s="179">
        <f>H7/10000/H6/(DAY(DATE(2026,7,0))*24)</f>
        <v/>
      </c>
      <c r="I52" s="180">
        <f>I7/10000/I6/(DAY(DATE(2026,7,0))*24)</f>
        <v/>
      </c>
      <c r="J52" s="179">
        <f>J7/10000/J6/(DATEDIF(DATE(2026,1,1),DATE(2026,7,1),"D")*24)</f>
        <v/>
      </c>
      <c r="K52" s="179">
        <f>K7/10000/K6/(DATEDIF(DATE(2026,1,1),DATE(2026,7,1),"D")*24)</f>
        <v/>
      </c>
      <c r="L52" s="179">
        <f>L7/10000/L6/(DATEDIF(DATE(2026,1,1),DATE(2026,7,1),"D")*24)</f>
        <v/>
      </c>
      <c r="M52" s="179">
        <f>M7/10000/M6/(DATEDIF(DATE(2026,1,1),DATE(2026,7,1),"D")*24)</f>
        <v/>
      </c>
      <c r="N52" s="179">
        <f>N7/10000/N6/(DATEDIF(DATE(2026,1,1),DATE(2026,7,1),"D")*24)</f>
        <v/>
      </c>
      <c r="O52" s="180">
        <f>O7/10000/O6/(DATEDIF(DATE(2026,1,1),DATE(2026,7,1),"D")*24)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D9*1000/1986/((DAY(DATE(2026,7,0))*24)*3600)</f>
        <v/>
      </c>
      <c r="E53" s="183">
        <f>E9*1000/577/((DAY(DATE(2026,7,0))*24)*3600)</f>
        <v/>
      </c>
      <c r="F53" s="180">
        <f>F9*1000/528/((DAY(DATE(2026,7,0))*24)*3600)</f>
        <v/>
      </c>
      <c r="G53" s="183">
        <f>G9*1000/1442/((DAY(DATE(2026,7,0))*24)*3600)</f>
        <v/>
      </c>
      <c r="H53" s="180">
        <f>H9*1000/414/((DAY(DATE(2026,7,0))*24)*3600)</f>
        <v/>
      </c>
      <c r="I53" s="180">
        <f>I9*1000/130/((DAY(DATE(2026,7,0))*24)*3600)</f>
        <v/>
      </c>
      <c r="J53" s="179">
        <f>J9*1000/1986/((DATEDIF(DATE(2026,1,1),DATE(2026,7,1),"D")*24)*3600)</f>
        <v/>
      </c>
      <c r="K53" s="183">
        <f>K9*1000/577/((DATEDIF(DATE(2026,1,1),DATE(2026,7,1),"D")*24)*3600)</f>
        <v/>
      </c>
      <c r="L53" s="180">
        <f>L9*1000/528/((DATEDIF(DATE(2026,1,1),DATE(2026,7,1),"D")*24)*3600)</f>
        <v/>
      </c>
      <c r="M53" s="183">
        <f>M9*1000/1442/((DATEDIF(DATE(2026,1,1),DATE(2026,7,1),"D")*24)*3600)</f>
        <v/>
      </c>
      <c r="N53" s="180">
        <f>N9*1000/414/((DATEDIF(DATE(2026,1,1),DATE(2026,7,1),"D")*24)*3600)</f>
        <v/>
      </c>
      <c r="O53" s="180">
        <f>O9*1000/130/((DATEDIF(DATE(2026,1,1),DATE(2026,7,1),"D")*24)*3600)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E57+'26.5'!K57</f>
        <v/>
      </c>
      <c r="L57" s="152">
        <f>F57+'26.5'!L57</f>
        <v/>
      </c>
      <c r="M57" s="149">
        <f>SUM(K57:L57)</f>
        <v/>
      </c>
      <c r="N57" s="152">
        <f>H57+'26.5'!N57</f>
        <v/>
      </c>
      <c r="O57" s="152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E58+'26.5'!K58</f>
        <v/>
      </c>
      <c r="L58" s="152">
        <f>F58+'26.5'!L58</f>
        <v/>
      </c>
      <c r="M58" s="149">
        <f>SUM(K58:L58)</f>
        <v/>
      </c>
      <c r="N58" s="152">
        <f>H58+'26.5'!N58</f>
        <v/>
      </c>
      <c r="O58" s="152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'26.5'!K59+E57-E14-E58</f>
        <v/>
      </c>
      <c r="L59" s="192">
        <f>'26.5'!L59+F57-F14-F58</f>
        <v/>
      </c>
      <c r="M59" s="155">
        <f>SUM(K59:L59)</f>
        <v/>
      </c>
      <c r="N59" s="192">
        <f>'26.5'!N59+H57-H14-H58</f>
        <v/>
      </c>
      <c r="O59" s="192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E60+'26.5'!K60</f>
        <v/>
      </c>
      <c r="L60" s="152">
        <f>F60+'26.5'!L60</f>
        <v/>
      </c>
      <c r="M60" s="175">
        <f>SUM(K60:L60)</f>
        <v/>
      </c>
      <c r="N60" s="152">
        <f>H60+'26.5'!N60</f>
        <v/>
      </c>
      <c r="O60" s="152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E61+'26.5'!K61</f>
        <v/>
      </c>
      <c r="L61" s="152">
        <f>F61+'26.5'!L61</f>
        <v/>
      </c>
      <c r="M61" s="149">
        <f>SUM(K61:L61)</f>
        <v/>
      </c>
      <c r="N61" s="152">
        <f>H61+'26.5'!N61</f>
        <v/>
      </c>
      <c r="O61" s="152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E62+'26.5'!K62</f>
        <v/>
      </c>
      <c r="L62" s="152">
        <f>F62+'26.5'!L62</f>
        <v/>
      </c>
      <c r="M62" s="149">
        <f>SUM(K62:L62)</f>
        <v/>
      </c>
      <c r="N62" s="152">
        <f>H62+'26.5'!N62</f>
        <v/>
      </c>
      <c r="O62" s="152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E63+'26.5'!K63</f>
        <v/>
      </c>
      <c r="L63" s="152">
        <f>F63+'26.5'!L63</f>
        <v/>
      </c>
      <c r="M63" s="149">
        <f>SUM(K63:L63)</f>
        <v/>
      </c>
      <c r="N63" s="152">
        <f>H63+'26.5'!N63</f>
        <v/>
      </c>
      <c r="O63" s="152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E64+'26.5'!K64</f>
        <v/>
      </c>
      <c r="L64" s="152">
        <f>F64+'26.5'!L64</f>
        <v/>
      </c>
      <c r="M64" s="149">
        <f>SUM(K64:L64)</f>
        <v/>
      </c>
      <c r="N64" s="152">
        <f>H64+'26.5'!N64</f>
        <v/>
      </c>
      <c r="O64" s="152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E65+'26.5'!K65</f>
        <v/>
      </c>
      <c r="L65" s="152">
        <f>F65+'26.5'!L65</f>
        <v/>
      </c>
      <c r="M65" s="197">
        <f>SUM(K65:L65)</f>
        <v/>
      </c>
      <c r="N65" s="152">
        <f>H65+'26.5'!N65</f>
        <v/>
      </c>
      <c r="O65" s="152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E66+'26.5'!K66</f>
        <v/>
      </c>
      <c r="L66" s="152">
        <f>F66+'26.5'!L66</f>
        <v/>
      </c>
      <c r="M66" s="201">
        <f>SUM(K66:L66)</f>
        <v/>
      </c>
      <c r="N66" s="152">
        <f>H66+'26.5'!N66</f>
        <v/>
      </c>
      <c r="O66" s="152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[7]产量!$C$15</f>
        <v/>
      </c>
      <c r="F7" s="213">
        <f>[7]产量!$C$19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E7+'26.6'!K7</f>
        <v/>
      </c>
      <c r="L7" s="214">
        <f>F7+'26.6'!L7</f>
        <v/>
      </c>
      <c r="M7" s="149">
        <f>SUM(K7:L7)</f>
        <v/>
      </c>
      <c r="N7" s="214">
        <f>H7+'26.6'!N7</f>
        <v/>
      </c>
      <c r="O7" s="214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[7]产量!$E$15</f>
        <v/>
      </c>
      <c r="F8" s="213">
        <f>[7]产量!$E$19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E8+'26.6'!K8</f>
        <v/>
      </c>
      <c r="L8" s="214">
        <f>F8+'26.6'!L8</f>
        <v/>
      </c>
      <c r="M8" s="149">
        <f>SUM(K8:L8)</f>
        <v/>
      </c>
      <c r="N8" s="214">
        <f>H8+'26.6'!N8</f>
        <v/>
      </c>
      <c r="O8" s="214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[7]产量!$G$6</f>
        <v/>
      </c>
      <c r="F9" s="213">
        <f>[7]产量!$G$7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E9+'26.6'!K9</f>
        <v/>
      </c>
      <c r="L9" s="214">
        <f>F9+'26.6'!L9</f>
        <v/>
      </c>
      <c r="M9" s="149">
        <f>SUM(K9:L9)</f>
        <v/>
      </c>
      <c r="N9" s="214">
        <f>H9+'26.6'!N9</f>
        <v/>
      </c>
      <c r="O9" s="214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[7]产量!$G$29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E10+'26.6'!K10</f>
        <v/>
      </c>
      <c r="L10" s="214">
        <f>F10+'26.6'!L10</f>
        <v/>
      </c>
      <c r="M10" s="149">
        <f>SUM(K10:L10)</f>
        <v/>
      </c>
      <c r="N10" s="214">
        <f>H10+'26.6'!N10</f>
        <v/>
      </c>
      <c r="O10" s="214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[7]产量!$G$28</f>
        <v/>
      </c>
      <c r="F11" s="213">
        <f>[7]产量!$G$30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E11+'26.6'!K11</f>
        <v/>
      </c>
      <c r="L11" s="214">
        <f>F11+'26.6'!L11</f>
        <v/>
      </c>
      <c r="M11" s="149">
        <f>SUM(K11:L11)</f>
        <v/>
      </c>
      <c r="N11" s="214">
        <f>H11+'26.6'!N11</f>
        <v/>
      </c>
      <c r="O11" s="214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[7]产量!$G$15</f>
        <v/>
      </c>
      <c r="F12" s="213">
        <f>[7]产量!$G$19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E12+'26.6'!K12</f>
        <v/>
      </c>
      <c r="L12" s="214">
        <f>F12+'26.6'!L12</f>
        <v/>
      </c>
      <c r="M12" s="149">
        <f>SUM(K12:L12)</f>
        <v/>
      </c>
      <c r="N12" s="214">
        <f>H12+'26.6'!N12</f>
        <v/>
      </c>
      <c r="O12" s="214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E15+'26.6'!K15</f>
        <v/>
      </c>
      <c r="L15" s="214">
        <f>F15+'26.6'!L15</f>
        <v/>
      </c>
      <c r="M15" s="149">
        <f>SUM(K15:L15)</f>
        <v/>
      </c>
      <c r="N15" s="214">
        <f>H15+'26.6'!N15</f>
        <v/>
      </c>
      <c r="O15" s="214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E16+'26.6'!K16</f>
        <v/>
      </c>
      <c r="L16" s="214">
        <f>F16+'26.6'!L16</f>
        <v/>
      </c>
      <c r="M16" s="149">
        <f>SUM(K16:L16)</f>
        <v/>
      </c>
      <c r="N16" s="214">
        <f>H16+'26.6'!N16</f>
        <v/>
      </c>
      <c r="O16" s="214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E18+'26.6'!K18</f>
        <v/>
      </c>
      <c r="L18" s="214">
        <f>F18+'26.6'!L18</f>
        <v/>
      </c>
      <c r="M18" s="149">
        <f>SUM(K18:L18)</f>
        <v/>
      </c>
      <c r="N18" s="214">
        <f>H18+'26.6'!N18</f>
        <v/>
      </c>
      <c r="O18" s="214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E19+'26.6'!K19</f>
        <v/>
      </c>
      <c r="L19" s="214">
        <f>F19+'26.6'!L19</f>
        <v/>
      </c>
      <c r="M19" s="149">
        <f>SUM(K19:L19)</f>
        <v/>
      </c>
      <c r="N19" s="214">
        <f>H19+'26.6'!N19</f>
        <v/>
      </c>
      <c r="O19" s="214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E20+'26.6'!K20</f>
        <v/>
      </c>
      <c r="L20" s="214">
        <f>F20+'26.6'!L20</f>
        <v/>
      </c>
      <c r="M20" s="149">
        <f>SUM(K20:L20)</f>
        <v/>
      </c>
      <c r="N20" s="214">
        <f>H20+'26.6'!N20</f>
        <v/>
      </c>
      <c r="O20" s="214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E21+'26.6'!K21</f>
        <v/>
      </c>
      <c r="L21" s="214">
        <f>F21+'26.6'!L21</f>
        <v/>
      </c>
      <c r="M21" s="149">
        <f>SUM(K21:L21)</f>
        <v/>
      </c>
      <c r="N21" s="214">
        <f>H21+'26.6'!N21</f>
        <v/>
      </c>
      <c r="O21" s="214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E22+'26.6'!K22</f>
        <v/>
      </c>
      <c r="L22" s="214">
        <f>F22+'26.6'!L22</f>
        <v/>
      </c>
      <c r="M22" s="149">
        <f>SUM(K22:L22)</f>
        <v/>
      </c>
      <c r="N22" s="214">
        <f>H22+'26.6'!N22</f>
        <v/>
      </c>
      <c r="O22" s="214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E23+'26.6'!K23</f>
        <v/>
      </c>
      <c r="L23" s="214">
        <f>F23+'26.6'!L23</f>
        <v/>
      </c>
      <c r="M23" s="149">
        <f>SUM(K23:L23)</f>
        <v/>
      </c>
      <c r="N23" s="214">
        <f>H23+'26.6'!N23</f>
        <v/>
      </c>
      <c r="O23" s="214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E24+'26.6'!K24</f>
        <v/>
      </c>
      <c r="L24" s="214">
        <f>F24+'26.6'!L24</f>
        <v/>
      </c>
      <c r="M24" s="149">
        <f>SUM(K24:L24)</f>
        <v/>
      </c>
      <c r="N24" s="214">
        <f>H24+'26.6'!N24</f>
        <v/>
      </c>
      <c r="O24" s="214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E25+'26.6'!K25</f>
        <v/>
      </c>
      <c r="L25" s="214">
        <f>F25+'26.6'!L25</f>
        <v/>
      </c>
      <c r="M25" s="149">
        <f>SUM(K25:L25)</f>
        <v/>
      </c>
      <c r="N25" s="214">
        <f>H25+'26.6'!N25</f>
        <v/>
      </c>
      <c r="O25" s="214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E26+'26.6'!K26</f>
        <v/>
      </c>
      <c r="L26" s="214">
        <f>F26+'26.6'!L26</f>
        <v/>
      </c>
      <c r="M26" s="149">
        <f>SUM(K26:L26)</f>
        <v/>
      </c>
      <c r="N26" s="214">
        <f>H26+'26.6'!N26</f>
        <v/>
      </c>
      <c r="O26" s="214">
        <f>I26+'26.6'!O26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E27+'26.6'!K27</f>
        <v/>
      </c>
      <c r="L27" s="214">
        <f>F27+'26.6'!L27</f>
        <v/>
      </c>
      <c r="M27" s="165">
        <f>SUM(K27:L27)</f>
        <v/>
      </c>
      <c r="N27" s="214">
        <f>H27+'26.6'!N27</f>
        <v/>
      </c>
      <c r="O27" s="214">
        <f>I27+'26.6'!O27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E28+'26.6'!K28</f>
        <v/>
      </c>
      <c r="L28" s="214">
        <f>F28+'26.6'!L28</f>
        <v/>
      </c>
      <c r="M28" s="165">
        <f>SUM(K28:L28)</f>
        <v/>
      </c>
      <c r="N28" s="214">
        <f>H28+'26.6'!N28</f>
        <v/>
      </c>
      <c r="O28" s="214">
        <f>I28+'26.6'!O28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E29+'26.6'!K29</f>
        <v/>
      </c>
      <c r="L29" s="214">
        <f>F29+'26.6'!L29</f>
        <v/>
      </c>
      <c r="M29" s="149">
        <f>SUM(K29:L29)</f>
        <v/>
      </c>
      <c r="N29" s="214">
        <f>H29+'26.6'!N29</f>
        <v/>
      </c>
      <c r="O29" s="214">
        <f>I29+'26.6'!O29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E30+'26.6'!K30</f>
        <v/>
      </c>
      <c r="L30" s="214">
        <f>F30+'26.6'!L30</f>
        <v/>
      </c>
      <c r="M30" s="149">
        <f>M7-M8</f>
        <v/>
      </c>
      <c r="N30" s="214">
        <f>H30+'26.6'!N30</f>
        <v/>
      </c>
      <c r="O30" s="214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E31+'26.6'!K31</f>
        <v/>
      </c>
      <c r="L31" s="214">
        <f>F31+'26.6'!L31</f>
        <v/>
      </c>
      <c r="M31" s="149">
        <f>SUM(K31:L31)</f>
        <v/>
      </c>
      <c r="N31" s="214">
        <f>H31+'26.6'!N31</f>
        <v/>
      </c>
      <c r="O31" s="214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E33+'26.6'!K33</f>
        <v/>
      </c>
      <c r="L33" s="214">
        <f>F33+'26.6'!L33</f>
        <v/>
      </c>
      <c r="M33" s="149">
        <f>SUM(K33:L33)</f>
        <v/>
      </c>
      <c r="N33" s="214">
        <f>H33+'26.6'!N33</f>
        <v/>
      </c>
      <c r="O33" s="214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E34+'26.6'!K34</f>
        <v/>
      </c>
      <c r="L34" s="214">
        <f>F34+'26.6'!L34</f>
        <v/>
      </c>
      <c r="M34" s="149">
        <f>SUM(K34:L34)</f>
        <v/>
      </c>
      <c r="N34" s="214">
        <f>H34+'26.6'!N34</f>
        <v/>
      </c>
      <c r="O34" s="214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E40+'26.6'!K40</f>
        <v/>
      </c>
      <c r="L40" s="214">
        <f>F40+'26.6'!L40</f>
        <v/>
      </c>
      <c r="M40" s="149">
        <f>SUM(K40:L40)</f>
        <v/>
      </c>
      <c r="N40" s="214">
        <f>H40+'26.6'!N40</f>
        <v/>
      </c>
      <c r="O40" s="214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E41+'26.6'!K41</f>
        <v/>
      </c>
      <c r="L41" s="214">
        <f>F41+'26.6'!L41</f>
        <v/>
      </c>
      <c r="M41" s="149">
        <f>SUM(K41:L41)</f>
        <v/>
      </c>
      <c r="N41" s="214">
        <f>H41+'26.6'!N41</f>
        <v/>
      </c>
      <c r="O41" s="214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E43+'26.6'!K43</f>
        <v/>
      </c>
      <c r="L43" s="214">
        <f>F43+'26.6'!L43</f>
        <v/>
      </c>
      <c r="M43" s="149">
        <f>SUM(K43:L43)</f>
        <v/>
      </c>
      <c r="N43" s="214">
        <f>H43+'26.6'!N43</f>
        <v/>
      </c>
      <c r="O43" s="214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E44+'26.6'!K44</f>
        <v/>
      </c>
      <c r="L44" s="214">
        <f>F44+'26.6'!L44</f>
        <v/>
      </c>
      <c r="M44" s="149">
        <f>SUM(K44:L44)</f>
        <v/>
      </c>
      <c r="N44" s="214">
        <f>H44+'26.6'!N44</f>
        <v/>
      </c>
      <c r="O44" s="214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D7/10000/D6/(DAY(DATE(2026,8,0))*24)</f>
        <v/>
      </c>
      <c r="E52" s="179">
        <f>E7/10000/E6/(DAY(DATE(2026,8,0))*24)</f>
        <v/>
      </c>
      <c r="F52" s="179">
        <f>F7/10000/F6/(DAY(DATE(2026,8,0))*24)</f>
        <v/>
      </c>
      <c r="G52" s="179">
        <f>G7/10000/G6/(DAY(DATE(2026,8,0))*24)</f>
        <v/>
      </c>
      <c r="H52" s="179">
        <f>H7/10000/H6/(DAY(DATE(2026,8,0))*24)</f>
        <v/>
      </c>
      <c r="I52" s="180">
        <f>I7/10000/I6/(DAY(DATE(2026,8,0))*24)</f>
        <v/>
      </c>
      <c r="J52" s="179">
        <f>J7/10000/J6/(DATEDIF(DATE(2026,1,1),DATE(2026,8,1),"D")*24)</f>
        <v/>
      </c>
      <c r="K52" s="179">
        <f>K7/10000/K6/(DATEDIF(DATE(2026,1,1),DATE(2026,8,1),"D")*24)</f>
        <v/>
      </c>
      <c r="L52" s="179">
        <f>L7/10000/L6/(DATEDIF(DATE(2026,1,1),DATE(2026,8,1),"D")*24)</f>
        <v/>
      </c>
      <c r="M52" s="179">
        <f>M7/10000/M6/(DATEDIF(DATE(2026,1,1),DATE(2026,8,1),"D")*24)</f>
        <v/>
      </c>
      <c r="N52" s="179">
        <f>N7/10000/N6/(DATEDIF(DATE(2026,1,1),DATE(2026,8,1),"D")*24)</f>
        <v/>
      </c>
      <c r="O52" s="180">
        <f>O7/10000/O6/(DATEDIF(DATE(2026,1,1),DATE(2026,8,1),"D")*24)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D9*1000/1986/((DAY(DATE(2026,8,0))*24)*3600)</f>
        <v/>
      </c>
      <c r="E53" s="183">
        <f>E9*1000/577/((DAY(DATE(2026,8,0))*24)*3600)</f>
        <v/>
      </c>
      <c r="F53" s="180">
        <f>F9*1000/528/((DAY(DATE(2026,8,0))*24)*3600)</f>
        <v/>
      </c>
      <c r="G53" s="183">
        <f>G9*1000/1442/((DAY(DATE(2026,8,0))*24)*3600)</f>
        <v/>
      </c>
      <c r="H53" s="180">
        <f>H9*1000/414/((DAY(DATE(2026,8,0))*24)*3600)</f>
        <v/>
      </c>
      <c r="I53" s="180">
        <f>I9*1000/130/((DAY(DATE(2026,8,0))*24)*3600)</f>
        <v/>
      </c>
      <c r="J53" s="179">
        <f>J9*1000/1986/((DATEDIF(DATE(2026,1,1),DATE(2026,8,1),"D")*24)*3600)</f>
        <v/>
      </c>
      <c r="K53" s="183">
        <f>K9*1000/577/((DATEDIF(DATE(2026,1,1),DATE(2026,8,1),"D")*24)*3600)</f>
        <v/>
      </c>
      <c r="L53" s="180">
        <f>L9*1000/528/((DATEDIF(DATE(2026,1,1),DATE(2026,8,1),"D")*24)*3600)</f>
        <v/>
      </c>
      <c r="M53" s="183">
        <f>M9*1000/1442/((DATEDIF(DATE(2026,1,1),DATE(2026,8,1),"D")*24)*3600)</f>
        <v/>
      </c>
      <c r="N53" s="180">
        <f>N9*1000/414/((DATEDIF(DATE(2026,1,1),DATE(2026,8,1),"D")*24)*3600)</f>
        <v/>
      </c>
      <c r="O53" s="180">
        <f>O9*1000/130/((DATEDIF(DATE(2026,1,1),DATE(2026,8,1),"D")*24)*3600)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E57+'26.6'!K57</f>
        <v/>
      </c>
      <c r="L57" s="214">
        <f>F57+'26.6'!L57</f>
        <v/>
      </c>
      <c r="M57" s="149">
        <f>SUM(K57:L57)</f>
        <v/>
      </c>
      <c r="N57" s="214">
        <f>H57+'26.6'!N57</f>
        <v/>
      </c>
      <c r="O57" s="214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E58+'26.6'!K58</f>
        <v/>
      </c>
      <c r="L58" s="214">
        <f>F58+'26.6'!L58</f>
        <v/>
      </c>
      <c r="M58" s="149">
        <f>SUM(K58:L58)</f>
        <v/>
      </c>
      <c r="N58" s="214">
        <f>H58+'26.6'!N58</f>
        <v/>
      </c>
      <c r="O58" s="214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'26.6'!K59+E57-E14-E58</f>
        <v/>
      </c>
      <c r="L59" s="215">
        <f>'26.6'!L59+F57-F14-F58</f>
        <v/>
      </c>
      <c r="M59" s="155">
        <f>SUM(K59:L59)</f>
        <v/>
      </c>
      <c r="N59" s="215">
        <f>'26.6'!N59+H57-H14-H58</f>
        <v/>
      </c>
      <c r="O59" s="215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E60+'26.6'!K60</f>
        <v/>
      </c>
      <c r="L60" s="214">
        <f>F60+'26.6'!L60</f>
        <v/>
      </c>
      <c r="M60" s="175">
        <f>SUM(K60:L60)</f>
        <v/>
      </c>
      <c r="N60" s="214">
        <f>H60+'26.6'!N60</f>
        <v/>
      </c>
      <c r="O60" s="214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E61+'26.6'!K61</f>
        <v/>
      </c>
      <c r="L61" s="214">
        <f>F61+'26.6'!L61</f>
        <v/>
      </c>
      <c r="M61" s="149">
        <f>SUM(K61:L61)</f>
        <v/>
      </c>
      <c r="N61" s="214">
        <f>H61+'26.6'!N61</f>
        <v/>
      </c>
      <c r="O61" s="214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E62+'26.6'!K62</f>
        <v/>
      </c>
      <c r="L62" s="214">
        <f>F62+'26.6'!L62</f>
        <v/>
      </c>
      <c r="M62" s="149">
        <f>SUM(K62:L62)</f>
        <v/>
      </c>
      <c r="N62" s="214">
        <f>H62+'26.6'!N62</f>
        <v/>
      </c>
      <c r="O62" s="214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E63+'26.6'!K63</f>
        <v/>
      </c>
      <c r="L63" s="214">
        <f>F63+'26.6'!L63</f>
        <v/>
      </c>
      <c r="M63" s="149">
        <f>SUM(K63:L63)</f>
        <v/>
      </c>
      <c r="N63" s="214">
        <f>H63+'26.6'!N63</f>
        <v/>
      </c>
      <c r="O63" s="214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E64+'26.6'!K64</f>
        <v/>
      </c>
      <c r="L64" s="214">
        <f>F64+'26.6'!L64</f>
        <v/>
      </c>
      <c r="M64" s="149">
        <f>SUM(K64:L64)</f>
        <v/>
      </c>
      <c r="N64" s="214">
        <f>H64+'26.6'!N64</f>
        <v/>
      </c>
      <c r="O64" s="214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E65+'26.6'!K65</f>
        <v/>
      </c>
      <c r="L65" s="214">
        <f>F65+'26.6'!L65</f>
        <v/>
      </c>
      <c r="M65" s="197">
        <f>SUM(K65:L65)</f>
        <v/>
      </c>
      <c r="N65" s="214">
        <f>H65+'26.6'!N65</f>
        <v/>
      </c>
      <c r="O65" s="214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E66+'26.6'!K66</f>
        <v/>
      </c>
      <c r="L66" s="214">
        <f>F66+'26.6'!L66</f>
        <v/>
      </c>
      <c r="M66" s="201">
        <f>SUM(K66:L66)</f>
        <v/>
      </c>
      <c r="N66" s="214">
        <f>H66+'26.6'!N66</f>
        <v/>
      </c>
      <c r="O66" s="214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[8]产量!$C$15</f>
        <v/>
      </c>
      <c r="F7" s="150">
        <f>[8]产量!$C$19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E7+'26.7'!K7</f>
        <v/>
      </c>
      <c r="L7" s="152">
        <f>F7+'26.7'!L7</f>
        <v/>
      </c>
      <c r="M7" s="149">
        <f>SUM(K7:L7)</f>
        <v/>
      </c>
      <c r="N7" s="152">
        <f>H7+'26.7'!N7</f>
        <v/>
      </c>
      <c r="O7" s="152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[8]产量!$E$15</f>
        <v/>
      </c>
      <c r="F8" s="150">
        <f>[8]产量!$E$19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E8+'26.7'!K8</f>
        <v/>
      </c>
      <c r="L8" s="152">
        <f>F8+'26.7'!L8</f>
        <v/>
      </c>
      <c r="M8" s="149">
        <f>SUM(K8:L8)</f>
        <v/>
      </c>
      <c r="N8" s="152">
        <f>H8+'26.7'!N8</f>
        <v/>
      </c>
      <c r="O8" s="152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[8]产量!$G$6</f>
        <v/>
      </c>
      <c r="F9" s="150">
        <f>[8]产量!$G$7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E9+'26.7'!K9</f>
        <v/>
      </c>
      <c r="L9" s="152">
        <f>F9+'26.7'!L9</f>
        <v/>
      </c>
      <c r="M9" s="149">
        <f>SUM(K9:L9)</f>
        <v/>
      </c>
      <c r="N9" s="152">
        <f>H9+'26.7'!N9</f>
        <v/>
      </c>
      <c r="O9" s="152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[8]产量!$G$29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E10+'26.7'!K10</f>
        <v/>
      </c>
      <c r="L10" s="152">
        <f>F10+'26.7'!L10</f>
        <v/>
      </c>
      <c r="M10" s="149">
        <f>SUM(K10:L10)</f>
        <v/>
      </c>
      <c r="N10" s="152">
        <f>H10+'26.7'!N10</f>
        <v/>
      </c>
      <c r="O10" s="152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[8]产量!$G$28</f>
        <v/>
      </c>
      <c r="F11" s="150">
        <f>[8]产量!$G$30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E11+'26.7'!K11</f>
        <v/>
      </c>
      <c r="L11" s="152">
        <f>F11+'26.7'!L11</f>
        <v/>
      </c>
      <c r="M11" s="149">
        <f>SUM(K11:L11)</f>
        <v/>
      </c>
      <c r="N11" s="152">
        <f>H11+'26.7'!N11</f>
        <v/>
      </c>
      <c r="O11" s="152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[8]产量!$G$15</f>
        <v/>
      </c>
      <c r="F12" s="150">
        <f>[8]产量!$G$19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E12+'26.7'!K12</f>
        <v/>
      </c>
      <c r="L12" s="152">
        <f>F12+'26.7'!L12</f>
        <v/>
      </c>
      <c r="M12" s="149">
        <f>SUM(K12:L12)</f>
        <v/>
      </c>
      <c r="N12" s="152">
        <f>H12+'26.7'!N12</f>
        <v/>
      </c>
      <c r="O12" s="152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E15+'26.7'!K15</f>
        <v/>
      </c>
      <c r="L15" s="152">
        <f>F15+'26.7'!L15</f>
        <v/>
      </c>
      <c r="M15" s="149">
        <f>SUM(K15:L15)</f>
        <v/>
      </c>
      <c r="N15" s="152">
        <f>H15+'26.7'!N15</f>
        <v/>
      </c>
      <c r="O15" s="152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E16+'26.7'!K16</f>
        <v/>
      </c>
      <c r="L16" s="152">
        <f>F16+'26.7'!L16</f>
        <v/>
      </c>
      <c r="M16" s="149">
        <f>SUM(K16:L16)</f>
        <v/>
      </c>
      <c r="N16" s="152">
        <f>H16+'26.7'!N16</f>
        <v/>
      </c>
      <c r="O16" s="152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E18+'26.7'!K18</f>
        <v/>
      </c>
      <c r="L18" s="152">
        <f>F18+'26.7'!L18</f>
        <v/>
      </c>
      <c r="M18" s="149">
        <f>SUM(K18:L18)</f>
        <v/>
      </c>
      <c r="N18" s="152">
        <f>H18+'26.7'!N18</f>
        <v/>
      </c>
      <c r="O18" s="152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E19+'26.7'!K19</f>
        <v/>
      </c>
      <c r="L19" s="152">
        <f>F19+'26.7'!L19</f>
        <v/>
      </c>
      <c r="M19" s="149">
        <f>SUM(K19:L19)</f>
        <v/>
      </c>
      <c r="N19" s="152">
        <f>H19+'26.7'!N19</f>
        <v/>
      </c>
      <c r="O19" s="152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E20+'26.7'!K20</f>
        <v/>
      </c>
      <c r="L20" s="152">
        <f>F20+'26.7'!L20</f>
        <v/>
      </c>
      <c r="M20" s="149">
        <f>SUM(K20:L20)</f>
        <v/>
      </c>
      <c r="N20" s="152">
        <f>H20+'26.7'!N20</f>
        <v/>
      </c>
      <c r="O20" s="152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E21+'26.7'!K21</f>
        <v/>
      </c>
      <c r="L21" s="152">
        <f>F21+'26.7'!L21</f>
        <v/>
      </c>
      <c r="M21" s="149">
        <f>SUM(K21:L21)</f>
        <v/>
      </c>
      <c r="N21" s="152">
        <f>H21+'26.7'!N21</f>
        <v/>
      </c>
      <c r="O21" s="152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E22+'26.7'!K22</f>
        <v/>
      </c>
      <c r="L22" s="152">
        <f>F22+'26.7'!L22</f>
        <v/>
      </c>
      <c r="M22" s="149">
        <f>SUM(K22:L22)</f>
        <v/>
      </c>
      <c r="N22" s="152">
        <f>H22+'26.7'!N22</f>
        <v/>
      </c>
      <c r="O22" s="152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E23+'26.7'!K23</f>
        <v/>
      </c>
      <c r="L23" s="152">
        <f>F23+'26.7'!L23</f>
        <v/>
      </c>
      <c r="M23" s="149">
        <f>SUM(K23:L23)</f>
        <v/>
      </c>
      <c r="N23" s="152">
        <f>H23+'26.7'!N23</f>
        <v/>
      </c>
      <c r="O23" s="152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E24+'26.7'!K24</f>
        <v/>
      </c>
      <c r="L24" s="152">
        <f>F24+'26.7'!L24</f>
        <v/>
      </c>
      <c r="M24" s="149">
        <f>SUM(K24:L24)</f>
        <v/>
      </c>
      <c r="N24" s="152">
        <f>H24+'26.7'!N24</f>
        <v/>
      </c>
      <c r="O24" s="152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E25+'26.7'!K25</f>
        <v/>
      </c>
      <c r="L25" s="152">
        <f>F25+'26.7'!L25</f>
        <v/>
      </c>
      <c r="M25" s="149">
        <f>SUM(K25:L25)</f>
        <v/>
      </c>
      <c r="N25" s="152">
        <f>H25+'26.7'!N25</f>
        <v/>
      </c>
      <c r="O25" s="152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E26+'26.7'!K26</f>
        <v/>
      </c>
      <c r="L26" s="152">
        <f>F26+'26.7'!L26</f>
        <v/>
      </c>
      <c r="M26" s="149">
        <f>SUM(K26:L26)</f>
        <v/>
      </c>
      <c r="N26" s="152">
        <f>H26+'26.7'!N26</f>
        <v/>
      </c>
      <c r="O26" s="152">
        <f>I26+'26.7'!O26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E27+'26.7'!K27</f>
        <v/>
      </c>
      <c r="L27" s="152">
        <f>F27+'26.7'!L27</f>
        <v/>
      </c>
      <c r="M27" s="165">
        <f>SUM(K27:L27)</f>
        <v/>
      </c>
      <c r="N27" s="152">
        <f>H27+'26.7'!N27</f>
        <v/>
      </c>
      <c r="O27" s="152">
        <f>I27+'26.7'!O27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E28+'26.7'!K28</f>
        <v/>
      </c>
      <c r="L28" s="152">
        <f>F28+'26.7'!L28</f>
        <v/>
      </c>
      <c r="M28" s="165">
        <f>SUM(K28:L28)</f>
        <v/>
      </c>
      <c r="N28" s="152">
        <f>H28+'26.7'!N28</f>
        <v/>
      </c>
      <c r="O28" s="152">
        <f>I28+'26.7'!O28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E29+'26.7'!K29</f>
        <v/>
      </c>
      <c r="L29" s="152">
        <f>F29+'26.7'!L29</f>
        <v/>
      </c>
      <c r="M29" s="149">
        <f>SUM(K29:L29)</f>
        <v/>
      </c>
      <c r="N29" s="152">
        <f>H29+'26.7'!N29</f>
        <v/>
      </c>
      <c r="O29" s="152">
        <f>I29+'26.7'!O29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E30+'26.7'!K30</f>
        <v/>
      </c>
      <c r="L30" s="152">
        <f>F30+'26.7'!L30</f>
        <v/>
      </c>
      <c r="M30" s="149">
        <f>M7-M8</f>
        <v/>
      </c>
      <c r="N30" s="152">
        <f>H30+'26.7'!N30</f>
        <v/>
      </c>
      <c r="O30" s="152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E31+'26.7'!K31</f>
        <v/>
      </c>
      <c r="L31" s="152">
        <f>F31+'26.7'!L31</f>
        <v/>
      </c>
      <c r="M31" s="149">
        <f>SUM(K31:L31)</f>
        <v/>
      </c>
      <c r="N31" s="152">
        <f>H31+'26.7'!N31</f>
        <v/>
      </c>
      <c r="O31" s="152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E33+'26.7'!K33</f>
        <v/>
      </c>
      <c r="L33" s="152">
        <f>F33+'26.7'!L33</f>
        <v/>
      </c>
      <c r="M33" s="149">
        <f>SUM(K33:L33)</f>
        <v/>
      </c>
      <c r="N33" s="152">
        <f>H33+'26.7'!N33</f>
        <v/>
      </c>
      <c r="O33" s="152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E34+'26.7'!K34</f>
        <v/>
      </c>
      <c r="L34" s="152">
        <f>F34+'26.7'!L34</f>
        <v/>
      </c>
      <c r="M34" s="149">
        <f>SUM(K34:L34)</f>
        <v/>
      </c>
      <c r="N34" s="152">
        <f>H34+'26.7'!N34</f>
        <v/>
      </c>
      <c r="O34" s="152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E40+'26.7'!K40</f>
        <v/>
      </c>
      <c r="L40" s="152">
        <f>F40+'26.7'!L40</f>
        <v/>
      </c>
      <c r="M40" s="149">
        <f>SUM(K40:L40)</f>
        <v/>
      </c>
      <c r="N40" s="152">
        <f>H40+'26.7'!N40</f>
        <v/>
      </c>
      <c r="O40" s="152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E41+'26.7'!K41</f>
        <v/>
      </c>
      <c r="L41" s="152">
        <f>F41+'26.7'!L41</f>
        <v/>
      </c>
      <c r="M41" s="149">
        <f>SUM(K41:L41)</f>
        <v/>
      </c>
      <c r="N41" s="152">
        <f>H41+'26.7'!N41</f>
        <v/>
      </c>
      <c r="O41" s="152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E43+'26.7'!K43</f>
        <v/>
      </c>
      <c r="L43" s="152">
        <f>F43+'26.7'!L43</f>
        <v/>
      </c>
      <c r="M43" s="149">
        <f>SUM(K43:L43)</f>
        <v/>
      </c>
      <c r="N43" s="152">
        <f>H43+'26.7'!N43</f>
        <v/>
      </c>
      <c r="O43" s="152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E44+'26.7'!K44</f>
        <v/>
      </c>
      <c r="L44" s="152">
        <f>F44+'26.7'!L44</f>
        <v/>
      </c>
      <c r="M44" s="149">
        <f>SUM(K44:L44)</f>
        <v/>
      </c>
      <c r="N44" s="152">
        <f>H44+'26.7'!N44</f>
        <v/>
      </c>
      <c r="O44" s="152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D7/10000/D6/(DAY(DATE(2026,9,0))*24)</f>
        <v/>
      </c>
      <c r="E52" s="179">
        <f>E7/10000/E6/(DAY(DATE(2026,9,0))*24)</f>
        <v/>
      </c>
      <c r="F52" s="179">
        <f>F7/10000/F6/(DAY(DATE(2026,9,0))*24)</f>
        <v/>
      </c>
      <c r="G52" s="179">
        <f>G7/10000/G6/(DAY(DATE(2026,9,0))*24)</f>
        <v/>
      </c>
      <c r="H52" s="179">
        <f>H7/10000/H6/(DAY(DATE(2026,9,0))*24)</f>
        <v/>
      </c>
      <c r="I52" s="180">
        <f>I7/10000/I6/(DAY(DATE(2026,9,0))*24)</f>
        <v/>
      </c>
      <c r="J52" s="179">
        <f>J7/10000/J6/(DATEDIF(DATE(2026,1,1),DATE(2026,9,1),"D")*24)</f>
        <v/>
      </c>
      <c r="K52" s="179">
        <f>K7/10000/K6/(DATEDIF(DATE(2026,1,1),DATE(2026,9,1),"D")*24)</f>
        <v/>
      </c>
      <c r="L52" s="179">
        <f>L7/10000/L6/(DATEDIF(DATE(2026,1,1),DATE(2026,9,1),"D")*24)</f>
        <v/>
      </c>
      <c r="M52" s="179">
        <f>M7/10000/M6/(DATEDIF(DATE(2026,1,1),DATE(2026,9,1),"D")*24)</f>
        <v/>
      </c>
      <c r="N52" s="179">
        <f>N7/10000/N6/(DATEDIF(DATE(2026,1,1),DATE(2026,9,1),"D")*24)</f>
        <v/>
      </c>
      <c r="O52" s="180">
        <f>O7/10000/O6/(DATEDIF(DATE(2026,1,1),DATE(2026,9,1),"D")*24)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D9*1000/1986/((DAY(DATE(2026,9,0))*24)*3600)</f>
        <v/>
      </c>
      <c r="E53" s="183">
        <f>E9*1000/577/((DAY(DATE(2026,9,0))*24)*3600)</f>
        <v/>
      </c>
      <c r="F53" s="180">
        <f>F9*1000/528/((DAY(DATE(2026,9,0))*24)*3600)</f>
        <v/>
      </c>
      <c r="G53" s="183">
        <f>G9*1000/1442/((DAY(DATE(2026,9,0))*24)*3600)</f>
        <v/>
      </c>
      <c r="H53" s="180">
        <f>H9*1000/414/((DAY(DATE(2026,9,0))*24)*3600)</f>
        <v/>
      </c>
      <c r="I53" s="180">
        <f>I9*1000/130/((DAY(DATE(2026,9,0))*24)*3600)</f>
        <v/>
      </c>
      <c r="J53" s="179">
        <f>J9*1000/1986/((DATEDIF(DATE(2026,1,1),DATE(2026,9,1),"D")*24)*3600)</f>
        <v/>
      </c>
      <c r="K53" s="183">
        <f>K9*1000/577/((DATEDIF(DATE(2026,1,1),DATE(2026,9,1),"D")*24)*3600)</f>
        <v/>
      </c>
      <c r="L53" s="180">
        <f>L9*1000/528/((DATEDIF(DATE(2026,1,1),DATE(2026,9,1),"D")*24)*3600)</f>
        <v/>
      </c>
      <c r="M53" s="183">
        <f>M9*1000/1442/((DATEDIF(DATE(2026,1,1),DATE(2026,9,1),"D")*24)*3600)</f>
        <v/>
      </c>
      <c r="N53" s="180">
        <f>N9*1000/414/((DATEDIF(DATE(2026,1,1),DATE(2026,9,1),"D")*24)*3600)</f>
        <v/>
      </c>
      <c r="O53" s="180">
        <f>O9*1000/130/((DATEDIF(DATE(2026,1,1),DATE(2026,9,1),"D")*24)*3600)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E57+'26.7'!K57</f>
        <v/>
      </c>
      <c r="L57" s="152">
        <f>F57+'26.7'!L57</f>
        <v/>
      </c>
      <c r="M57" s="149">
        <f>SUM(K57:L57)</f>
        <v/>
      </c>
      <c r="N57" s="152">
        <f>H57+'26.7'!N57</f>
        <v/>
      </c>
      <c r="O57" s="152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E58+'26.7'!K58</f>
        <v/>
      </c>
      <c r="L58" s="152">
        <f>F58+'26.7'!L58</f>
        <v/>
      </c>
      <c r="M58" s="149">
        <f>SUM(K58:L58)</f>
        <v/>
      </c>
      <c r="N58" s="152">
        <f>H58+'26.7'!N58</f>
        <v/>
      </c>
      <c r="O58" s="152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'26.7'!K59+E57-E14-E58</f>
        <v/>
      </c>
      <c r="L59" s="192">
        <f>'26.7'!L59+F57-F14-F58</f>
        <v/>
      </c>
      <c r="M59" s="155">
        <f>SUM(K59:L59)</f>
        <v/>
      </c>
      <c r="N59" s="192">
        <f>'26.7'!N59+H57-H14-H58</f>
        <v/>
      </c>
      <c r="O59" s="192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E60+'26.7'!K60</f>
        <v/>
      </c>
      <c r="L60" s="152">
        <f>F60+'26.7'!L60</f>
        <v/>
      </c>
      <c r="M60" s="175">
        <f>SUM(K60:L60)</f>
        <v/>
      </c>
      <c r="N60" s="152">
        <f>H60+'26.7'!N60</f>
        <v/>
      </c>
      <c r="O60" s="152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E61+'26.7'!K61</f>
        <v/>
      </c>
      <c r="L61" s="152">
        <f>F61+'26.7'!L61</f>
        <v/>
      </c>
      <c r="M61" s="149">
        <f>SUM(K61:L61)</f>
        <v/>
      </c>
      <c r="N61" s="152">
        <f>H61+'26.7'!N61</f>
        <v/>
      </c>
      <c r="O61" s="152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E62+'26.7'!K62</f>
        <v/>
      </c>
      <c r="L62" s="152">
        <f>F62+'26.7'!L62</f>
        <v/>
      </c>
      <c r="M62" s="149">
        <f>SUM(K62:L62)</f>
        <v/>
      </c>
      <c r="N62" s="152">
        <f>H62+'26.7'!N62</f>
        <v/>
      </c>
      <c r="O62" s="152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E63+'26.7'!K63</f>
        <v/>
      </c>
      <c r="L63" s="152">
        <f>F63+'26.7'!L63</f>
        <v/>
      </c>
      <c r="M63" s="149">
        <f>SUM(K63:L63)</f>
        <v/>
      </c>
      <c r="N63" s="152">
        <f>H63+'26.7'!N63</f>
        <v/>
      </c>
      <c r="O63" s="152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E64+'26.7'!K64</f>
        <v/>
      </c>
      <c r="L64" s="152">
        <f>F64+'26.7'!L64</f>
        <v/>
      </c>
      <c r="M64" s="149">
        <f>SUM(K64:L64)</f>
        <v/>
      </c>
      <c r="N64" s="152">
        <f>H64+'26.7'!N64</f>
        <v/>
      </c>
      <c r="O64" s="152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E65+'26.7'!K65</f>
        <v/>
      </c>
      <c r="L65" s="152">
        <f>F65+'26.7'!L65</f>
        <v/>
      </c>
      <c r="M65" s="197">
        <f>SUM(K65:L65)</f>
        <v/>
      </c>
      <c r="N65" s="152">
        <f>H65+'26.7'!N65</f>
        <v/>
      </c>
      <c r="O65" s="152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E66+'26.7'!K66</f>
        <v/>
      </c>
      <c r="L66" s="152">
        <f>F66+'26.7'!L66</f>
        <v/>
      </c>
      <c r="M66" s="201">
        <f>SUM(K66:L66)</f>
        <v/>
      </c>
      <c r="N66" s="152">
        <f>H66+'26.7'!N66</f>
        <v/>
      </c>
      <c r="O66" s="152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[9]产量!$C$15</f>
        <v/>
      </c>
      <c r="F7" s="213">
        <f>[9]产量!$C$19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E7+'26.8'!K7</f>
        <v/>
      </c>
      <c r="L7" s="214">
        <f>F7+'26.8'!L7</f>
        <v/>
      </c>
      <c r="M7" s="149">
        <f>SUM(K7:L7)</f>
        <v/>
      </c>
      <c r="N7" s="214">
        <f>H7+'26.8'!N7</f>
        <v/>
      </c>
      <c r="O7" s="214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[9]产量!$E$15</f>
        <v/>
      </c>
      <c r="F8" s="213">
        <f>[9]产量!$E$19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E8+'26.8'!K8</f>
        <v/>
      </c>
      <c r="L8" s="214">
        <f>F8+'26.8'!L8</f>
        <v/>
      </c>
      <c r="M8" s="149">
        <f>SUM(K8:L8)</f>
        <v/>
      </c>
      <c r="N8" s="214">
        <f>H8+'26.8'!N8</f>
        <v/>
      </c>
      <c r="O8" s="214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[9]产量!$G$6</f>
        <v/>
      </c>
      <c r="F9" s="213">
        <f>[9]产量!$G$7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E9+'26.8'!K9</f>
        <v/>
      </c>
      <c r="L9" s="214">
        <f>F9+'26.8'!L9</f>
        <v/>
      </c>
      <c r="M9" s="149">
        <f>SUM(K9:L9)</f>
        <v/>
      </c>
      <c r="N9" s="214">
        <f>H9+'26.8'!N9</f>
        <v/>
      </c>
      <c r="O9" s="214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[9]产量!$G$29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E10+'26.8'!K10</f>
        <v/>
      </c>
      <c r="L10" s="214">
        <f>F10+'26.8'!L10</f>
        <v/>
      </c>
      <c r="M10" s="149">
        <f>SUM(K10:L10)</f>
        <v/>
      </c>
      <c r="N10" s="214">
        <f>H10+'26.8'!N10</f>
        <v/>
      </c>
      <c r="O10" s="214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[9]产量!$G$28</f>
        <v/>
      </c>
      <c r="F11" s="213">
        <f>[9]产量!$G$30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E11+'26.8'!K11</f>
        <v/>
      </c>
      <c r="L11" s="214">
        <f>F11+'26.8'!L11</f>
        <v/>
      </c>
      <c r="M11" s="149">
        <f>SUM(K11:L11)</f>
        <v/>
      </c>
      <c r="N11" s="214">
        <f>H11+'26.8'!N11</f>
        <v/>
      </c>
      <c r="O11" s="214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[9]产量!$G$15</f>
        <v/>
      </c>
      <c r="F12" s="213">
        <f>[9]产量!$G$19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E12+'26.8'!K12</f>
        <v/>
      </c>
      <c r="L12" s="214">
        <f>F12+'26.8'!L12</f>
        <v/>
      </c>
      <c r="M12" s="149">
        <f>SUM(K12:L12)</f>
        <v/>
      </c>
      <c r="N12" s="214">
        <f>H12+'26.8'!N12</f>
        <v/>
      </c>
      <c r="O12" s="214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E15+'26.8'!K15</f>
        <v/>
      </c>
      <c r="L15" s="214">
        <f>F15+'26.8'!L15</f>
        <v/>
      </c>
      <c r="M15" s="149">
        <f>SUM(K15:L15)</f>
        <v/>
      </c>
      <c r="N15" s="214">
        <f>H15+'26.8'!N15</f>
        <v/>
      </c>
      <c r="O15" s="214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E16+'26.8'!K16</f>
        <v/>
      </c>
      <c r="L16" s="214">
        <f>F16+'26.8'!L16</f>
        <v/>
      </c>
      <c r="M16" s="149">
        <f>SUM(K16:L16)</f>
        <v/>
      </c>
      <c r="N16" s="214">
        <f>H16+'26.8'!N16</f>
        <v/>
      </c>
      <c r="O16" s="214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E18+'26.8'!K18</f>
        <v/>
      </c>
      <c r="L18" s="214">
        <f>F18+'26.8'!L18</f>
        <v/>
      </c>
      <c r="M18" s="149">
        <f>SUM(K18:L18)</f>
        <v/>
      </c>
      <c r="N18" s="214">
        <f>H18+'26.8'!N18</f>
        <v/>
      </c>
      <c r="O18" s="214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E19+'26.8'!K19</f>
        <v/>
      </c>
      <c r="L19" s="214">
        <f>F19+'26.8'!L19</f>
        <v/>
      </c>
      <c r="M19" s="149">
        <f>SUM(K19:L19)</f>
        <v/>
      </c>
      <c r="N19" s="214">
        <f>H19+'26.8'!N19</f>
        <v/>
      </c>
      <c r="O19" s="214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E20+'26.8'!K20</f>
        <v/>
      </c>
      <c r="L20" s="214">
        <f>F20+'26.8'!L20</f>
        <v/>
      </c>
      <c r="M20" s="149">
        <f>SUM(K20:L20)</f>
        <v/>
      </c>
      <c r="N20" s="214">
        <f>H20+'26.8'!N20</f>
        <v/>
      </c>
      <c r="O20" s="214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E21+'26.8'!K21</f>
        <v/>
      </c>
      <c r="L21" s="214">
        <f>F21+'26.8'!L21</f>
        <v/>
      </c>
      <c r="M21" s="149">
        <f>SUM(K21:L21)</f>
        <v/>
      </c>
      <c r="N21" s="214">
        <f>H21+'26.8'!N21</f>
        <v/>
      </c>
      <c r="O21" s="214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E22+'26.8'!K22</f>
        <v/>
      </c>
      <c r="L22" s="214">
        <f>F22+'26.8'!L22</f>
        <v/>
      </c>
      <c r="M22" s="149">
        <f>SUM(K22:L22)</f>
        <v/>
      </c>
      <c r="N22" s="214">
        <f>H22+'26.8'!N22</f>
        <v/>
      </c>
      <c r="O22" s="214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E23+'26.8'!K23</f>
        <v/>
      </c>
      <c r="L23" s="214">
        <f>F23+'26.8'!L23</f>
        <v/>
      </c>
      <c r="M23" s="149">
        <f>SUM(K23:L23)</f>
        <v/>
      </c>
      <c r="N23" s="214">
        <f>H23+'26.8'!N23</f>
        <v/>
      </c>
      <c r="O23" s="214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E24+'26.8'!K24</f>
        <v/>
      </c>
      <c r="L24" s="214">
        <f>F24+'26.8'!L24</f>
        <v/>
      </c>
      <c r="M24" s="149">
        <f>SUM(K24:L24)</f>
        <v/>
      </c>
      <c r="N24" s="214">
        <f>H24+'26.8'!N24</f>
        <v/>
      </c>
      <c r="O24" s="214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E25+'26.8'!K25</f>
        <v/>
      </c>
      <c r="L25" s="214">
        <f>F25+'26.8'!L25</f>
        <v/>
      </c>
      <c r="M25" s="149">
        <f>SUM(K25:L25)</f>
        <v/>
      </c>
      <c r="N25" s="214">
        <f>H25+'26.8'!N25</f>
        <v/>
      </c>
      <c r="O25" s="214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E26+'26.8'!K26</f>
        <v/>
      </c>
      <c r="L26" s="214">
        <f>F26+'26.8'!L26</f>
        <v/>
      </c>
      <c r="M26" s="149">
        <f>SUM(K26:L26)</f>
        <v/>
      </c>
      <c r="N26" s="214">
        <f>H26+'26.8'!N26</f>
        <v/>
      </c>
      <c r="O26" s="214">
        <f>I26+'26.8'!O26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E27+'26.8'!K27</f>
        <v/>
      </c>
      <c r="L27" s="214">
        <f>F27+'26.8'!L27</f>
        <v/>
      </c>
      <c r="M27" s="165">
        <f>SUM(K27:L27)</f>
        <v/>
      </c>
      <c r="N27" s="214">
        <f>H27+'26.8'!N27</f>
        <v/>
      </c>
      <c r="O27" s="214">
        <f>I27+'26.8'!O27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E28+'26.8'!K28</f>
        <v/>
      </c>
      <c r="L28" s="214">
        <f>F28+'26.8'!L28</f>
        <v/>
      </c>
      <c r="M28" s="165">
        <f>SUM(K28:L28)</f>
        <v/>
      </c>
      <c r="N28" s="214">
        <f>H28+'26.8'!N28</f>
        <v/>
      </c>
      <c r="O28" s="214">
        <f>I28+'26.8'!O28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E29+'26.8'!K29</f>
        <v/>
      </c>
      <c r="L29" s="214">
        <f>F29+'26.8'!L29</f>
        <v/>
      </c>
      <c r="M29" s="149">
        <f>SUM(K29:L29)</f>
        <v/>
      </c>
      <c r="N29" s="214">
        <f>H29+'26.8'!N29</f>
        <v/>
      </c>
      <c r="O29" s="214">
        <f>I29+'26.8'!O29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E30+'26.8'!K30</f>
        <v/>
      </c>
      <c r="L30" s="214">
        <f>F30+'26.8'!L30</f>
        <v/>
      </c>
      <c r="M30" s="149">
        <f>M7-M8</f>
        <v/>
      </c>
      <c r="N30" s="214">
        <f>H30+'26.8'!N30</f>
        <v/>
      </c>
      <c r="O30" s="214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E31+'26.8'!K31</f>
        <v/>
      </c>
      <c r="L31" s="214">
        <f>F31+'26.8'!L31</f>
        <v/>
      </c>
      <c r="M31" s="149">
        <f>SUM(K31:L31)</f>
        <v/>
      </c>
      <c r="N31" s="214">
        <f>H31+'26.8'!N31</f>
        <v/>
      </c>
      <c r="O31" s="214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E33+'26.8'!K33</f>
        <v/>
      </c>
      <c r="L33" s="214">
        <f>F33+'26.8'!L33</f>
        <v/>
      </c>
      <c r="M33" s="149">
        <f>SUM(K33:L33)</f>
        <v/>
      </c>
      <c r="N33" s="214">
        <f>H33+'26.8'!N33</f>
        <v/>
      </c>
      <c r="O33" s="214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E34+'26.8'!K34</f>
        <v/>
      </c>
      <c r="L34" s="214">
        <f>F34+'26.8'!L34</f>
        <v/>
      </c>
      <c r="M34" s="149">
        <f>SUM(K34:L34)</f>
        <v/>
      </c>
      <c r="N34" s="214">
        <f>H34+'26.8'!N34</f>
        <v/>
      </c>
      <c r="O34" s="214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E40+'26.8'!K40</f>
        <v/>
      </c>
      <c r="L40" s="214">
        <f>F40+'26.8'!L40</f>
        <v/>
      </c>
      <c r="M40" s="149">
        <f>SUM(K40:L40)</f>
        <v/>
      </c>
      <c r="N40" s="214">
        <f>H40+'26.8'!N40</f>
        <v/>
      </c>
      <c r="O40" s="214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E41+'26.8'!K41</f>
        <v/>
      </c>
      <c r="L41" s="214">
        <f>F41+'26.8'!L41</f>
        <v/>
      </c>
      <c r="M41" s="149">
        <f>SUM(K41:L41)</f>
        <v/>
      </c>
      <c r="N41" s="214">
        <f>H41+'26.8'!N41</f>
        <v/>
      </c>
      <c r="O41" s="214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E43+'26.8'!K43</f>
        <v/>
      </c>
      <c r="L43" s="214">
        <f>F43+'26.8'!L43</f>
        <v/>
      </c>
      <c r="M43" s="149">
        <f>SUM(K43:L43)</f>
        <v/>
      </c>
      <c r="N43" s="214">
        <f>H43+'26.8'!N43</f>
        <v/>
      </c>
      <c r="O43" s="214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E44+'26.8'!K44</f>
        <v/>
      </c>
      <c r="L44" s="214">
        <f>F44+'26.8'!L44</f>
        <v/>
      </c>
      <c r="M44" s="149">
        <f>SUM(K44:L44)</f>
        <v/>
      </c>
      <c r="N44" s="214">
        <f>H44+'26.8'!N44</f>
        <v/>
      </c>
      <c r="O44" s="214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20396.3651268659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D7/10000/D6/(DAY(DATE(2026,10,0))*24)</f>
        <v/>
      </c>
      <c r="E52" s="179">
        <f>E7/10000/E6/(DAY(DATE(2026,10,0))*24)</f>
        <v/>
      </c>
      <c r="F52" s="179">
        <f>F7/10000/F6/(DAY(DATE(2026,10,0))*24)</f>
        <v/>
      </c>
      <c r="G52" s="179">
        <f>G7/10000/G6/(DAY(DATE(2026,10,0))*24)</f>
        <v/>
      </c>
      <c r="H52" s="179">
        <f>H7/10000/H6/(DAY(DATE(2026,10,0))*24)</f>
        <v/>
      </c>
      <c r="I52" s="180">
        <f>I7/10000/I6/(DAY(DATE(2026,10,0))*24)</f>
        <v/>
      </c>
      <c r="J52" s="179">
        <f>J7/10000/J6/(DATEDIF(DATE(2026,1,1),DATE(2026,10,1),"D")*24)</f>
        <v/>
      </c>
      <c r="K52" s="179">
        <f>K7/10000/K6/(DATEDIF(DATE(2026,1,1),DATE(2026,10,1),"D")*24)</f>
        <v/>
      </c>
      <c r="L52" s="179">
        <f>L7/10000/L6/(DATEDIF(DATE(2026,1,1),DATE(2026,10,1),"D")*24)</f>
        <v/>
      </c>
      <c r="M52" s="179">
        <f>M7/10000/M6/(DATEDIF(DATE(2026,1,1),DATE(2026,10,1),"D")*24)</f>
        <v/>
      </c>
      <c r="N52" s="179">
        <f>N7/10000/N6/(DATEDIF(DATE(2026,1,1),DATE(2026,10,1),"D")*24)</f>
        <v/>
      </c>
      <c r="O52" s="180">
        <f>O7/10000/O6/(DATEDIF(DATE(2026,1,1),DATE(2026,10,1),"D")*24)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D9*1000/1986/((DAY(DATE(2026,10,0))*24)*3600)</f>
        <v/>
      </c>
      <c r="E53" s="183">
        <f>E9*1000/577/((DAY(DATE(2026,10,0))*24)*3600)</f>
        <v/>
      </c>
      <c r="F53" s="180">
        <f>F9*1000/528/((DAY(DATE(2026,10,0))*24)*3600)</f>
        <v/>
      </c>
      <c r="G53" s="183">
        <f>G9*1000/1442/((DAY(DATE(2026,10,0))*24)*3600)</f>
        <v/>
      </c>
      <c r="H53" s="180">
        <f>H9*1000/414/((DAY(DATE(2026,10,0))*24)*3600)</f>
        <v/>
      </c>
      <c r="I53" s="180">
        <f>I9*1000/130/((DAY(DATE(2026,10,0))*24)*3600)</f>
        <v/>
      </c>
      <c r="J53" s="179">
        <f>J9*1000/1986/((DATEDIF(DATE(2026,1,1),DATE(2026,10,1),"D")*24)*3600)</f>
        <v/>
      </c>
      <c r="K53" s="183">
        <f>K9*1000/577/((DATEDIF(DATE(2026,1,1),DATE(2026,10,1),"D")*24)*3600)</f>
        <v/>
      </c>
      <c r="L53" s="180">
        <f>L9*1000/528/((DATEDIF(DATE(2026,1,1),DATE(2026,10,1),"D")*24)*3600)</f>
        <v/>
      </c>
      <c r="M53" s="183">
        <f>M9*1000/1442/((DATEDIF(DATE(2026,1,1),DATE(2026,10,1),"D")*24)*3600)</f>
        <v/>
      </c>
      <c r="N53" s="180">
        <f>N9*1000/414/((DATEDIF(DATE(2026,1,1),DATE(2026,10,1),"D")*24)*3600)</f>
        <v/>
      </c>
      <c r="O53" s="180">
        <f>O9*1000/130/((DATEDIF(DATE(2026,1,1),DATE(2026,10,1),"D")*24)*3600)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 t="n"/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E57+'26.8'!K57</f>
        <v/>
      </c>
      <c r="L57" s="214">
        <f>F57+'26.8'!L57</f>
        <v/>
      </c>
      <c r="M57" s="149">
        <f>SUM(K57:L57)</f>
        <v/>
      </c>
      <c r="N57" s="214">
        <f>H57+'26.8'!N57</f>
        <v/>
      </c>
      <c r="O57" s="214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E58+'26.8'!K58</f>
        <v/>
      </c>
      <c r="L58" s="214">
        <f>F58+'26.8'!L58</f>
        <v/>
      </c>
      <c r="M58" s="149">
        <f>SUM(K58:L58)</f>
        <v/>
      </c>
      <c r="N58" s="214">
        <f>H58+'26.8'!N58</f>
        <v/>
      </c>
      <c r="O58" s="214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'26.8'!K59+E57-E14-E58</f>
        <v/>
      </c>
      <c r="L59" s="215">
        <f>'26.8'!L59+F57-F14-F58</f>
        <v/>
      </c>
      <c r="M59" s="155">
        <f>SUM(K59:L59)</f>
        <v/>
      </c>
      <c r="N59" s="215">
        <f>'26.8'!N59+H57-H14-H58</f>
        <v/>
      </c>
      <c r="O59" s="215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E60+'26.8'!K60</f>
        <v/>
      </c>
      <c r="L60" s="214">
        <f>F60+'26.8'!L60</f>
        <v/>
      </c>
      <c r="M60" s="175">
        <f>SUM(K60:L60)</f>
        <v/>
      </c>
      <c r="N60" s="214">
        <f>H60+'26.8'!N60</f>
        <v/>
      </c>
      <c r="O60" s="214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E61+'26.8'!K61</f>
        <v/>
      </c>
      <c r="L61" s="214">
        <f>F61+'26.8'!L61</f>
        <v/>
      </c>
      <c r="M61" s="149">
        <f>SUM(K61:L61)</f>
        <v/>
      </c>
      <c r="N61" s="214">
        <f>H61+'26.8'!N61</f>
        <v/>
      </c>
      <c r="O61" s="214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E62+'26.8'!K62</f>
        <v/>
      </c>
      <c r="L62" s="214">
        <f>F62+'26.8'!L62</f>
        <v/>
      </c>
      <c r="M62" s="149">
        <f>SUM(K62:L62)</f>
        <v/>
      </c>
      <c r="N62" s="214">
        <f>H62+'26.8'!N62</f>
        <v/>
      </c>
      <c r="O62" s="214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E63+'26.8'!K63</f>
        <v/>
      </c>
      <c r="L63" s="214">
        <f>F63+'26.8'!L63</f>
        <v/>
      </c>
      <c r="M63" s="149">
        <f>SUM(K63:L63)</f>
        <v/>
      </c>
      <c r="N63" s="214">
        <f>H63+'26.8'!N63</f>
        <v/>
      </c>
      <c r="O63" s="214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E64+'26.8'!K64</f>
        <v/>
      </c>
      <c r="L64" s="214">
        <f>F64+'26.8'!L64</f>
        <v/>
      </c>
      <c r="M64" s="149">
        <f>SUM(K64:L64)</f>
        <v/>
      </c>
      <c r="N64" s="214">
        <f>H64+'26.8'!N64</f>
        <v/>
      </c>
      <c r="O64" s="214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E65+'26.8'!K65</f>
        <v/>
      </c>
      <c r="L65" s="214">
        <f>F65+'26.8'!L65</f>
        <v/>
      </c>
      <c r="M65" s="197">
        <f>SUM(K65:L65)</f>
        <v/>
      </c>
      <c r="N65" s="214">
        <f>H65+'26.8'!N65</f>
        <v/>
      </c>
      <c r="O65" s="214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E66+'26.8'!K66</f>
        <v/>
      </c>
      <c r="L66" s="214">
        <f>F66+'26.8'!L66</f>
        <v/>
      </c>
      <c r="M66" s="201">
        <f>SUM(K66:L66)</f>
        <v/>
      </c>
      <c r="N66" s="214">
        <f>H66+'26.8'!N66</f>
        <v/>
      </c>
      <c r="O66" s="214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[10]产量!$C$15</f>
        <v/>
      </c>
      <c r="F7" s="213">
        <f>[10]产量!$C$19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E7+'26.9'!K7</f>
        <v/>
      </c>
      <c r="L7" s="214">
        <f>F7+'26.9'!L7</f>
        <v/>
      </c>
      <c r="M7" s="149">
        <f>SUM(K7:L7)</f>
        <v/>
      </c>
      <c r="N7" s="214">
        <f>H7+'26.9'!N7</f>
        <v/>
      </c>
      <c r="O7" s="214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[10]产量!$E$15</f>
        <v/>
      </c>
      <c r="F8" s="213">
        <f>[10]产量!$E$19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E8+'26.9'!K8</f>
        <v/>
      </c>
      <c r="L8" s="214">
        <f>F8+'26.9'!L8</f>
        <v/>
      </c>
      <c r="M8" s="149">
        <f>SUM(K8:L8)</f>
        <v/>
      </c>
      <c r="N8" s="214">
        <f>H8+'26.9'!N8</f>
        <v/>
      </c>
      <c r="O8" s="214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[10]产量!$G$6</f>
        <v/>
      </c>
      <c r="F9" s="213">
        <f>[10]产量!$G$7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E9+'26.9'!K9</f>
        <v/>
      </c>
      <c r="L9" s="214">
        <f>F9+'26.9'!L9</f>
        <v/>
      </c>
      <c r="M9" s="149">
        <f>SUM(K9:L9)</f>
        <v/>
      </c>
      <c r="N9" s="214">
        <f>H9+'26.9'!N9</f>
        <v/>
      </c>
      <c r="O9" s="214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[10]产量!$G$29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E10+'26.9'!K10</f>
        <v/>
      </c>
      <c r="L10" s="214">
        <f>F10+'26.9'!L10</f>
        <v/>
      </c>
      <c r="M10" s="149">
        <f>SUM(K10:L10)</f>
        <v/>
      </c>
      <c r="N10" s="214">
        <f>H10+'26.9'!N10</f>
        <v/>
      </c>
      <c r="O10" s="214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[10]产量!$G$28</f>
        <v/>
      </c>
      <c r="F11" s="213">
        <f>[10]产量!$G$30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E11+'26.9'!K11</f>
        <v/>
      </c>
      <c r="L11" s="214">
        <f>F11+'26.9'!L11</f>
        <v/>
      </c>
      <c r="M11" s="149">
        <f>SUM(K11:L11)</f>
        <v/>
      </c>
      <c r="N11" s="214">
        <f>H11+'26.9'!N11</f>
        <v/>
      </c>
      <c r="O11" s="214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[10]产量!$G$15</f>
        <v/>
      </c>
      <c r="F12" s="213">
        <f>[10]产量!$G$19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E12+'26.9'!K12</f>
        <v/>
      </c>
      <c r="L12" s="214">
        <f>F12+'26.9'!L12</f>
        <v/>
      </c>
      <c r="M12" s="149">
        <f>SUM(K12:L12)</f>
        <v/>
      </c>
      <c r="N12" s="214">
        <f>H12+'26.9'!N12</f>
        <v/>
      </c>
      <c r="O12" s="214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E15+'26.9'!K15</f>
        <v/>
      </c>
      <c r="L15" s="214">
        <f>F15+'26.9'!L15</f>
        <v/>
      </c>
      <c r="M15" s="149">
        <f>SUM(K15:L15)</f>
        <v/>
      </c>
      <c r="N15" s="214">
        <f>H15+'26.9'!N15</f>
        <v/>
      </c>
      <c r="O15" s="214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E16+'26.9'!K16</f>
        <v/>
      </c>
      <c r="L16" s="214">
        <f>F16+'26.9'!L16</f>
        <v/>
      </c>
      <c r="M16" s="149">
        <f>SUM(K16:L16)</f>
        <v/>
      </c>
      <c r="N16" s="214">
        <f>H16+'26.9'!N16</f>
        <v/>
      </c>
      <c r="O16" s="214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E18+'26.9'!K18</f>
        <v/>
      </c>
      <c r="L18" s="214">
        <f>F18+'26.9'!L18</f>
        <v/>
      </c>
      <c r="M18" s="149">
        <f>SUM(K18:L18)</f>
        <v/>
      </c>
      <c r="N18" s="214">
        <f>H18+'26.9'!N18</f>
        <v/>
      </c>
      <c r="O18" s="214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E19+'26.9'!K19</f>
        <v/>
      </c>
      <c r="L19" s="214">
        <f>F19+'26.9'!L19</f>
        <v/>
      </c>
      <c r="M19" s="149">
        <f>SUM(K19:L19)</f>
        <v/>
      </c>
      <c r="N19" s="214">
        <f>H19+'26.9'!N19</f>
        <v/>
      </c>
      <c r="O19" s="214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E20+'26.9'!K20</f>
        <v/>
      </c>
      <c r="L20" s="214">
        <f>F20+'26.9'!L20</f>
        <v/>
      </c>
      <c r="M20" s="149">
        <f>SUM(K20:L20)</f>
        <v/>
      </c>
      <c r="N20" s="214">
        <f>H20+'26.9'!N20</f>
        <v/>
      </c>
      <c r="O20" s="214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E21+'26.9'!K21</f>
        <v/>
      </c>
      <c r="L21" s="214">
        <f>F21+'26.9'!L21</f>
        <v/>
      </c>
      <c r="M21" s="149">
        <f>SUM(K21:L21)</f>
        <v/>
      </c>
      <c r="N21" s="214">
        <f>H21+'26.9'!N21</f>
        <v/>
      </c>
      <c r="O21" s="214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E22+'26.9'!K22</f>
        <v/>
      </c>
      <c r="L22" s="214">
        <f>F22+'26.9'!L22</f>
        <v/>
      </c>
      <c r="M22" s="149">
        <f>SUM(K22:L22)</f>
        <v/>
      </c>
      <c r="N22" s="214">
        <f>H22+'26.9'!N22</f>
        <v/>
      </c>
      <c r="O22" s="214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E23+'26.9'!K23</f>
        <v/>
      </c>
      <c r="L23" s="214">
        <f>F23+'26.9'!L23</f>
        <v/>
      </c>
      <c r="M23" s="149">
        <f>SUM(K23:L23)</f>
        <v/>
      </c>
      <c r="N23" s="214">
        <f>H23+'26.9'!N23</f>
        <v/>
      </c>
      <c r="O23" s="214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E24+'26.9'!K24</f>
        <v/>
      </c>
      <c r="L24" s="214">
        <f>F24+'26.9'!L24</f>
        <v/>
      </c>
      <c r="M24" s="149">
        <f>SUM(K24:L24)</f>
        <v/>
      </c>
      <c r="N24" s="214">
        <f>H24+'26.9'!N24</f>
        <v/>
      </c>
      <c r="O24" s="214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E25+'26.9'!K25</f>
        <v/>
      </c>
      <c r="L25" s="214">
        <f>F25+'26.9'!L25</f>
        <v/>
      </c>
      <c r="M25" s="149">
        <f>SUM(K25:L25)</f>
        <v/>
      </c>
      <c r="N25" s="214">
        <f>H25+'26.9'!N25</f>
        <v/>
      </c>
      <c r="O25" s="214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E26+'26.9'!K26</f>
        <v/>
      </c>
      <c r="L26" s="214">
        <f>F26+'26.9'!L26</f>
        <v/>
      </c>
      <c r="M26" s="149">
        <f>SUM(K26:L26)</f>
        <v/>
      </c>
      <c r="N26" s="214">
        <f>H26+'26.9'!N26</f>
        <v/>
      </c>
      <c r="O26" s="214">
        <f>I26+'26.9'!O26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E27+'26.9'!K27</f>
        <v/>
      </c>
      <c r="L27" s="214">
        <f>F27+'26.9'!L27</f>
        <v/>
      </c>
      <c r="M27" s="165">
        <f>SUM(K27:L27)</f>
        <v/>
      </c>
      <c r="N27" s="214">
        <f>H27+'26.9'!N27</f>
        <v/>
      </c>
      <c r="O27" s="214">
        <f>I27+'26.9'!O27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E28+'26.9'!K28</f>
        <v/>
      </c>
      <c r="L28" s="214">
        <f>F28+'26.9'!L28</f>
        <v/>
      </c>
      <c r="M28" s="165">
        <f>SUM(K28:L28)</f>
        <v/>
      </c>
      <c r="N28" s="214">
        <f>H28+'26.9'!N28</f>
        <v/>
      </c>
      <c r="O28" s="214">
        <f>I28+'26.9'!O28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E29+'26.9'!K29</f>
        <v/>
      </c>
      <c r="L29" s="214">
        <f>F29+'26.9'!L29</f>
        <v/>
      </c>
      <c r="M29" s="149">
        <f>SUM(K29:L29)</f>
        <v/>
      </c>
      <c r="N29" s="214">
        <f>H29+'26.9'!N29</f>
        <v/>
      </c>
      <c r="O29" s="214">
        <f>I29+'26.9'!O29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E30+'26.9'!K30</f>
        <v/>
      </c>
      <c r="L30" s="214">
        <f>F30+'26.9'!L30</f>
        <v/>
      </c>
      <c r="M30" s="149">
        <f>M7-M8</f>
        <v/>
      </c>
      <c r="N30" s="214">
        <f>H30+'26.9'!N30</f>
        <v/>
      </c>
      <c r="O30" s="214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E31+'26.9'!K31</f>
        <v/>
      </c>
      <c r="L31" s="214">
        <f>F31+'26.9'!L31</f>
        <v/>
      </c>
      <c r="M31" s="149">
        <f>SUM(K31:L31)</f>
        <v/>
      </c>
      <c r="N31" s="214">
        <f>H31+'26.9'!N31</f>
        <v/>
      </c>
      <c r="O31" s="214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E33+'26.9'!K33</f>
        <v/>
      </c>
      <c r="L33" s="214">
        <f>F33+'26.9'!L33</f>
        <v/>
      </c>
      <c r="M33" s="149">
        <f>SUM(K33:L33)</f>
        <v/>
      </c>
      <c r="N33" s="214">
        <f>H33+'26.9'!N33</f>
        <v/>
      </c>
      <c r="O33" s="214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E34+'26.9'!K34</f>
        <v/>
      </c>
      <c r="L34" s="214">
        <f>F34+'26.9'!L34</f>
        <v/>
      </c>
      <c r="M34" s="149">
        <f>SUM(K34:L34)</f>
        <v/>
      </c>
      <c r="N34" s="214">
        <f>H34+'26.9'!N34</f>
        <v/>
      </c>
      <c r="O34" s="214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E40+'26.9'!K40</f>
        <v/>
      </c>
      <c r="L40" s="214">
        <f>F40+'26.9'!L40</f>
        <v/>
      </c>
      <c r="M40" s="149">
        <f>SUM(K40:L40)</f>
        <v/>
      </c>
      <c r="N40" s="214">
        <f>H40+'26.9'!N40</f>
        <v/>
      </c>
      <c r="O40" s="214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E41+'26.9'!K41</f>
        <v/>
      </c>
      <c r="L41" s="214">
        <f>F41+'26.9'!L41</f>
        <v/>
      </c>
      <c r="M41" s="149">
        <f>SUM(K41:L41)</f>
        <v/>
      </c>
      <c r="N41" s="214">
        <f>H41+'26.9'!N41</f>
        <v/>
      </c>
      <c r="O41" s="214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E43+'26.9'!K43</f>
        <v/>
      </c>
      <c r="L43" s="214">
        <f>F43+'26.9'!L43</f>
        <v/>
      </c>
      <c r="M43" s="149">
        <f>SUM(K43:L43)</f>
        <v/>
      </c>
      <c r="N43" s="214">
        <f>H43+'26.9'!N43</f>
        <v/>
      </c>
      <c r="O43" s="214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E44+'26.9'!K44</f>
        <v/>
      </c>
      <c r="L44" s="214">
        <f>F44+'26.9'!L44</f>
        <v/>
      </c>
      <c r="M44" s="149">
        <f>SUM(K44:L44)</f>
        <v/>
      </c>
      <c r="N44" s="214">
        <f>H44+'26.9'!N44</f>
        <v/>
      </c>
      <c r="O44" s="214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20397.5206923911</v>
      </c>
      <c r="L49" s="149" t="n">
        <v>19806.5368619774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D7/10000/D6/(DAY(DATE(2026,11,0))*24)</f>
        <v/>
      </c>
      <c r="E52" s="179">
        <f>E7/10000/E6/(DAY(DATE(2026,11,0))*24)</f>
        <v/>
      </c>
      <c r="F52" s="179">
        <f>F7/10000/F6/(DAY(DATE(2026,11,0))*24)</f>
        <v/>
      </c>
      <c r="G52" s="179">
        <f>G7/10000/G6/(DAY(DATE(2026,11,0))*24)</f>
        <v/>
      </c>
      <c r="H52" s="179">
        <f>H7/10000/H6/(DAY(DATE(2026,11,0))*24)</f>
        <v/>
      </c>
      <c r="I52" s="180">
        <f>I7/10000/I6/(DAY(DATE(2026,11,0))*24)</f>
        <v/>
      </c>
      <c r="J52" s="179">
        <f>J7/10000/J6/(DATEDIF(DATE(2026,1,1),DATE(2026,11,1),"D")*24)</f>
        <v/>
      </c>
      <c r="K52" s="179">
        <f>K7/10000/K6/(DATEDIF(DATE(2026,1,1),DATE(2026,11,1),"D")*24)</f>
        <v/>
      </c>
      <c r="L52" s="179">
        <f>L7/10000/L6/(DATEDIF(DATE(2026,1,1),DATE(2026,11,1),"D")*24)</f>
        <v/>
      </c>
      <c r="M52" s="179">
        <f>M7/10000/M6/(DATEDIF(DATE(2026,1,1),DATE(2026,11,1),"D")*24)</f>
        <v/>
      </c>
      <c r="N52" s="179">
        <f>N7/10000/N6/(DATEDIF(DATE(2026,1,1),DATE(2026,11,1),"D")*24)</f>
        <v/>
      </c>
      <c r="O52" s="180">
        <f>O7/10000/O6/(DATEDIF(DATE(2026,1,1),DATE(2026,11,1),"D")*24)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D9*1000/1986/((DAY(DATE(2026,11,0))*24)*3600)</f>
        <v/>
      </c>
      <c r="E53" s="183">
        <f>E9*1000/577/((DAY(DATE(2026,11,0))*24)*3600)</f>
        <v/>
      </c>
      <c r="F53" s="180">
        <f>F9*1000/528/((DAY(DATE(2026,11,0))*24)*3600)</f>
        <v/>
      </c>
      <c r="G53" s="183">
        <f>G9*1000/1442/((DAY(DATE(2026,11,0))*24)*3600)</f>
        <v/>
      </c>
      <c r="H53" s="180">
        <f>H9*1000/414/((DAY(DATE(2026,11,0))*24)*3600)</f>
        <v/>
      </c>
      <c r="I53" s="180">
        <f>I9*1000/130/((DAY(DATE(2026,11,0))*24)*3600)</f>
        <v/>
      </c>
      <c r="J53" s="179">
        <f>J9*1000/1986/((DATEDIF(DATE(2026,1,1),DATE(2026,11,1),"D")*24)*3600)</f>
        <v/>
      </c>
      <c r="K53" s="183">
        <f>K9*1000/577/((DATEDIF(DATE(2026,1,1),DATE(2026,11,1),"D")*24)*3600)</f>
        <v/>
      </c>
      <c r="L53" s="180">
        <f>L9*1000/528/((DATEDIF(DATE(2026,1,1),DATE(2026,11,1),"D")*24)*3600)</f>
        <v/>
      </c>
      <c r="M53" s="183">
        <f>M9*1000/1442/((DATEDIF(DATE(2026,1,1),DATE(2026,11,1),"D")*24)*3600)</f>
        <v/>
      </c>
      <c r="N53" s="180">
        <f>N9*1000/414/((DATEDIF(DATE(2026,1,1),DATE(2026,11,1),"D")*24)*3600)</f>
        <v/>
      </c>
      <c r="O53" s="180">
        <f>O9*1000/130/((DATEDIF(DATE(2026,1,1),DATE(2026,11,1),"D")*24)*3600)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E57+'26.9'!K57</f>
        <v/>
      </c>
      <c r="L57" s="214">
        <f>F57+'26.9'!L57</f>
        <v/>
      </c>
      <c r="M57" s="149">
        <f>SUM(K57:L57)</f>
        <v/>
      </c>
      <c r="N57" s="214">
        <f>H57+'26.9'!N57</f>
        <v/>
      </c>
      <c r="O57" s="214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E58+'26.9'!K58</f>
        <v/>
      </c>
      <c r="L58" s="214">
        <f>F58+'26.9'!L58</f>
        <v/>
      </c>
      <c r="M58" s="149">
        <f>SUM(K58:L58)</f>
        <v/>
      </c>
      <c r="N58" s="214">
        <f>H58+'26.9'!N58</f>
        <v/>
      </c>
      <c r="O58" s="214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'26.9'!K59+E57-E14-E58</f>
        <v/>
      </c>
      <c r="L59" s="215">
        <f>'26.9'!L59+F57-F14-F58</f>
        <v/>
      </c>
      <c r="M59" s="155">
        <f>SUM(K59:L59)</f>
        <v/>
      </c>
      <c r="N59" s="215">
        <f>'26.9'!N59+H57-H14-H58</f>
        <v/>
      </c>
      <c r="O59" s="215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E60+'26.9'!K60</f>
        <v/>
      </c>
      <c r="L60" s="214">
        <f>F60+'26.9'!L60</f>
        <v/>
      </c>
      <c r="M60" s="175">
        <f>SUM(K60:L60)</f>
        <v/>
      </c>
      <c r="N60" s="214">
        <f>H60+'26.9'!N60</f>
        <v/>
      </c>
      <c r="O60" s="214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E61+'26.9'!K61</f>
        <v/>
      </c>
      <c r="L61" s="214">
        <f>F61+'26.9'!L61</f>
        <v/>
      </c>
      <c r="M61" s="149">
        <f>SUM(K61:L61)</f>
        <v/>
      </c>
      <c r="N61" s="214">
        <f>H61+'26.9'!N61</f>
        <v/>
      </c>
      <c r="O61" s="214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E62+'26.9'!K62</f>
        <v/>
      </c>
      <c r="L62" s="214">
        <f>F62+'26.9'!L62</f>
        <v/>
      </c>
      <c r="M62" s="149">
        <f>SUM(K62:L62)</f>
        <v/>
      </c>
      <c r="N62" s="214">
        <f>H62+'26.9'!N62</f>
        <v/>
      </c>
      <c r="O62" s="214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E63+'26.9'!K63</f>
        <v/>
      </c>
      <c r="L63" s="214">
        <f>F63+'26.9'!L63</f>
        <v/>
      </c>
      <c r="M63" s="149">
        <f>SUM(K63:L63)</f>
        <v/>
      </c>
      <c r="N63" s="214">
        <f>H63+'26.9'!N63</f>
        <v/>
      </c>
      <c r="O63" s="214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E64+'26.9'!K64</f>
        <v/>
      </c>
      <c r="L64" s="214">
        <f>F64+'26.9'!L64</f>
        <v/>
      </c>
      <c r="M64" s="149">
        <f>SUM(K64:L64)</f>
        <v/>
      </c>
      <c r="N64" s="214">
        <f>H64+'26.9'!N64</f>
        <v/>
      </c>
      <c r="O64" s="214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E65+'26.9'!K65</f>
        <v/>
      </c>
      <c r="L65" s="214">
        <f>F65+'26.9'!L65</f>
        <v/>
      </c>
      <c r="M65" s="197">
        <f>SUM(K65:L65)</f>
        <v/>
      </c>
      <c r="N65" s="214">
        <f>H65+'26.9'!N65</f>
        <v/>
      </c>
      <c r="O65" s="214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E66+'26.9'!K66</f>
        <v/>
      </c>
      <c r="L66" s="214">
        <f>F66+'26.9'!L66</f>
        <v/>
      </c>
      <c r="M66" s="201">
        <f>SUM(K66:L66)</f>
        <v/>
      </c>
      <c r="N66" s="214">
        <f>H66+'26.9'!N66</f>
        <v/>
      </c>
      <c r="O66" s="214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[11]产量!$C$15</f>
        <v/>
      </c>
      <c r="F7" s="150">
        <f>[11]产量!$C$19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E7+'26.10'!K7</f>
        <v/>
      </c>
      <c r="L7" s="152">
        <f>F7+'26.10'!L7</f>
        <v/>
      </c>
      <c r="M7" s="149">
        <f>SUM(K7:L7)</f>
        <v/>
      </c>
      <c r="N7" s="152">
        <f>H7+'26.10'!N7</f>
        <v/>
      </c>
      <c r="O7" s="152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[11]产量!$E$15</f>
        <v/>
      </c>
      <c r="F8" s="150">
        <f>[11]产量!$E$19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E8+'26.10'!K8</f>
        <v/>
      </c>
      <c r="L8" s="152">
        <f>F8+'26.10'!L8</f>
        <v/>
      </c>
      <c r="M8" s="149">
        <f>SUM(K8:L8)</f>
        <v/>
      </c>
      <c r="N8" s="152">
        <f>H8+'26.10'!N8</f>
        <v/>
      </c>
      <c r="O8" s="152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[11]产量!$G$6</f>
        <v/>
      </c>
      <c r="F9" s="150">
        <f>[11]产量!$G$7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E9+'26.10'!K9</f>
        <v/>
      </c>
      <c r="L9" s="152">
        <f>F9+'26.10'!L9</f>
        <v/>
      </c>
      <c r="M9" s="149">
        <f>SUM(K9:L9)</f>
        <v/>
      </c>
      <c r="N9" s="152">
        <f>H9+'26.10'!N9</f>
        <v/>
      </c>
      <c r="O9" s="152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E10+'26.10'!K10</f>
        <v/>
      </c>
      <c r="L10" s="152">
        <f>F10+'26.10'!L10</f>
        <v/>
      </c>
      <c r="M10" s="149">
        <f>SUM(K10:L10)</f>
        <v/>
      </c>
      <c r="N10" s="152">
        <f>H10+'26.10'!N10</f>
        <v/>
      </c>
      <c r="O10" s="152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[11]产量!$G$28</f>
        <v/>
      </c>
      <c r="F11" s="150">
        <f>[11]产量!$G$30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E11+'26.10'!K11</f>
        <v/>
      </c>
      <c r="L11" s="152">
        <f>F11+'26.10'!L11</f>
        <v/>
      </c>
      <c r="M11" s="149">
        <f>SUM(K11:L11)</f>
        <v/>
      </c>
      <c r="N11" s="152">
        <f>H11+'26.10'!N11</f>
        <v/>
      </c>
      <c r="O11" s="152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[11]产量!$G$15</f>
        <v/>
      </c>
      <c r="F12" s="150">
        <f>[11]产量!$G$19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E12+'26.10'!K12</f>
        <v/>
      </c>
      <c r="L12" s="152">
        <f>F12+'26.10'!L12</f>
        <v/>
      </c>
      <c r="M12" s="149">
        <f>SUM(K12:L12)</f>
        <v/>
      </c>
      <c r="N12" s="152">
        <f>H12+'26.10'!N12</f>
        <v/>
      </c>
      <c r="O12" s="152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E15+'26.10'!K15</f>
        <v/>
      </c>
      <c r="L15" s="152">
        <f>F15+'26.10'!L15</f>
        <v/>
      </c>
      <c r="M15" s="149">
        <f>SUM(K15:L15)</f>
        <v/>
      </c>
      <c r="N15" s="152">
        <f>H15+'26.10'!N15</f>
        <v/>
      </c>
      <c r="O15" s="152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E16+'26.10'!K16</f>
        <v/>
      </c>
      <c r="L16" s="152">
        <f>F16+'26.10'!L16</f>
        <v/>
      </c>
      <c r="M16" s="149">
        <f>SUM(K16:L16)</f>
        <v/>
      </c>
      <c r="N16" s="152">
        <f>H16+'26.10'!N16</f>
        <v/>
      </c>
      <c r="O16" s="152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E18+'26.10'!K18</f>
        <v/>
      </c>
      <c r="L18" s="152">
        <f>F18+'26.10'!L18</f>
        <v/>
      </c>
      <c r="M18" s="149">
        <f>SUM(K18:L18)</f>
        <v/>
      </c>
      <c r="N18" s="152">
        <f>H18+'26.10'!N18</f>
        <v/>
      </c>
      <c r="O18" s="152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E19+'26.10'!K19</f>
        <v/>
      </c>
      <c r="L19" s="152">
        <f>F19+'26.10'!L19</f>
        <v/>
      </c>
      <c r="M19" s="149">
        <f>SUM(K19:L19)</f>
        <v/>
      </c>
      <c r="N19" s="152">
        <f>H19+'26.10'!N19</f>
        <v/>
      </c>
      <c r="O19" s="152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E20+'26.10'!K20</f>
        <v/>
      </c>
      <c r="L20" s="152">
        <f>F20+'26.10'!L20</f>
        <v/>
      </c>
      <c r="M20" s="149">
        <f>SUM(K20:L20)</f>
        <v/>
      </c>
      <c r="N20" s="152">
        <f>H20+'26.10'!N20</f>
        <v/>
      </c>
      <c r="O20" s="152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E21+'26.10'!K21</f>
        <v/>
      </c>
      <c r="L21" s="152">
        <f>F21+'26.10'!L21</f>
        <v/>
      </c>
      <c r="M21" s="149">
        <f>SUM(K21:L21)</f>
        <v/>
      </c>
      <c r="N21" s="152">
        <f>H21+'26.10'!N21</f>
        <v/>
      </c>
      <c r="O21" s="152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E22+'26.10'!K22</f>
        <v/>
      </c>
      <c r="L22" s="152">
        <f>F22+'26.10'!L22</f>
        <v/>
      </c>
      <c r="M22" s="149">
        <f>SUM(K22:L22)</f>
        <v/>
      </c>
      <c r="N22" s="152">
        <f>H22+'26.10'!N22</f>
        <v/>
      </c>
      <c r="O22" s="152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E23+'26.10'!K23</f>
        <v/>
      </c>
      <c r="L23" s="152">
        <f>F23+'26.10'!L23</f>
        <v/>
      </c>
      <c r="M23" s="149">
        <f>SUM(K23:L23)</f>
        <v/>
      </c>
      <c r="N23" s="152">
        <f>H23+'26.10'!N23</f>
        <v/>
      </c>
      <c r="O23" s="152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E24+'26.10'!K24</f>
        <v/>
      </c>
      <c r="L24" s="152">
        <f>F24+'26.10'!L24</f>
        <v/>
      </c>
      <c r="M24" s="149">
        <f>SUM(K24:L24)</f>
        <v/>
      </c>
      <c r="N24" s="152">
        <f>H24+'26.10'!N24</f>
        <v/>
      </c>
      <c r="O24" s="152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E25+'26.10'!K25</f>
        <v/>
      </c>
      <c r="L25" s="152">
        <f>F25+'26.10'!L25</f>
        <v/>
      </c>
      <c r="M25" s="149">
        <f>SUM(K25:L25)</f>
        <v/>
      </c>
      <c r="N25" s="152">
        <f>H25+'26.10'!N25</f>
        <v/>
      </c>
      <c r="O25" s="152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E26+'26.10'!K26</f>
        <v/>
      </c>
      <c r="L26" s="152">
        <f>F26+'26.10'!L26</f>
        <v/>
      </c>
      <c r="M26" s="149">
        <f>SUM(K26:L26)</f>
        <v/>
      </c>
      <c r="N26" s="152">
        <f>H26+'26.10'!N26</f>
        <v/>
      </c>
      <c r="O26" s="152">
        <f>I26+'26.10'!O26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E27+'26.10'!K27</f>
        <v/>
      </c>
      <c r="L27" s="152">
        <f>F27+'26.10'!L27</f>
        <v/>
      </c>
      <c r="M27" s="165">
        <f>SUM(K27:L27)</f>
        <v/>
      </c>
      <c r="N27" s="152">
        <f>H27+'26.10'!N27</f>
        <v/>
      </c>
      <c r="O27" s="152">
        <f>I27+'26.10'!O27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E28+'26.10'!K28</f>
        <v/>
      </c>
      <c r="L28" s="152">
        <f>F28+'26.10'!L28</f>
        <v/>
      </c>
      <c r="M28" s="165">
        <f>SUM(K28:L28)</f>
        <v/>
      </c>
      <c r="N28" s="152">
        <f>H28+'26.10'!N28</f>
        <v/>
      </c>
      <c r="O28" s="152">
        <f>I28+'26.10'!O28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E29+'26.10'!K29</f>
        <v/>
      </c>
      <c r="L29" s="152">
        <f>F29+'26.10'!L29</f>
        <v/>
      </c>
      <c r="M29" s="149">
        <f>SUM(K29:L29)</f>
        <v/>
      </c>
      <c r="N29" s="152">
        <f>H29+'26.10'!N29</f>
        <v/>
      </c>
      <c r="O29" s="152">
        <f>I29+'26.10'!O29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E30+'26.10'!K30</f>
        <v/>
      </c>
      <c r="L30" s="152">
        <f>F30+'26.10'!L30</f>
        <v/>
      </c>
      <c r="M30" s="149">
        <f>M7-M8</f>
        <v/>
      </c>
      <c r="N30" s="152">
        <f>H30+'26.10'!N30</f>
        <v/>
      </c>
      <c r="O30" s="152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E31+'26.10'!K31</f>
        <v/>
      </c>
      <c r="L31" s="152">
        <f>F31+'26.10'!L31</f>
        <v/>
      </c>
      <c r="M31" s="149">
        <f>SUM(K31:L31)</f>
        <v/>
      </c>
      <c r="N31" s="152">
        <f>H31+'26.10'!N31</f>
        <v/>
      </c>
      <c r="O31" s="152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E33+'26.10'!K33</f>
        <v/>
      </c>
      <c r="L33" s="152">
        <f>F33+'26.10'!L33</f>
        <v/>
      </c>
      <c r="M33" s="149">
        <f>SUM(K33:L33)</f>
        <v/>
      </c>
      <c r="N33" s="152">
        <f>H33+'26.10'!N33</f>
        <v/>
      </c>
      <c r="O33" s="152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E34+'26.10'!K34</f>
        <v/>
      </c>
      <c r="L34" s="152">
        <f>F34+'26.10'!L34</f>
        <v/>
      </c>
      <c r="M34" s="149">
        <f>SUM(K34:L34)</f>
        <v/>
      </c>
      <c r="N34" s="152">
        <f>H34+'26.10'!N34</f>
        <v/>
      </c>
      <c r="O34" s="152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E40+'26.10'!K40</f>
        <v/>
      </c>
      <c r="L40" s="152">
        <f>F40+'26.10'!L40</f>
        <v/>
      </c>
      <c r="M40" s="149">
        <f>SUM(K40:L40)</f>
        <v/>
      </c>
      <c r="N40" s="152">
        <f>H40+'26.10'!N40</f>
        <v/>
      </c>
      <c r="O40" s="152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E41+'26.10'!K41</f>
        <v/>
      </c>
      <c r="L41" s="152">
        <f>F41+'26.10'!L41</f>
        <v/>
      </c>
      <c r="M41" s="149">
        <f>SUM(K41:L41)</f>
        <v/>
      </c>
      <c r="N41" s="152">
        <f>H41+'26.10'!N41</f>
        <v/>
      </c>
      <c r="O41" s="152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E43+'26.10'!K43</f>
        <v/>
      </c>
      <c r="L43" s="152">
        <f>F43+'26.10'!L43</f>
        <v/>
      </c>
      <c r="M43" s="149">
        <f>SUM(K43:L43)</f>
        <v/>
      </c>
      <c r="N43" s="152">
        <f>H43+'26.10'!N43</f>
        <v/>
      </c>
      <c r="O43" s="152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E44+'26.10'!K44</f>
        <v/>
      </c>
      <c r="L44" s="152">
        <f>F44+'26.10'!L44</f>
        <v/>
      </c>
      <c r="M44" s="149">
        <f>SUM(K44:L44)</f>
        <v/>
      </c>
      <c r="N44" s="152">
        <f>H44+'26.10'!N44</f>
        <v/>
      </c>
      <c r="O44" s="152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20377.4773285849</v>
      </c>
      <c r="L49" s="149" t="n">
        <v>19910.1353750648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D7/10000/D6/(DAY(DATE(2026,12,0))*24)</f>
        <v/>
      </c>
      <c r="E52" s="179">
        <f>E7/10000/E6/(DAY(DATE(2026,12,0))*24)</f>
        <v/>
      </c>
      <c r="F52" s="179">
        <f>F7/10000/F6/(DAY(DATE(2026,12,0))*24)</f>
        <v/>
      </c>
      <c r="G52" s="179">
        <f>G7/10000/G6/(DAY(DATE(2026,12,0))*24)</f>
        <v/>
      </c>
      <c r="H52" s="179">
        <f>H7/10000/H6/(DAY(DATE(2026,12,0))*24)</f>
        <v/>
      </c>
      <c r="I52" s="180">
        <f>I7/10000/I6/(DAY(DATE(2026,12,0))*24)</f>
        <v/>
      </c>
      <c r="J52" s="179">
        <f>J7/10000/J6/(DATEDIF(DATE(2026,1,1),DATE(2026,12,1),"D")*24)</f>
        <v/>
      </c>
      <c r="K52" s="179">
        <f>K7/10000/K6/(DATEDIF(DATE(2026,1,1),DATE(2026,12,1),"D")*24)</f>
        <v/>
      </c>
      <c r="L52" s="179">
        <f>L7/10000/L6/(DATEDIF(DATE(2026,1,1),DATE(2026,12,1),"D")*24)</f>
        <v/>
      </c>
      <c r="M52" s="179">
        <f>M7/10000/M6/(DATEDIF(DATE(2026,1,1),DATE(2026,12,1),"D")*24)</f>
        <v/>
      </c>
      <c r="N52" s="179">
        <f>N7/10000/N6/(DATEDIF(DATE(2026,1,1),DATE(2026,12,1),"D")*24)</f>
        <v/>
      </c>
      <c r="O52" s="180">
        <f>O7/10000/O6/(DATEDIF(DATE(2026,1,1),DATE(2026,12,1),"D")*24)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D9*1000/1986/((DAY(DATE(2026,12,0))*24)*3600)</f>
        <v/>
      </c>
      <c r="E53" s="183">
        <f>E9*1000/577/((DAY(DATE(2026,12,0))*24)*3600)</f>
        <v/>
      </c>
      <c r="F53" s="180">
        <f>F9*1000/528/((DAY(DATE(2026,12,0))*24)*3600)</f>
        <v/>
      </c>
      <c r="G53" s="183">
        <f>G9*1000/1442/((DAY(DATE(2026,12,0))*24)*3600)</f>
        <v/>
      </c>
      <c r="H53" s="180">
        <f>H9*1000/414/((DAY(DATE(2026,12,0))*24)*3600)</f>
        <v/>
      </c>
      <c r="I53" s="180">
        <f>I9*1000/130/((DAY(DATE(2026,12,0))*24)*3600)</f>
        <v/>
      </c>
      <c r="J53" s="179">
        <f>J9*1000/1986/((DATEDIF(DATE(2026,1,1),DATE(2026,12,1),"D")*24)*3600)</f>
        <v/>
      </c>
      <c r="K53" s="183">
        <f>K9*1000/577/((DATEDIF(DATE(2026,1,1),DATE(2026,12,1),"D")*24)*3600)</f>
        <v/>
      </c>
      <c r="L53" s="180">
        <f>L9*1000/528/((DATEDIF(DATE(2026,1,1),DATE(2026,12,1),"D")*24)*3600)</f>
        <v/>
      </c>
      <c r="M53" s="183">
        <f>M9*1000/1442/((DATEDIF(DATE(2026,1,1),DATE(2026,12,1),"D")*24)*3600)</f>
        <v/>
      </c>
      <c r="N53" s="180">
        <f>N9*1000/414/((DATEDIF(DATE(2026,1,1),DATE(2026,12,1),"D")*24)*3600)</f>
        <v/>
      </c>
      <c r="O53" s="180">
        <f>O9*1000/130/((DATEDIF(DATE(2026,1,1),DATE(2026,12,1),"D")*24)*3600)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E57+'26.10'!K57</f>
        <v/>
      </c>
      <c r="L57" s="152">
        <f>F57+'26.10'!L57</f>
        <v/>
      </c>
      <c r="M57" s="149">
        <f>SUM(K57:L57)</f>
        <v/>
      </c>
      <c r="N57" s="152">
        <f>H57+'26.10'!N57</f>
        <v/>
      </c>
      <c r="O57" s="152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E58+'26.10'!K58</f>
        <v/>
      </c>
      <c r="L58" s="152">
        <f>F58+'26.10'!L58</f>
        <v/>
      </c>
      <c r="M58" s="149">
        <f>SUM(K58:L58)</f>
        <v/>
      </c>
      <c r="N58" s="152">
        <f>H58+'26.10'!N58</f>
        <v/>
      </c>
      <c r="O58" s="152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'26.10'!K59+E57-E14-E58</f>
        <v/>
      </c>
      <c r="L59" s="192">
        <f>'26.10'!L59+F57-F14-F58</f>
        <v/>
      </c>
      <c r="M59" s="155">
        <f>SUM(K59:L59)</f>
        <v/>
      </c>
      <c r="N59" s="192">
        <f>'26.10'!N59+H57-H14-H58</f>
        <v/>
      </c>
      <c r="O59" s="192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E60+'26.10'!K60</f>
        <v/>
      </c>
      <c r="L60" s="152">
        <f>F60+'26.10'!L60</f>
        <v/>
      </c>
      <c r="M60" s="175">
        <f>SUM(K60:L60)</f>
        <v/>
      </c>
      <c r="N60" s="152">
        <f>H60+'26.10'!N60</f>
        <v/>
      </c>
      <c r="O60" s="152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E61+'26.10'!K61</f>
        <v/>
      </c>
      <c r="L61" s="152">
        <f>F61+'26.10'!L61</f>
        <v/>
      </c>
      <c r="M61" s="149">
        <f>SUM(K61:L61)</f>
        <v/>
      </c>
      <c r="N61" s="152">
        <f>H61+'26.10'!N61</f>
        <v/>
      </c>
      <c r="O61" s="152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E62+'26.10'!K62</f>
        <v/>
      </c>
      <c r="L62" s="152">
        <f>F62+'26.10'!L62</f>
        <v/>
      </c>
      <c r="M62" s="149">
        <f>SUM(K62:L62)</f>
        <v/>
      </c>
      <c r="N62" s="152">
        <f>H62+'26.10'!N62</f>
        <v/>
      </c>
      <c r="O62" s="152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E63+'26.10'!K63</f>
        <v/>
      </c>
      <c r="L63" s="152">
        <f>F63+'26.10'!L63</f>
        <v/>
      </c>
      <c r="M63" s="149">
        <f>SUM(K63:L63)</f>
        <v/>
      </c>
      <c r="N63" s="152">
        <f>H63+'26.10'!N63</f>
        <v/>
      </c>
      <c r="O63" s="152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E64+'26.10'!K64</f>
        <v/>
      </c>
      <c r="L64" s="152">
        <f>F64+'26.10'!L64</f>
        <v/>
      </c>
      <c r="M64" s="149">
        <f>SUM(K64:L64)</f>
        <v/>
      </c>
      <c r="N64" s="152">
        <f>H64+'26.10'!N64</f>
        <v/>
      </c>
      <c r="O64" s="152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E65+'26.10'!K65</f>
        <v/>
      </c>
      <c r="L65" s="152">
        <f>F65+'26.10'!L65</f>
        <v/>
      </c>
      <c r="M65" s="197">
        <f>SUM(K65:L65)</f>
        <v/>
      </c>
      <c r="N65" s="152">
        <f>H65+'26.10'!N65</f>
        <v/>
      </c>
      <c r="O65" s="152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E66+'26.10'!K66</f>
        <v/>
      </c>
      <c r="L66" s="152">
        <f>F66+'26.10'!L66</f>
        <v/>
      </c>
      <c r="M66" s="201">
        <f>SUM(K66:L66)</f>
        <v/>
      </c>
      <c r="N66" s="152">
        <f>H66+'26.10'!N66</f>
        <v/>
      </c>
      <c r="O66" s="152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[12]产量!$C$15</f>
        <v/>
      </c>
      <c r="F7" s="213">
        <f>[12]产量!$C$19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E7+'26.11'!K7</f>
        <v/>
      </c>
      <c r="L7" s="214">
        <f>F7+'26.11'!L7</f>
        <v/>
      </c>
      <c r="M7" s="149">
        <f>SUM(K7:L7)</f>
        <v/>
      </c>
      <c r="N7" s="214">
        <f>H7+'26.11'!N7</f>
        <v/>
      </c>
      <c r="O7" s="214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[12]产量!$E$15</f>
        <v/>
      </c>
      <c r="F8" s="213">
        <f>[12]产量!$E$19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E8+'26.11'!K8</f>
        <v/>
      </c>
      <c r="L8" s="214">
        <f>F8+'26.11'!L8</f>
        <v/>
      </c>
      <c r="M8" s="149">
        <f>SUM(K8:L8)</f>
        <v/>
      </c>
      <c r="N8" s="214">
        <f>H8+'26.11'!N8</f>
        <v/>
      </c>
      <c r="O8" s="214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[12]产量!$G$6</f>
        <v/>
      </c>
      <c r="F9" s="213">
        <f>[12]产量!$G$7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E9+'26.11'!K9</f>
        <v/>
      </c>
      <c r="L9" s="214">
        <f>F9+'26.11'!L9</f>
        <v/>
      </c>
      <c r="M9" s="149">
        <f>SUM(K9:L9)</f>
        <v/>
      </c>
      <c r="N9" s="214">
        <f>H9+'26.11'!N9</f>
        <v/>
      </c>
      <c r="O9" s="214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[12]产量!$G$29</f>
        <v/>
      </c>
      <c r="G10" s="149">
        <f>SUM(E10:F10)</f>
        <v/>
      </c>
      <c r="H10" s="149" t="n"/>
      <c r="I10" s="151" t="n"/>
      <c r="J10" s="149">
        <f>M10+N10+O10</f>
        <v/>
      </c>
      <c r="K10" s="214">
        <f>E10+'26.11'!K10</f>
        <v/>
      </c>
      <c r="L10" s="214">
        <f>F10+'26.11'!L10</f>
        <v/>
      </c>
      <c r="M10" s="149">
        <f>SUM(K10:L10)</f>
        <v/>
      </c>
      <c r="N10" s="214">
        <f>H10+'26.11'!N10</f>
        <v/>
      </c>
      <c r="O10" s="214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[12]产量!$G$28</f>
        <v/>
      </c>
      <c r="F11" s="213">
        <f>[12]产量!$G$30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E11+'26.11'!K11</f>
        <v/>
      </c>
      <c r="L11" s="214">
        <f>F11+'26.11'!L11</f>
        <v/>
      </c>
      <c r="M11" s="149">
        <f>SUM(K11:L11)</f>
        <v/>
      </c>
      <c r="N11" s="214">
        <f>H11+'26.11'!N11</f>
        <v/>
      </c>
      <c r="O11" s="214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[12]产量!$G$15</f>
        <v/>
      </c>
      <c r="F12" s="213">
        <f>[12]产量!$G$19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E12+'26.11'!K12</f>
        <v/>
      </c>
      <c r="L12" s="214">
        <f>F12+'26.11'!L12</f>
        <v/>
      </c>
      <c r="M12" s="149">
        <f>SUM(K12:L12)</f>
        <v/>
      </c>
      <c r="N12" s="214">
        <f>H12+'26.11'!N12</f>
        <v/>
      </c>
      <c r="O12" s="214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50" t="n"/>
      <c r="F15" s="150" t="n"/>
      <c r="G15" s="149">
        <f>SUM(E15:F15)</f>
        <v/>
      </c>
      <c r="H15" s="149" t="n"/>
      <c r="I15" s="151" t="n"/>
      <c r="J15" s="149">
        <f>M15+N15+O15</f>
        <v/>
      </c>
      <c r="K15" s="214">
        <f>E15+'26.11'!K15</f>
        <v/>
      </c>
      <c r="L15" s="152">
        <f>F15+'26.11'!L15</f>
        <v/>
      </c>
      <c r="M15" s="149">
        <f>SUM(K15:L15)</f>
        <v/>
      </c>
      <c r="N15" s="214">
        <f>H15+'26.11'!N15</f>
        <v/>
      </c>
      <c r="O15" s="214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50" t="n"/>
      <c r="F16" s="150" t="n"/>
      <c r="G16" s="149">
        <f>SUM(E16:F16)</f>
        <v/>
      </c>
      <c r="H16" s="149" t="n"/>
      <c r="I16" s="151" t="n"/>
      <c r="J16" s="149">
        <f>M16+N16+O16</f>
        <v/>
      </c>
      <c r="K16" s="214">
        <f>E16+'26.11'!K16</f>
        <v/>
      </c>
      <c r="L16" s="152">
        <f>F16+'26.11'!L16</f>
        <v/>
      </c>
      <c r="M16" s="149">
        <f>SUM(K16:L16)</f>
        <v/>
      </c>
      <c r="N16" s="214">
        <f>H16+'26.11'!N16</f>
        <v/>
      </c>
      <c r="O16" s="214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50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50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50" t="n"/>
      <c r="I18" s="151" t="n"/>
      <c r="J18" s="149">
        <f>M18+N18+O18</f>
        <v/>
      </c>
      <c r="K18" s="214">
        <f>E18+'26.11'!K18</f>
        <v/>
      </c>
      <c r="L18" s="214">
        <f>F18+'26.11'!L18</f>
        <v/>
      </c>
      <c r="M18" s="149">
        <f>SUM(K18:L18)</f>
        <v/>
      </c>
      <c r="N18" s="152">
        <f>H18+'26.11'!N18</f>
        <v/>
      </c>
      <c r="O18" s="214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50" t="n"/>
      <c r="I19" s="151" t="n"/>
      <c r="J19" s="149">
        <f>M19+N19+O19</f>
        <v/>
      </c>
      <c r="K19" s="214">
        <f>E19+'26.11'!K19</f>
        <v/>
      </c>
      <c r="L19" s="214">
        <f>F19+'26.11'!L19</f>
        <v/>
      </c>
      <c r="M19" s="149">
        <f>SUM(K19:L19)</f>
        <v/>
      </c>
      <c r="N19" s="152">
        <f>H19+'26.11'!N19</f>
        <v/>
      </c>
      <c r="O19" s="214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E20+'26.11'!K20</f>
        <v/>
      </c>
      <c r="L20" s="214">
        <f>F20+'26.11'!L20</f>
        <v/>
      </c>
      <c r="M20" s="149">
        <f>SUM(K20:L20)</f>
        <v/>
      </c>
      <c r="N20" s="214">
        <f>H20+'26.11'!N20</f>
        <v/>
      </c>
      <c r="O20" s="214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E21+'26.11'!K21</f>
        <v/>
      </c>
      <c r="L21" s="214">
        <f>F21+'26.11'!L21</f>
        <v/>
      </c>
      <c r="M21" s="149">
        <f>SUM(K21:L21)</f>
        <v/>
      </c>
      <c r="N21" s="214">
        <f>H21+'26.11'!N21</f>
        <v/>
      </c>
      <c r="O21" s="214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E22+'26.11'!K22</f>
        <v/>
      </c>
      <c r="L22" s="214">
        <f>F22+'26.11'!L22</f>
        <v/>
      </c>
      <c r="M22" s="149">
        <f>SUM(K22:L22)</f>
        <v/>
      </c>
      <c r="N22" s="214">
        <f>H22+'26.11'!N22</f>
        <v/>
      </c>
      <c r="O22" s="214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E23+'26.11'!K23</f>
        <v/>
      </c>
      <c r="L23" s="214">
        <f>F23+'26.11'!L23</f>
        <v/>
      </c>
      <c r="M23" s="149">
        <f>SUM(K23:L23)</f>
        <v/>
      </c>
      <c r="N23" s="214">
        <f>H23+'26.11'!N23</f>
        <v/>
      </c>
      <c r="O23" s="214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E24+'26.11'!K24</f>
        <v/>
      </c>
      <c r="L24" s="214">
        <f>F24+'26.11'!L24</f>
        <v/>
      </c>
      <c r="M24" s="149">
        <f>SUM(K24:L24)</f>
        <v/>
      </c>
      <c r="N24" s="214">
        <f>H24+'26.11'!N24</f>
        <v/>
      </c>
      <c r="O24" s="214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E25+'26.11'!K25</f>
        <v/>
      </c>
      <c r="L25" s="214">
        <f>F25+'26.11'!L25</f>
        <v/>
      </c>
      <c r="M25" s="149">
        <f>SUM(K25:L25)</f>
        <v/>
      </c>
      <c r="N25" s="214">
        <f>H25+'26.11'!N25</f>
        <v/>
      </c>
      <c r="O25" s="214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E26+'26.11'!K26</f>
        <v/>
      </c>
      <c r="L26" s="214">
        <f>F26+'26.11'!L26</f>
        <v/>
      </c>
      <c r="M26" s="149">
        <f>SUM(K26:L26)</f>
        <v/>
      </c>
      <c r="N26" s="214">
        <f>H26+'26.11'!N26</f>
        <v/>
      </c>
      <c r="O26" s="214">
        <f>I26+'26.11'!O26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E27+'26.11'!K27</f>
        <v/>
      </c>
      <c r="L27" s="214">
        <f>F27+'26.11'!L27</f>
        <v/>
      </c>
      <c r="M27" s="165">
        <f>SUM(K27:L27)</f>
        <v/>
      </c>
      <c r="N27" s="214">
        <f>H27+'26.11'!N27</f>
        <v/>
      </c>
      <c r="O27" s="214">
        <f>I27+'26.11'!O27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E28+'26.11'!K28</f>
        <v/>
      </c>
      <c r="L28" s="214">
        <f>F28+'26.11'!L28</f>
        <v/>
      </c>
      <c r="M28" s="165">
        <f>SUM(K28:L28)</f>
        <v/>
      </c>
      <c r="N28" s="214">
        <f>H28+'26.11'!N28</f>
        <v/>
      </c>
      <c r="O28" s="214">
        <f>I28+'26.11'!O28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E29+'26.11'!K29</f>
        <v/>
      </c>
      <c r="L29" s="214">
        <f>F29+'26.11'!L29</f>
        <v/>
      </c>
      <c r="M29" s="149">
        <f>SUM(K29:L29)</f>
        <v/>
      </c>
      <c r="N29" s="214">
        <f>H29+'26.11'!N29</f>
        <v/>
      </c>
      <c r="O29" s="214">
        <f>I29+'26.11'!O29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E30+'26.11'!K30</f>
        <v/>
      </c>
      <c r="L30" s="214">
        <f>F30+'26.11'!L30</f>
        <v/>
      </c>
      <c r="M30" s="149">
        <f>M7-M8</f>
        <v/>
      </c>
      <c r="N30" s="214">
        <f>H30+'26.11'!N30</f>
        <v/>
      </c>
      <c r="O30" s="214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E31+'26.11'!K31</f>
        <v/>
      </c>
      <c r="L31" s="214">
        <f>F31+'26.11'!L31</f>
        <v/>
      </c>
      <c r="M31" s="149">
        <f>SUM(K31:L31)</f>
        <v/>
      </c>
      <c r="N31" s="214">
        <f>H31+'26.11'!N31</f>
        <v/>
      </c>
      <c r="O31" s="214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E33+'26.11'!K33</f>
        <v/>
      </c>
      <c r="L33" s="217">
        <f>F33+'26.11'!L33</f>
        <v/>
      </c>
      <c r="M33" s="149">
        <f>SUM(K33:L33)</f>
        <v/>
      </c>
      <c r="N33" s="214">
        <f>H33+'26.11'!N33</f>
        <v/>
      </c>
      <c r="O33" s="214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E34+'26.11'!K34</f>
        <v/>
      </c>
      <c r="L34" s="217">
        <f>F34+'26.11'!L34</f>
        <v/>
      </c>
      <c r="M34" s="149">
        <f>SUM(K34:L34)</f>
        <v/>
      </c>
      <c r="N34" s="214">
        <f>H34+'26.11'!N34</f>
        <v/>
      </c>
      <c r="O34" s="214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E40+'26.11'!K40</f>
        <v/>
      </c>
      <c r="L40" s="214">
        <f>F40+'26.11'!L40</f>
        <v/>
      </c>
      <c r="M40" s="149">
        <f>SUM(K40:L40)</f>
        <v/>
      </c>
      <c r="N40" s="214">
        <f>H40+'26.11'!N40</f>
        <v/>
      </c>
      <c r="O40" s="214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E41+'26.11'!K41</f>
        <v/>
      </c>
      <c r="L41" s="214">
        <f>F41+'26.11'!L41</f>
        <v/>
      </c>
      <c r="M41" s="149">
        <f>SUM(K41:L41)</f>
        <v/>
      </c>
      <c r="N41" s="214">
        <f>H41+'26.11'!N41</f>
        <v/>
      </c>
      <c r="O41" s="214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E43+'26.11'!K43</f>
        <v/>
      </c>
      <c r="L43" s="214">
        <f>F43+'26.11'!L43</f>
        <v/>
      </c>
      <c r="M43" s="149">
        <f>SUM(K43:L43)</f>
        <v/>
      </c>
      <c r="N43" s="214">
        <f>H43+'26.11'!N43</f>
        <v/>
      </c>
      <c r="O43" s="214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E44+'26.11'!K44</f>
        <v/>
      </c>
      <c r="L44" s="217">
        <f>F44+'26.11'!L44</f>
        <v/>
      </c>
      <c r="M44" s="149">
        <f>SUM(K44:L44)</f>
        <v/>
      </c>
      <c r="N44" s="214">
        <f>H44+'26.11'!N44</f>
        <v/>
      </c>
      <c r="O44" s="214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20519.038871412</v>
      </c>
      <c r="L49" s="149" t="n">
        <v>19906.4616929631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117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D7/10000/D6/(DAY(DATE(2027,1,0))*24)</f>
        <v/>
      </c>
      <c r="E52" s="179">
        <f>E7/10000/E6/(DAY(DATE(2027,1,0))*24)</f>
        <v/>
      </c>
      <c r="F52" s="179">
        <f>F7/10000/F6/(DAY(DATE(2027,1,0))*24)</f>
        <v/>
      </c>
      <c r="G52" s="179">
        <f>G7/10000/G6/(DAY(DATE(2027,1,0))*24)</f>
        <v/>
      </c>
      <c r="H52" s="179">
        <f>H7/10000/H6/(DAY(DATE(2027,1,0))*24)</f>
        <v/>
      </c>
      <c r="I52" s="180">
        <f>I7/10000/I6/(DAY(DATE(2027,1,0))*24)</f>
        <v/>
      </c>
      <c r="J52" s="179">
        <f>J7/10000/J6/(DATEDIF(DATE(2026,1,1),DATE(2027,1,1),"D")*24)</f>
        <v/>
      </c>
      <c r="K52" s="179">
        <f>K7/10000/K6/(DATEDIF(DATE(2026,1,1),DATE(2027,1,1),"D")*24)</f>
        <v/>
      </c>
      <c r="L52" s="179">
        <f>L7/10000/L6/(DATEDIF(DATE(2026,1,1),DATE(2027,1,1),"D")*24)</f>
        <v/>
      </c>
      <c r="M52" s="179">
        <f>M7/10000/M6/(DATEDIF(DATE(2026,1,1),DATE(2027,1,1),"D")*24)</f>
        <v/>
      </c>
      <c r="N52" s="179">
        <f>N7/10000/N6/(DATEDIF(DATE(2026,1,1),DATE(2027,1,1),"D")*24)</f>
        <v/>
      </c>
      <c r="O52" s="180">
        <f>O7/10000/O6/(DATEDIF(DATE(2026,1,1),DATE(2027,1,1),"D")*24)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D9*1000/1986/((DAY(DATE(2027,1,0))*24)*3600)</f>
        <v/>
      </c>
      <c r="E53" s="183">
        <f>E9*1000/577/((DAY(DATE(2027,1,0))*24)*3600)</f>
        <v/>
      </c>
      <c r="F53" s="180">
        <f>F9*1000/528/((DAY(DATE(2027,1,0))*24)*3600)</f>
        <v/>
      </c>
      <c r="G53" s="183">
        <f>G9*1000/1442/((DAY(DATE(2027,1,0))*24)*3600)</f>
        <v/>
      </c>
      <c r="H53" s="180">
        <f>H9*1000/414/((DAY(DATE(2027,1,0))*24)*3600)</f>
        <v/>
      </c>
      <c r="I53" s="180">
        <f>I9*1000/130/((DAY(DATE(2027,1,0))*24)*3600)</f>
        <v/>
      </c>
      <c r="J53" s="179">
        <f>J9*1000/1986/((DATEDIF(DATE(2026,1,1),DATE(2027,1,1),"D")*24)*3600)</f>
        <v/>
      </c>
      <c r="K53" s="183">
        <f>K9*1000/577/((DATEDIF(DATE(2026,1,1),DATE(2027,1,1),"D")*24)*3600)</f>
        <v/>
      </c>
      <c r="L53" s="180">
        <f>L9*1000/528/((DATEDIF(DATE(2026,1,1),DATE(2027,1,1),"D")*24)*3600)</f>
        <v/>
      </c>
      <c r="M53" s="183">
        <f>M9*1000/1442/((DATEDIF(DATE(2026,1,1),DATE(2027,1,1),"D")*24)*3600)</f>
        <v/>
      </c>
      <c r="N53" s="180">
        <f>N9*1000/414/((DATEDIF(DATE(2026,1,1),DATE(2027,1,1),"D")*24)*3600)</f>
        <v/>
      </c>
      <c r="O53" s="180">
        <f>O9*1000/130/((DATEDIF(DATE(2026,1,1),DATE(2027,1,1),"D")*24)*3600)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E57+'26.11'!K57</f>
        <v/>
      </c>
      <c r="L57" s="214">
        <f>F57+'26.11'!L57</f>
        <v/>
      </c>
      <c r="M57" s="149">
        <f>SUM(K57:L57)</f>
        <v/>
      </c>
      <c r="N57" s="214">
        <f>H57+'26.11'!N57</f>
        <v/>
      </c>
      <c r="O57" s="214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E58+'26.11'!K58</f>
        <v/>
      </c>
      <c r="L58" s="214">
        <f>F58+'26.11'!L58</f>
        <v/>
      </c>
      <c r="M58" s="149">
        <f>SUM(K58:L58)</f>
        <v/>
      </c>
      <c r="N58" s="214">
        <f>H58+'26.11'!N58</f>
        <v/>
      </c>
      <c r="O58" s="214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'26.11'!K59+E57-E14-E58</f>
        <v/>
      </c>
      <c r="L59" s="215">
        <f>'26.11'!L59+F57-F14-F58</f>
        <v/>
      </c>
      <c r="M59" s="155">
        <f>SUM(K59:L59)</f>
        <v/>
      </c>
      <c r="N59" s="215">
        <f>'26.11'!N59+H57-H14-H58</f>
        <v/>
      </c>
      <c r="O59" s="215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E60+'26.11'!K60</f>
        <v/>
      </c>
      <c r="L60" s="214">
        <f>F60+'26.11'!L60</f>
        <v/>
      </c>
      <c r="M60" s="175">
        <f>SUM(K60:L60)</f>
        <v/>
      </c>
      <c r="N60" s="214">
        <f>H60+'26.11'!N60</f>
        <v/>
      </c>
      <c r="O60" s="214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E61+'26.11'!K61</f>
        <v/>
      </c>
      <c r="L61" s="214">
        <f>F61+'26.11'!L61</f>
        <v/>
      </c>
      <c r="M61" s="149">
        <f>SUM(K61:L61)</f>
        <v/>
      </c>
      <c r="N61" s="214">
        <f>H61+'26.11'!N61</f>
        <v/>
      </c>
      <c r="O61" s="214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E62+'26.11'!K62</f>
        <v/>
      </c>
      <c r="L62" s="214">
        <f>F62+'26.11'!L62</f>
        <v/>
      </c>
      <c r="M62" s="149">
        <f>SUM(K62:L62)</f>
        <v/>
      </c>
      <c r="N62" s="214">
        <f>H62+'26.11'!N62</f>
        <v/>
      </c>
      <c r="O62" s="214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E63+'26.11'!K63</f>
        <v/>
      </c>
      <c r="L63" s="214">
        <f>F63+'26.11'!L63</f>
        <v/>
      </c>
      <c r="M63" s="149">
        <f>SUM(K63:L63)</f>
        <v/>
      </c>
      <c r="N63" s="214">
        <f>H63+'26.11'!N63</f>
        <v/>
      </c>
      <c r="O63" s="214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E64+'26.11'!K64</f>
        <v/>
      </c>
      <c r="L64" s="214">
        <f>F64+'26.11'!L64</f>
        <v/>
      </c>
      <c r="M64" s="149">
        <f>SUM(K64:L64)</f>
        <v/>
      </c>
      <c r="N64" s="214">
        <f>H64+'26.11'!N64</f>
        <v/>
      </c>
      <c r="O64" s="214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E65+'26.11'!K65</f>
        <v/>
      </c>
      <c r="L65" s="214">
        <f>F65+'26.11'!L65</f>
        <v/>
      </c>
      <c r="M65" s="197">
        <f>SUM(K65:L65)</f>
        <v/>
      </c>
      <c r="N65" s="214">
        <f>H65+'26.11'!N65</f>
        <v/>
      </c>
      <c r="O65" s="214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E66+'26.11'!K66</f>
        <v/>
      </c>
      <c r="L66" s="214">
        <f>F66+'26.11'!L66</f>
        <v/>
      </c>
      <c r="M66" s="201">
        <f>SUM(K66:L66)</f>
        <v/>
      </c>
      <c r="N66" s="214">
        <f>H66+'26.11'!N66</f>
        <v/>
      </c>
      <c r="O66" s="214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2026-02-28T11:31:31Z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