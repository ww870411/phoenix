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59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7" fontId="2" fillId="2" borderId="17" applyAlignment="1" pivotButton="0" quotePrefix="0" xfId="0">
      <alignment vertical="center" wrapText="1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8" fontId="2" fillId="0" borderId="17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55" zoomScaleNormal="55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 t="n">
        <v>348</v>
      </c>
      <c r="J3" s="245" t="n">
        <v>162</v>
      </c>
      <c r="K3" s="245">
        <f>F3</f>
        <v/>
      </c>
      <c r="L3" s="250" t="n">
        <v>14</v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 t="n">
        <v>1769458.54</v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 t="n">
        <v>55000</v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7">
        <f>E8</f>
        <v/>
      </c>
      <c r="K8" s="267">
        <f>F8</f>
        <v/>
      </c>
      <c r="L8" s="267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 t="n">
        <v>4030</v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7">
        <f>E10</f>
        <v/>
      </c>
      <c r="K10" s="267">
        <f>F10</f>
        <v/>
      </c>
      <c r="L10" s="267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7">
        <f>E11</f>
        <v/>
      </c>
      <c r="K11" s="267">
        <f>F11</f>
        <v/>
      </c>
      <c r="L11" s="267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7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7">
        <f>E15</f>
        <v/>
      </c>
      <c r="K15" s="265">
        <f>F15</f>
        <v/>
      </c>
      <c r="L15" s="267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7">
        <f>E17</f>
        <v/>
      </c>
      <c r="K17" s="265" t="n"/>
      <c r="L17" s="267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 t="n">
        <v>43.975</v>
      </c>
      <c r="K22" s="275">
        <f>F22</f>
        <v/>
      </c>
      <c r="L22" s="267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 t="n">
        <v>28.64</v>
      </c>
      <c r="K23" s="275">
        <f>F23</f>
        <v/>
      </c>
      <c r="L23" s="267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7">
        <f>D26</f>
        <v/>
      </c>
      <c r="J26" s="267">
        <f>E26</f>
        <v/>
      </c>
      <c r="K26" s="285">
        <f>F26</f>
        <v/>
      </c>
      <c r="L26" s="267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 t="n">
        <v>9506</v>
      </c>
      <c r="F27" s="286">
        <f>K27</f>
        <v/>
      </c>
      <c r="G27" s="286" t="n">
        <v>714.5</v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7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300">
        <f>E8/3.6/E3/(DAY(DATE(2026,2,0))*24)</f>
        <v/>
      </c>
      <c r="F31" s="299">
        <f>F8/3.6/F3/(DAY(DATE(2026,2,0))*24)</f>
        <v/>
      </c>
      <c r="G31" s="300">
        <f>G8/3.6/G3/(DAY(DATE(2026,2,0))*24)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8">
        <f>F12*1000/F6</f>
        <v/>
      </c>
      <c r="G33" s="307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8">
        <f>F17/F6</f>
        <v/>
      </c>
      <c r="G34" s="307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5">
        <f>F15*1000/F6</f>
        <v/>
      </c>
      <c r="G35" s="314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67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7625.06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7625.06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441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3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132840.000000001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 t="n">
        <v>6</v>
      </c>
      <c r="H55" s="341" t="n">
        <v>6.4</v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 t="n">
        <v>28895.6</v>
      </c>
      <c r="H56" s="324" t="n">
        <v>26350.3</v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 t="n">
        <v>28895.6</v>
      </c>
      <c r="H57" s="324" t="n">
        <v>26350.3</v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 t="n">
        <v>2295.5</v>
      </c>
      <c r="H58" s="324" t="n">
        <v>3880.60000000001</v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 t="n">
        <v>235</v>
      </c>
      <c r="H59" s="324" t="n">
        <v>158.01</v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 t="n">
        <v>706680</v>
      </c>
      <c r="H60" s="324" t="n">
        <v>1137840</v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 t="n">
        <v>706680</v>
      </c>
      <c r="H61" s="324" t="n">
        <v>1137840</v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27" t="n">
        <v>307.854497930734</v>
      </c>
      <c r="E62" s="327" t="n">
        <v>293.212389836623</v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29" t="n">
        <v>0.147601594650206</v>
      </c>
      <c r="E63" s="32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5">
        <f>D58/D57</f>
        <v/>
      </c>
      <c r="E64" s="305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</f>
        <v/>
      </c>
      <c r="G73" s="349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49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49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</f>
        <v/>
      </c>
      <c r="G76" s="352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</f>
        <v/>
      </c>
      <c r="G77" s="352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D73/3.6/D71/(DAY(DATE(2026,2,0))*24)</f>
        <v/>
      </c>
      <c r="E82" s="365">
        <f>E73/3.6/E71/(DAY(DATE(2026,2,0))*24)</f>
        <v/>
      </c>
      <c r="F82" s="366">
        <f>F73/3.6/F71/(DATEDIF(DATE(2026,1,1),DATE(2026,2,1),"D")*24)</f>
        <v/>
      </c>
      <c r="G82" s="367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 t="n">
        <v>0.7887999999999999</v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>
        <v>20723.53</v>
      </c>
      <c r="E88" s="372" t="n">
        <v>20723.53</v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>
        <v>20723.53</v>
      </c>
      <c r="E89" s="372" t="n">
        <v>20723.53</v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>
        <v>3609.56501600001</v>
      </c>
      <c r="E90" s="372" t="n">
        <v>3609.56501600001</v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>
        <v>49</v>
      </c>
      <c r="E91" s="369" t="n">
        <v>49</v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>
        <v>462809.08</v>
      </c>
      <c r="E92" s="372" t="n">
        <v>462809.08</v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69">
        <f>D93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 t="n">
        <v>128.217410670959</v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00" t="n">
        <v>1.76544003001903</v>
      </c>
      <c r="E95" s="300">
        <f>E90/3.6/E87/(DATEDIF(DATE(2026,1,1),DATE(2026,2,1),"D")*24)</f>
        <v/>
      </c>
      <c r="F95" s="375">
        <f>F90/3.6/F87/(DAY(DATE(2026,2,0))*24)</f>
        <v/>
      </c>
      <c r="G95" s="300">
        <f>G90/3.6/G87/(DATEDIF(DATE(2026,1,1),DATE(2026,2,1),"D")*24)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 t="n">
        <v>22.3325408364309</v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 t="n">
        <v>2.36446203904451</v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0">
        <f>D7+'26.1'!I7</f>
        <v/>
      </c>
      <c r="J7" s="380">
        <f>E7+'26.1'!J7</f>
        <v/>
      </c>
      <c r="K7" s="380">
        <f>F7+'26.1'!K7</f>
        <v/>
      </c>
      <c r="L7" s="380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0">
        <f>D8+'26.1'!I8</f>
        <v/>
      </c>
      <c r="J8" s="380">
        <f>E8+'26.1'!J8</f>
        <v/>
      </c>
      <c r="K8" s="380">
        <f>F8+'26.1'!K8</f>
        <v/>
      </c>
      <c r="L8" s="380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0">
        <f>D9+'26.1'!I9</f>
        <v/>
      </c>
      <c r="J9" s="380">
        <f>E9+'26.1'!J9</f>
        <v/>
      </c>
      <c r="K9" s="380">
        <f>F9+'26.1'!K9</f>
        <v/>
      </c>
      <c r="L9" s="380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D10+'26.1'!I10</f>
        <v/>
      </c>
      <c r="J10" s="380">
        <f>E10+'26.1'!J10</f>
        <v/>
      </c>
      <c r="K10" s="380">
        <f>F10+'26.1'!K10</f>
        <v/>
      </c>
      <c r="L10" s="380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D11+'26.1'!I11</f>
        <v/>
      </c>
      <c r="J11" s="380">
        <f>E11+'26.1'!J11</f>
        <v/>
      </c>
      <c r="K11" s="380">
        <f>F11+'26.1'!K11</f>
        <v/>
      </c>
      <c r="L11" s="380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D12+'26.1'!I12</f>
        <v/>
      </c>
      <c r="J12" s="380">
        <f>E12+'26.1'!J12</f>
        <v/>
      </c>
      <c r="K12" s="380">
        <f>F12+'26.1'!K12</f>
        <v/>
      </c>
      <c r="L12" s="380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D13+'26.1'!I13</f>
        <v/>
      </c>
      <c r="J13" s="380">
        <f>E13+'26.1'!J13</f>
        <v/>
      </c>
      <c r="K13" s="380">
        <f>F13+'26.1'!K13</f>
        <v/>
      </c>
      <c r="L13" s="380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D14+'26.1'!I14</f>
        <v/>
      </c>
      <c r="J14" s="380">
        <f>E14+'26.1'!J14</f>
        <v/>
      </c>
      <c r="K14" s="380">
        <f>F14+'26.1'!K14</f>
        <v/>
      </c>
      <c r="L14" s="380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D15+'26.1'!I15</f>
        <v/>
      </c>
      <c r="J15" s="380">
        <f>E15+'26.1'!J15</f>
        <v/>
      </c>
      <c r="K15" s="380">
        <f>F15+'26.1'!K15</f>
        <v/>
      </c>
      <c r="L15" s="380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D16+'26.1'!I16</f>
        <v/>
      </c>
      <c r="J16" s="380">
        <f>E16+'26.1'!J16</f>
        <v/>
      </c>
      <c r="K16" s="380">
        <f>F16+'26.1'!K16</f>
        <v/>
      </c>
      <c r="L16" s="380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0">
        <f>D17+'26.1'!I17</f>
        <v/>
      </c>
      <c r="J17" s="380">
        <f>E17+'26.1'!J17</f>
        <v/>
      </c>
      <c r="K17" s="380" t="n"/>
      <c r="L17" s="380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D18+'26.1'!I18</f>
        <v/>
      </c>
      <c r="J18" s="380">
        <f>E18+'26.1'!J18</f>
        <v/>
      </c>
      <c r="K18" s="380">
        <f>F18+'26.1'!K18</f>
        <v/>
      </c>
      <c r="L18" s="380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0">
        <f>D19+'26.1'!I19</f>
        <v/>
      </c>
      <c r="J19" s="380">
        <f>E19+'26.1'!J19</f>
        <v/>
      </c>
      <c r="K19" s="380">
        <f>F19+'26.1'!K19</f>
        <v/>
      </c>
      <c r="L19" s="380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D20+'26.1'!I20</f>
        <v/>
      </c>
      <c r="J20" s="380">
        <f>E20+'26.1'!J20</f>
        <v/>
      </c>
      <c r="K20" s="380">
        <f>F20+'26.1'!K20</f>
        <v/>
      </c>
      <c r="L20" s="380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D21+'26.1'!I21</f>
        <v/>
      </c>
      <c r="J21" s="380">
        <f>E21+'26.1'!J21</f>
        <v/>
      </c>
      <c r="K21" s="380">
        <f>F21+'26.1'!K21</f>
        <v/>
      </c>
      <c r="L21" s="380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D22+'26.1'!I22</f>
        <v/>
      </c>
      <c r="J22" s="380">
        <f>E22+'26.1'!J22</f>
        <v/>
      </c>
      <c r="K22" s="380">
        <f>F22+'26.1'!K22</f>
        <v/>
      </c>
      <c r="L22" s="380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D23+'26.1'!I23</f>
        <v/>
      </c>
      <c r="J23" s="380">
        <f>E23+'26.1'!J23</f>
        <v/>
      </c>
      <c r="K23" s="380">
        <f>F23+'26.1'!K23</f>
        <v/>
      </c>
      <c r="L23" s="380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D26+'26.1'!I26</f>
        <v/>
      </c>
      <c r="J26" s="380">
        <f>E26+'26.1'!J26</f>
        <v/>
      </c>
      <c r="K26" s="380">
        <f>F26+'26.1'!K26</f>
        <v/>
      </c>
      <c r="L26" s="380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1">
        <f>'26.1'!J27+E26-E10</f>
        <v/>
      </c>
      <c r="K27" s="381">
        <f>'26.1'!K27+F26-F10</f>
        <v/>
      </c>
      <c r="L27" s="381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7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D58+'26.1'!G58</f>
        <v/>
      </c>
      <c r="H58" s="383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D59+'26.1'!G59</f>
        <v/>
      </c>
      <c r="H59" s="383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D60+'26.1'!G60</f>
        <v/>
      </c>
      <c r="H60" s="383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D61+'26.1'!G61</f>
        <v/>
      </c>
      <c r="H61" s="383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D73+'26.1'!F73</f>
        <v/>
      </c>
      <c r="G73" s="382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D74+'26.1'!F74</f>
        <v/>
      </c>
      <c r="G74" s="382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D75+'26.1'!F75</f>
        <v/>
      </c>
      <c r="G75" s="382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D76+'26.1'!F76</f>
        <v/>
      </c>
      <c r="G76" s="382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D77+'26.1'!F77</f>
        <v/>
      </c>
      <c r="G77" s="382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D73/3.6/D71/(DAY(DATE(2026,3,0))*24)</f>
        <v/>
      </c>
      <c r="E82" s="365">
        <f>E73/3.6/E71/(DAY(DATE(2026,3,0))*24)</f>
        <v/>
      </c>
      <c r="F82" s="366">
        <f>F73/3.6/F71/(DATEDIF(DATE(2026,1,1),DATE(2026,3,1),"D")*24)</f>
        <v/>
      </c>
      <c r="G82" s="367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>
        <v>0</v>
      </c>
      <c r="E93" s="385">
        <f>D93+'26.1'!E93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D90/3.6/D87/(DAY(DATE(2026,3,0))*24)</f>
        <v/>
      </c>
      <c r="E95" s="300">
        <f>E90/3.6/E87/(DATEDIF(DATE(2026,1,1),DATE(2026,3,1),"D")*24)</f>
        <v/>
      </c>
      <c r="F95" s="375">
        <f>F90/3.6/F87/(DAY(DATE(2026,3,0))*24)</f>
        <v/>
      </c>
      <c r="G95" s="300">
        <f>G90/3.6/G87/(DATEDIF(DATE(2026,1,1),DATE(2026,3,1),"D")*24)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G30" sqref="G30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0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64">
        <f>D73/3.6/D71/(DAY(DATE(2026,4,0))*24)</f>
        <v/>
      </c>
      <c r="E82" s="365">
        <f>E73/3.6/E71/(DAY(DATE(2026,4,0))*24)</f>
        <v/>
      </c>
      <c r="F82" s="366">
        <f>F73/3.6/F71/(DATEDIF(DATE(2026,1,1),DATE(2026,4,1),"D")*24)</f>
        <v/>
      </c>
      <c r="G82" s="367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373">
        <f>F56+D88</f>
        <v/>
      </c>
      <c r="G88" s="373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373">
        <f>F57+D89</f>
        <v/>
      </c>
      <c r="G89" s="373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9">
        <f>D90+'26.2'!E90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9">
        <f>D91+'26.2'!E91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9">
        <f>D92+'26.2'!E92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9">
        <f>D93+'26.2'!E93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5">
        <f>D90/3.6/D87/(DAY(DATE(2026,4,0))*24)</f>
        <v/>
      </c>
      <c r="E95" s="300">
        <f>E90/3.6/E87/(DATEDIF(DATE(2026,1,1),DATE(2026,4,1),"D")*24)</f>
        <v/>
      </c>
      <c r="F95" s="375">
        <f>F90/3.6/F87/(DAY(DATE(2026,4,0))*24)</f>
        <v/>
      </c>
      <c r="G95" s="300">
        <f>G90/3.6/G87/(DATEDIF(DATE(2026,1,1),DATE(2026,4,1),"D")*24)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0">
        <f>D7+'26.3'!I7</f>
        <v/>
      </c>
      <c r="J7" s="380">
        <f>E7+'26.3'!J7</f>
        <v/>
      </c>
      <c r="K7" s="380">
        <f>F7+'26.3'!K7</f>
        <v/>
      </c>
      <c r="L7" s="380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0">
        <f>D8+'26.3'!I8</f>
        <v/>
      </c>
      <c r="J8" s="380">
        <f>E8+'26.3'!J8</f>
        <v/>
      </c>
      <c r="K8" s="380">
        <f>F8+'26.3'!K8</f>
        <v/>
      </c>
      <c r="L8" s="380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0">
        <f>D9+'26.3'!I9</f>
        <v/>
      </c>
      <c r="J9" s="380">
        <f>E9+'26.3'!J9</f>
        <v/>
      </c>
      <c r="K9" s="380">
        <f>F9+'26.3'!K9</f>
        <v/>
      </c>
      <c r="L9" s="380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0">
        <f>D10+'26.3'!I10</f>
        <v/>
      </c>
      <c r="J10" s="380">
        <f>E10+'26.3'!J10</f>
        <v/>
      </c>
      <c r="K10" s="380">
        <f>F10+'26.3'!K10</f>
        <v/>
      </c>
      <c r="L10" s="380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0">
        <f>D11+'26.3'!I11</f>
        <v/>
      </c>
      <c r="J11" s="380">
        <f>E11+'26.3'!J11</f>
        <v/>
      </c>
      <c r="K11" s="380">
        <f>F11+'26.3'!K11</f>
        <v/>
      </c>
      <c r="L11" s="380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0">
        <f>D12+'26.3'!I12</f>
        <v/>
      </c>
      <c r="J12" s="380">
        <f>E12+'26.3'!J12</f>
        <v/>
      </c>
      <c r="K12" s="380">
        <f>F12+'26.3'!K12</f>
        <v/>
      </c>
      <c r="L12" s="380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0">
        <f>D13+'26.3'!I13</f>
        <v/>
      </c>
      <c r="J13" s="380">
        <f>E13+'26.3'!J13</f>
        <v/>
      </c>
      <c r="K13" s="380">
        <f>F13+'26.3'!K13</f>
        <v/>
      </c>
      <c r="L13" s="380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0">
        <f>D14+'26.3'!I14</f>
        <v/>
      </c>
      <c r="J14" s="380">
        <f>E14+'26.3'!J14</f>
        <v/>
      </c>
      <c r="K14" s="380">
        <f>F14+'26.3'!K14</f>
        <v/>
      </c>
      <c r="L14" s="380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0">
        <f>D15+'26.3'!I15</f>
        <v/>
      </c>
      <c r="J15" s="380">
        <f>E15+'26.3'!J15</f>
        <v/>
      </c>
      <c r="K15" s="380">
        <f>F15+'26.3'!K15</f>
        <v/>
      </c>
      <c r="L15" s="380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0">
        <f>D16+'26.3'!I16</f>
        <v/>
      </c>
      <c r="J16" s="380">
        <f>E16+'26.3'!J16</f>
        <v/>
      </c>
      <c r="K16" s="380">
        <f>F16+'26.3'!K16</f>
        <v/>
      </c>
      <c r="L16" s="380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0">
        <f>D17+'26.3'!I17</f>
        <v/>
      </c>
      <c r="J17" s="380">
        <f>E17+'26.3'!J17</f>
        <v/>
      </c>
      <c r="K17" s="380" t="n"/>
      <c r="L17" s="380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0">
        <f>D18+'26.3'!I18</f>
        <v/>
      </c>
      <c r="J18" s="380">
        <f>E18+'26.3'!J18</f>
        <v/>
      </c>
      <c r="K18" s="380">
        <f>F18+'26.3'!K18</f>
        <v/>
      </c>
      <c r="L18" s="380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0">
        <f>D19+'26.3'!I19</f>
        <v/>
      </c>
      <c r="J19" s="386" t="n"/>
      <c r="K19" s="380">
        <f>F19+'26.3'!K19</f>
        <v/>
      </c>
      <c r="L19" s="380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0">
        <f>D20+'26.3'!I20</f>
        <v/>
      </c>
      <c r="J20" s="380">
        <f>E20+'26.3'!J20</f>
        <v/>
      </c>
      <c r="K20" s="380">
        <f>F20+'26.3'!K20</f>
        <v/>
      </c>
      <c r="L20" s="380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0">
        <f>D21+'26.3'!I21</f>
        <v/>
      </c>
      <c r="J21" s="380">
        <f>E21+'26.3'!J21</f>
        <v/>
      </c>
      <c r="K21" s="380">
        <f>F21+'26.3'!K21</f>
        <v/>
      </c>
      <c r="L21" s="380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0">
        <f>D22+'26.3'!I22</f>
        <v/>
      </c>
      <c r="J22" s="380">
        <f>E22+'26.3'!J22</f>
        <v/>
      </c>
      <c r="K22" s="380">
        <f>F22+'26.3'!K22</f>
        <v/>
      </c>
      <c r="L22" s="380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0">
        <f>D23+'26.3'!I23</f>
        <v/>
      </c>
      <c r="J23" s="380">
        <f>E23+'26.3'!J23</f>
        <v/>
      </c>
      <c r="K23" s="380">
        <f>F23+'26.3'!K23</f>
        <v/>
      </c>
      <c r="L23" s="380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0">
        <f>D26+'26.3'!I26</f>
        <v/>
      </c>
      <c r="J26" s="380">
        <f>E26+'26.3'!J26</f>
        <v/>
      </c>
      <c r="K26" s="380">
        <f>F26+'26.3'!K26</f>
        <v/>
      </c>
      <c r="L26" s="380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1">
        <f>'26.3'!J27+E26-E10</f>
        <v/>
      </c>
      <c r="K27" s="381">
        <f>'26.3'!K27+F26-F10</f>
        <v/>
      </c>
      <c r="L27" s="381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0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2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2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2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2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3">
        <f>D58+'26.3'!G58</f>
        <v/>
      </c>
      <c r="H58" s="383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3">
        <f>D59+'26.3'!G59</f>
        <v/>
      </c>
      <c r="H59" s="383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3">
        <f>D60+'26.3'!G60</f>
        <v/>
      </c>
      <c r="H60" s="383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3">
        <f>D61+'26.3'!G61</f>
        <v/>
      </c>
      <c r="H61" s="383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382">
        <f>D73+'26.3'!F73</f>
        <v/>
      </c>
      <c r="G73" s="382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2">
        <f>D74+'26.3'!F74</f>
        <v/>
      </c>
      <c r="G74" s="382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2">
        <f>D75+'26.3'!F75</f>
        <v/>
      </c>
      <c r="G75" s="382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382">
        <f>D76+'26.3'!F76</f>
        <v/>
      </c>
      <c r="G76" s="382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382">
        <f>D77+'26.3'!F77</f>
        <v/>
      </c>
      <c r="G77" s="382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385">
        <f>D90+'26.3'!E90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385">
        <f>D91+'26.3'!E91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385">
        <f>D92+'26.3'!E92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385">
        <f>D93+'26.3'!E93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0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D90+'26.4'!E90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D91+'26.4'!E91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D92+'26.4'!E92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D93+'26.4'!E93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0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D90+'26.5'!E90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D91+'26.5'!E91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D92+'26.5'!E92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D93+'26.5'!E93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0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D90+'26.6'!E90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D91+'26.6'!E91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D92+'26.6'!E92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D93+'26.6'!E93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0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D90+'26.7'!E90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D91+'26.7'!E91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D92+'26.7'!E92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D93+'26.7'!E93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0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D90+'26.8'!E90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D91+'26.8'!E91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D92+'26.8'!E92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D93+'26.8'!E93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0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D90+'26.9'!E90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D91+'26.9'!E91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D92+'26.9'!E92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D93+'26.9'!E93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0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0">
        <f>D90+'26.10'!E90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0">
        <f>D91+'26.10'!E91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0">
        <f>D92+'26.10'!E92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0">
        <f>D93+'26.10'!E93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G3" sqref="G3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79">
        <f>D4</f>
        <v/>
      </c>
      <c r="J4" s="253">
        <f>E4</f>
        <v/>
      </c>
      <c r="K4" s="258">
        <f>F4</f>
        <v/>
      </c>
      <c r="L4" s="262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79">
        <f>D5</f>
        <v/>
      </c>
      <c r="J5" s="253">
        <f>E5</f>
        <v/>
      </c>
      <c r="K5" s="258">
        <f>F5</f>
        <v/>
      </c>
      <c r="L5" s="262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79">
        <f>D6</f>
        <v/>
      </c>
      <c r="J6" s="259">
        <f>E6</f>
        <v/>
      </c>
      <c r="K6" s="259">
        <f>F6</f>
        <v/>
      </c>
      <c r="L6" s="259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0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8">
        <f>E12*1000/E6</f>
        <v/>
      </c>
      <c r="F33" s="308">
        <f>F12*1000/F6</f>
        <v/>
      </c>
      <c r="G33" s="308">
        <f>G12*1000/G6</f>
        <v/>
      </c>
      <c r="H33" s="307">
        <f>H12*1000/H6</f>
        <v/>
      </c>
      <c r="I33" s="309" t="n"/>
      <c r="J33" s="308">
        <f>J12*1000/J6</f>
        <v/>
      </c>
      <c r="K33" s="308">
        <f>K12*1000/K6</f>
        <v/>
      </c>
      <c r="L33" s="308">
        <f>L12*1000/L6</f>
        <v/>
      </c>
      <c r="M33" s="307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8">
        <f>E17/E6</f>
        <v/>
      </c>
      <c r="F34" s="308">
        <f>F17/F6</f>
        <v/>
      </c>
      <c r="G34" s="308">
        <f>G17/G6</f>
        <v/>
      </c>
      <c r="H34" s="307">
        <f>H17/H6</f>
        <v/>
      </c>
      <c r="I34" s="311" t="n"/>
      <c r="J34" s="308">
        <f>J17/J6</f>
        <v/>
      </c>
      <c r="K34" s="308">
        <f>K17/K6</f>
        <v/>
      </c>
      <c r="L34" s="308">
        <f>L17/L6</f>
        <v/>
      </c>
      <c r="M34" s="307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5">
        <f>E15*1000/E6</f>
        <v/>
      </c>
      <c r="F35" s="315">
        <f>F15*1000/F6</f>
        <v/>
      </c>
      <c r="G35" s="315">
        <f>G15*1000/G6</f>
        <v/>
      </c>
      <c r="H35" s="314">
        <f>H15*1000/H6</f>
        <v/>
      </c>
      <c r="I35" s="316" t="n"/>
      <c r="J35" s="315">
        <f>J15*1000/J6</f>
        <v/>
      </c>
      <c r="K35" s="315">
        <f>K15*1000/K6</f>
        <v/>
      </c>
      <c r="L35" s="315">
        <f>L15*1000/L6</f>
        <v/>
      </c>
      <c r="M35" s="314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84">
        <f>D60/D58</f>
        <v/>
      </c>
      <c r="E62" s="384">
        <f>E60/E58</f>
        <v/>
      </c>
      <c r="F62" s="327">
        <f>F60/F58</f>
        <v/>
      </c>
      <c r="G62" s="343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4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8">
        <f>D60/D57</f>
        <v/>
      </c>
      <c r="E65" s="308">
        <f>E60/E57</f>
        <v/>
      </c>
      <c r="F65" s="307">
        <f>F60/F57</f>
        <v/>
      </c>
      <c r="G65" s="345">
        <f>G60/G57</f>
        <v/>
      </c>
      <c r="H65" s="308">
        <f>H60/H57</f>
        <v/>
      </c>
      <c r="I65" s="307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5">
        <f>D59*1000/D57</f>
        <v/>
      </c>
      <c r="E66" s="315">
        <f>E59*1000/E57</f>
        <v/>
      </c>
      <c r="F66" s="314">
        <f>F59*1000/F57</f>
        <v/>
      </c>
      <c r="G66" s="346">
        <f>G59*1000/G57</f>
        <v/>
      </c>
      <c r="H66" s="315">
        <f>H59*1000/H57</f>
        <v/>
      </c>
      <c r="I66" s="314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7" t="n">
        <v>1.4</v>
      </c>
      <c r="F71" s="348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49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0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1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1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3">
        <f>D77/D73</f>
        <v/>
      </c>
      <c r="E78" s="354" t="n"/>
      <c r="F78" s="355">
        <f>F77/F73</f>
        <v/>
      </c>
      <c r="G78" s="356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7">
        <f>E75*1000/E73</f>
        <v/>
      </c>
      <c r="F79" s="358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59" t="n"/>
      <c r="F80" s="360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1">
        <f>E73/(E75*29.308)</f>
        <v/>
      </c>
      <c r="F81" s="362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3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8" t="n">
        <v>0.7887999999999999</v>
      </c>
      <c r="E87" s="369">
        <f>D87</f>
        <v/>
      </c>
      <c r="F87" s="370">
        <f>F55+D87</f>
        <v/>
      </c>
      <c r="G87" s="370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1" t="n"/>
      <c r="E88" s="372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1" t="n"/>
      <c r="E89" s="372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1" t="n"/>
      <c r="E90" s="416">
        <f>D90+'26.11'!E90</f>
        <v/>
      </c>
      <c r="F90" s="373">
        <f>F58+D90</f>
        <v/>
      </c>
      <c r="G90" s="373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1" t="n"/>
      <c r="E91" s="416">
        <f>D91+'26.11'!E91</f>
        <v/>
      </c>
      <c r="F91" s="373">
        <f>F59+D91</f>
        <v/>
      </c>
      <c r="G91" s="373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1" t="n"/>
      <c r="E92" s="416">
        <f>D92+'26.11'!E92</f>
        <v/>
      </c>
      <c r="F92" s="373">
        <f>F60+D92</f>
        <v/>
      </c>
      <c r="G92" s="373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1" t="n"/>
      <c r="E93" s="416">
        <f>D93+'26.11'!E93</f>
        <v/>
      </c>
      <c r="F93" s="373">
        <f>F61+D93</f>
        <v/>
      </c>
      <c r="G93" s="373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4">
        <f>D92/D90</f>
        <v/>
      </c>
      <c r="E94" s="374">
        <f>E92/E90</f>
        <v/>
      </c>
      <c r="F94" s="374">
        <f>F92/F90</f>
        <v/>
      </c>
      <c r="G94" s="374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6" t="n"/>
      <c r="I95" s="376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7">
        <f>D90/D89</f>
        <v/>
      </c>
      <c r="E96" s="377">
        <f>E90/E89</f>
        <v/>
      </c>
      <c r="F96" s="377">
        <f>F90/F89</f>
        <v/>
      </c>
      <c r="G96" s="377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8">
        <f>D92/D89</f>
        <v/>
      </c>
      <c r="E97" s="378">
        <f>E92/E89</f>
        <v/>
      </c>
      <c r="F97" s="378">
        <f>F92/F89</f>
        <v/>
      </c>
      <c r="G97" s="378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8">
        <f>D91*1000/D89</f>
        <v/>
      </c>
      <c r="E98" s="378">
        <f>E91*1000/E89</f>
        <v/>
      </c>
      <c r="F98" s="378">
        <f>F91*1000/F89</f>
        <v/>
      </c>
      <c r="G98" s="378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2026-02-28T11:56:45Z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