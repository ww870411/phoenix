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2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7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0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5" applyAlignment="1">
      <alignment vertical="center"/>
    </xf>
    <xf numFmtId="0" fontId="14" fillId="0" borderId="36" applyAlignment="1">
      <alignment vertical="center"/>
    </xf>
    <xf numFmtId="0" fontId="15" fillId="0" borderId="37" applyAlignment="1">
      <alignment vertical="center"/>
    </xf>
    <xf numFmtId="0" fontId="15" fillId="0" borderId="0" applyAlignment="1">
      <alignment vertical="center"/>
    </xf>
    <xf numFmtId="0" fontId="16" fillId="7" borderId="38" applyAlignment="1">
      <alignment vertical="center"/>
    </xf>
    <xf numFmtId="0" fontId="17" fillId="8" borderId="39" applyAlignment="1">
      <alignment vertical="center"/>
    </xf>
    <xf numFmtId="0" fontId="18" fillId="8" borderId="38" applyAlignment="1">
      <alignment vertical="center"/>
    </xf>
    <xf numFmtId="0" fontId="19" fillId="9" borderId="40" applyAlignment="1">
      <alignment vertical="center"/>
    </xf>
    <xf numFmtId="0" fontId="20" fillId="0" borderId="41" applyAlignment="1">
      <alignment vertical="center"/>
    </xf>
    <xf numFmtId="0" fontId="21" fillId="0" borderId="42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3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8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4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/>
    </xf>
    <xf numFmtId="166" fontId="2" fillId="0" borderId="31" applyAlignment="1" pivotButton="0" quotePrefix="0" xfId="0">
      <alignment vertical="center"/>
    </xf>
    <xf numFmtId="166" fontId="2" fillId="0" borderId="32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3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3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8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8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8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8" fontId="2" fillId="2" borderId="9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8" applyAlignment="1" applyProtection="1" pivotButton="0" quotePrefix="0" xfId="1">
      <alignment vertical="center"/>
      <protection locked="0" hidden="0"/>
    </xf>
    <xf numFmtId="166" fontId="2" fillId="0" borderId="18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1" applyAlignment="1" pivotButton="0" quotePrefix="0" xfId="0">
      <alignment vertical="center"/>
    </xf>
    <xf numFmtId="166" fontId="2" fillId="0" borderId="32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3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3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8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2" borderId="9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8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8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>
        <row r="25">
          <cell r="E25">
            <v>3490</v>
          </cell>
        </row>
        <row r="25">
          <cell r="G25">
            <v>1308</v>
          </cell>
        </row>
      </sheetData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 t="n">
        <v>348</v>
      </c>
      <c r="J3" s="225" t="n">
        <v>162</v>
      </c>
      <c r="K3" s="225">
        <f>F3</f>
        <v/>
      </c>
      <c r="L3" s="230" t="n">
        <v>14</v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>
        <v>1769458.54</v>
      </c>
      <c r="F4" s="234" t="n"/>
      <c r="G4" s="235" t="n">
        <v>2309228.93</v>
      </c>
      <c r="H4" s="236">
        <f>E4+F4+G4</f>
        <v/>
      </c>
      <c r="I4" s="237" t="n"/>
      <c r="J4" s="233" t="n">
        <v>1769458.54</v>
      </c>
      <c r="K4" s="238">
        <f>F4</f>
        <v/>
      </c>
      <c r="L4" s="239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237" t="n"/>
      <c r="J5" s="233" t="n">
        <v>55000</v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216" t="n"/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inlineStr">
        <is>
          <t xml:space="preserve"> -   </t>
        </is>
      </c>
      <c r="E7" s="241" t="n">
        <v>0</v>
      </c>
      <c r="F7" s="241" t="n">
        <v>0</v>
      </c>
      <c r="G7" s="241" t="n">
        <v>0</v>
      </c>
      <c r="H7" s="236">
        <f>E7+F7+G7</f>
        <v/>
      </c>
      <c r="I7" s="244" t="n"/>
      <c r="J7" s="245">
        <f>E7</f>
        <v/>
      </c>
      <c r="K7" s="245">
        <f>F7</f>
        <v/>
      </c>
      <c r="L7" s="245">
        <f>G7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>
        <v>740710</v>
      </c>
      <c r="E8" s="241" t="n">
        <v>156456.25</v>
      </c>
      <c r="F8" s="240" t="n"/>
      <c r="G8" s="235" t="n">
        <v>255718.258551189</v>
      </c>
      <c r="H8" s="236">
        <f>E8+F8+G8</f>
        <v/>
      </c>
      <c r="I8" s="247">
        <f>D8</f>
        <v/>
      </c>
      <c r="J8" s="247">
        <f>E8</f>
        <v/>
      </c>
      <c r="K8" s="247">
        <f>F8</f>
        <v/>
      </c>
      <c r="L8" s="247">
        <f>G8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/>
      <c r="E9" s="248" t="n">
        <v>4030</v>
      </c>
      <c r="F9" s="240" t="n"/>
      <c r="G9" s="240" t="n"/>
      <c r="H9" s="236">
        <f>E9+F9+G9</f>
        <v/>
      </c>
      <c r="I9" s="241" t="n"/>
      <c r="J9" s="245">
        <f>E9</f>
        <v/>
      </c>
      <c r="K9" s="245">
        <f>F9</f>
        <v/>
      </c>
      <c r="L9" s="245">
        <f>G9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>
        <v>42844</v>
      </c>
      <c r="E10" s="234" t="n">
        <v>12660</v>
      </c>
      <c r="F10" s="240" t="n"/>
      <c r="G10" s="235" t="n">
        <v>513</v>
      </c>
      <c r="H10" s="236">
        <f>E10+F10+G10</f>
        <v/>
      </c>
      <c r="I10" s="247">
        <f>D10</f>
        <v/>
      </c>
      <c r="J10" s="247">
        <f>E10</f>
        <v/>
      </c>
      <c r="K10" s="247">
        <f>F10</f>
        <v/>
      </c>
      <c r="L10" s="247">
        <f>G10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>
        <v>9</v>
      </c>
      <c r="E11" s="241" t="n"/>
      <c r="F11" s="241" t="n"/>
      <c r="G11" s="241" t="n">
        <v>0</v>
      </c>
      <c r="H11" s="236">
        <f>E11+F11+G11</f>
        <v/>
      </c>
      <c r="I11" s="247">
        <f>D11</f>
        <v/>
      </c>
      <c r="J11" s="247">
        <f>E11</f>
        <v/>
      </c>
      <c r="K11" s="247">
        <f>F11</f>
        <v/>
      </c>
      <c r="L11" s="247">
        <f>G11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249">
        <f>I13+I14</f>
        <v/>
      </c>
      <c r="J12" s="245">
        <f>E12</f>
        <v/>
      </c>
      <c r="K12" s="245">
        <f>F12</f>
        <v/>
      </c>
      <c r="L12" s="245">
        <f>G12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>
        <v>27612.8043537601</v>
      </c>
      <c r="E13" s="241" t="n">
        <v>7626.19</v>
      </c>
      <c r="F13" s="241" t="n"/>
      <c r="G13" s="246" t="n">
        <v>341.787142941028</v>
      </c>
      <c r="H13" s="250" t="n"/>
      <c r="I13" s="247">
        <f>D13</f>
        <v/>
      </c>
      <c r="J13" s="245">
        <f>E13</f>
        <v/>
      </c>
      <c r="K13" s="241" t="n"/>
      <c r="L13" s="247">
        <f>G13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>
        <v>13.1139</v>
      </c>
      <c r="E14" s="241" t="n"/>
      <c r="F14" s="241" t="n"/>
      <c r="G14" s="241" t="n"/>
      <c r="H14" s="250" t="n"/>
      <c r="I14" s="247">
        <f>D14</f>
        <v/>
      </c>
      <c r="J14" s="241" t="n"/>
      <c r="K14" s="241" t="n"/>
      <c r="L14" s="241" t="n"/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>
        <v>14442</v>
      </c>
      <c r="E15" s="251" t="n">
        <v>22828</v>
      </c>
      <c r="F15" s="240" t="n"/>
      <c r="G15" s="235" t="n">
        <v>48986</v>
      </c>
      <c r="H15" s="236" t="n"/>
      <c r="I15" s="247">
        <f>D15</f>
        <v/>
      </c>
      <c r="J15" s="247">
        <f>E15</f>
        <v/>
      </c>
      <c r="K15" s="245">
        <f>F15</f>
        <v/>
      </c>
      <c r="L15" s="247">
        <f>G15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>
        <v>300</v>
      </c>
      <c r="E16" s="251" t="n"/>
      <c r="F16" s="240" t="n"/>
      <c r="G16" s="240" t="n"/>
      <c r="H16" s="236" t="n"/>
      <c r="I16" s="247">
        <f>D16</f>
        <v/>
      </c>
      <c r="J16" s="245">
        <f>E16</f>
        <v/>
      </c>
      <c r="K16" s="245">
        <f>F16</f>
        <v/>
      </c>
      <c r="L16" s="245">
        <f>G16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>
        <f>D18+D19</f>
        <v/>
      </c>
      <c r="E17" s="251" t="n">
        <v>1787714.1</v>
      </c>
      <c r="F17" s="240" t="n"/>
      <c r="G17" s="235" t="n">
        <v>1187191.5</v>
      </c>
      <c r="H17" s="236" t="n"/>
      <c r="I17" s="247">
        <f>D17</f>
        <v/>
      </c>
      <c r="J17" s="247">
        <f>E17</f>
        <v/>
      </c>
      <c r="K17" s="245" t="n"/>
      <c r="L17" s="247">
        <f>G17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>
        <v>5088913.6</v>
      </c>
      <c r="E18" s="251" t="n"/>
      <c r="F18" s="240" t="n"/>
      <c r="G18" s="240" t="n"/>
      <c r="H18" s="250" t="n"/>
      <c r="I18" s="247">
        <f>D18</f>
        <v/>
      </c>
      <c r="J18" s="241" t="n"/>
      <c r="K18" s="241" t="n"/>
      <c r="L18" s="241" t="n"/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>
        <v>0</v>
      </c>
      <c r="E19" s="235">
        <f>E17</f>
        <v/>
      </c>
      <c r="F19" s="235">
        <f>F17</f>
        <v/>
      </c>
      <c r="G19" s="235">
        <f>G17</f>
        <v/>
      </c>
      <c r="H19" s="250" t="n"/>
      <c r="I19" s="247">
        <f>D19</f>
        <v/>
      </c>
      <c r="J19" s="241" t="n"/>
      <c r="K19" s="241" t="n"/>
      <c r="L19" s="245">
        <f>G19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>
        <v>13000</v>
      </c>
      <c r="E20" s="251" t="n"/>
      <c r="F20" s="240" t="n"/>
      <c r="G20" s="240" t="n"/>
      <c r="H20" s="250" t="n"/>
      <c r="I20" s="247">
        <f>D20</f>
        <v/>
      </c>
      <c r="J20" s="241" t="n"/>
      <c r="K20" s="241" t="n"/>
      <c r="L20" s="241" t="n"/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>
        <v>571020.4</v>
      </c>
      <c r="E21" s="251" t="n"/>
      <c r="F21" s="240" t="n"/>
      <c r="G21" s="240" t="n"/>
      <c r="H21" s="250" t="n"/>
      <c r="I21" s="247">
        <f>D21</f>
        <v/>
      </c>
      <c r="J21" s="241" t="n"/>
      <c r="K21" s="241" t="n"/>
      <c r="L21" s="241" t="n"/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>
        <v>734.29</v>
      </c>
      <c r="E22" s="253" t="n">
        <v>43.975</v>
      </c>
      <c r="F22" s="253" t="n"/>
      <c r="G22" s="253" t="n">
        <v>7.925</v>
      </c>
      <c r="H22" s="254" t="n"/>
      <c r="I22" s="247">
        <f>D22</f>
        <v/>
      </c>
      <c r="J22" s="255" t="n">
        <v>43.975</v>
      </c>
      <c r="K22" s="255">
        <f>F22</f>
        <v/>
      </c>
      <c r="L22" s="247">
        <f>G22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>
        <v>253.8</v>
      </c>
      <c r="E23" s="253" t="n">
        <v>28.64</v>
      </c>
      <c r="F23" s="253" t="n"/>
      <c r="G23" s="253" t="n">
        <v>1.925</v>
      </c>
      <c r="H23" s="254" t="n"/>
      <c r="I23" s="247">
        <f>D23</f>
        <v/>
      </c>
      <c r="J23" s="255" t="n">
        <v>28.64</v>
      </c>
      <c r="K23" s="255">
        <f>F23</f>
        <v/>
      </c>
      <c r="L23" s="247">
        <f>G23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>
        <v>16216</v>
      </c>
      <c r="E26" s="262" t="n">
        <v>9596</v>
      </c>
      <c r="F26" s="263" t="n"/>
      <c r="G26" s="235" t="n">
        <v>119</v>
      </c>
      <c r="H26" s="264" t="n"/>
      <c r="I26" s="247">
        <f>D26</f>
        <v/>
      </c>
      <c r="J26" s="247">
        <f>E26</f>
        <v/>
      </c>
      <c r="K26" s="265">
        <f>F26</f>
        <v/>
      </c>
      <c r="L26" s="247">
        <f>G26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>
        <v>23827</v>
      </c>
      <c r="E27" s="266" t="n">
        <v>9506</v>
      </c>
      <c r="F27" s="266">
        <f>K27</f>
        <v/>
      </c>
      <c r="G27" s="266" t="n">
        <v>714.5</v>
      </c>
      <c r="H27" s="267" t="n"/>
      <c r="I27" s="244" t="n">
        <v>23827</v>
      </c>
      <c r="J27" s="268">
        <f>'[2]25.12'!$J$27+E26-E10</f>
        <v/>
      </c>
      <c r="K27" s="268">
        <f>'[2]25.12'!$K$27+F26-F10</f>
        <v/>
      </c>
      <c r="L27" s="268">
        <f>'[2]25.12'!$L$27+G26-G10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>
        <v>17654.6900884676</v>
      </c>
      <c r="F29" s="241" t="n"/>
      <c r="G29" s="273" t="n"/>
      <c r="H29" s="274" t="n"/>
      <c r="I29" s="275" t="n"/>
      <c r="J29" s="241" t="n">
        <v>17654.6900884676</v>
      </c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7">
        <f>E8/(E12*29.308)</f>
        <v/>
      </c>
      <c r="F30" s="276">
        <f>F8/(F12*29.308)</f>
        <v/>
      </c>
      <c r="G30" s="277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279">
        <f>D8/3.6/D3/(DAY(DATE(2026,2,0))*24)</f>
        <v/>
      </c>
      <c r="E31" s="280">
        <f>E8/3.6/E3/(DAY(DATE(2026,2,0))*24)</f>
        <v/>
      </c>
      <c r="F31" s="279">
        <f>F8/3.6/F3/(DAY(DATE(2026,2,0))*24)</f>
        <v/>
      </c>
      <c r="G31" s="280">
        <f>G8/3.6/G3/(DAY(DATE(2026,2,0))*24)</f>
        <v/>
      </c>
      <c r="H31" s="280">
        <f>H8/3.6/H3/(DAY(DATE(2026,2,0))*24)</f>
        <v/>
      </c>
      <c r="I31" s="281">
        <f>I8/3.6/I3/(DATEDIF(DATE(2026,1,1),DATE(2026,2,1),"D")*24)</f>
        <v/>
      </c>
      <c r="J31" s="279">
        <f>J8/3.6/J3/(DATEDIF(DATE(2026,1,1),DATE(2026,2,1),"D")*24)</f>
        <v/>
      </c>
      <c r="K31" s="279">
        <f>K8/3.6/K3/(DATEDIF(DATE(2026,1,1),DATE(2026,2,1),"D")*24)</f>
        <v/>
      </c>
      <c r="L31" s="279">
        <f>(L8-L36)/3.6/L3/(DATEDIF(DATE(2026,1,1),DATE(2026,2,1),"D")*24)</f>
        <v/>
      </c>
      <c r="M31" s="280">
        <f>M8/3.6/M3/(DATEDIF(DATE(2026,1,1),DATE(2026,2,1),"D")*24)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7">
        <f>E12*1000/E6</f>
        <v/>
      </c>
      <c r="F33" s="288">
        <f>F12*1000/F6</f>
        <v/>
      </c>
      <c r="G33" s="287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7">
        <f>E17/E6</f>
        <v/>
      </c>
      <c r="F34" s="288">
        <f>F17/F6</f>
        <v/>
      </c>
      <c r="G34" s="287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4">
        <f>E15*1000/E6</f>
        <v/>
      </c>
      <c r="F35" s="295">
        <f>F15*1000/F6</f>
        <v/>
      </c>
      <c r="G35" s="294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>
        <v>249708</v>
      </c>
      <c r="H36" s="298" t="n"/>
      <c r="I36" s="298" t="n"/>
      <c r="J36" s="298" t="n"/>
      <c r="K36" s="298" t="n"/>
      <c r="L36" s="247">
        <f>G36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>
        <v>7625.06</v>
      </c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>
        <v>7625.06</v>
      </c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>
        <v>441</v>
      </c>
      <c r="E42" s="306">
        <f>D42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>
        <v>3</v>
      </c>
      <c r="E43" s="306">
        <f>D43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>
        <v>132840.000000001</v>
      </c>
      <c r="E44" s="306">
        <f>D44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06">
        <f>D45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09">
        <f>D42/3.6/D39/(DAY(DATE(2026,2,0))*24)</f>
        <v/>
      </c>
      <c r="E47" s="310">
        <f>E42/3.6/E39/(DATEDIF(DATE(2026,1,1),DATE(2026,2,1),"D")*24)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 t="n">
        <v>6</v>
      </c>
      <c r="H55" s="319" t="n">
        <v>6.4</v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>
        <v>28895.6</v>
      </c>
      <c r="E56" s="273" t="n">
        <v>26350.3</v>
      </c>
      <c r="F56" s="303">
        <f>SUM(D56:E56)</f>
        <v/>
      </c>
      <c r="G56" s="304" t="n">
        <v>28895.6</v>
      </c>
      <c r="H56" s="304" t="n">
        <v>26350.3</v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>
        <v>28895.6</v>
      </c>
      <c r="E57" s="269" t="n">
        <v>26350.3</v>
      </c>
      <c r="F57" s="303">
        <f>SUM(D57:E57)</f>
        <v/>
      </c>
      <c r="G57" s="304" t="n">
        <v>28895.6</v>
      </c>
      <c r="H57" s="304" t="n">
        <v>26350.3</v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>
        <v>2295.5</v>
      </c>
      <c r="E58" s="320" t="n">
        <v>3880.60000000001</v>
      </c>
      <c r="F58" s="303">
        <f>SUM(D58:E58)</f>
        <v/>
      </c>
      <c r="G58" s="304" t="n">
        <v>2295.5</v>
      </c>
      <c r="H58" s="304" t="n">
        <v>3880.60000000001</v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>
        <v>235</v>
      </c>
      <c r="E59" s="273" t="n">
        <v>158.01</v>
      </c>
      <c r="F59" s="303">
        <f>SUM(D59:E59)</f>
        <v/>
      </c>
      <c r="G59" s="304" t="n">
        <v>235</v>
      </c>
      <c r="H59" s="304" t="n">
        <v>158.01</v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>
        <v>706680</v>
      </c>
      <c r="E60" s="273" t="n">
        <v>1137840</v>
      </c>
      <c r="F60" s="303">
        <f>SUM(D60:E60)</f>
        <v/>
      </c>
      <c r="G60" s="304" t="n">
        <v>706680</v>
      </c>
      <c r="H60" s="304" t="n">
        <v>1137840</v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>
        <f>D60</f>
        <v/>
      </c>
      <c r="E61" s="273">
        <f>E60</f>
        <v/>
      </c>
      <c r="F61" s="303">
        <f>SUM(D61:E61)</f>
        <v/>
      </c>
      <c r="G61" s="304" t="n">
        <v>706680</v>
      </c>
      <c r="H61" s="304" t="n">
        <v>1137840</v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07">
        <f>D60/D58</f>
        <v/>
      </c>
      <c r="E62" s="307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09">
        <f>D58/3.6/D55/(DAY(DATE(2026,2,0))*24)</f>
        <v/>
      </c>
      <c r="E63" s="309">
        <f>E58/3.6/E55/(DAY(DATE(2026,2,0))*24)</f>
        <v/>
      </c>
      <c r="F63" s="309">
        <f>F58/3.6/F55/(DAY(DATE(2026,2,0))*24)</f>
        <v/>
      </c>
      <c r="G63" s="281">
        <f>G58/3.6/G55/(DATEDIF(DATE(2026,1,1),DATE(2026,2,1),"D")*24)</f>
        <v/>
      </c>
      <c r="H63" s="279">
        <f>H58/3.6/H55/(DATEDIF(DATE(2026,1,1),DATE(2026,2,1),"D")*24)</f>
        <v/>
      </c>
      <c r="I63" s="280">
        <f>I58/3.6/I55/(DATEDIF(DATE(2026,1,1),DATE(2026,2,1),"D")*24)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5">
        <f>D58/D57</f>
        <v/>
      </c>
      <c r="E64" s="285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7">
        <f>D60/D57</f>
        <v/>
      </c>
      <c r="E65" s="287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4">
        <f>D59*1000/D57</f>
        <v/>
      </c>
      <c r="E66" s="294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06">
        <f>D73</f>
        <v/>
      </c>
      <c r="G73" s="327">
        <f>E73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06">
        <f>D74</f>
        <v/>
      </c>
      <c r="G74" s="327">
        <f>E74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06">
        <f>D75</f>
        <v/>
      </c>
      <c r="G75" s="327">
        <f>E75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06">
        <f>D76</f>
        <v/>
      </c>
      <c r="G76" s="330" t="n"/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06">
        <f>D77</f>
        <v/>
      </c>
      <c r="G77" s="330" t="n"/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42">
        <f>D73/3.6/D71/(DAY(DATE(2026,2,0))*24)</f>
        <v/>
      </c>
      <c r="E82" s="343">
        <f>E73/3.6/E71/(DAY(DATE(2026,2,0))*24)</f>
        <v/>
      </c>
      <c r="F82" s="344">
        <f>F73/3.6/F71/(DATEDIF(DATE(2026,1,1),DATE(2026,2,1),"D")*24)</f>
        <v/>
      </c>
      <c r="G82" s="345">
        <f>G73/3.6/G71/(DATEDIF(DATE(2026,1,1),DATE(2026,2,1),"D")*24)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 t="n">
        <v>0.7887999999999999</v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>
        <v>20723.53</v>
      </c>
      <c r="E88" s="350" t="n">
        <v>20723.53</v>
      </c>
      <c r="F88" s="351">
        <f>F56+D88</f>
        <v/>
      </c>
      <c r="G88" s="351">
        <f>E88+I56</f>
        <v/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>
        <v>20723.53</v>
      </c>
      <c r="E89" s="350" t="n">
        <v>20723.53</v>
      </c>
      <c r="F89" s="351">
        <f>F57+D89</f>
        <v/>
      </c>
      <c r="G89" s="351">
        <f>E89+I57</f>
        <v/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>
        <v>3609.56501600001</v>
      </c>
      <c r="E90" s="350" t="n">
        <v>3609.56501600001</v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>
        <v>49</v>
      </c>
      <c r="E91" s="347" t="n">
        <v>49</v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>
        <v>462809.08</v>
      </c>
      <c r="E92" s="350" t="n">
        <v>462809.08</v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>
        <v>0</v>
      </c>
      <c r="E93" s="347">
        <f>D93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280">
        <f>D90/3.6/D87/(DATEDIF(DATE(2026,1,1),DATE(2026,2,1),"D")*24)</f>
        <v/>
      </c>
      <c r="E95" s="280">
        <f>E90/3.6/E87/(DATEDIF(DATE(2026,1,1),DATE(2026,2,1),"D")*24)</f>
        <v/>
      </c>
      <c r="F95" s="353">
        <f>F90/3.6/F87/(DAY(DATE(2026,2,0))*24)</f>
        <v/>
      </c>
      <c r="G95" s="280">
        <f>G90/3.6/G87/(DATEDIF(DATE(2026,1,1),DATE(2026,2,1),"D")*24)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E9" sqref="E9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>
        <f>1714928+55000</f>
        <v/>
      </c>
      <c r="F4" s="234" t="n"/>
      <c r="G4" s="235" t="n">
        <v>2312810.64</v>
      </c>
      <c r="H4" s="236">
        <f>E4+F4+G4</f>
        <v/>
      </c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>
        <v>0</v>
      </c>
      <c r="H7" s="236">
        <f>E7+F7+G7</f>
        <v/>
      </c>
      <c r="I7" s="358">
        <f>D7+'26.1'!I7</f>
        <v/>
      </c>
      <c r="J7" s="358">
        <f>E7+'26.1'!J7</f>
        <v/>
      </c>
      <c r="K7" s="358">
        <f>F7+'26.1'!K7</f>
        <v/>
      </c>
      <c r="L7" s="358">
        <f>G7+'26.1'!L7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>
        <v>427548</v>
      </c>
      <c r="E8" s="241" t="n">
        <v>111004.1467164</v>
      </c>
      <c r="F8" s="240" t="n"/>
      <c r="G8" s="235" t="n">
        <v>185169.25</v>
      </c>
      <c r="H8" s="236">
        <f>E8+F8+G8</f>
        <v/>
      </c>
      <c r="I8" s="358">
        <f>D8+'26.1'!I8</f>
        <v/>
      </c>
      <c r="J8" s="358">
        <f>E8+'26.1'!J8</f>
        <v/>
      </c>
      <c r="K8" s="358">
        <f>F8+'26.1'!K8</f>
        <v/>
      </c>
      <c r="L8" s="358">
        <f>G8+'26.1'!L8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/>
      <c r="E9" s="248">
        <f>[1]售热量!$E$25</f>
        <v/>
      </c>
      <c r="F9" s="240" t="n"/>
      <c r="G9" s="240" t="n"/>
      <c r="H9" s="236">
        <f>E9+F9+G9</f>
        <v/>
      </c>
      <c r="I9" s="358">
        <f>D9+'26.1'!I9</f>
        <v/>
      </c>
      <c r="J9" s="358">
        <f>E9+'26.1'!J9</f>
        <v/>
      </c>
      <c r="K9" s="358">
        <f>F9+'26.1'!K9</f>
        <v/>
      </c>
      <c r="L9" s="358">
        <f>G9+'26.1'!L9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>
        <v>23382</v>
      </c>
      <c r="E10" s="234" t="n">
        <v>8996</v>
      </c>
      <c r="F10" s="240" t="n"/>
      <c r="G10" s="235" t="n">
        <v>418</v>
      </c>
      <c r="H10" s="236">
        <f>E10+F10+G10</f>
        <v/>
      </c>
      <c r="I10" s="358">
        <f>D10+'26.1'!I10</f>
        <v/>
      </c>
      <c r="J10" s="358">
        <f>E10+'26.1'!J10</f>
        <v/>
      </c>
      <c r="K10" s="358">
        <f>F10+'26.1'!K10</f>
        <v/>
      </c>
      <c r="L10" s="358">
        <f>G10+'26.1'!L10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>
        <v>7.2</v>
      </c>
      <c r="E11" s="241" t="n"/>
      <c r="F11" s="241" t="n"/>
      <c r="G11" s="241" t="n">
        <v>0</v>
      </c>
      <c r="H11" s="236">
        <f>E11+F11+G11</f>
        <v/>
      </c>
      <c r="I11" s="358">
        <f>D11+'26.1'!I11</f>
        <v/>
      </c>
      <c r="J11" s="358">
        <f>E11+'26.1'!J11</f>
        <v/>
      </c>
      <c r="K11" s="358">
        <f>F11+'26.1'!K11</f>
        <v/>
      </c>
      <c r="L11" s="358">
        <f>G11+'26.1'!L11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58">
        <f>D12+'26.1'!I12</f>
        <v/>
      </c>
      <c r="J12" s="358">
        <f>E12+'26.1'!J12</f>
        <v/>
      </c>
      <c r="K12" s="358">
        <f>F12+'26.1'!K12</f>
        <v/>
      </c>
      <c r="L12" s="358">
        <f>G12+'26.1'!L12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>
        <v>15835.8485737683</v>
      </c>
      <c r="E13" s="241" t="n">
        <v>5410.719</v>
      </c>
      <c r="F13" s="241" t="n"/>
      <c r="G13" s="246" t="n">
        <v>278.493227581579</v>
      </c>
      <c r="H13" s="250" t="n"/>
      <c r="I13" s="358">
        <f>D13+'26.1'!I13</f>
        <v/>
      </c>
      <c r="J13" s="358">
        <f>E13+'26.1'!J13</f>
        <v/>
      </c>
      <c r="K13" s="358">
        <f>F13+'26.1'!K13</f>
        <v/>
      </c>
      <c r="L13" s="358">
        <f>G13+'26.1'!L13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>
        <v>10.49112</v>
      </c>
      <c r="E14" s="241" t="n"/>
      <c r="F14" s="241" t="n"/>
      <c r="G14" s="241" t="n"/>
      <c r="H14" s="250" t="n"/>
      <c r="I14" s="358">
        <f>D14+'26.1'!I14</f>
        <v/>
      </c>
      <c r="J14" s="358">
        <f>E14+'26.1'!J14</f>
        <v/>
      </c>
      <c r="K14" s="358">
        <f>F14+'26.1'!K14</f>
        <v/>
      </c>
      <c r="L14" s="358">
        <f>G14+'26.1'!L14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>
        <v>9098</v>
      </c>
      <c r="E15" s="251" t="n">
        <v>20635</v>
      </c>
      <c r="F15" s="240" t="n"/>
      <c r="G15" s="235" t="n">
        <v>48396</v>
      </c>
      <c r="H15" s="236" t="n"/>
      <c r="I15" s="358">
        <f>D15+'26.1'!I15</f>
        <v/>
      </c>
      <c r="J15" s="358">
        <f>E15+'26.1'!J15</f>
        <v/>
      </c>
      <c r="K15" s="358">
        <f>F15+'26.1'!K15</f>
        <v/>
      </c>
      <c r="L15" s="358">
        <f>G15+'26.1'!L15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>
        <v>2675</v>
      </c>
      <c r="E16" s="251" t="n"/>
      <c r="F16" s="240" t="n"/>
      <c r="G16" s="240" t="n"/>
      <c r="H16" s="236" t="n"/>
      <c r="I16" s="358">
        <f>D16+'26.1'!I16</f>
        <v/>
      </c>
      <c r="J16" s="358">
        <f>E16+'26.1'!J16</f>
        <v/>
      </c>
      <c r="K16" s="358">
        <f>F16+'26.1'!K16</f>
        <v/>
      </c>
      <c r="L16" s="358">
        <f>G16+'26.1'!L16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>
        <f>D18+D19</f>
        <v/>
      </c>
      <c r="E17" s="251" t="n">
        <v>1499873.9</v>
      </c>
      <c r="F17" s="240" t="n"/>
      <c r="G17" s="235" t="n">
        <v>1076566</v>
      </c>
      <c r="H17" s="236" t="n"/>
      <c r="I17" s="358">
        <f>D17+'26.1'!I17</f>
        <v/>
      </c>
      <c r="J17" s="358">
        <f>E17+'26.1'!J17</f>
        <v/>
      </c>
      <c r="K17" s="358" t="n"/>
      <c r="L17" s="358">
        <f>G17+'26.1'!L17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>
        <v>3033878.4</v>
      </c>
      <c r="E18" s="251" t="n"/>
      <c r="F18" s="240" t="n"/>
      <c r="G18" s="240" t="n"/>
      <c r="H18" s="250" t="n"/>
      <c r="I18" s="358">
        <f>D18+'26.1'!I18</f>
        <v/>
      </c>
      <c r="J18" s="358">
        <f>E18+'26.1'!J18</f>
        <v/>
      </c>
      <c r="K18" s="358">
        <f>F18+'26.1'!K18</f>
        <v/>
      </c>
      <c r="L18" s="358">
        <f>G18+'26.1'!L18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>
        <v>0</v>
      </c>
      <c r="E19" s="235">
        <f>E17</f>
        <v/>
      </c>
      <c r="F19" s="235">
        <f>F17</f>
        <v/>
      </c>
      <c r="G19" s="235">
        <f>G17</f>
        <v/>
      </c>
      <c r="H19" s="250" t="n"/>
      <c r="I19" s="358">
        <f>D19+'26.1'!I19</f>
        <v/>
      </c>
      <c r="J19" s="358">
        <f>E19+'26.1'!J19</f>
        <v/>
      </c>
      <c r="K19" s="358">
        <f>F19+'26.1'!K19</f>
        <v/>
      </c>
      <c r="L19" s="358">
        <f>G19+'26.1'!L19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>
        <v>8425</v>
      </c>
      <c r="E20" s="251" t="n"/>
      <c r="F20" s="240" t="n"/>
      <c r="G20" s="240" t="n"/>
      <c r="H20" s="250" t="n"/>
      <c r="I20" s="358">
        <f>D20+'26.1'!I20</f>
        <v/>
      </c>
      <c r="J20" s="358">
        <f>E20+'26.1'!J20</f>
        <v/>
      </c>
      <c r="K20" s="358">
        <f>F20+'26.1'!K20</f>
        <v/>
      </c>
      <c r="L20" s="358">
        <f>G20+'26.1'!L20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>
        <v>358589.699999999</v>
      </c>
      <c r="E21" s="251" t="n"/>
      <c r="F21" s="240" t="n"/>
      <c r="G21" s="240" t="n"/>
      <c r="H21" s="250" t="n"/>
      <c r="I21" s="358">
        <f>D21+'26.1'!I21</f>
        <v/>
      </c>
      <c r="J21" s="358">
        <f>E21+'26.1'!J21</f>
        <v/>
      </c>
      <c r="K21" s="358">
        <f>F21+'26.1'!K21</f>
        <v/>
      </c>
      <c r="L21" s="358">
        <f>G21+'26.1'!L21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>
        <v>337.22</v>
      </c>
      <c r="E22" s="253" t="n">
        <v>25.18</v>
      </c>
      <c r="F22" s="253" t="n"/>
      <c r="G22" s="253" t="n">
        <v>5.45</v>
      </c>
      <c r="H22" s="254" t="n"/>
      <c r="I22" s="358">
        <f>D22+'26.1'!I22</f>
        <v/>
      </c>
      <c r="J22" s="358">
        <f>E22+'26.1'!J22</f>
        <v/>
      </c>
      <c r="K22" s="358">
        <f>F22+'26.1'!K22</f>
        <v/>
      </c>
      <c r="L22" s="358">
        <f>G22+'26.1'!L22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>
        <v>117.97</v>
      </c>
      <c r="E23" s="253" t="n">
        <v>20.65</v>
      </c>
      <c r="F23" s="253" t="n"/>
      <c r="G23" s="253" t="n">
        <v>2.1</v>
      </c>
      <c r="H23" s="254" t="n"/>
      <c r="I23" s="358">
        <f>D23+'26.1'!I23</f>
        <v/>
      </c>
      <c r="J23" s="358">
        <f>E23+'26.1'!J23</f>
        <v/>
      </c>
      <c r="K23" s="358">
        <f>F23+'26.1'!K23</f>
        <v/>
      </c>
      <c r="L23" s="358">
        <f>G23+'26.1'!L23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>
        <v>7772</v>
      </c>
      <c r="E26" s="262" t="n">
        <v>3783</v>
      </c>
      <c r="F26" s="263" t="n"/>
      <c r="G26" s="235" t="n">
        <v>0</v>
      </c>
      <c r="H26" s="264" t="n"/>
      <c r="I26" s="358">
        <f>D26+'26.1'!I26</f>
        <v/>
      </c>
      <c r="J26" s="358">
        <f>E26+'26.1'!J26</f>
        <v/>
      </c>
      <c r="K26" s="358">
        <f>F26+'26.1'!K26</f>
        <v/>
      </c>
      <c r="L26" s="358">
        <f>G26+'26.1'!L26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>
        <v>8211</v>
      </c>
      <c r="E27" s="266">
        <f>J27</f>
        <v/>
      </c>
      <c r="F27" s="266">
        <f>K27</f>
        <v/>
      </c>
      <c r="G27" s="266">
        <f>L27</f>
        <v/>
      </c>
      <c r="H27" s="267" t="n"/>
      <c r="I27" s="244">
        <f>D27</f>
        <v/>
      </c>
      <c r="J27" s="359">
        <f>'26.1'!J27+E26-E10</f>
        <v/>
      </c>
      <c r="K27" s="359">
        <f>'26.1'!K27+F26-F10</f>
        <v/>
      </c>
      <c r="L27" s="359">
        <f>'26.1'!L27+G26-G10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>
        <v>17627.5402903513</v>
      </c>
      <c r="F29" s="241" t="n"/>
      <c r="G29" s="273" t="n"/>
      <c r="H29" s="274" t="n"/>
      <c r="I29" s="275" t="n"/>
      <c r="J29" s="241" t="n">
        <v>17643.4119399704</v>
      </c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7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279">
        <f>D8/3.6/D3/(DAY(DATE(2026,3,0))*24)</f>
        <v/>
      </c>
      <c r="E31" s="279">
        <f>E8/3.6/E3/(DAY(DATE(2026,3,0))*24)</f>
        <v/>
      </c>
      <c r="F31" s="279">
        <f>F8/3.6/F3/(DAY(DATE(2026,3,0))*24)</f>
        <v/>
      </c>
      <c r="G31" s="279">
        <f>(G8-G36)/3.6/G3/(DAY(DATE(2026,3,0))*24)</f>
        <v/>
      </c>
      <c r="H31" s="280">
        <f>H8/3.6/H3/(DAY(DATE(2026,3,0))*24)</f>
        <v/>
      </c>
      <c r="I31" s="281">
        <f>I8/3.6/I3/(DATEDIF(DATE(2026,1,1),DATE(2026,3,1),"D")*24)</f>
        <v/>
      </c>
      <c r="J31" s="279">
        <f>J8/3.6/J3/(DATEDIF(DATE(2026,1,1),DATE(2026,3,1),"D")*24)</f>
        <v/>
      </c>
      <c r="K31" s="279">
        <f>K8/3.6/K3/(DATEDIF(DATE(2026,1,1),DATE(2026,3,1),"D")*24)</f>
        <v/>
      </c>
      <c r="L31" s="279">
        <f>(L8-L36)/3.6/L3/(DATEDIF(DATE(2026,1,1),DATE(2026,3,1),"D")*24)</f>
        <v/>
      </c>
      <c r="M31" s="280">
        <f>M8/3.6/M3/(DATEDIF(DATE(2026,1,1),DATE(2026,3,1),"D")*24)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>
        <v>180272</v>
      </c>
      <c r="H36" s="298" t="n"/>
      <c r="I36" s="298" t="n"/>
      <c r="J36" s="298" t="n"/>
      <c r="K36" s="298" t="n"/>
      <c r="L36" s="298">
        <f>G36+'26.1'!G36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>
        <v>7625.06</v>
      </c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>
        <v>7625.06</v>
      </c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>
        <v>448</v>
      </c>
      <c r="E42" s="360">
        <f>D42+'26.1'!E42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>
        <v>7</v>
      </c>
      <c r="E43" s="360">
        <f>D43+'26.1'!E43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>
        <v>134823.999999999</v>
      </c>
      <c r="E44" s="360">
        <f>D44+'26.1'!E44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60">
        <f>D45+'26.1'!E45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09">
        <f>D42/3.6/D39/(DAY(DATE(2026,3,0))*24)</f>
        <v/>
      </c>
      <c r="E47" s="310">
        <f>E42/3.6/E39/(DATEDIF(DATE(2026,1,1),DATE(2026,3,1),"D")*24)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>
        <v>28895.6</v>
      </c>
      <c r="E56" s="273" t="n">
        <v>26350.3</v>
      </c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>
        <v>28895.6</v>
      </c>
      <c r="E57" s="269" t="n">
        <v>26350.3</v>
      </c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>
        <v>1517.8</v>
      </c>
      <c r="E58" s="320" t="n">
        <v>2815.2</v>
      </c>
      <c r="F58" s="303">
        <f>SUM(D58:E58)</f>
        <v/>
      </c>
      <c r="G58" s="361">
        <f>D58+'26.1'!G58</f>
        <v/>
      </c>
      <c r="H58" s="361">
        <f>E58+'26.1'!H58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>
        <v>329.9</v>
      </c>
      <c r="E59" s="273" t="n">
        <v>7.88999999999987</v>
      </c>
      <c r="F59" s="303">
        <f>SUM(D59:E59)</f>
        <v/>
      </c>
      <c r="G59" s="361">
        <f>D59+'26.1'!G59</f>
        <v/>
      </c>
      <c r="H59" s="361">
        <f>E59+'26.1'!H59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>
        <v>477760</v>
      </c>
      <c r="E60" s="273" t="n">
        <v>853280</v>
      </c>
      <c r="F60" s="303">
        <f>SUM(D60:E60)</f>
        <v/>
      </c>
      <c r="G60" s="361">
        <f>D60+'26.1'!G60</f>
        <v/>
      </c>
      <c r="H60" s="361">
        <f>E60+'26.1'!H60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>
        <v>477760</v>
      </c>
      <c r="E61" s="273" t="n">
        <v>853280</v>
      </c>
      <c r="F61" s="303">
        <f>SUM(D61:E61)</f>
        <v/>
      </c>
      <c r="G61" s="361">
        <f>D61+'26.1'!G61</f>
        <v/>
      </c>
      <c r="H61" s="361">
        <f>E61+'26.1'!H61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 t="n">
        <v>314.77137962841</v>
      </c>
      <c r="E62" s="362" t="n">
        <v>303.097470872407</v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279" t="n">
        <v>0.0975951646090535</v>
      </c>
      <c r="E63" s="279" t="n">
        <v>0.169704861111111</v>
      </c>
      <c r="F63" s="309">
        <f>F58/3.6/F55/(DAY(DATE(2026,3,0))*24)</f>
        <v/>
      </c>
      <c r="G63" s="281">
        <f>G58/3.6/G55/(DATEDIF(DATE(2026,1,1),DATE(2026,3,1),"D")*24)</f>
        <v/>
      </c>
      <c r="H63" s="279">
        <f>H58/3.6/H55/(DATEDIF(DATE(2026,1,1),DATE(2026,3,1),"D")*24)</f>
        <v/>
      </c>
      <c r="I63" s="280">
        <f>I58/3.6/I55/(DATEDIF(DATE(2026,1,1),DATE(2026,3,1),"D")*24)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 t="n">
        <v>16.5340051772588</v>
      </c>
      <c r="E65" s="288" t="n">
        <v>32.3821740169941</v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 t="n">
        <v>11.416963136256</v>
      </c>
      <c r="E66" s="295" t="n">
        <v>0.299427330998124</v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60">
        <f>D73+'26.1'!F73</f>
        <v/>
      </c>
      <c r="G73" s="360">
        <f>E73+'26.1'!G73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60">
        <f>D74+'26.1'!F74</f>
        <v/>
      </c>
      <c r="G74" s="360">
        <f>E74+'26.1'!G74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60">
        <f>D75+'26.1'!F75</f>
        <v/>
      </c>
      <c r="G75" s="360">
        <f>E75+'26.1'!G75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60">
        <f>D76+'26.1'!F76</f>
        <v/>
      </c>
      <c r="G76" s="360">
        <f>E76+'26.1'!G76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60">
        <f>D77+'26.1'!F77</f>
        <v/>
      </c>
      <c r="G77" s="360">
        <f>E77+'26.1'!G77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42">
        <f>D73/3.6/D71/(DAY(DATE(2026,3,0))*24)</f>
        <v/>
      </c>
      <c r="E82" s="343">
        <f>E73/3.6/E71/(DAY(DATE(2026,3,0))*24)</f>
        <v/>
      </c>
      <c r="F82" s="344">
        <f>F73/3.6/F71/(DATEDIF(DATE(2026,1,1),DATE(2026,3,1),"D")*24)</f>
        <v/>
      </c>
      <c r="G82" s="345">
        <f>G73/3.6/G71/(DATEDIF(DATE(2026,1,1),DATE(2026,3,1),"D")*24)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>
        <v>20723.53</v>
      </c>
      <c r="E88" s="350">
        <f>D88</f>
        <v/>
      </c>
      <c r="F88" s="363" t="n">
        <v>76087.57000000001</v>
      </c>
      <c r="G88" s="363">
        <f>F88</f>
        <v/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>
        <v>20723.53</v>
      </c>
      <c r="E89" s="350">
        <f>D89</f>
        <v/>
      </c>
      <c r="F89" s="363" t="n">
        <v>76087.57000000001</v>
      </c>
      <c r="G89" s="363">
        <f>F89</f>
        <v/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>
        <v>2746.058993</v>
      </c>
      <c r="E90" s="364">
        <f>D90+'26.1'!E90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>
        <v>37.5</v>
      </c>
      <c r="E91" s="364">
        <f>D91+'26.1'!E91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>
        <v>317571.8</v>
      </c>
      <c r="E92" s="364">
        <f>D92+'26.1'!E92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>
        <v>0</v>
      </c>
      <c r="E93" s="364">
        <f>D93+'26.1'!E93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 t="n">
        <v>115.646386625169</v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53" t="n">
        <v>1.34309880817948</v>
      </c>
      <c r="E95" s="280">
        <f>E90/3.6/E87/(DATEDIF(DATE(2026,1,1),DATE(2026,3,1),"D")*24)</f>
        <v/>
      </c>
      <c r="F95" s="353">
        <f>F90/3.6/F87/(DAY(DATE(2026,3,0))*24)</f>
        <v/>
      </c>
      <c r="G95" s="280">
        <f>G90/3.6/G87/(DATEDIF(DATE(2026,1,1),DATE(2026,3,1),"D")*24)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 t="n">
        <v>15.324213587164</v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 t="n">
        <v>1.80953727477896</v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tabSelected="1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>
        <v>1769458.54</v>
      </c>
      <c r="F4" s="234" t="n"/>
      <c r="G4" s="235" t="n">
        <v>2302718.78</v>
      </c>
      <c r="H4" s="236">
        <f>E4+F4+G4</f>
        <v/>
      </c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65">
        <f>D7+'26.2'!I7</f>
        <v/>
      </c>
      <c r="J7" s="365">
        <f>E7+'26.2'!J7</f>
        <v/>
      </c>
      <c r="K7" s="365">
        <f>F7+'26.2'!K7</f>
        <v/>
      </c>
      <c r="L7" s="365">
        <f>G7+'26.2'!L7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>
        <v>274869</v>
      </c>
      <c r="E8" s="241" t="n">
        <v>47008.0507792</v>
      </c>
      <c r="F8" s="240" t="n"/>
      <c r="G8" s="235" t="n">
        <v>111586.38</v>
      </c>
      <c r="H8" s="236">
        <f>E8+F8+G8</f>
        <v/>
      </c>
      <c r="I8" s="365">
        <f>D8+'26.2'!I8</f>
        <v/>
      </c>
      <c r="J8" s="365">
        <f>E8+'26.2'!J8</f>
        <v/>
      </c>
      <c r="K8" s="365">
        <f>F8+'26.2'!K8</f>
        <v/>
      </c>
      <c r="L8" s="365">
        <f>G8+'26.2'!L8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/>
      <c r="E9" s="366">
        <f>[1]售热量!$G$25</f>
        <v/>
      </c>
      <c r="F9" s="240" t="n"/>
      <c r="G9" s="240" t="n"/>
      <c r="H9" s="236">
        <f>E9+F9+G9</f>
        <v/>
      </c>
      <c r="I9" s="365">
        <f>D9+'26.2'!I9</f>
        <v/>
      </c>
      <c r="J9" s="365">
        <f>E9+'26.2'!J9</f>
        <v/>
      </c>
      <c r="K9" s="365">
        <f>F9+'26.2'!K9</f>
        <v/>
      </c>
      <c r="L9" s="365">
        <f>G9+'26.2'!L9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>
        <v>14365</v>
      </c>
      <c r="E10" s="234" t="n">
        <v>4061</v>
      </c>
      <c r="F10" s="240" t="n"/>
      <c r="G10" s="235" t="n">
        <v>241.4</v>
      </c>
      <c r="H10" s="236">
        <f>E10+F10+G10</f>
        <v/>
      </c>
      <c r="I10" s="365">
        <f>D10+'26.2'!I10</f>
        <v/>
      </c>
      <c r="J10" s="365">
        <f>E10+'26.2'!J10</f>
        <v/>
      </c>
      <c r="K10" s="365">
        <f>F10+'26.2'!K10</f>
        <v/>
      </c>
      <c r="L10" s="365">
        <f>G10+'26.2'!L10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>
        <v>3.6</v>
      </c>
      <c r="E11" s="241" t="n"/>
      <c r="F11" s="241" t="n"/>
      <c r="G11" s="241" t="n"/>
      <c r="H11" s="236">
        <f>E11+F11+G11</f>
        <v/>
      </c>
      <c r="I11" s="365">
        <f>D11+'26.2'!I11</f>
        <v/>
      </c>
      <c r="J11" s="365">
        <f>E11+'26.2'!J11</f>
        <v/>
      </c>
      <c r="K11" s="365">
        <f>F11+'26.2'!K11</f>
        <v/>
      </c>
      <c r="L11" s="365">
        <f>G11+'26.2'!L11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65">
        <f>D12+'26.2'!I12</f>
        <v/>
      </c>
      <c r="J12" s="365">
        <f>E12+'26.2'!J12</f>
        <v/>
      </c>
      <c r="K12" s="365">
        <f>F12+'26.2'!K12</f>
        <v/>
      </c>
      <c r="L12" s="365">
        <f>G12+'26.2'!L12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>
        <v>10108.7153678177</v>
      </c>
      <c r="E13" s="241" t="n">
        <v>2291.332</v>
      </c>
      <c r="F13" s="241" t="n"/>
      <c r="G13" s="246" t="n">
        <v>148.33</v>
      </c>
      <c r="H13" s="250" t="n"/>
      <c r="I13" s="365">
        <f>D13+'26.2'!I13</f>
        <v/>
      </c>
      <c r="J13" s="365">
        <f>E13+'26.2'!J13</f>
        <v/>
      </c>
      <c r="K13" s="365">
        <f>F13+'26.2'!K13</f>
        <v/>
      </c>
      <c r="L13" s="365">
        <f>G13+'26.2'!L13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>
        <v>5.24556</v>
      </c>
      <c r="E14" s="241" t="n"/>
      <c r="F14" s="241" t="n"/>
      <c r="G14" s="241" t="n"/>
      <c r="H14" s="250" t="n"/>
      <c r="I14" s="365">
        <f>D14+'26.2'!I14</f>
        <v/>
      </c>
      <c r="J14" s="365">
        <f>E14+'26.2'!J14</f>
        <v/>
      </c>
      <c r="K14" s="365">
        <f>F14+'26.2'!K14</f>
        <v/>
      </c>
      <c r="L14" s="365">
        <f>G14+'26.2'!L14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>
        <v>6259</v>
      </c>
      <c r="E15" s="251" t="n">
        <v>19928</v>
      </c>
      <c r="F15" s="240" t="n"/>
      <c r="G15" s="235" t="n">
        <v>51522</v>
      </c>
      <c r="H15" s="236" t="n"/>
      <c r="I15" s="365">
        <f>D15+'26.2'!I15</f>
        <v/>
      </c>
      <c r="J15" s="365">
        <f>E15+'26.2'!J15</f>
        <v/>
      </c>
      <c r="K15" s="365">
        <f>F15+'26.2'!K15</f>
        <v/>
      </c>
      <c r="L15" s="365">
        <f>G15+'26.2'!L15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>
        <v>1475</v>
      </c>
      <c r="E16" s="251" t="n"/>
      <c r="F16" s="240" t="n"/>
      <c r="G16" s="240" t="n"/>
      <c r="H16" s="236" t="n"/>
      <c r="I16" s="365">
        <f>D16+'26.2'!I16</f>
        <v/>
      </c>
      <c r="J16" s="365">
        <f>E16+'26.2'!J16</f>
        <v/>
      </c>
      <c r="K16" s="365">
        <f>F16+'26.2'!K16</f>
        <v/>
      </c>
      <c r="L16" s="365">
        <f>G16+'26.2'!L16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>
        <v>1095806.72</v>
      </c>
      <c r="F17" s="240" t="n"/>
      <c r="G17" s="235" t="n">
        <v>977651.80000002</v>
      </c>
      <c r="H17" s="236" t="n"/>
      <c r="I17" s="365">
        <f>D17+'26.2'!I17</f>
        <v/>
      </c>
      <c r="J17" s="365">
        <f>E17+'26.2'!J17</f>
        <v/>
      </c>
      <c r="K17" s="358" t="n"/>
      <c r="L17" s="365">
        <f>G17+'26.2'!L17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>
        <v>2178945.5</v>
      </c>
      <c r="E18" s="251" t="n"/>
      <c r="F18" s="240" t="n"/>
      <c r="G18" s="240" t="n"/>
      <c r="H18" s="250" t="n"/>
      <c r="I18" s="365">
        <f>D18+'26.2'!I18</f>
        <v/>
      </c>
      <c r="J18" s="365">
        <f>E18+'26.2'!J18</f>
        <v/>
      </c>
      <c r="K18" s="365">
        <f>F18+'26.2'!K18</f>
        <v/>
      </c>
      <c r="L18" s="365">
        <f>G18+'26.2'!L18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>
        <v>0</v>
      </c>
      <c r="E19" s="235" t="n"/>
      <c r="F19" s="235" t="n"/>
      <c r="G19" s="235" t="n"/>
      <c r="H19" s="250" t="n"/>
      <c r="I19" s="365">
        <f>D19+'26.2'!I19</f>
        <v/>
      </c>
      <c r="J19" s="365" t="n"/>
      <c r="K19" s="365">
        <f>F19+'26.2'!K19</f>
        <v/>
      </c>
      <c r="L19" s="365">
        <f>G19+'26.2'!L19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>
        <v>5646</v>
      </c>
      <c r="E20" s="251" t="n"/>
      <c r="F20" s="240" t="n"/>
      <c r="G20" s="240" t="n"/>
      <c r="H20" s="250" t="n"/>
      <c r="I20" s="365">
        <f>D20+'26.2'!I20</f>
        <v/>
      </c>
      <c r="J20" s="365">
        <f>E20+'26.2'!J20</f>
        <v/>
      </c>
      <c r="K20" s="365">
        <f>F20+'26.2'!K20</f>
        <v/>
      </c>
      <c r="L20" s="365">
        <f>G20+'26.2'!L20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>
        <v>346336.600000001</v>
      </c>
      <c r="E21" s="251" t="n"/>
      <c r="F21" s="240" t="n"/>
      <c r="G21" s="240" t="n"/>
      <c r="H21" s="250" t="n"/>
      <c r="I21" s="365">
        <f>D21+'26.2'!I21</f>
        <v/>
      </c>
      <c r="J21" s="365">
        <f>E21+'26.2'!J21</f>
        <v/>
      </c>
      <c r="K21" s="365">
        <f>F21+'26.2'!K21</f>
        <v/>
      </c>
      <c r="L21" s="365">
        <f>G21+'26.2'!L21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>
        <v>333</v>
      </c>
      <c r="E22" s="253" t="n">
        <v>35.23</v>
      </c>
      <c r="F22" s="253" t="n"/>
      <c r="G22" s="253" t="n">
        <v>4.25</v>
      </c>
      <c r="H22" s="254" t="n"/>
      <c r="I22" s="365">
        <f>D22+'26.2'!I22</f>
        <v/>
      </c>
      <c r="J22" s="365">
        <f>E22+'26.2'!J22</f>
        <v/>
      </c>
      <c r="K22" s="365">
        <f>F22+'26.2'!K22</f>
        <v/>
      </c>
      <c r="L22" s="365">
        <f>G22+'26.2'!L22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>
        <v>59.13</v>
      </c>
      <c r="E23" s="253" t="n">
        <v>12.725</v>
      </c>
      <c r="F23" s="253" t="n"/>
      <c r="G23" s="253" t="n">
        <v>2</v>
      </c>
      <c r="H23" s="254" t="n"/>
      <c r="I23" s="365">
        <f>D23+'26.2'!I23</f>
        <v/>
      </c>
      <c r="J23" s="365">
        <f>E23+'26.2'!J23</f>
        <v/>
      </c>
      <c r="K23" s="365">
        <f>F23+'26.2'!K23</f>
        <v/>
      </c>
      <c r="L23" s="365">
        <f>G23+'26.2'!L23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>
        <v>5976</v>
      </c>
      <c r="E26" s="262" t="n">
        <v>0</v>
      </c>
      <c r="F26" s="263" t="n"/>
      <c r="G26" s="235" t="n">
        <v>0</v>
      </c>
      <c r="H26" s="264" t="n"/>
      <c r="I26" s="365">
        <f>D26+'26.2'!I26</f>
        <v/>
      </c>
      <c r="J26" s="365">
        <f>E26+'26.2'!J26</f>
        <v/>
      </c>
      <c r="K26" s="365">
        <f>F26+'26.2'!K26</f>
        <v/>
      </c>
      <c r="L26" s="365">
        <f>G26+'26.2'!L26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>
        <v>297</v>
      </c>
      <c r="E27" s="266">
        <f>J27</f>
        <v/>
      </c>
      <c r="F27" s="266">
        <f>K27</f>
        <v/>
      </c>
      <c r="G27" s="266">
        <f>L27</f>
        <v/>
      </c>
      <c r="H27" s="267" t="n"/>
      <c r="I27" s="244">
        <f>D27</f>
        <v/>
      </c>
      <c r="J27" s="367">
        <f>'26.2'!J27+E26-E10</f>
        <v/>
      </c>
      <c r="K27" s="367">
        <f>'26.2'!K27+F26-F10</f>
        <v/>
      </c>
      <c r="L27" s="367">
        <f>'26.2'!L27+G26-G10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>
        <v>16536.4093218419</v>
      </c>
      <c r="F29" s="241" t="n"/>
      <c r="G29" s="273" t="n"/>
      <c r="H29" s="274" t="n"/>
      <c r="I29" s="275" t="n"/>
      <c r="J29" s="241" t="n">
        <v>17468.3873977525</v>
      </c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279">
        <f>D8/3.6/D3/(DAY(DATE(2026,4,0))*24)</f>
        <v/>
      </c>
      <c r="E31" s="279">
        <f>E8/3.6/E3/(DAY(DATE(2026,4,0))*24)</f>
        <v/>
      </c>
      <c r="F31" s="279">
        <f>F8/3.6/F3/(DAY(DATE(2026,4,0))*24)</f>
        <v/>
      </c>
      <c r="G31" s="279">
        <f>(G8-G36)/3.6/G3/(DAY(DATE(2026,4,0))*24)</f>
        <v/>
      </c>
      <c r="H31" s="280">
        <f>H8/3.6/H3/(DAY(DATE(2026,4,0))*24)</f>
        <v/>
      </c>
      <c r="I31" s="281">
        <f>I8/3.6/I3/(DATEDIF(DATE(2026,1,1),DATE(2026,4,1),"D")*24)</f>
        <v/>
      </c>
      <c r="J31" s="279">
        <f>J8/3.6/J3/(DATEDIF(DATE(2026,1,1),DATE(2026,4,1),"D")*24)</f>
        <v/>
      </c>
      <c r="K31" s="279">
        <f>K8/3.6/K3/(DATEDIF(DATE(2026,1,1),DATE(2026,4,1),"D")*24)</f>
        <v/>
      </c>
      <c r="L31" s="279">
        <f>(L8-L36)/3.6/L3/(DATEDIF(DATE(2026,1,1),DATE(2026,4,1),"D")*24)</f>
        <v/>
      </c>
      <c r="M31" s="280">
        <f>M8/3.6/M3/(DATEDIF(DATE(2026,1,1),DATE(2026,4,1),"D")*24)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>
        <v>108978</v>
      </c>
      <c r="H36" s="298" t="n"/>
      <c r="I36" s="298" t="n"/>
      <c r="J36" s="298" t="n"/>
      <c r="K36" s="298" t="n"/>
      <c r="L36" s="365">
        <f>G36+'26.2'!L36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>
        <v>7625.06</v>
      </c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>
        <v>7625.06</v>
      </c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>
        <v>289</v>
      </c>
      <c r="E42" s="306">
        <f>D42+'26.2'!E42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>
        <v>0</v>
      </c>
      <c r="E43" s="306">
        <f>D43+'26.2'!E43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>
        <v>89424.00000000049</v>
      </c>
      <c r="E44" s="306">
        <f>D44+'26.2'!E44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 t="n"/>
      <c r="E45" s="306">
        <f>D45+'26.2'!E45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09">
        <f>D42/3.6/D39/(DAY(DATE(2026,4,0))*24)</f>
        <v/>
      </c>
      <c r="E47" s="310">
        <f>E42/3.6/E39/(DATEDIF(DATE(2026,1,1),DATE(2026,4,1),"D")*24)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>
        <v>28895.6</v>
      </c>
      <c r="E56" s="273" t="n">
        <v>26350.3</v>
      </c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>
        <v>28895.6</v>
      </c>
      <c r="E57" s="269" t="n">
        <v>26350.3</v>
      </c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>
        <v>1160.7</v>
      </c>
      <c r="E58" s="320" t="n">
        <v>1680.2</v>
      </c>
      <c r="F58" s="303">
        <f>SUM(D58:E58)</f>
        <v/>
      </c>
      <c r="G58" s="304">
        <f>D58+'26.2'!G58</f>
        <v/>
      </c>
      <c r="H58" s="304">
        <f>E58+'26.2'!H58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>
        <v>289.099999999999</v>
      </c>
      <c r="E59" s="273" t="n">
        <v>60.9000000000001</v>
      </c>
      <c r="F59" s="303">
        <f>SUM(D59:E59)</f>
        <v/>
      </c>
      <c r="G59" s="304">
        <f>D59+'26.2'!G59</f>
        <v/>
      </c>
      <c r="H59" s="304">
        <f>E59+'26.2'!H59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>
        <v>384240</v>
      </c>
      <c r="E60" s="273" t="n">
        <v>529040</v>
      </c>
      <c r="F60" s="303">
        <f>SUM(D60:E60)</f>
        <v/>
      </c>
      <c r="G60" s="304">
        <f>D60+'26.2'!G60</f>
        <v/>
      </c>
      <c r="H60" s="304">
        <f>E60+'26.2'!H60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>
        <v>384240</v>
      </c>
      <c r="E61" s="273" t="n">
        <v>529040</v>
      </c>
      <c r="F61" s="303">
        <f>SUM(D61:E61)</f>
        <v/>
      </c>
      <c r="G61" s="304">
        <f>D61+'26.2'!G61</f>
        <v/>
      </c>
      <c r="H61" s="304">
        <f>E61+'26.2'!H61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 t="n">
        <v>331.041612819851</v>
      </c>
      <c r="E62" s="362" t="n">
        <v>314.867277705036</v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279" t="n">
        <v>0.0746334876543208</v>
      </c>
      <c r="E63" s="279" t="n">
        <v>0.101285204475308</v>
      </c>
      <c r="F63" s="309">
        <f>F58/3.6/F55/(DAY(DATE(2026,4,0))*24)</f>
        <v/>
      </c>
      <c r="G63" s="281">
        <f>G58/3.6/G55/(DATEDIF(DATE(2026,1,1),DATE(2026,4,1),"D")*24)</f>
        <v/>
      </c>
      <c r="H63" s="279">
        <f>H58/3.6/H55/(DATEDIF(DATE(2026,1,1),DATE(2026,4,1),"D")*24)</f>
        <v/>
      </c>
      <c r="I63" s="280">
        <f>I58/3.6/I55/(DATEDIF(DATE(2026,1,1),DATE(2026,4,1),"D")*24)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 t="n">
        <v>13.2975262669749</v>
      </c>
      <c r="E65" s="288" t="n">
        <v>20.0771907720216</v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 t="n">
        <v>10.004983457689</v>
      </c>
      <c r="E66" s="295" t="n">
        <v>2.31116913279925</v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06">
        <f>D73+'26.2'!F73</f>
        <v/>
      </c>
      <c r="G73" s="306">
        <f>E73+'26.2'!G73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06">
        <f>D74+'26.2'!F74</f>
        <v/>
      </c>
      <c r="G74" s="306">
        <f>E74+'26.2'!G74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06">
        <f>D75+'26.2'!F75</f>
        <v/>
      </c>
      <c r="G75" s="306">
        <f>E75+'26.2'!G75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06">
        <f>D76+'26.2'!F76</f>
        <v/>
      </c>
      <c r="G76" s="306">
        <f>E76+'26.2'!G76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06">
        <f>D77+'26.2'!F77</f>
        <v/>
      </c>
      <c r="G77" s="306">
        <f>E77+'26.2'!G77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42">
        <f>D73/3.6/D71/(DAY(DATE(2026,4,0))*24)</f>
        <v/>
      </c>
      <c r="E82" s="343">
        <f>E73/3.6/E71/(DAY(DATE(2026,4,0))*24)</f>
        <v/>
      </c>
      <c r="F82" s="344">
        <f>F73/3.6/F71/(DATEDIF(DATE(2026,1,1),DATE(2026,4,1),"D")*24)</f>
        <v/>
      </c>
      <c r="G82" s="345">
        <f>G73/3.6/G71/(DATEDIF(DATE(2026,1,1),DATE(2026,4,1),"D")*24)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>
        <v>20723.53</v>
      </c>
      <c r="E88" s="350">
        <f>D88</f>
        <v/>
      </c>
      <c r="F88" s="351">
        <f>F56+D88</f>
        <v/>
      </c>
      <c r="G88" s="351">
        <f>E88+I56</f>
        <v/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>
        <v>20723.53</v>
      </c>
      <c r="E89" s="350">
        <f>D89</f>
        <v/>
      </c>
      <c r="F89" s="351">
        <f>F57+D89</f>
        <v/>
      </c>
      <c r="G89" s="351">
        <f>E89+I57</f>
        <v/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>
        <v>2376.44938</v>
      </c>
      <c r="E90" s="368">
        <f>D90+'26.2'!E90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>
        <v>44.5</v>
      </c>
      <c r="E91" s="368">
        <f>D91+'26.2'!E91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>
        <v>222558.12</v>
      </c>
      <c r="E92" s="368">
        <f>D92+'26.2'!E92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68">
        <f>D93+'26.2'!E93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 t="n">
        <v>93.6515298297663</v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53" t="n">
        <v>1.16232256412303</v>
      </c>
      <c r="E95" s="280">
        <f>E90/3.6/E87/(DATEDIF(DATE(2026,1,1),DATE(2026,4,1),"D")*24)</f>
        <v/>
      </c>
      <c r="F95" s="353">
        <f>F90/3.6/F87/(DAY(DATE(2026,4,0))*24)</f>
        <v/>
      </c>
      <c r="G95" s="280">
        <f>G90/3.6/G87/(DATEDIF(DATE(2026,1,1),DATE(2026,4,1),"D")*24)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 t="n">
        <v>10.7393923718594</v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 t="n">
        <v>2.14731756607103</v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58">
        <f>D7+'26.3'!I7</f>
        <v/>
      </c>
      <c r="J7" s="358">
        <f>E7+'26.3'!J7</f>
        <v/>
      </c>
      <c r="K7" s="358">
        <f>F7+'26.3'!K7</f>
        <v/>
      </c>
      <c r="L7" s="358">
        <f>G7+'26.3'!L7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58">
        <f>D8+'26.3'!I8</f>
        <v/>
      </c>
      <c r="J8" s="358">
        <f>E8+'26.3'!J8</f>
        <v/>
      </c>
      <c r="K8" s="358">
        <f>F8+'26.3'!K8</f>
        <v/>
      </c>
      <c r="L8" s="358">
        <f>G8+'26.3'!L8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66">
        <f>[1]售热量!$I$25</f>
        <v/>
      </c>
      <c r="F9" s="240" t="n"/>
      <c r="G9" s="240" t="n"/>
      <c r="H9" s="236">
        <f>E9+F9+G9</f>
        <v/>
      </c>
      <c r="I9" s="358">
        <f>D9+'26.3'!I9</f>
        <v/>
      </c>
      <c r="J9" s="358">
        <f>E9+'26.3'!J9</f>
        <v/>
      </c>
      <c r="K9" s="358">
        <f>F9+'26.3'!K9</f>
        <v/>
      </c>
      <c r="L9" s="358">
        <f>G9+'26.3'!L9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58">
        <f>D10+'26.3'!I10</f>
        <v/>
      </c>
      <c r="J10" s="358">
        <f>E10+'26.3'!J10</f>
        <v/>
      </c>
      <c r="K10" s="358">
        <f>F10+'26.3'!K10</f>
        <v/>
      </c>
      <c r="L10" s="358">
        <f>G10+'26.3'!L10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/>
      <c r="F11" s="241" t="n"/>
      <c r="G11" s="241" t="n"/>
      <c r="H11" s="236">
        <f>E11+F11+G11</f>
        <v/>
      </c>
      <c r="I11" s="358">
        <f>D11+'26.3'!I11</f>
        <v/>
      </c>
      <c r="J11" s="358">
        <f>E11+'26.3'!J11</f>
        <v/>
      </c>
      <c r="K11" s="358">
        <f>F11+'26.3'!K11</f>
        <v/>
      </c>
      <c r="L11" s="358">
        <f>G11+'26.3'!L11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58">
        <f>D12+'26.3'!I12</f>
        <v/>
      </c>
      <c r="J12" s="358">
        <f>E12+'26.3'!J12</f>
        <v/>
      </c>
      <c r="K12" s="358">
        <f>F12+'26.3'!K12</f>
        <v/>
      </c>
      <c r="L12" s="358">
        <f>G12+'26.3'!L12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58">
        <f>D13+'26.3'!I13</f>
        <v/>
      </c>
      <c r="J13" s="358">
        <f>E13+'26.3'!J13</f>
        <v/>
      </c>
      <c r="K13" s="358">
        <f>F13+'26.3'!K13</f>
        <v/>
      </c>
      <c r="L13" s="358">
        <f>G13+'26.3'!L13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58">
        <f>D14+'26.3'!I14</f>
        <v/>
      </c>
      <c r="J14" s="358">
        <f>E14+'26.3'!J14</f>
        <v/>
      </c>
      <c r="K14" s="358">
        <f>F14+'26.3'!K14</f>
        <v/>
      </c>
      <c r="L14" s="358">
        <f>G14+'26.3'!L14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58">
        <f>D15+'26.3'!I15</f>
        <v/>
      </c>
      <c r="J15" s="358">
        <f>E15+'26.3'!J15</f>
        <v/>
      </c>
      <c r="K15" s="358">
        <f>F15+'26.3'!K15</f>
        <v/>
      </c>
      <c r="L15" s="358">
        <f>G15+'26.3'!L15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58">
        <f>D16+'26.3'!I16</f>
        <v/>
      </c>
      <c r="J16" s="358">
        <f>E16+'26.3'!J16</f>
        <v/>
      </c>
      <c r="K16" s="358">
        <f>F16+'26.3'!K16</f>
        <v/>
      </c>
      <c r="L16" s="358">
        <f>G16+'26.3'!L16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58">
        <f>D17+'26.3'!I17</f>
        <v/>
      </c>
      <c r="J17" s="358">
        <f>E17+'26.3'!J17</f>
        <v/>
      </c>
      <c r="K17" s="358" t="n"/>
      <c r="L17" s="358">
        <f>G17+'26.3'!L17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58">
        <f>D18+'26.3'!I18</f>
        <v/>
      </c>
      <c r="J18" s="358">
        <f>E18+'26.3'!J18</f>
        <v/>
      </c>
      <c r="K18" s="358">
        <f>F18+'26.3'!K18</f>
        <v/>
      </c>
      <c r="L18" s="358">
        <f>G18+'26.3'!L18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35" t="n"/>
      <c r="F19" s="235" t="n"/>
      <c r="G19" s="235" t="n"/>
      <c r="H19" s="250" t="n"/>
      <c r="I19" s="358">
        <f>D19+'26.3'!I19</f>
        <v/>
      </c>
      <c r="J19" s="365" t="n"/>
      <c r="K19" s="358">
        <f>F19+'26.3'!K19</f>
        <v/>
      </c>
      <c r="L19" s="358">
        <f>G19+'26.3'!L19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58">
        <f>D20+'26.3'!I20</f>
        <v/>
      </c>
      <c r="J20" s="358">
        <f>E20+'26.3'!J20</f>
        <v/>
      </c>
      <c r="K20" s="358">
        <f>F20+'26.3'!K20</f>
        <v/>
      </c>
      <c r="L20" s="358">
        <f>G20+'26.3'!L20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58">
        <f>D21+'26.3'!I21</f>
        <v/>
      </c>
      <c r="J21" s="358">
        <f>E21+'26.3'!J21</f>
        <v/>
      </c>
      <c r="K21" s="358">
        <f>F21+'26.3'!K21</f>
        <v/>
      </c>
      <c r="L21" s="358">
        <f>G21+'26.3'!L21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58">
        <f>D22+'26.3'!I22</f>
        <v/>
      </c>
      <c r="J22" s="358">
        <f>E22+'26.3'!J22</f>
        <v/>
      </c>
      <c r="K22" s="358">
        <f>F22+'26.3'!K22</f>
        <v/>
      </c>
      <c r="L22" s="358">
        <f>G22+'26.3'!L22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58">
        <f>D23+'26.3'!I23</f>
        <v/>
      </c>
      <c r="J23" s="358">
        <f>E23+'26.3'!J23</f>
        <v/>
      </c>
      <c r="K23" s="358">
        <f>F23+'26.3'!K23</f>
        <v/>
      </c>
      <c r="L23" s="358">
        <f>G23+'26.3'!L23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58">
        <f>D26+'26.3'!I26</f>
        <v/>
      </c>
      <c r="J26" s="358">
        <f>E26+'26.3'!J26</f>
        <v/>
      </c>
      <c r="K26" s="358">
        <f>F26+'26.3'!K26</f>
        <v/>
      </c>
      <c r="L26" s="358">
        <f>G26+'26.3'!L26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>
        <f>D27</f>
        <v/>
      </c>
      <c r="J27" s="359">
        <f>'26.3'!J27+E26-E10</f>
        <v/>
      </c>
      <c r="K27" s="359">
        <f>'26.3'!K27+F26-F10</f>
        <v/>
      </c>
      <c r="L27" s="359">
        <f>'26.3'!L27+G26-G10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69">
        <f>D8/3.6/D3/(5*24)</f>
        <v/>
      </c>
      <c r="E31" s="369">
        <f>E8/3.6/E3/(5*24)</f>
        <v/>
      </c>
      <c r="F31" s="369">
        <f>F8/3.6/F3/(5*24)</f>
        <v/>
      </c>
      <c r="G31" s="279">
        <f>(G8-G36)/3.6/G3/(DAY(DATE(2026,5,0))*24)</f>
        <v/>
      </c>
      <c r="H31" s="370">
        <f>H8/3.6/H3/(5*24)</f>
        <v/>
      </c>
      <c r="I31" s="371">
        <f>I8/3.6/I3/(DATEDIF(DATE(2026,1,1),DATE(2026,5,1),"D")*24)</f>
        <v/>
      </c>
      <c r="J31" s="372">
        <f>J8/3.6/J3/(DATEDIF(DATE(2026,1,1),DATE(2026,5,1),"D")*24)</f>
        <v/>
      </c>
      <c r="K31" s="372">
        <f>K8/3.6/K3/(DATEDIF(DATE(2026,1,1),DATE(2026,5,1),"D")*24)</f>
        <v/>
      </c>
      <c r="L31" s="372">
        <f>(L8-L36)/3.6/L3/(DATEDIF(DATE(2026,1,1),DATE(2026,5,1),"D")*24)</f>
        <v/>
      </c>
      <c r="M31" s="373">
        <f>M8/3.6/M3/(DATEDIF(DATE(2026,1,1),DATE(2026,5,1),"D")*24)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58">
        <f>G36+'26.3'!L36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60">
        <f>D42+'26.3'!E42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60">
        <f>D43+'26.3'!E43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60">
        <f>D44+'26.3'!E44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60">
        <f>D45+'26.3'!E45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74">
        <f>D42/3.6/D39/(5*24)</f>
        <v/>
      </c>
      <c r="E47" s="375">
        <f>E42/3.6/E39/(DATEDIF(DATE(2026,1,1),DATE(2026,5,1),"D")*24)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61">
        <f>D58+'26.3'!G58</f>
        <v/>
      </c>
      <c r="H58" s="361">
        <f>E58+'26.3'!H58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61">
        <f>D59+'26.3'!G59</f>
        <v/>
      </c>
      <c r="H59" s="361">
        <f>E59+'26.3'!H59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61">
        <f>D60+'26.3'!G60</f>
        <v/>
      </c>
      <c r="H60" s="361">
        <f>E60+'26.3'!H60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61">
        <f>D61+'26.3'!G61</f>
        <v/>
      </c>
      <c r="H61" s="361">
        <f>E61+'26.3'!H61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69">
        <f>D58/3.6/D55/(5*24)</f>
        <v/>
      </c>
      <c r="E63" s="369">
        <f>E58/3.6/E55/(5*24)</f>
        <v/>
      </c>
      <c r="F63" s="374">
        <f>F58/3.6/F55/(5*24)</f>
        <v/>
      </c>
      <c r="G63" s="371">
        <f>G58/3.6/G55/(DATEDIF(DATE(2026,1,1),DATE(2026,5,1),"D")*24)</f>
        <v/>
      </c>
      <c r="H63" s="372">
        <f>H58/3.6/H55/(DATEDIF(DATE(2026,1,1),DATE(2026,5,1),"D")*24)</f>
        <v/>
      </c>
      <c r="I63" s="373">
        <f>I58/3.6/I55/(DATEDIF(DATE(2026,1,1),DATE(2026,5,1),"D")*24)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60">
        <f>D73+'26.3'!F73</f>
        <v/>
      </c>
      <c r="G73" s="360">
        <f>E73+'26.3'!G73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60">
        <f>D74+'26.3'!F74</f>
        <v/>
      </c>
      <c r="G74" s="360">
        <f>E74+'26.3'!G74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60">
        <f>D75+'26.3'!F75</f>
        <v/>
      </c>
      <c r="G75" s="360">
        <f>E75+'26.3'!G75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60">
        <f>D76+'26.3'!F76</f>
        <v/>
      </c>
      <c r="G76" s="360">
        <f>E76+'26.3'!G76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60">
        <f>D77+'26.3'!F77</f>
        <v/>
      </c>
      <c r="G77" s="360">
        <f>E77+'26.3'!G77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76">
        <f>D73/3.6/D71/(5*24)</f>
        <v/>
      </c>
      <c r="E82" s="377">
        <f>E73/3.6/E71/(5*24)</f>
        <v/>
      </c>
      <c r="F82" s="378">
        <f>F73/3.6/F71/(DATEDIF(DATE(2026,1,1),DATE(2026,5,1),"D")*24)</f>
        <v/>
      </c>
      <c r="G82" s="379">
        <f>G73/3.6/G71/(DATEDIF(DATE(2026,1,1),DATE(2026,5,1),"D")*24)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64">
        <f>D90+'26.3'!E90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64">
        <f>D91+'26.3'!E91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64">
        <f>D92+'26.3'!E92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64">
        <f>D93+'26.3'!E93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81">
        <f>D90/3.6/D87/(5*24)</f>
        <v/>
      </c>
      <c r="E95" s="373">
        <f>E90/3.6/E87/(DATEDIF(DATE(2026,1,1),DATE(2026,5,1),"D")*24)</f>
        <v/>
      </c>
      <c r="F95" s="381">
        <f>F90/3.6/F87/(5*24)</f>
        <v/>
      </c>
      <c r="G95" s="373">
        <f>G90/3.6/G87/(DATEDIF(DATE(2026,1,1),DATE(2026,5,1),"D")*24)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82">
        <f>D7+'26.4'!I7</f>
        <v/>
      </c>
      <c r="J7" s="382">
        <f>E7+'26.4'!J7</f>
        <v/>
      </c>
      <c r="K7" s="382">
        <f>F7+'26.4'!K7</f>
        <v/>
      </c>
      <c r="L7" s="382">
        <f>G7+'26.4'!L7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82">
        <f>D8+'26.4'!I8</f>
        <v/>
      </c>
      <c r="J8" s="382">
        <f>E8+'26.4'!J8</f>
        <v/>
      </c>
      <c r="K8" s="382">
        <f>F8+'26.4'!K8</f>
        <v/>
      </c>
      <c r="L8" s="382">
        <f>G8+'26.4'!L8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66">
        <f>[1]售热量!$K$25</f>
        <v/>
      </c>
      <c r="F9" s="240" t="n"/>
      <c r="G9" s="240" t="n"/>
      <c r="H9" s="236">
        <f>E9+F9+G9</f>
        <v/>
      </c>
      <c r="I9" s="382">
        <f>D9+'26.4'!I9</f>
        <v/>
      </c>
      <c r="J9" s="382">
        <f>E9+'26.4'!J9</f>
        <v/>
      </c>
      <c r="K9" s="382">
        <f>F9+'26.4'!K9</f>
        <v/>
      </c>
      <c r="L9" s="382">
        <f>G9+'26.4'!L9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82">
        <f>D10+'26.4'!I10</f>
        <v/>
      </c>
      <c r="J10" s="382">
        <f>E10+'26.4'!J10</f>
        <v/>
      </c>
      <c r="K10" s="382">
        <f>F10+'26.4'!K10</f>
        <v/>
      </c>
      <c r="L10" s="382">
        <f>G10+'26.4'!L10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82">
        <f>D11+'26.4'!I11</f>
        <v/>
      </c>
      <c r="J11" s="382">
        <f>E11+'26.4'!J11</f>
        <v/>
      </c>
      <c r="K11" s="382">
        <f>F11+'26.4'!K11</f>
        <v/>
      </c>
      <c r="L11" s="382">
        <f>G11+'26.4'!L11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82">
        <f>D12+'26.4'!I12</f>
        <v/>
      </c>
      <c r="J12" s="382">
        <f>E12+'26.4'!J12</f>
        <v/>
      </c>
      <c r="K12" s="382">
        <f>F12+'26.4'!K12</f>
        <v/>
      </c>
      <c r="L12" s="382">
        <f>G12+'26.4'!L12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82">
        <f>D13+'26.4'!I13</f>
        <v/>
      </c>
      <c r="J13" s="382">
        <f>E13+'26.4'!J13</f>
        <v/>
      </c>
      <c r="K13" s="382">
        <f>F13+'26.4'!K13</f>
        <v/>
      </c>
      <c r="L13" s="382">
        <f>G13+'26.4'!L13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82">
        <f>D14+'26.4'!I14</f>
        <v/>
      </c>
      <c r="J14" s="382">
        <f>E14+'26.4'!J14</f>
        <v/>
      </c>
      <c r="K14" s="382">
        <f>F14+'26.4'!K14</f>
        <v/>
      </c>
      <c r="L14" s="382">
        <f>G14+'26.4'!L14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82">
        <f>D15+'26.4'!I15</f>
        <v/>
      </c>
      <c r="J15" s="382">
        <f>E15+'26.4'!J15</f>
        <v/>
      </c>
      <c r="K15" s="382">
        <f>F15+'26.4'!K15</f>
        <v/>
      </c>
      <c r="L15" s="382">
        <f>G15+'26.4'!L15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82">
        <f>D16+'26.4'!I16</f>
        <v/>
      </c>
      <c r="J16" s="382">
        <f>E16+'26.4'!J16</f>
        <v/>
      </c>
      <c r="K16" s="382">
        <f>F16+'26.4'!K16</f>
        <v/>
      </c>
      <c r="L16" s="382">
        <f>G16+'26.4'!L16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82">
        <f>D17+'26.4'!I17</f>
        <v/>
      </c>
      <c r="J17" s="382">
        <f>E17+'26.4'!J17</f>
        <v/>
      </c>
      <c r="K17" s="358" t="n"/>
      <c r="L17" s="382">
        <f>G17+'26.4'!L17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82">
        <f>D18+'26.4'!I18</f>
        <v/>
      </c>
      <c r="J18" s="382">
        <f>E18+'26.4'!J18</f>
        <v/>
      </c>
      <c r="K18" s="382">
        <f>F18+'26.4'!K18</f>
        <v/>
      </c>
      <c r="L18" s="382">
        <f>G18+'26.4'!L18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35" t="n"/>
      <c r="F19" s="235" t="n"/>
      <c r="G19" s="235" t="n"/>
      <c r="H19" s="250" t="n"/>
      <c r="I19" s="382">
        <f>D19+'26.4'!I19</f>
        <v/>
      </c>
      <c r="J19" s="365" t="n"/>
      <c r="K19" s="382">
        <f>F19+'26.4'!K19</f>
        <v/>
      </c>
      <c r="L19" s="382">
        <f>G19+'26.4'!L19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82">
        <f>D20+'26.4'!I20</f>
        <v/>
      </c>
      <c r="J20" s="382">
        <f>E20+'26.4'!J20</f>
        <v/>
      </c>
      <c r="K20" s="382">
        <f>F20+'26.4'!K20</f>
        <v/>
      </c>
      <c r="L20" s="382">
        <f>G20+'26.4'!L20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82">
        <f>D21+'26.4'!I21</f>
        <v/>
      </c>
      <c r="J21" s="382">
        <f>E21+'26.4'!J21</f>
        <v/>
      </c>
      <c r="K21" s="382">
        <f>F21+'26.4'!K21</f>
        <v/>
      </c>
      <c r="L21" s="382">
        <f>G21+'26.4'!L21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82">
        <f>D22+'26.4'!I22</f>
        <v/>
      </c>
      <c r="J22" s="382">
        <f>E22+'26.4'!J22</f>
        <v/>
      </c>
      <c r="K22" s="382">
        <f>F22+'26.4'!K22</f>
        <v/>
      </c>
      <c r="L22" s="382">
        <f>G22+'26.4'!L22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82">
        <f>D23+'26.4'!I23</f>
        <v/>
      </c>
      <c r="J23" s="382">
        <f>E23+'26.4'!J23</f>
        <v/>
      </c>
      <c r="K23" s="382">
        <f>F23+'26.4'!K23</f>
        <v/>
      </c>
      <c r="L23" s="382">
        <f>G23+'26.4'!L23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82">
        <f>D26+'26.4'!I26</f>
        <v/>
      </c>
      <c r="J26" s="382">
        <f>E26+'26.4'!J26</f>
        <v/>
      </c>
      <c r="K26" s="382">
        <f>F26+'26.4'!K26</f>
        <v/>
      </c>
      <c r="L26" s="382">
        <f>G26+'26.4'!L26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>
        <f>D27</f>
        <v/>
      </c>
      <c r="J27" s="383">
        <f>'26.4'!J27+E26-E10</f>
        <v/>
      </c>
      <c r="K27" s="383">
        <f>'26.4'!K27+F26-F10</f>
        <v/>
      </c>
      <c r="L27" s="383">
        <f>'26.4'!L27+G26-G10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D8/3.6/D3/(DAY(DATE(2026,6,0))*24)</f>
        <v/>
      </c>
      <c r="E31" s="372">
        <f>E8/3.6/E3/(DAY(DATE(2026,6,0))*24)</f>
        <v/>
      </c>
      <c r="F31" s="372">
        <f>F8/3.6/F3/(DAY(DATE(2026,6,0))*24)</f>
        <v/>
      </c>
      <c r="G31" s="372">
        <f>(G8-G36)/3.6/G3/(DAY(DATE(2026,6,0))*24)</f>
        <v/>
      </c>
      <c r="H31" s="373">
        <f>H8/3.6/H3/(DAY(DATE(2026,6,0))*24)</f>
        <v/>
      </c>
      <c r="I31" s="371">
        <f>I8/3.6/I3/(DATEDIF(DATE(2026,1,1),DATE(2026,6,1),"D")*24)</f>
        <v/>
      </c>
      <c r="J31" s="372">
        <f>J8/3.6/J3/(DATEDIF(DATE(2026,1,1),DATE(2026,6,1),"D")*24)</f>
        <v/>
      </c>
      <c r="K31" s="372">
        <f>K8/3.6/K3/(DATEDIF(DATE(2026,1,1),DATE(2026,6,1),"D")*24)</f>
        <v/>
      </c>
      <c r="L31" s="372">
        <f>(L8-L36)/3.6/L3/(DATEDIF(DATE(2026,1,1),DATE(2026,6,1),"D")*24)</f>
        <v/>
      </c>
      <c r="M31" s="373">
        <f>M8/3.6/M3/(DATEDIF(DATE(2026,1,1),DATE(2026,6,1),"D")*24)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82">
        <f>G36+'26.4'!L36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84">
        <f>D42+'26.4'!E42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84">
        <f>D43+'26.4'!E43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84">
        <f>D44+'26.4'!E44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84">
        <f>D45+'26.4'!E45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D42/3.6/D39/(DAY(DATE(2026,6,0))*24)</f>
        <v/>
      </c>
      <c r="E47" s="375">
        <f>E42/3.6/E39/(DATEDIF(DATE(2026,1,1),DATE(2026,6,1),"D")*24)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86">
        <f>D58+'26.4'!G58</f>
        <v/>
      </c>
      <c r="H58" s="386">
        <f>E58+'26.4'!H58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86">
        <f>D59+'26.4'!G59</f>
        <v/>
      </c>
      <c r="H59" s="386">
        <f>E59+'26.4'!H59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86">
        <f>D60+'26.4'!G60</f>
        <v/>
      </c>
      <c r="H60" s="386">
        <f>E60+'26.4'!H60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86">
        <f>D61+'26.4'!G61</f>
        <v/>
      </c>
      <c r="H61" s="386">
        <f>E61+'26.4'!H61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D58/3.6/D55/(DAY(DATE(2026,6,0))*24)</f>
        <v/>
      </c>
      <c r="E63" s="372">
        <f>E58/3.6/E55/(DAY(DATE(2026,6,0))*24)</f>
        <v/>
      </c>
      <c r="F63" s="385">
        <f>F58/3.6/F55/(DAY(DATE(2026,6,0))*24)</f>
        <v/>
      </c>
      <c r="G63" s="371">
        <f>G58/3.6/G55/(DATEDIF(DATE(2026,1,1),DATE(2026,6,1),"D")*24)</f>
        <v/>
      </c>
      <c r="H63" s="372">
        <f>H58/3.6/H55/(DATEDIF(DATE(2026,1,1),DATE(2026,6,1),"D")*24)</f>
        <v/>
      </c>
      <c r="I63" s="373">
        <f>I58/3.6/I55/(DATEDIF(DATE(2026,1,1),DATE(2026,6,1),"D")*24)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84">
        <f>D73+'26.4'!F73</f>
        <v/>
      </c>
      <c r="G73" s="384">
        <f>E73+'26.4'!G73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84">
        <f>D74+'26.4'!F74</f>
        <v/>
      </c>
      <c r="G74" s="384">
        <f>E74+'26.4'!G74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84">
        <f>D75+'26.4'!F75</f>
        <v/>
      </c>
      <c r="G75" s="384">
        <f>E75+'26.4'!G75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84">
        <f>D76+'26.4'!F76</f>
        <v/>
      </c>
      <c r="G76" s="384">
        <f>E76+'26.4'!G76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84">
        <f>D77+'26.4'!F77</f>
        <v/>
      </c>
      <c r="G77" s="384">
        <f>E77+'26.4'!G77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D73/3.6/D71/(DAY(DATE(2026,6,0))*24)</f>
        <v/>
      </c>
      <c r="E82" s="388">
        <f>E73/3.6/E71/(DAY(DATE(2026,6,0))*24)</f>
        <v/>
      </c>
      <c r="F82" s="378">
        <f>F73/3.6/F71/(DATEDIF(DATE(2026,1,1),DATE(2026,6,1),"D")*24)</f>
        <v/>
      </c>
      <c r="G82" s="379">
        <f>G73/3.6/G71/(DATEDIF(DATE(2026,1,1),DATE(2026,6,1),"D")*24)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89">
        <f>D90+'26.4'!E90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89">
        <f>D91+'26.4'!E91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89">
        <f>D92+'26.4'!E92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89">
        <f>D93+'26.4'!E93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D90/3.6/D87/(DAY(DATE(2026,6,0))*24)</f>
        <v/>
      </c>
      <c r="E95" s="373">
        <f>E90/3.6/E87/(DATEDIF(DATE(2026,1,1),DATE(2026,6,1),"D")*24)</f>
        <v/>
      </c>
      <c r="F95" s="390">
        <f>F90/3.6/F87/(DAY(DATE(2026,6,0))*24)</f>
        <v/>
      </c>
      <c r="G95" s="373">
        <f>G90/3.6/G87/(DATEDIF(DATE(2026,1,1),DATE(2026,6,1),"D")*24)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91">
        <f>D7+'26.5'!I7</f>
        <v/>
      </c>
      <c r="J7" s="391">
        <f>E7+'26.5'!J7</f>
        <v/>
      </c>
      <c r="K7" s="391">
        <f>F7+'26.5'!K7</f>
        <v/>
      </c>
      <c r="L7" s="391">
        <f>G7+'26.5'!L7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91">
        <f>D8+'26.5'!I8</f>
        <v/>
      </c>
      <c r="J8" s="391">
        <f>E8+'26.5'!J8</f>
        <v/>
      </c>
      <c r="K8" s="391">
        <f>F8+'26.5'!K8</f>
        <v/>
      </c>
      <c r="L8" s="391">
        <f>G8+'26.5'!L8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66">
        <f>[1]售热量!$M$25</f>
        <v/>
      </c>
      <c r="F9" s="240" t="n"/>
      <c r="G9" s="240" t="n"/>
      <c r="H9" s="236">
        <f>E9+F9+G9</f>
        <v/>
      </c>
      <c r="I9" s="391">
        <f>D9+'26.5'!I9</f>
        <v/>
      </c>
      <c r="J9" s="391">
        <f>E9+'26.5'!J9</f>
        <v/>
      </c>
      <c r="K9" s="391">
        <f>F9+'26.5'!K9</f>
        <v/>
      </c>
      <c r="L9" s="391">
        <f>G9+'26.5'!L9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91">
        <f>D10+'26.5'!I10</f>
        <v/>
      </c>
      <c r="J10" s="391">
        <f>E10+'26.5'!J10</f>
        <v/>
      </c>
      <c r="K10" s="391">
        <f>F10+'26.5'!K10</f>
        <v/>
      </c>
      <c r="L10" s="391">
        <f>G10+'26.5'!L10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91">
        <f>D11+'26.5'!I11</f>
        <v/>
      </c>
      <c r="J11" s="391">
        <f>E11+'26.5'!J11</f>
        <v/>
      </c>
      <c r="K11" s="391">
        <f>F11+'26.5'!K11</f>
        <v/>
      </c>
      <c r="L11" s="391">
        <f>G11+'26.5'!L11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91">
        <f>D12+'26.5'!I12</f>
        <v/>
      </c>
      <c r="J12" s="391">
        <f>E12+'26.5'!J12</f>
        <v/>
      </c>
      <c r="K12" s="391">
        <f>F12+'26.5'!K12</f>
        <v/>
      </c>
      <c r="L12" s="391">
        <f>G12+'26.5'!L12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91">
        <f>D13+'26.5'!I13</f>
        <v/>
      </c>
      <c r="J13" s="391">
        <f>E13+'26.5'!J13</f>
        <v/>
      </c>
      <c r="K13" s="391">
        <f>F13+'26.5'!K13</f>
        <v/>
      </c>
      <c r="L13" s="391">
        <f>G13+'26.5'!L13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91">
        <f>D14+'26.5'!I14</f>
        <v/>
      </c>
      <c r="J14" s="391">
        <f>E14+'26.5'!J14</f>
        <v/>
      </c>
      <c r="K14" s="391">
        <f>F14+'26.5'!K14</f>
        <v/>
      </c>
      <c r="L14" s="391">
        <f>G14+'26.5'!L14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91">
        <f>D15+'26.5'!I15</f>
        <v/>
      </c>
      <c r="J15" s="391">
        <f>E15+'26.5'!J15</f>
        <v/>
      </c>
      <c r="K15" s="391">
        <f>F15+'26.5'!K15</f>
        <v/>
      </c>
      <c r="L15" s="391">
        <f>G15+'26.5'!L15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91">
        <f>D16+'26.5'!I16</f>
        <v/>
      </c>
      <c r="J16" s="391">
        <f>E16+'26.5'!J16</f>
        <v/>
      </c>
      <c r="K16" s="391">
        <f>F16+'26.5'!K16</f>
        <v/>
      </c>
      <c r="L16" s="391">
        <f>G16+'26.5'!L16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91">
        <f>D17+'26.5'!I17</f>
        <v/>
      </c>
      <c r="J17" s="391">
        <f>E17+'26.5'!J17</f>
        <v/>
      </c>
      <c r="K17" s="358" t="n"/>
      <c r="L17" s="391">
        <f>G17+'26.5'!L17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91">
        <f>D18+'26.5'!I18</f>
        <v/>
      </c>
      <c r="J18" s="391">
        <f>E18+'26.5'!J18</f>
        <v/>
      </c>
      <c r="K18" s="391">
        <f>F18+'26.5'!K18</f>
        <v/>
      </c>
      <c r="L18" s="391">
        <f>G18+'26.5'!L18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91">
        <f>D19+'26.5'!I19</f>
        <v/>
      </c>
      <c r="J19" s="365" t="n"/>
      <c r="K19" s="391">
        <f>F19+'26.5'!K19</f>
        <v/>
      </c>
      <c r="L19" s="391">
        <f>G19+'26.5'!L19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91">
        <f>D20+'26.5'!I20</f>
        <v/>
      </c>
      <c r="J20" s="391">
        <f>E20+'26.5'!J20</f>
        <v/>
      </c>
      <c r="K20" s="391">
        <f>F20+'26.5'!K20</f>
        <v/>
      </c>
      <c r="L20" s="391">
        <f>G20+'26.5'!L20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91">
        <f>D21+'26.5'!I21</f>
        <v/>
      </c>
      <c r="J21" s="391">
        <f>E21+'26.5'!J21</f>
        <v/>
      </c>
      <c r="K21" s="391">
        <f>F21+'26.5'!K21</f>
        <v/>
      </c>
      <c r="L21" s="391">
        <f>G21+'26.5'!L21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91">
        <f>D22+'26.5'!I22</f>
        <v/>
      </c>
      <c r="J22" s="391">
        <f>E22+'26.5'!J22</f>
        <v/>
      </c>
      <c r="K22" s="391">
        <f>F22+'26.5'!K22</f>
        <v/>
      </c>
      <c r="L22" s="391">
        <f>G22+'26.5'!L22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91">
        <f>D23+'26.5'!I23</f>
        <v/>
      </c>
      <c r="J23" s="391">
        <f>E23+'26.5'!J23</f>
        <v/>
      </c>
      <c r="K23" s="391">
        <f>F23+'26.5'!K23</f>
        <v/>
      </c>
      <c r="L23" s="391">
        <f>G23+'26.5'!L23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91">
        <f>D26+'26.5'!I26</f>
        <v/>
      </c>
      <c r="J26" s="391">
        <f>E26+'26.5'!J26</f>
        <v/>
      </c>
      <c r="K26" s="391">
        <f>F26+'26.5'!K26</f>
        <v/>
      </c>
      <c r="L26" s="391">
        <f>G26+'26.5'!L26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/>
      <c r="J27" s="392">
        <f>'26.5'!J27+E26-E10</f>
        <v/>
      </c>
      <c r="K27" s="392">
        <f>'26.5'!K27+F26-F10</f>
        <v/>
      </c>
      <c r="L27" s="392">
        <f>'26.5'!L27+G26-G10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D8/3.6/D3/(DAY(DATE(2026,7,0))*24)</f>
        <v/>
      </c>
      <c r="E31" s="372">
        <f>E8/3.6/E3/(DAY(DATE(2026,7,0))*24)</f>
        <v/>
      </c>
      <c r="F31" s="372">
        <f>F8/3.6/F3/(DAY(DATE(2026,7,0))*24)</f>
        <v/>
      </c>
      <c r="G31" s="372">
        <f>(G8-G36)/3.6/G3/(DAY(DATE(2026,7,0))*24)</f>
        <v/>
      </c>
      <c r="H31" s="373">
        <f>H8/3.6/H3/(DAY(DATE(2026,7,0))*24)</f>
        <v/>
      </c>
      <c r="I31" s="371">
        <f>I8/3.6/I3/(DATEDIF(DATE(2026,1,1),DATE(2026,7,1),"D")*24)</f>
        <v/>
      </c>
      <c r="J31" s="372">
        <f>J8/3.6/J3/(DATEDIF(DATE(2026,1,1),DATE(2026,7,1),"D")*24)</f>
        <v/>
      </c>
      <c r="K31" s="372">
        <f>K8/3.6/K3/(DATEDIF(DATE(2026,1,1),DATE(2026,7,1),"D")*24)</f>
        <v/>
      </c>
      <c r="L31" s="372">
        <f>(L8-L36)/3.6/L3/(DATEDIF(DATE(2026,1,1),DATE(2026,7,1),"D")*24)</f>
        <v/>
      </c>
      <c r="M31" s="373">
        <f>M8/3.6/M3/(DATEDIF(DATE(2026,1,1),DATE(2026,7,1),"D")*24)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91">
        <f>G36+'26.5'!L36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>
        <v>7592.12</v>
      </c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>
        <v>7592.12</v>
      </c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>
        <v>0</v>
      </c>
      <c r="E42" s="393">
        <f>D42+'26.5'!E42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93">
        <f>D43+'26.5'!E43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93">
        <f>D44+'26.5'!E44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93">
        <f>D45+'26.5'!E45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D42/3.6/D39/(DAY(DATE(2026,7,0))*24)</f>
        <v/>
      </c>
      <c r="E47" s="375">
        <f>E42/3.6/E39/(DATEDIF(DATE(2026,1,1),DATE(2026,7,1),"D")*24)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94">
        <f>D58+'26.5'!G58</f>
        <v/>
      </c>
      <c r="H58" s="394">
        <f>E58+'26.5'!H58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94">
        <f>D59+'26.5'!G59</f>
        <v/>
      </c>
      <c r="H59" s="394">
        <f>E59+'26.5'!H59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94">
        <f>D60+'26.5'!G60</f>
        <v/>
      </c>
      <c r="H60" s="394">
        <f>E60+'26.5'!H60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94">
        <f>D61+'26.5'!G61</f>
        <v/>
      </c>
      <c r="H61" s="394">
        <f>E61+'26.5'!H61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D58/3.6/D55/(DAY(DATE(2026,7,0))*24)</f>
        <v/>
      </c>
      <c r="E63" s="372">
        <f>E58/3.6/E55/(DAY(DATE(2026,7,0))*24)</f>
        <v/>
      </c>
      <c r="F63" s="385">
        <f>F58/3.6/F55/(DAY(DATE(2026,7,0))*24)</f>
        <v/>
      </c>
      <c r="G63" s="371">
        <f>G58/3.6/G55/(DATEDIF(DATE(2026,1,1),DATE(2026,7,1),"D")*24)</f>
        <v/>
      </c>
      <c r="H63" s="372">
        <f>H58/3.6/H55/(DATEDIF(DATE(2026,1,1),DATE(2026,7,1),"D")*24)</f>
        <v/>
      </c>
      <c r="I63" s="373">
        <f>I58/3.6/I55/(DATEDIF(DATE(2026,1,1),DATE(2026,7,1),"D")*24)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93">
        <f>D73+'26.5'!F73</f>
        <v/>
      </c>
      <c r="G73" s="393">
        <f>E73+'26.5'!G73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93">
        <f>D74+'26.5'!F74</f>
        <v/>
      </c>
      <c r="G74" s="393">
        <f>E74+'26.5'!G74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93">
        <f>D75+'26.5'!F75</f>
        <v/>
      </c>
      <c r="G75" s="393">
        <f>E75+'26.5'!G75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93">
        <f>D76+'26.5'!F76</f>
        <v/>
      </c>
      <c r="G76" s="393">
        <f>E76+'26.5'!G76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93">
        <f>D77+'26.5'!F77</f>
        <v/>
      </c>
      <c r="G77" s="393">
        <f>E77+'26.5'!G77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D73/3.6/D71/(DAY(DATE(2026,7,0))*24)</f>
        <v/>
      </c>
      <c r="E82" s="388">
        <f>E73/3.6/E71/(DAY(DATE(2026,7,0))*24)</f>
        <v/>
      </c>
      <c r="F82" s="378">
        <f>F73/3.6/F71/(DATEDIF(DATE(2026,1,1),DATE(2026,7,1),"D")*24)</f>
        <v/>
      </c>
      <c r="G82" s="379">
        <f>G73/3.6/G71/(DATEDIF(DATE(2026,1,1),DATE(2026,7,1),"D")*24)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95">
        <f>D90+'26.5'!E90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95">
        <f>D91+'26.5'!E91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95">
        <f>D92+'26.5'!E92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95">
        <f>D93+'26.5'!E93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D90/3.6/D87/(DAY(DATE(2026,7,0))*24)</f>
        <v/>
      </c>
      <c r="E95" s="373">
        <f>E90/3.6/E87/(DATEDIF(DATE(2026,1,1),DATE(2026,7,1),"D")*24)</f>
        <v/>
      </c>
      <c r="F95" s="390">
        <f>F90/3.6/F87/(DAY(DATE(2026,7,0))*24)</f>
        <v/>
      </c>
      <c r="G95" s="373">
        <f>G90/3.6/G87/(DATEDIF(DATE(2026,1,1),DATE(2026,7,1),"D")*24)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82">
        <f>D7+'26.6'!I7</f>
        <v/>
      </c>
      <c r="J7" s="382">
        <f>E7+'26.6'!J7</f>
        <v/>
      </c>
      <c r="K7" s="382">
        <f>F7+'26.6'!K7</f>
        <v/>
      </c>
      <c r="L7" s="382">
        <f>G7+'26.6'!L7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82">
        <f>D8+'26.6'!I8</f>
        <v/>
      </c>
      <c r="J8" s="382">
        <f>E8+'26.6'!J8</f>
        <v/>
      </c>
      <c r="K8" s="382">
        <f>F8+'26.6'!K8</f>
        <v/>
      </c>
      <c r="L8" s="382">
        <f>G8+'26.6'!L8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96">
        <f>[1]售热量!$O$25</f>
        <v/>
      </c>
      <c r="F9" s="240" t="n"/>
      <c r="G9" s="240" t="n"/>
      <c r="H9" s="236">
        <f>E9+F9+G9</f>
        <v/>
      </c>
      <c r="I9" s="382">
        <f>D9+'26.6'!I9</f>
        <v/>
      </c>
      <c r="J9" s="382">
        <f>E9+'26.6'!J9</f>
        <v/>
      </c>
      <c r="K9" s="382">
        <f>F9+'26.6'!K9</f>
        <v/>
      </c>
      <c r="L9" s="382">
        <f>G9+'26.6'!L9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82">
        <f>D10+'26.6'!I10</f>
        <v/>
      </c>
      <c r="J10" s="382">
        <f>E10+'26.6'!J10</f>
        <v/>
      </c>
      <c r="K10" s="382">
        <f>F10+'26.6'!K10</f>
        <v/>
      </c>
      <c r="L10" s="382">
        <f>G10+'26.6'!L10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82">
        <f>D11+'26.6'!I11</f>
        <v/>
      </c>
      <c r="J11" s="382">
        <f>E11+'26.6'!J11</f>
        <v/>
      </c>
      <c r="K11" s="382">
        <f>F11+'26.6'!K11</f>
        <v/>
      </c>
      <c r="L11" s="382">
        <f>G11+'26.6'!L11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82">
        <f>D12+'26.6'!I12</f>
        <v/>
      </c>
      <c r="J12" s="382">
        <f>E12+'26.6'!J12</f>
        <v/>
      </c>
      <c r="K12" s="382">
        <f>F12+'26.6'!K12</f>
        <v/>
      </c>
      <c r="L12" s="382">
        <f>G12+'26.6'!L12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82">
        <f>D13+'26.6'!I13</f>
        <v/>
      </c>
      <c r="J13" s="382">
        <f>E13+'26.6'!J13</f>
        <v/>
      </c>
      <c r="K13" s="382">
        <f>F13+'26.6'!K13</f>
        <v/>
      </c>
      <c r="L13" s="382">
        <f>G13+'26.6'!L13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82">
        <f>D14+'26.6'!I14</f>
        <v/>
      </c>
      <c r="J14" s="382">
        <f>E14+'26.6'!J14</f>
        <v/>
      </c>
      <c r="K14" s="382">
        <f>F14+'26.6'!K14</f>
        <v/>
      </c>
      <c r="L14" s="382">
        <f>G14+'26.6'!L14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82">
        <f>D15+'26.6'!I15</f>
        <v/>
      </c>
      <c r="J15" s="382">
        <f>E15+'26.6'!J15</f>
        <v/>
      </c>
      <c r="K15" s="382">
        <f>F15+'26.6'!K15</f>
        <v/>
      </c>
      <c r="L15" s="382">
        <f>G15+'26.6'!L15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82">
        <f>D16+'26.6'!I16</f>
        <v/>
      </c>
      <c r="J16" s="382">
        <f>E16+'26.6'!J16</f>
        <v/>
      </c>
      <c r="K16" s="382">
        <f>F16+'26.6'!K16</f>
        <v/>
      </c>
      <c r="L16" s="382">
        <f>G16+'26.6'!L16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82">
        <f>D17+'26.6'!I17</f>
        <v/>
      </c>
      <c r="J17" s="382">
        <f>E17+'26.6'!J17</f>
        <v/>
      </c>
      <c r="K17" s="358" t="n"/>
      <c r="L17" s="382">
        <f>G17+'26.6'!L17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82">
        <f>D18+'26.6'!I18</f>
        <v/>
      </c>
      <c r="J18" s="382">
        <f>E18+'26.6'!J18</f>
        <v/>
      </c>
      <c r="K18" s="382">
        <f>F18+'26.6'!K18</f>
        <v/>
      </c>
      <c r="L18" s="382">
        <f>G18+'26.6'!L18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82">
        <f>D19+'26.6'!I19</f>
        <v/>
      </c>
      <c r="J19" s="365" t="n"/>
      <c r="K19" s="382">
        <f>F19+'26.6'!K19</f>
        <v/>
      </c>
      <c r="L19" s="382">
        <f>G19+'26.6'!L19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82">
        <f>D20+'26.6'!I20</f>
        <v/>
      </c>
      <c r="J20" s="382">
        <f>E20+'26.6'!J20</f>
        <v/>
      </c>
      <c r="K20" s="382">
        <f>F20+'26.6'!K20</f>
        <v/>
      </c>
      <c r="L20" s="382">
        <f>G20+'26.6'!L20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82">
        <f>D21+'26.6'!I21</f>
        <v/>
      </c>
      <c r="J21" s="382">
        <f>E21+'26.6'!J21</f>
        <v/>
      </c>
      <c r="K21" s="382">
        <f>F21+'26.6'!K21</f>
        <v/>
      </c>
      <c r="L21" s="382">
        <f>G21+'26.6'!L21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82">
        <f>D22+'26.6'!I22</f>
        <v/>
      </c>
      <c r="J22" s="382">
        <f>E22+'26.6'!J22</f>
        <v/>
      </c>
      <c r="K22" s="382">
        <f>F22+'26.6'!K22</f>
        <v/>
      </c>
      <c r="L22" s="382">
        <f>G22+'26.6'!L22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82">
        <f>D23+'26.6'!I23</f>
        <v/>
      </c>
      <c r="J23" s="382">
        <f>E23+'26.6'!J23</f>
        <v/>
      </c>
      <c r="K23" s="382">
        <f>F23+'26.6'!K23</f>
        <v/>
      </c>
      <c r="L23" s="382">
        <f>G23+'26.6'!L23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82">
        <f>D26+'26.6'!I26</f>
        <v/>
      </c>
      <c r="J26" s="382">
        <f>E26+'26.6'!J26</f>
        <v/>
      </c>
      <c r="K26" s="382">
        <f>F26+'26.6'!K26</f>
        <v/>
      </c>
      <c r="L26" s="382">
        <f>G26+'26.6'!L26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/>
      <c r="J27" s="383">
        <f>'26.6'!J27+E26-E10</f>
        <v/>
      </c>
      <c r="K27" s="383">
        <f>'26.6'!K27+F26-F10</f>
        <v/>
      </c>
      <c r="L27" s="383">
        <f>'26.6'!L27+G26-G10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D8/3.6/D3/(DAY(DATE(2026,8,0))*24)</f>
        <v/>
      </c>
      <c r="E31" s="372">
        <f>E8/3.6/E3/(DAY(DATE(2026,8,0))*24)</f>
        <v/>
      </c>
      <c r="F31" s="372">
        <f>F8/3.6/F3/(DAY(DATE(2026,8,0))*24)</f>
        <v/>
      </c>
      <c r="G31" s="372">
        <f>(G8-G36)/3.6/G3/(DAY(DATE(2026,8,0))*24)</f>
        <v/>
      </c>
      <c r="H31" s="373">
        <f>H8/3.6/H3/(DAY(DATE(2026,8,0))*24)</f>
        <v/>
      </c>
      <c r="I31" s="371">
        <f>I8/3.6/I3/(DATEDIF(DATE(2026,1,1),DATE(2026,8,1),"D")*24)</f>
        <v/>
      </c>
      <c r="J31" s="372">
        <f>J8/3.6/J3/(DATEDIF(DATE(2026,1,1),DATE(2026,8,1),"D")*24)</f>
        <v/>
      </c>
      <c r="K31" s="372">
        <f>K8/3.6/K3/(DATEDIF(DATE(2026,1,1),DATE(2026,8,1),"D")*24)</f>
        <v/>
      </c>
      <c r="L31" s="372">
        <f>(L8-L36)/3.6/L3/(DATEDIF(DATE(2026,1,1),DATE(2026,8,1),"D")*24)</f>
        <v/>
      </c>
      <c r="M31" s="373">
        <f>M8/3.6/M3/(DATEDIF(DATE(2026,1,1),DATE(2026,8,1),"D")*24)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82">
        <f>G36+'26.6'!L36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84">
        <f>D42+'26.6'!E42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84">
        <f>D43+'26.6'!E43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84">
        <f>D44+'26.6'!E44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84">
        <f>D45+'26.6'!E45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D42/3.6/D39/(DAY(DATE(2026,8,0))*24)</f>
        <v/>
      </c>
      <c r="E47" s="375">
        <f>E42/3.6/E39/(DATEDIF(DATE(2026,1,1),DATE(2026,8,1),"D")*24)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86">
        <f>D58+'26.6'!G58</f>
        <v/>
      </c>
      <c r="H58" s="386">
        <f>E58+'26.6'!H58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86">
        <f>D59+'26.6'!G59</f>
        <v/>
      </c>
      <c r="H59" s="386">
        <f>E59+'26.6'!H59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86">
        <f>D60+'26.6'!G60</f>
        <v/>
      </c>
      <c r="H60" s="386">
        <f>E60+'26.6'!H60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86">
        <f>D61+'26.6'!G61</f>
        <v/>
      </c>
      <c r="H61" s="386">
        <f>E61+'26.6'!H61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D58/3.6/D55/(DAY(DATE(2026,8,0))*24)</f>
        <v/>
      </c>
      <c r="E63" s="372">
        <f>E58/3.6/E55/(DAY(DATE(2026,8,0))*24)</f>
        <v/>
      </c>
      <c r="F63" s="385">
        <f>F58/3.6/F55/(DAY(DATE(2026,8,0))*24)</f>
        <v/>
      </c>
      <c r="G63" s="371">
        <f>G58/3.6/G55/(DATEDIF(DATE(2026,1,1),DATE(2026,8,1),"D")*24)</f>
        <v/>
      </c>
      <c r="H63" s="372">
        <f>H58/3.6/H55/(DATEDIF(DATE(2026,1,1),DATE(2026,8,1),"D")*24)</f>
        <v/>
      </c>
      <c r="I63" s="373">
        <f>I58/3.6/I55/(DATEDIF(DATE(2026,1,1),DATE(2026,8,1),"D")*24)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84">
        <f>D73+'26.6'!F73</f>
        <v/>
      </c>
      <c r="G73" s="384">
        <f>E73+'26.6'!G73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84">
        <f>D74+'26.6'!F74</f>
        <v/>
      </c>
      <c r="G74" s="384">
        <f>E74+'26.6'!G74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84">
        <f>D75+'26.6'!F75</f>
        <v/>
      </c>
      <c r="G75" s="384">
        <f>E75+'26.6'!G75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84">
        <f>D76+'26.6'!F76</f>
        <v/>
      </c>
      <c r="G76" s="384">
        <f>E76+'26.6'!G76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84">
        <f>D77+'26.6'!F77</f>
        <v/>
      </c>
      <c r="G77" s="384">
        <f>E77+'26.6'!G77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D73/3.6/D71/(DAY(DATE(2026,8,0))*24)</f>
        <v/>
      </c>
      <c r="E82" s="388">
        <f>E73/3.6/E71/(DAY(DATE(2026,8,0))*24)</f>
        <v/>
      </c>
      <c r="F82" s="378">
        <f>F73/3.6/F71/(DATEDIF(DATE(2026,1,1),DATE(2026,8,1),"D")*24)</f>
        <v/>
      </c>
      <c r="G82" s="379">
        <f>G73/3.6/G71/(DATEDIF(DATE(2026,1,1),DATE(2026,8,1),"D")*24)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89">
        <f>D90+'26.6'!E90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89">
        <f>D91+'26.6'!E91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89">
        <f>D92+'26.6'!E92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89">
        <f>D93+'26.6'!E93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D90/3.6/D87/(DAY(DATE(2026,8,0))*24)</f>
        <v/>
      </c>
      <c r="E95" s="373">
        <f>E90/3.6/E87/(DATEDIF(DATE(2026,1,1),DATE(2026,8,1),"D")*24)</f>
        <v/>
      </c>
      <c r="F95" s="390">
        <f>F90/3.6/F87/(DAY(DATE(2026,8,0))*24)</f>
        <v/>
      </c>
      <c r="G95" s="373">
        <f>G90/3.6/G87/(DATEDIF(DATE(2026,1,1),DATE(2026,8,1),"D")*24)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91">
        <f>D7+'26.7'!I7</f>
        <v/>
      </c>
      <c r="J7" s="391">
        <f>E7+'26.7'!J7</f>
        <v/>
      </c>
      <c r="K7" s="391">
        <f>F7+'26.7'!K7</f>
        <v/>
      </c>
      <c r="L7" s="391">
        <f>G7+'26.7'!L7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91">
        <f>D8+'26.7'!I8</f>
        <v/>
      </c>
      <c r="J8" s="391">
        <f>E8+'26.7'!J8</f>
        <v/>
      </c>
      <c r="K8" s="391">
        <f>F8+'26.7'!K8</f>
        <v/>
      </c>
      <c r="L8" s="391">
        <f>G8+'26.7'!L8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66">
        <f>[1]售热量!$Q$25</f>
        <v/>
      </c>
      <c r="F9" s="240" t="n"/>
      <c r="G9" s="240" t="n"/>
      <c r="H9" s="236">
        <f>E9+F9+G9</f>
        <v/>
      </c>
      <c r="I9" s="391">
        <f>D9+'26.7'!I9</f>
        <v/>
      </c>
      <c r="J9" s="391">
        <f>E9+'26.7'!J9</f>
        <v/>
      </c>
      <c r="K9" s="391">
        <f>F9+'26.7'!K9</f>
        <v/>
      </c>
      <c r="L9" s="391">
        <f>G9+'26.7'!L9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91">
        <f>D10+'26.7'!I10</f>
        <v/>
      </c>
      <c r="J10" s="391">
        <f>E10+'26.7'!J10</f>
        <v/>
      </c>
      <c r="K10" s="391">
        <f>F10+'26.7'!K10</f>
        <v/>
      </c>
      <c r="L10" s="391">
        <f>G10+'26.7'!L10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91">
        <f>D11+'26.7'!I11</f>
        <v/>
      </c>
      <c r="J11" s="391">
        <f>E11+'26.7'!J11</f>
        <v/>
      </c>
      <c r="K11" s="391">
        <f>F11+'26.7'!K11</f>
        <v/>
      </c>
      <c r="L11" s="391">
        <f>G11+'26.7'!L11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91">
        <f>D12+'26.7'!I12</f>
        <v/>
      </c>
      <c r="J12" s="391">
        <f>E12+'26.7'!J12</f>
        <v/>
      </c>
      <c r="K12" s="391">
        <f>F12+'26.7'!K12</f>
        <v/>
      </c>
      <c r="L12" s="391">
        <f>G12+'26.7'!L12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91">
        <f>D13+'26.7'!I13</f>
        <v/>
      </c>
      <c r="J13" s="391">
        <f>E13+'26.7'!J13</f>
        <v/>
      </c>
      <c r="K13" s="391">
        <f>F13+'26.7'!K13</f>
        <v/>
      </c>
      <c r="L13" s="391">
        <f>G13+'26.7'!L13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91">
        <f>D14+'26.7'!I14</f>
        <v/>
      </c>
      <c r="J14" s="391">
        <f>E14+'26.7'!J14</f>
        <v/>
      </c>
      <c r="K14" s="391">
        <f>F14+'26.7'!K14</f>
        <v/>
      </c>
      <c r="L14" s="391">
        <f>G14+'26.7'!L14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91">
        <f>D15+'26.7'!I15</f>
        <v/>
      </c>
      <c r="J15" s="391">
        <f>E15+'26.7'!J15</f>
        <v/>
      </c>
      <c r="K15" s="391">
        <f>F15+'26.7'!K15</f>
        <v/>
      </c>
      <c r="L15" s="391">
        <f>G15+'26.7'!L15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91">
        <f>D16+'26.7'!I16</f>
        <v/>
      </c>
      <c r="J16" s="391">
        <f>E16+'26.7'!J16</f>
        <v/>
      </c>
      <c r="K16" s="391">
        <f>F16+'26.7'!K16</f>
        <v/>
      </c>
      <c r="L16" s="391">
        <f>G16+'26.7'!L16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91">
        <f>D17+'26.7'!I17</f>
        <v/>
      </c>
      <c r="J17" s="391">
        <f>E17+'26.7'!J17</f>
        <v/>
      </c>
      <c r="K17" s="358" t="n"/>
      <c r="L17" s="391">
        <f>G17+'26.7'!L17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91">
        <f>D18+'26.7'!I18</f>
        <v/>
      </c>
      <c r="J18" s="391">
        <f>E18+'26.7'!J18</f>
        <v/>
      </c>
      <c r="K18" s="391">
        <f>F18+'26.7'!K18</f>
        <v/>
      </c>
      <c r="L18" s="391">
        <f>G18+'26.7'!L18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91">
        <f>D19+'26.7'!I19</f>
        <v/>
      </c>
      <c r="J19" s="365" t="n"/>
      <c r="K19" s="391">
        <f>F19+'26.7'!K19</f>
        <v/>
      </c>
      <c r="L19" s="391">
        <f>G19+'26.7'!L19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91">
        <f>D20+'26.7'!I20</f>
        <v/>
      </c>
      <c r="J20" s="391">
        <f>E20+'26.7'!J20</f>
        <v/>
      </c>
      <c r="K20" s="391">
        <f>F20+'26.7'!K20</f>
        <v/>
      </c>
      <c r="L20" s="391">
        <f>G20+'26.7'!L20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91">
        <f>D21+'26.7'!I21</f>
        <v/>
      </c>
      <c r="J21" s="391">
        <f>E21+'26.7'!J21</f>
        <v/>
      </c>
      <c r="K21" s="391">
        <f>F21+'26.7'!K21</f>
        <v/>
      </c>
      <c r="L21" s="391">
        <f>G21+'26.7'!L21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91">
        <f>D22+'26.7'!I22</f>
        <v/>
      </c>
      <c r="J22" s="391">
        <f>E22+'26.7'!J22</f>
        <v/>
      </c>
      <c r="K22" s="391">
        <f>F22+'26.7'!K22</f>
        <v/>
      </c>
      <c r="L22" s="391">
        <f>G22+'26.7'!L22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91">
        <f>D23+'26.7'!I23</f>
        <v/>
      </c>
      <c r="J23" s="391">
        <f>E23+'26.7'!J23</f>
        <v/>
      </c>
      <c r="K23" s="391">
        <f>F23+'26.7'!K23</f>
        <v/>
      </c>
      <c r="L23" s="391">
        <f>G23+'26.7'!L23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91">
        <f>D26+'26.7'!I26</f>
        <v/>
      </c>
      <c r="J26" s="391">
        <f>E26+'26.7'!J26</f>
        <v/>
      </c>
      <c r="K26" s="391">
        <f>F26+'26.7'!K26</f>
        <v/>
      </c>
      <c r="L26" s="391">
        <f>G26+'26.7'!L26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/>
      <c r="J27" s="392">
        <f>'26.7'!J27+E26-E10</f>
        <v/>
      </c>
      <c r="K27" s="392">
        <f>'26.7'!K27+F26-F10</f>
        <v/>
      </c>
      <c r="L27" s="392">
        <f>'26.7'!L27+G26-G10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D8/3.6/D3/(DAY(DATE(2026,9,0))*24)</f>
        <v/>
      </c>
      <c r="E31" s="372">
        <f>E8/3.6/E3/(DAY(DATE(2026,9,0))*24)</f>
        <v/>
      </c>
      <c r="F31" s="372">
        <f>F8/3.6/F3/(DAY(DATE(2026,9,0))*24)</f>
        <v/>
      </c>
      <c r="G31" s="372">
        <f>(G8-G36)/3.6/G3/(DAY(DATE(2026,9,0))*24)</f>
        <v/>
      </c>
      <c r="H31" s="373">
        <f>H8/3.6/H3/(DAY(DATE(2026,9,0))*24)</f>
        <v/>
      </c>
      <c r="I31" s="371">
        <f>I8/3.6/I3/(DATEDIF(DATE(2026,1,1),DATE(2026,9,1),"D")*24)</f>
        <v/>
      </c>
      <c r="J31" s="372">
        <f>J8/3.6/J3/(DATEDIF(DATE(2026,1,1),DATE(2026,9,1),"D")*24)</f>
        <v/>
      </c>
      <c r="K31" s="372">
        <f>K8/3.6/K3/(DATEDIF(DATE(2026,1,1),DATE(2026,9,1),"D")*24)</f>
        <v/>
      </c>
      <c r="L31" s="372">
        <f>(L8-L36)/3.6/L3/(DATEDIF(DATE(2026,1,1),DATE(2026,9,1),"D")*24)</f>
        <v/>
      </c>
      <c r="M31" s="373">
        <f>M8/3.6/M3/(DATEDIF(DATE(2026,1,1),DATE(2026,9,1),"D")*24)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91">
        <f>G36+'26.7'!L36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93">
        <f>D42+'26.7'!E42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93">
        <f>D43+'26.7'!E43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93">
        <f>D44+'26.7'!E44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93">
        <f>D45+'26.7'!E45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D42/3.6/D39/(DAY(DATE(2026,9,0))*24)</f>
        <v/>
      </c>
      <c r="E47" s="375">
        <f>E42/3.6/E39/(DATEDIF(DATE(2026,1,1),DATE(2026,9,1),"D")*24)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94">
        <f>D58+'26.7'!G58</f>
        <v/>
      </c>
      <c r="H58" s="394">
        <f>E58+'26.7'!H58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94">
        <f>D59+'26.7'!G59</f>
        <v/>
      </c>
      <c r="H59" s="394">
        <f>E59+'26.7'!H59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94">
        <f>D60+'26.7'!G60</f>
        <v/>
      </c>
      <c r="H60" s="394">
        <f>E60+'26.7'!H60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94">
        <f>D61+'26.7'!G61</f>
        <v/>
      </c>
      <c r="H61" s="394">
        <f>E61+'26.7'!H61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D58/3.6/D55/(DAY(DATE(2026,9,0))*24)</f>
        <v/>
      </c>
      <c r="E63" s="372">
        <f>E58/3.6/E55/(DAY(DATE(2026,9,0))*24)</f>
        <v/>
      </c>
      <c r="F63" s="385">
        <f>F58/3.6/F55/(DAY(DATE(2026,9,0))*24)</f>
        <v/>
      </c>
      <c r="G63" s="371">
        <f>G58/3.6/G55/(DATEDIF(DATE(2026,1,1),DATE(2026,9,1),"D")*24)</f>
        <v/>
      </c>
      <c r="H63" s="372">
        <f>H58/3.6/H55/(DATEDIF(DATE(2026,1,1),DATE(2026,9,1),"D")*24)</f>
        <v/>
      </c>
      <c r="I63" s="373">
        <f>I58/3.6/I55/(DATEDIF(DATE(2026,1,1),DATE(2026,9,1),"D")*24)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93">
        <f>D73+'26.7'!F73</f>
        <v/>
      </c>
      <c r="G73" s="393">
        <f>E73+'26.7'!G73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93">
        <f>D74+'26.7'!F74</f>
        <v/>
      </c>
      <c r="G74" s="393">
        <f>E74+'26.7'!G74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93">
        <f>D75+'26.7'!F75</f>
        <v/>
      </c>
      <c r="G75" s="393">
        <f>E75+'26.7'!G75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93">
        <f>D76+'26.7'!F76</f>
        <v/>
      </c>
      <c r="G76" s="393">
        <f>E76+'26.7'!G76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93">
        <f>D77+'26.7'!F77</f>
        <v/>
      </c>
      <c r="G77" s="393">
        <f>E77+'26.7'!G77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D73/3.6/D71/(DAY(DATE(2026,9,0))*24)</f>
        <v/>
      </c>
      <c r="E82" s="388">
        <f>E73/3.6/E71/(DAY(DATE(2026,9,0))*24)</f>
        <v/>
      </c>
      <c r="F82" s="378">
        <f>F73/3.6/F71/(DATEDIF(DATE(2026,1,1),DATE(2026,9,1),"D")*24)</f>
        <v/>
      </c>
      <c r="G82" s="379">
        <f>G73/3.6/G71/(DATEDIF(DATE(2026,1,1),DATE(2026,9,1),"D")*24)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95">
        <f>D90+'26.7'!E90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95">
        <f>D91+'26.7'!E91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95">
        <f>D92+'26.7'!E92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95">
        <f>D93+'26.7'!E93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D90/3.6/D87/(DAY(DATE(2026,9,0))*24)</f>
        <v/>
      </c>
      <c r="E95" s="373">
        <f>E90/3.6/E87/(DATEDIF(DATE(2026,1,1),DATE(2026,9,1),"D")*24)</f>
        <v/>
      </c>
      <c r="F95" s="390">
        <f>F90/3.6/F87/(DAY(DATE(2026,9,0))*24)</f>
        <v/>
      </c>
      <c r="G95" s="373">
        <f>G90/3.6/G87/(DATEDIF(DATE(2026,1,1),DATE(2026,9,1),"D")*24)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82">
        <f>D7+'26.8'!I7</f>
        <v/>
      </c>
      <c r="J7" s="382">
        <f>E7+'26.8'!J7</f>
        <v/>
      </c>
      <c r="K7" s="382">
        <f>F7+'26.8'!K7</f>
        <v/>
      </c>
      <c r="L7" s="382">
        <f>G7+'26.8'!L7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82">
        <f>D8+'26.8'!I8</f>
        <v/>
      </c>
      <c r="J8" s="382">
        <f>E8+'26.8'!J8</f>
        <v/>
      </c>
      <c r="K8" s="382">
        <f>F8+'26.8'!K8</f>
        <v/>
      </c>
      <c r="L8" s="382">
        <f>G8+'26.8'!L8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96">
        <f>[1]售热量!$S$25</f>
        <v/>
      </c>
      <c r="F9" s="240" t="n"/>
      <c r="G9" s="240" t="n"/>
      <c r="H9" s="236">
        <f>E9+F9+G9</f>
        <v/>
      </c>
      <c r="I9" s="382">
        <f>D9+'26.8'!I9</f>
        <v/>
      </c>
      <c r="J9" s="382">
        <f>E9+'26.8'!J9</f>
        <v/>
      </c>
      <c r="K9" s="382">
        <f>F9+'26.8'!K9</f>
        <v/>
      </c>
      <c r="L9" s="382">
        <f>G9+'26.8'!L9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82">
        <f>D10+'26.8'!I10</f>
        <v/>
      </c>
      <c r="J10" s="382">
        <f>E10+'26.8'!J10</f>
        <v/>
      </c>
      <c r="K10" s="382">
        <f>F10+'26.8'!K10</f>
        <v/>
      </c>
      <c r="L10" s="382">
        <f>G10+'26.8'!L10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82">
        <f>D11+'26.8'!I11</f>
        <v/>
      </c>
      <c r="J11" s="382">
        <f>E11+'26.8'!J11</f>
        <v/>
      </c>
      <c r="K11" s="382">
        <f>F11+'26.8'!K11</f>
        <v/>
      </c>
      <c r="L11" s="382">
        <f>G11+'26.8'!L11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82">
        <f>D12+'26.8'!I12</f>
        <v/>
      </c>
      <c r="J12" s="382">
        <f>E12+'26.8'!J12</f>
        <v/>
      </c>
      <c r="K12" s="382">
        <f>F12+'26.8'!K12</f>
        <v/>
      </c>
      <c r="L12" s="382">
        <f>G12+'26.8'!L12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82">
        <f>D13+'26.8'!I13</f>
        <v/>
      </c>
      <c r="J13" s="382">
        <f>E13+'26.8'!J13</f>
        <v/>
      </c>
      <c r="K13" s="382">
        <f>F13+'26.8'!K13</f>
        <v/>
      </c>
      <c r="L13" s="382">
        <f>G13+'26.8'!L13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82">
        <f>D14+'26.8'!I14</f>
        <v/>
      </c>
      <c r="J14" s="382">
        <f>E14+'26.8'!J14</f>
        <v/>
      </c>
      <c r="K14" s="382">
        <f>F14+'26.8'!K14</f>
        <v/>
      </c>
      <c r="L14" s="382">
        <f>G14+'26.8'!L14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82">
        <f>D15+'26.8'!I15</f>
        <v/>
      </c>
      <c r="J15" s="382">
        <f>E15+'26.8'!J15</f>
        <v/>
      </c>
      <c r="K15" s="382">
        <f>F15+'26.8'!K15</f>
        <v/>
      </c>
      <c r="L15" s="382">
        <f>G15+'26.8'!L15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82">
        <f>D16+'26.8'!I16</f>
        <v/>
      </c>
      <c r="J16" s="382">
        <f>E16+'26.8'!J16</f>
        <v/>
      </c>
      <c r="K16" s="382">
        <f>F16+'26.8'!K16</f>
        <v/>
      </c>
      <c r="L16" s="382">
        <f>G16+'26.8'!L16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82">
        <f>D17+'26.8'!I17</f>
        <v/>
      </c>
      <c r="J17" s="382">
        <f>E17+'26.8'!J17</f>
        <v/>
      </c>
      <c r="K17" s="358" t="n"/>
      <c r="L17" s="382">
        <f>G17+'26.8'!L17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82">
        <f>D18+'26.8'!I18</f>
        <v/>
      </c>
      <c r="J18" s="382">
        <f>E18+'26.8'!J18</f>
        <v/>
      </c>
      <c r="K18" s="382">
        <f>F18+'26.8'!K18</f>
        <v/>
      </c>
      <c r="L18" s="382">
        <f>G18+'26.8'!L18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82">
        <f>D19+'26.8'!I19</f>
        <v/>
      </c>
      <c r="J19" s="365" t="n"/>
      <c r="K19" s="382">
        <f>F19+'26.8'!K19</f>
        <v/>
      </c>
      <c r="L19" s="382">
        <f>G19+'26.8'!L19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82">
        <f>D20+'26.8'!I20</f>
        <v/>
      </c>
      <c r="J20" s="382">
        <f>E20+'26.8'!J20</f>
        <v/>
      </c>
      <c r="K20" s="382">
        <f>F20+'26.8'!K20</f>
        <v/>
      </c>
      <c r="L20" s="382">
        <f>G20+'26.8'!L20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82">
        <f>D21+'26.8'!I21</f>
        <v/>
      </c>
      <c r="J21" s="382">
        <f>E21+'26.8'!J21</f>
        <v/>
      </c>
      <c r="K21" s="382">
        <f>F21+'26.8'!K21</f>
        <v/>
      </c>
      <c r="L21" s="382">
        <f>G21+'26.8'!L21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82">
        <f>D22+'26.8'!I22</f>
        <v/>
      </c>
      <c r="J22" s="382">
        <f>E22+'26.8'!J22</f>
        <v/>
      </c>
      <c r="K22" s="382">
        <f>F22+'26.8'!K22</f>
        <v/>
      </c>
      <c r="L22" s="382">
        <f>G22+'26.8'!L22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82">
        <f>D23+'26.8'!I23</f>
        <v/>
      </c>
      <c r="J23" s="382">
        <f>E23+'26.8'!J23</f>
        <v/>
      </c>
      <c r="K23" s="382">
        <f>F23+'26.8'!K23</f>
        <v/>
      </c>
      <c r="L23" s="382">
        <f>G23+'26.8'!L23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82">
        <f>D26+'26.8'!I26</f>
        <v/>
      </c>
      <c r="J26" s="382">
        <f>E26+'26.8'!J26</f>
        <v/>
      </c>
      <c r="K26" s="382">
        <f>F26+'26.8'!K26</f>
        <v/>
      </c>
      <c r="L26" s="382">
        <f>G26+'26.8'!L26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/>
      <c r="J27" s="383">
        <f>'26.8'!J27+E26-E10</f>
        <v/>
      </c>
      <c r="K27" s="383">
        <f>'26.8'!K27+F26-F10</f>
        <v/>
      </c>
      <c r="L27" s="383">
        <f>'26.8'!L27+G26-G10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D8/3.6/D3/(DAY(DATE(2026,10,0))*24)</f>
        <v/>
      </c>
      <c r="E31" s="372">
        <f>E8/3.6/E3/(DAY(DATE(2026,10,0))*24)</f>
        <v/>
      </c>
      <c r="F31" s="372">
        <f>F8/3.6/F3/(DAY(DATE(2026,10,0))*24)</f>
        <v/>
      </c>
      <c r="G31" s="372">
        <f>(G8-G36)/3.6/G3/(DAY(DATE(2026,10,0))*24)</f>
        <v/>
      </c>
      <c r="H31" s="373">
        <f>H8/3.6/H3/(DAY(DATE(2026,10,0))*24)</f>
        <v/>
      </c>
      <c r="I31" s="371">
        <f>I8/3.6/I3/(DATEDIF(DATE(2026,1,1),DATE(2026,10,1),"D")*24)</f>
        <v/>
      </c>
      <c r="J31" s="372">
        <f>J8/3.6/J3/(DATEDIF(DATE(2026,1,1),DATE(2026,10,1),"D")*24)</f>
        <v/>
      </c>
      <c r="K31" s="372">
        <f>K8/3.6/K3/(DATEDIF(DATE(2026,1,1),DATE(2026,10,1),"D")*24)</f>
        <v/>
      </c>
      <c r="L31" s="372">
        <f>(L8-L36)/3.6/L3/(DATEDIF(DATE(2026,1,1),DATE(2026,10,1),"D")*24)</f>
        <v/>
      </c>
      <c r="M31" s="373">
        <f>M8/3.6/M3/(DATEDIF(DATE(2026,1,1),DATE(2026,10,1),"D")*24)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82">
        <f>G36+'26.8'!L36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>
        <v>0</v>
      </c>
      <c r="E42" s="384">
        <f>D42+'26.8'!E42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84">
        <f>D43+'26.8'!E43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84">
        <f>D44+'26.8'!E44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 t="n"/>
      <c r="E45" s="384">
        <f>D45+'26.8'!E45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D42/3.6/D39/(DAY(DATE(2026,10,0))*24)</f>
        <v/>
      </c>
      <c r="E47" s="375">
        <f>E42/3.6/E39/(DATEDIF(DATE(2026,1,1),DATE(2026,10,1),"D")*24)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86">
        <f>D58+'26.8'!G58</f>
        <v/>
      </c>
      <c r="H58" s="386">
        <f>E58+'26.8'!H58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86">
        <f>D59+'26.8'!G59</f>
        <v/>
      </c>
      <c r="H59" s="386">
        <f>E59+'26.8'!H59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86">
        <f>D60+'26.8'!G60</f>
        <v/>
      </c>
      <c r="H60" s="386">
        <f>E60+'26.8'!H60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86">
        <f>D61+'26.8'!G61</f>
        <v/>
      </c>
      <c r="H61" s="386">
        <f>E61+'26.8'!H61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D58/3.6/D55/(DAY(DATE(2026,10,0))*24)</f>
        <v/>
      </c>
      <c r="E63" s="372">
        <f>E58/3.6/E55/(DAY(DATE(2026,10,0))*24)</f>
        <v/>
      </c>
      <c r="F63" s="385">
        <f>F58/3.6/F55/(DAY(DATE(2026,10,0))*24)</f>
        <v/>
      </c>
      <c r="G63" s="371">
        <f>G58/3.6/G55/(DATEDIF(DATE(2026,1,1),DATE(2026,10,1),"D")*24)</f>
        <v/>
      </c>
      <c r="H63" s="372">
        <f>H58/3.6/H55/(DATEDIF(DATE(2026,1,1),DATE(2026,10,1),"D")*24)</f>
        <v/>
      </c>
      <c r="I63" s="373">
        <f>I58/3.6/I55/(DATEDIF(DATE(2026,1,1),DATE(2026,10,1),"D")*24)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84">
        <f>D73+'26.8'!F73</f>
        <v/>
      </c>
      <c r="G73" s="384">
        <f>E73+'26.8'!G73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84">
        <f>D74+'26.8'!F74</f>
        <v/>
      </c>
      <c r="G74" s="384">
        <f>E74+'26.8'!G74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84">
        <f>D75+'26.8'!F75</f>
        <v/>
      </c>
      <c r="G75" s="384">
        <f>E75+'26.8'!G75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84">
        <f>D76+'26.8'!F76</f>
        <v/>
      </c>
      <c r="G76" s="384">
        <f>E76+'26.8'!G76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84">
        <f>D77+'26.8'!F77</f>
        <v/>
      </c>
      <c r="G77" s="384">
        <f>E77+'26.8'!G77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D73/3.6/D71/(DAY(DATE(2026,10,0))*24)</f>
        <v/>
      </c>
      <c r="E82" s="388">
        <f>E73/3.6/E71/(DAY(DATE(2026,10,0))*24)</f>
        <v/>
      </c>
      <c r="F82" s="378">
        <f>F73/3.6/F71/(DATEDIF(DATE(2026,1,1),DATE(2026,10,1),"D")*24)</f>
        <v/>
      </c>
      <c r="G82" s="379">
        <f>G73/3.6/G71/(DATEDIF(DATE(2026,1,1),DATE(2026,10,1),"D")*24)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89">
        <f>D90+'26.8'!E90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89">
        <f>D91+'26.8'!E91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89">
        <f>D92+'26.8'!E92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89">
        <f>D93+'26.8'!E93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D90/3.6/D87/(DAY(DATE(2026,10,0))*24)</f>
        <v/>
      </c>
      <c r="E95" s="373">
        <f>E90/3.6/E87/(DATEDIF(DATE(2026,1,1),DATE(2026,10,1),"D")*24)</f>
        <v/>
      </c>
      <c r="F95" s="390">
        <f>F90/3.6/F87/(DAY(DATE(2026,10,0))*24)</f>
        <v/>
      </c>
      <c r="G95" s="373">
        <f>G90/3.6/G87/(DATEDIF(DATE(2026,1,1),DATE(2026,10,1),"D")*24)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91">
        <f>D7+'26.9'!I7</f>
        <v/>
      </c>
      <c r="J7" s="391">
        <f>E7+'26.9'!J7</f>
        <v/>
      </c>
      <c r="K7" s="391">
        <f>F7+'26.9'!K7</f>
        <v/>
      </c>
      <c r="L7" s="391">
        <f>G7+'26.9'!L7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91">
        <f>D8+'26.9'!I8</f>
        <v/>
      </c>
      <c r="J8" s="391">
        <f>E8+'26.9'!J8</f>
        <v/>
      </c>
      <c r="K8" s="391">
        <f>F8+'26.9'!K8</f>
        <v/>
      </c>
      <c r="L8" s="391">
        <f>G8+'26.9'!L8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66">
        <f>[1]售热量!$U$25</f>
        <v/>
      </c>
      <c r="F9" s="240" t="n"/>
      <c r="G9" s="240" t="n"/>
      <c r="H9" s="236">
        <f>E9+F9+G9</f>
        <v/>
      </c>
      <c r="I9" s="391">
        <f>D9+'26.9'!I9</f>
        <v/>
      </c>
      <c r="J9" s="391">
        <f>E9+'26.9'!J9</f>
        <v/>
      </c>
      <c r="K9" s="391">
        <f>F9+'26.9'!K9</f>
        <v/>
      </c>
      <c r="L9" s="391">
        <f>G9+'26.9'!L9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91">
        <f>D10+'26.9'!I10</f>
        <v/>
      </c>
      <c r="J10" s="391">
        <f>E10+'26.9'!J10</f>
        <v/>
      </c>
      <c r="K10" s="391">
        <f>F10+'26.9'!K10</f>
        <v/>
      </c>
      <c r="L10" s="391">
        <f>G10+'26.9'!L10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>
        <v>0</v>
      </c>
      <c r="F11" s="241" t="n"/>
      <c r="G11" s="241" t="n"/>
      <c r="H11" s="236">
        <f>E11+F11+G11</f>
        <v/>
      </c>
      <c r="I11" s="391">
        <f>D11+'26.9'!I11</f>
        <v/>
      </c>
      <c r="J11" s="391">
        <f>E11+'26.9'!J11</f>
        <v/>
      </c>
      <c r="K11" s="391">
        <f>F11+'26.9'!K11</f>
        <v/>
      </c>
      <c r="L11" s="391">
        <f>G11+'26.9'!L11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91">
        <f>D12+'26.9'!I12</f>
        <v/>
      </c>
      <c r="J12" s="391">
        <f>E12+'26.9'!J12</f>
        <v/>
      </c>
      <c r="K12" s="391">
        <f>F12+'26.9'!K12</f>
        <v/>
      </c>
      <c r="L12" s="391">
        <f>G12+'26.9'!L12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91">
        <f>D13+'26.9'!I13</f>
        <v/>
      </c>
      <c r="J13" s="391">
        <f>E13+'26.9'!J13</f>
        <v/>
      </c>
      <c r="K13" s="391">
        <f>F13+'26.9'!K13</f>
        <v/>
      </c>
      <c r="L13" s="391">
        <f>G13+'26.9'!L13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91">
        <f>D14+'26.9'!I14</f>
        <v/>
      </c>
      <c r="J14" s="391">
        <f>E14+'26.9'!J14</f>
        <v/>
      </c>
      <c r="K14" s="391">
        <f>F14+'26.9'!K14</f>
        <v/>
      </c>
      <c r="L14" s="391">
        <f>G14+'26.9'!L14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91">
        <f>D15+'26.9'!I15</f>
        <v/>
      </c>
      <c r="J15" s="391">
        <f>E15+'26.9'!J15</f>
        <v/>
      </c>
      <c r="K15" s="391">
        <f>F15+'26.9'!K15</f>
        <v/>
      </c>
      <c r="L15" s="391">
        <f>G15+'26.9'!L15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91">
        <f>D16+'26.9'!I16</f>
        <v/>
      </c>
      <c r="J16" s="391">
        <f>E16+'26.9'!J16</f>
        <v/>
      </c>
      <c r="K16" s="391">
        <f>F16+'26.9'!K16</f>
        <v/>
      </c>
      <c r="L16" s="391">
        <f>G16+'26.9'!L16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91">
        <f>D17+'26.9'!I17</f>
        <v/>
      </c>
      <c r="J17" s="391">
        <f>E17+'26.9'!J17</f>
        <v/>
      </c>
      <c r="K17" s="358" t="n"/>
      <c r="L17" s="391">
        <f>G17+'26.9'!L17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91">
        <f>D18+'26.9'!I18</f>
        <v/>
      </c>
      <c r="J18" s="391">
        <f>E18+'26.9'!J18</f>
        <v/>
      </c>
      <c r="K18" s="391">
        <f>F18+'26.9'!K18</f>
        <v/>
      </c>
      <c r="L18" s="391">
        <f>G18+'26.9'!L18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91">
        <f>D19+'26.9'!I19</f>
        <v/>
      </c>
      <c r="J19" s="365" t="n"/>
      <c r="K19" s="391">
        <f>F19+'26.9'!K19</f>
        <v/>
      </c>
      <c r="L19" s="391">
        <f>G19+'26.9'!L19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91">
        <f>D20+'26.9'!I20</f>
        <v/>
      </c>
      <c r="J20" s="391">
        <f>E20+'26.9'!J20</f>
        <v/>
      </c>
      <c r="K20" s="391">
        <f>F20+'26.9'!K20</f>
        <v/>
      </c>
      <c r="L20" s="391">
        <f>G20+'26.9'!L20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91">
        <f>D21+'26.9'!I21</f>
        <v/>
      </c>
      <c r="J21" s="391">
        <f>E21+'26.9'!J21</f>
        <v/>
      </c>
      <c r="K21" s="391">
        <f>F21+'26.9'!K21</f>
        <v/>
      </c>
      <c r="L21" s="391">
        <f>G21+'26.9'!L21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91">
        <f>D22+'26.9'!I22</f>
        <v/>
      </c>
      <c r="J22" s="391">
        <f>E22+'26.9'!J22</f>
        <v/>
      </c>
      <c r="K22" s="391">
        <f>F22+'26.9'!K22</f>
        <v/>
      </c>
      <c r="L22" s="391">
        <f>G22+'26.9'!L22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91">
        <f>D23+'26.9'!I23</f>
        <v/>
      </c>
      <c r="J23" s="391">
        <f>E23+'26.9'!J23</f>
        <v/>
      </c>
      <c r="K23" s="391">
        <f>F23+'26.9'!K23</f>
        <v/>
      </c>
      <c r="L23" s="391">
        <f>G23+'26.9'!L23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91">
        <f>D26+'26.9'!I26</f>
        <v/>
      </c>
      <c r="J26" s="391">
        <f>E26+'26.9'!J26</f>
        <v/>
      </c>
      <c r="K26" s="391">
        <f>F26+'26.9'!K26</f>
        <v/>
      </c>
      <c r="L26" s="391">
        <f>G26+'26.9'!L26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>
        <v>76403</v>
      </c>
      <c r="J27" s="392">
        <f>'26.9'!J27+E26-E10</f>
        <v/>
      </c>
      <c r="K27" s="392">
        <f>'26.9'!K27+F26-F10</f>
        <v/>
      </c>
      <c r="L27" s="392">
        <f>'26.9'!L27+G26-G10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D8/3.6/D3/(DAY(DATE(2026,11,0))*24)</f>
        <v/>
      </c>
      <c r="E31" s="372">
        <f>E8/3.6/E3/(DAY(DATE(2026,11,0))*24)</f>
        <v/>
      </c>
      <c r="F31" s="372">
        <f>F8/3.6/F3/(DAY(DATE(2026,11,0))*24)</f>
        <v/>
      </c>
      <c r="G31" s="372">
        <f>(G8-G36)/3.6/G3/(DAY(DATE(2026,11,0))*24)</f>
        <v/>
      </c>
      <c r="H31" s="373">
        <f>H8/3.6/H3/(DAY(DATE(2026,11,0))*24)</f>
        <v/>
      </c>
      <c r="I31" s="371">
        <f>I8/3.6/I3/(DATEDIF(DATE(2026,1,1),DATE(2026,11,1),"D")*24)</f>
        <v/>
      </c>
      <c r="J31" s="372">
        <f>J8/3.6/J3/(DATEDIF(DATE(2026,1,1),DATE(2026,11,1),"D")*24)</f>
        <v/>
      </c>
      <c r="K31" s="372">
        <f>K8/3.6/K3/(DATEDIF(DATE(2026,1,1),DATE(2026,11,1),"D")*24)</f>
        <v/>
      </c>
      <c r="L31" s="372">
        <f>(L8-L36)/3.6/L3/(DATEDIF(DATE(2026,1,1),DATE(2026,11,1),"D")*24)</f>
        <v/>
      </c>
      <c r="M31" s="373">
        <f>M8/3.6/M3/(DATEDIF(DATE(2026,1,1),DATE(2026,11,1),"D")*24)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91">
        <f>G36+'26.9'!L36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93">
        <f>D42+'26.9'!E42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93">
        <f>D43+'26.9'!E43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93">
        <f>D44+'26.9'!E44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93">
        <f>D45+'26.9'!E45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D42/3.6/D39/(DAY(DATE(2026,11,0))*24)</f>
        <v/>
      </c>
      <c r="E47" s="375">
        <f>E42/3.6/E39/(DATEDIF(DATE(2026,1,1),DATE(2026,11,1),"D")*24)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73" t="n"/>
      <c r="E56" s="273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94">
        <f>D58+'26.9'!G58</f>
        <v/>
      </c>
      <c r="H58" s="394">
        <f>E58+'26.9'!H58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94">
        <f>D59+'26.9'!G59</f>
        <v/>
      </c>
      <c r="H59" s="394">
        <f>E59+'26.9'!H59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94">
        <f>D60+'26.9'!G60</f>
        <v/>
      </c>
      <c r="H60" s="394">
        <f>E60+'26.9'!H60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94">
        <f>D61+'26.9'!G61</f>
        <v/>
      </c>
      <c r="H61" s="394">
        <f>E61+'26.9'!H61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D58/3.6/D55/(DAY(DATE(2026,11,0))*24)</f>
        <v/>
      </c>
      <c r="E63" s="372">
        <f>E58/3.6/E55/(DAY(DATE(2026,11,0))*24)</f>
        <v/>
      </c>
      <c r="F63" s="385">
        <f>F58/3.6/F55/(DAY(DATE(2026,11,0))*24)</f>
        <v/>
      </c>
      <c r="G63" s="371">
        <f>G58/3.6/G55/(DATEDIF(DATE(2026,1,1),DATE(2026,11,1),"D")*24)</f>
        <v/>
      </c>
      <c r="H63" s="372">
        <f>H58/3.6/H55/(DATEDIF(DATE(2026,1,1),DATE(2026,11,1),"D")*24)</f>
        <v/>
      </c>
      <c r="I63" s="373">
        <f>I58/3.6/I55/(DATEDIF(DATE(2026,1,1),DATE(2026,11,1),"D")*24)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93">
        <f>D73+'26.9'!F73</f>
        <v/>
      </c>
      <c r="G73" s="393">
        <f>E73+'26.9'!G73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93">
        <f>D74+'26.9'!F74</f>
        <v/>
      </c>
      <c r="G74" s="393">
        <f>E74+'26.9'!G74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93">
        <f>D75+'26.9'!F75</f>
        <v/>
      </c>
      <c r="G75" s="393">
        <f>E75+'26.9'!G75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93">
        <f>D76+'26.9'!F76</f>
        <v/>
      </c>
      <c r="G76" s="393">
        <f>E76+'26.9'!G76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93">
        <f>D77+'26.9'!F77</f>
        <v/>
      </c>
      <c r="G77" s="393">
        <f>E77+'26.9'!G77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D73/3.6/D71/(DAY(DATE(2026,11,0))*24)</f>
        <v/>
      </c>
      <c r="E82" s="388">
        <f>E73/3.6/E71/(DAY(DATE(2026,11,0))*24)</f>
        <v/>
      </c>
      <c r="F82" s="378">
        <f>F73/3.6/F71/(DATEDIF(DATE(2026,1,1),DATE(2026,11,1),"D")*24)</f>
        <v/>
      </c>
      <c r="G82" s="379">
        <f>G73/3.6/G71/(DATEDIF(DATE(2026,1,1),DATE(2026,11,1),"D")*24)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 t="n">
        <v>83197.81</v>
      </c>
      <c r="G88" s="380" t="n">
        <v>83197.81</v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 t="n">
        <v>83197.81</v>
      </c>
      <c r="G89" s="380" t="n">
        <v>83197.81</v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95">
        <f>D90+'26.9'!E90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95">
        <f>D91+'26.9'!E91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95">
        <f>D92+'26.9'!E92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95">
        <f>D93+'26.9'!E93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D90/3.6/D87/(DAY(DATE(2026,11,0))*24)</f>
        <v/>
      </c>
      <c r="E95" s="373">
        <f>E90/3.6/E87/(DATEDIF(DATE(2026,1,1),DATE(2026,11,1),"D")*24)</f>
        <v/>
      </c>
      <c r="F95" s="390">
        <f>F90/3.6/F87/(DAY(DATE(2026,11,0))*24)</f>
        <v/>
      </c>
      <c r="G95" s="373">
        <f>G90/3.6/G87/(DATEDIF(DATE(2026,1,1),DATE(2026,11,1),"D")*24)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82">
        <f>D7+'26.10'!I7</f>
        <v/>
      </c>
      <c r="J7" s="382">
        <f>E7+'26.10'!J7</f>
        <v/>
      </c>
      <c r="K7" s="382">
        <f>F7+'26.10'!K7</f>
        <v/>
      </c>
      <c r="L7" s="382">
        <f>G7+'26.10'!L7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82">
        <f>D8+'26.10'!I8</f>
        <v/>
      </c>
      <c r="J8" s="382">
        <f>E8+'26.10'!J8</f>
        <v/>
      </c>
      <c r="K8" s="382">
        <f>F8+'26.10'!K8</f>
        <v/>
      </c>
      <c r="L8" s="382">
        <f>G8+'26.10'!L8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>
        <v>0</v>
      </c>
      <c r="E9" s="396">
        <f>[1]售热量!$W$25</f>
        <v/>
      </c>
      <c r="F9" s="240" t="n"/>
      <c r="G9" s="240" t="n"/>
      <c r="H9" s="236">
        <f>E9+F9+G9</f>
        <v/>
      </c>
      <c r="I9" s="382">
        <f>D9+'26.10'!I9</f>
        <v/>
      </c>
      <c r="J9" s="382">
        <f>E9+'26.10'!J9</f>
        <v/>
      </c>
      <c r="K9" s="382">
        <f>F9+'26.10'!K9</f>
        <v/>
      </c>
      <c r="L9" s="382">
        <f>G9+'26.10'!L9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82">
        <f>D10+'26.10'!I10</f>
        <v/>
      </c>
      <c r="J10" s="382">
        <f>E10+'26.10'!J10</f>
        <v/>
      </c>
      <c r="K10" s="382">
        <f>F10+'26.10'!K10</f>
        <v/>
      </c>
      <c r="L10" s="382">
        <f>G10+'26.10'!L10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/>
      <c r="F11" s="241" t="n"/>
      <c r="G11" s="241" t="n"/>
      <c r="H11" s="236">
        <f>E11+F11+G11</f>
        <v/>
      </c>
      <c r="I11" s="382">
        <f>D11+'26.10'!I11</f>
        <v/>
      </c>
      <c r="J11" s="382">
        <f>E11+'26.10'!J11</f>
        <v/>
      </c>
      <c r="K11" s="382">
        <f>F11+'26.10'!K11</f>
        <v/>
      </c>
      <c r="L11" s="382">
        <f>G11+'26.10'!L11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82">
        <f>D12+'26.10'!I12</f>
        <v/>
      </c>
      <c r="J12" s="382">
        <f>E12+'26.10'!J12</f>
        <v/>
      </c>
      <c r="K12" s="382">
        <f>F12+'26.10'!K12</f>
        <v/>
      </c>
      <c r="L12" s="382">
        <f>G12+'26.10'!L12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82">
        <f>D13+'26.10'!I13</f>
        <v/>
      </c>
      <c r="J13" s="382">
        <f>E13+'26.10'!J13</f>
        <v/>
      </c>
      <c r="K13" s="382">
        <f>F13+'26.10'!K13</f>
        <v/>
      </c>
      <c r="L13" s="382">
        <f>G13+'26.10'!L13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82">
        <f>D14+'26.10'!I14</f>
        <v/>
      </c>
      <c r="J14" s="382">
        <f>E14+'26.10'!J14</f>
        <v/>
      </c>
      <c r="K14" s="382">
        <f>F14+'26.10'!K14</f>
        <v/>
      </c>
      <c r="L14" s="382">
        <f>G14+'26.10'!L14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82">
        <f>D15+'26.10'!I15</f>
        <v/>
      </c>
      <c r="J15" s="382">
        <f>E15+'26.10'!J15</f>
        <v/>
      </c>
      <c r="K15" s="382">
        <f>F15+'26.10'!K15</f>
        <v/>
      </c>
      <c r="L15" s="382">
        <f>G15+'26.10'!L15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82">
        <f>D16+'26.10'!I16</f>
        <v/>
      </c>
      <c r="J16" s="382">
        <f>E16+'26.10'!J16</f>
        <v/>
      </c>
      <c r="K16" s="382">
        <f>F16+'26.10'!K16</f>
        <v/>
      </c>
      <c r="L16" s="382">
        <f>G16+'26.10'!L16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 t="n"/>
      <c r="E17" s="251" t="n"/>
      <c r="F17" s="240" t="n"/>
      <c r="G17" s="235" t="n"/>
      <c r="H17" s="236" t="n"/>
      <c r="I17" s="382">
        <f>D17+'26.10'!I17</f>
        <v/>
      </c>
      <c r="J17" s="382">
        <f>E17+'26.10'!J17</f>
        <v/>
      </c>
      <c r="K17" s="358" t="n"/>
      <c r="L17" s="382">
        <f>G17+'26.10'!L17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82">
        <f>D18+'26.10'!I18</f>
        <v/>
      </c>
      <c r="J18" s="382">
        <f>E18+'26.10'!J18</f>
        <v/>
      </c>
      <c r="K18" s="382">
        <f>F18+'26.10'!K18</f>
        <v/>
      </c>
      <c r="L18" s="382">
        <f>G18+'26.10'!L18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82">
        <f>D19+'26.10'!I19</f>
        <v/>
      </c>
      <c r="J19" s="365" t="n"/>
      <c r="K19" s="382">
        <f>F19+'26.10'!K19</f>
        <v/>
      </c>
      <c r="L19" s="382">
        <f>G19+'26.10'!L19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82">
        <f>D20+'26.10'!I20</f>
        <v/>
      </c>
      <c r="J20" s="382">
        <f>E20+'26.10'!J20</f>
        <v/>
      </c>
      <c r="K20" s="382">
        <f>F20+'26.10'!K20</f>
        <v/>
      </c>
      <c r="L20" s="382">
        <f>G20+'26.10'!L20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82">
        <f>D21+'26.10'!I21</f>
        <v/>
      </c>
      <c r="J21" s="382">
        <f>E21+'26.10'!J21</f>
        <v/>
      </c>
      <c r="K21" s="382">
        <f>F21+'26.10'!K21</f>
        <v/>
      </c>
      <c r="L21" s="382">
        <f>G21+'26.10'!L21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82">
        <f>D22+'26.10'!I22</f>
        <v/>
      </c>
      <c r="J22" s="382">
        <f>E22+'26.10'!J22</f>
        <v/>
      </c>
      <c r="K22" s="382">
        <f>F22+'26.10'!K22</f>
        <v/>
      </c>
      <c r="L22" s="382">
        <f>G22+'26.10'!L22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82">
        <f>D23+'26.10'!I23</f>
        <v/>
      </c>
      <c r="J23" s="382">
        <f>E23+'26.10'!J23</f>
        <v/>
      </c>
      <c r="K23" s="382">
        <f>F23+'26.10'!K23</f>
        <v/>
      </c>
      <c r="L23" s="382">
        <f>G23+'26.10'!L23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82">
        <f>D26+'26.10'!I26</f>
        <v/>
      </c>
      <c r="J26" s="382">
        <f>E26+'26.10'!J26</f>
        <v/>
      </c>
      <c r="K26" s="382">
        <f>F26+'26.10'!K26</f>
        <v/>
      </c>
      <c r="L26" s="382">
        <f>G26+'26.10'!L26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>
        <v>68931.3</v>
      </c>
      <c r="J27" s="383">
        <f>'26.10'!J27+E26-E10</f>
        <v/>
      </c>
      <c r="K27" s="383">
        <f>'26.10'!K27+F26-F10</f>
        <v/>
      </c>
      <c r="L27" s="383">
        <f>'26.10'!L27+G26-G10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/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D8/3.6/D3/(DAY(DATE(2026,12,0))*24)</f>
        <v/>
      </c>
      <c r="E31" s="372">
        <f>E8/3.6/E3/(DAY(DATE(2026,12,0))*24)</f>
        <v/>
      </c>
      <c r="F31" s="372">
        <f>F8/3.6/F3/(DAY(DATE(2026,12,0))*24)</f>
        <v/>
      </c>
      <c r="G31" s="372">
        <f>(G8-G36)/3.6/G3/(DAY(DATE(2026,12,0))*24)</f>
        <v/>
      </c>
      <c r="H31" s="373">
        <f>H8/3.6/H3/(DAY(DATE(2026,12,0))*24)</f>
        <v/>
      </c>
      <c r="I31" s="371">
        <f>I8/3.6/I3/(DATEDIF(DATE(2026,1,1),DATE(2026,12,1),"D")*24)</f>
        <v/>
      </c>
      <c r="J31" s="372">
        <f>J8/3.6/J3/(DATEDIF(DATE(2026,1,1),DATE(2026,12,1),"D")*24)</f>
        <v/>
      </c>
      <c r="K31" s="372">
        <f>K8/3.6/K3/(DATEDIF(DATE(2026,1,1),DATE(2026,12,1),"D")*24)</f>
        <v/>
      </c>
      <c r="L31" s="372">
        <f>(L8-L36)/3.6/L3/(DATEDIF(DATE(2026,1,1),DATE(2026,12,1),"D")*24)</f>
        <v/>
      </c>
      <c r="M31" s="373">
        <f>M8/3.6/M3/(DATEDIF(DATE(2026,1,1),DATE(2026,12,1),"D")*24)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82">
        <f>G36+'26.10'!L36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>
        <f>D41</f>
        <v/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84">
        <f>D42+'26.10'!E42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84">
        <f>D43+'26.10'!E43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84">
        <f>D44+'26.10'!E44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84">
        <f>D45+'26.10'!E45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D42/3.6/D39/(DAY(DATE(2026,12,0))*24)</f>
        <v/>
      </c>
      <c r="E47" s="375">
        <f>E42/3.6/E39/(DATEDIF(DATE(2026,1,1),DATE(2026,12,1),"D")*24)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69" t="n"/>
      <c r="E56" s="269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86">
        <f>D58+'26.10'!G58</f>
        <v/>
      </c>
      <c r="H58" s="386">
        <f>E58+'26.10'!H58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86">
        <f>D59+'26.10'!G59</f>
        <v/>
      </c>
      <c r="H59" s="386">
        <f>E59+'26.10'!H59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86">
        <f>D60+'26.10'!G60</f>
        <v/>
      </c>
      <c r="H60" s="386">
        <f>E60+'26.10'!H60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86">
        <f>D61+'26.10'!G61</f>
        <v/>
      </c>
      <c r="H61" s="386">
        <f>E61+'26.10'!H61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D58/3.6/D55/(DAY(DATE(2026,12,0))*24)</f>
        <v/>
      </c>
      <c r="E63" s="372">
        <f>E58/3.6/E55/(DAY(DATE(2026,12,0))*24)</f>
        <v/>
      </c>
      <c r="F63" s="385">
        <f>F58/3.6/F55/(DAY(DATE(2026,12,0))*24)</f>
        <v/>
      </c>
      <c r="G63" s="371">
        <f>G58/3.6/G55/(DATEDIF(DATE(2026,1,1),DATE(2026,12,1),"D")*24)</f>
        <v/>
      </c>
      <c r="H63" s="372">
        <f>H58/3.6/H55/(DATEDIF(DATE(2026,1,1),DATE(2026,12,1),"D")*24)</f>
        <v/>
      </c>
      <c r="I63" s="373">
        <f>I58/3.6/I55/(DATEDIF(DATE(2026,1,1),DATE(2026,12,1),"D")*24)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84">
        <f>D73+'26.10'!F73</f>
        <v/>
      </c>
      <c r="G73" s="384">
        <f>E73+'26.10'!G73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84">
        <f>D74+'26.10'!F74</f>
        <v/>
      </c>
      <c r="G74" s="384">
        <f>E74+'26.10'!G74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84">
        <f>D75+'26.10'!F75</f>
        <v/>
      </c>
      <c r="G75" s="384">
        <f>E75+'26.10'!G75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84">
        <f>D76+'26.10'!F76</f>
        <v/>
      </c>
      <c r="G76" s="384">
        <f>E76+'26.10'!G76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84">
        <f>D77+'26.10'!F77</f>
        <v/>
      </c>
      <c r="G77" s="384">
        <f>E77+'26.10'!G77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D73/3.6/D71/(DAY(DATE(2026,12,0))*24)</f>
        <v/>
      </c>
      <c r="E82" s="388">
        <f>E73/3.6/E71/(DAY(DATE(2026,12,0))*24)</f>
        <v/>
      </c>
      <c r="F82" s="378">
        <f>F73/3.6/F71/(DATEDIF(DATE(2026,1,1),DATE(2026,12,1),"D")*24)</f>
        <v/>
      </c>
      <c r="G82" s="379">
        <f>G73/3.6/G71/(DATEDIF(DATE(2026,1,1),DATE(2026,12,1),"D")*24)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>
        <f>D88+D56+E56</f>
        <v/>
      </c>
      <c r="G88" s="380">
        <f>E88+G56+H56</f>
        <v/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>
        <f>D89+D57+E57</f>
        <v/>
      </c>
      <c r="G89" s="380">
        <f>E89+G57+H57</f>
        <v/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89">
        <f>D90+'26.10'!E90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89">
        <f>D91+'26.10'!E91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89">
        <f>D92+'26.10'!E92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89">
        <f>D93+'26.10'!E93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D90/3.6/D87/(DAY(DATE(2026,12,0))*24)</f>
        <v/>
      </c>
      <c r="E95" s="373">
        <f>E90/3.6/E87/(DATEDIF(DATE(2026,1,1),DATE(2026,12,1),"D")*24)</f>
        <v/>
      </c>
      <c r="F95" s="390">
        <f>F90/3.6/F87/(DAY(DATE(2026,12,0))*24)</f>
        <v/>
      </c>
      <c r="G95" s="373">
        <f>G90/3.6/G87/(DATEDIF(DATE(2026,1,1),DATE(2026,12,1),"D")*24)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" min="1" max="1"/>
    <col width="19.75" customWidth="1" style="1" min="2" max="2"/>
    <col width="13.5" customWidth="1" style="4" min="3" max="3"/>
    <col width="13.45" customWidth="1" style="5" min="4" max="4"/>
    <col width="13.45" customWidth="1" style="1" min="5" max="13"/>
    <col width="22.2083333333333" customWidth="1" style="1" min="14" max="14"/>
    <col width="8.625" customWidth="1" style="1" min="15" max="16384"/>
  </cols>
  <sheetData>
    <row r="1" ht="39.95" customFormat="1" customHeight="1" s="1">
      <c r="A1" s="6" t="inlineStr">
        <is>
          <t>代码</t>
        </is>
      </c>
      <c r="B1" s="7" t="inlineStr">
        <is>
          <t>项目</t>
        </is>
      </c>
      <c r="C1" s="7" t="inlineStr">
        <is>
          <t>计量单位</t>
        </is>
      </c>
      <c r="D1" s="8" t="inlineStr">
        <is>
          <t>本  月  实  际</t>
        </is>
      </c>
      <c r="E1" s="9" t="n"/>
      <c r="F1" s="9" t="n"/>
      <c r="G1" s="9" t="n"/>
      <c r="H1" s="10" t="n"/>
      <c r="I1" s="11" t="inlineStr">
        <is>
          <t>本  年  累  计</t>
        </is>
      </c>
      <c r="J1" s="9" t="n"/>
      <c r="K1" s="9" t="n"/>
      <c r="L1" s="9" t="n"/>
      <c r="M1" s="9" t="n"/>
    </row>
    <row r="2" ht="39.95" customFormat="1" customHeight="1" s="1">
      <c r="A2" s="12" t="n"/>
      <c r="B2" s="13" t="n"/>
      <c r="C2" s="13" t="n"/>
      <c r="D2" s="14" t="inlineStr">
        <is>
          <t>北海水炉</t>
        </is>
      </c>
      <c r="E2" s="14" t="inlineStr">
        <is>
          <t xml:space="preserve">金普   </t>
        </is>
      </c>
      <c r="F2" s="14" t="inlineStr">
        <is>
          <t xml:space="preserve">临海   </t>
        </is>
      </c>
      <c r="G2" s="15" t="inlineStr">
        <is>
          <t xml:space="preserve">庄河    </t>
        </is>
      </c>
      <c r="H2" s="16" t="inlineStr">
        <is>
          <t>合计</t>
        </is>
      </c>
      <c r="I2" s="17" t="inlineStr">
        <is>
          <t>北海水炉</t>
        </is>
      </c>
      <c r="J2" s="14" t="inlineStr">
        <is>
          <t xml:space="preserve">金普   </t>
        </is>
      </c>
      <c r="K2" s="14" t="inlineStr">
        <is>
          <t xml:space="preserve">临海   </t>
        </is>
      </c>
      <c r="L2" s="15" t="inlineStr">
        <is>
          <t xml:space="preserve">庄河  </t>
        </is>
      </c>
      <c r="M2" s="16" t="inlineStr">
        <is>
          <t>合计</t>
        </is>
      </c>
    </row>
    <row r="3" ht="18" customFormat="1" customHeight="1" s="1">
      <c r="A3" s="18" t="inlineStr">
        <is>
          <t>001</t>
        </is>
      </c>
      <c r="B3" s="224" t="inlineStr">
        <is>
          <t>装机总容量</t>
        </is>
      </c>
      <c r="C3" s="20" t="inlineStr">
        <is>
          <t>兆瓦</t>
        </is>
      </c>
      <c r="D3" s="225" t="n">
        <v>348</v>
      </c>
      <c r="E3" s="226" t="n">
        <v>162</v>
      </c>
      <c r="F3" s="226" t="n"/>
      <c r="G3" s="227" t="n">
        <v>14</v>
      </c>
      <c r="H3" s="228">
        <f>E3+F3+G3</f>
        <v/>
      </c>
      <c r="I3" s="229">
        <f>D3</f>
        <v/>
      </c>
      <c r="J3" s="225">
        <f>E3</f>
        <v/>
      </c>
      <c r="K3" s="225">
        <f>F3</f>
        <v/>
      </c>
      <c r="L3" s="230">
        <f>G3</f>
        <v/>
      </c>
      <c r="M3" s="228">
        <f>J3+K3+L3</f>
        <v/>
      </c>
    </row>
    <row r="4" ht="18" customFormat="1" customHeight="1" s="1">
      <c r="A4" s="27" t="inlineStr">
        <is>
          <t>002</t>
        </is>
      </c>
      <c r="B4" s="231" t="inlineStr">
        <is>
          <t>期末供热面积</t>
        </is>
      </c>
      <c r="C4" s="29" t="inlineStr">
        <is>
          <t>平方米</t>
        </is>
      </c>
      <c r="D4" s="232" t="inlineStr">
        <is>
          <t xml:space="preserve"> -   </t>
        </is>
      </c>
      <c r="E4" s="233" t="n"/>
      <c r="F4" s="234" t="n"/>
      <c r="G4" s="235" t="n"/>
      <c r="H4" s="236" t="n"/>
      <c r="I4" s="357">
        <f>D4</f>
        <v/>
      </c>
      <c r="J4" s="233">
        <f>E4</f>
        <v/>
      </c>
      <c r="K4" s="238">
        <f>F4</f>
        <v/>
      </c>
      <c r="L4" s="242">
        <f>G4</f>
        <v/>
      </c>
      <c r="M4" s="236">
        <f>J4+K4+L4</f>
        <v/>
      </c>
    </row>
    <row r="5" ht="18" customFormat="1" customHeight="1" s="1">
      <c r="A5" s="27" t="n"/>
      <c r="B5" s="231" t="inlineStr">
        <is>
          <t>其中：高温水面积</t>
        </is>
      </c>
      <c r="C5" s="29" t="inlineStr">
        <is>
          <t>平方米</t>
        </is>
      </c>
      <c r="D5" s="232" t="inlineStr">
        <is>
          <t xml:space="preserve"> -   </t>
        </is>
      </c>
      <c r="E5" s="234" t="n">
        <v>55000</v>
      </c>
      <c r="F5" s="240" t="n">
        <v>0</v>
      </c>
      <c r="G5" s="241" t="n">
        <v>0</v>
      </c>
      <c r="H5" s="236">
        <f>E5+F5+G5</f>
        <v/>
      </c>
      <c r="I5" s="357">
        <f>D5</f>
        <v/>
      </c>
      <c r="J5" s="233">
        <f>E5</f>
        <v/>
      </c>
      <c r="K5" s="238">
        <f>F5</f>
        <v/>
      </c>
      <c r="L5" s="242">
        <f>G5</f>
        <v/>
      </c>
      <c r="M5" s="236">
        <f>J5+K5+L5</f>
        <v/>
      </c>
    </row>
    <row r="6" ht="18" customFormat="1" customHeight="1" s="1">
      <c r="A6" s="27" t="inlineStr">
        <is>
          <t>003</t>
        </is>
      </c>
      <c r="B6" s="231" t="inlineStr">
        <is>
          <t>实际平均供热面积</t>
        </is>
      </c>
      <c r="C6" s="29" t="inlineStr">
        <is>
          <t>平方米</t>
        </is>
      </c>
      <c r="D6" s="232" t="inlineStr">
        <is>
          <t xml:space="preserve"> -   </t>
        </is>
      </c>
      <c r="E6" s="235">
        <f>E4</f>
        <v/>
      </c>
      <c r="F6" s="235">
        <f>F4</f>
        <v/>
      </c>
      <c r="G6" s="235">
        <f>G4</f>
        <v/>
      </c>
      <c r="H6" s="236">
        <f>E6+F6+G6</f>
        <v/>
      </c>
      <c r="I6" s="357">
        <f>D6</f>
        <v/>
      </c>
      <c r="J6" s="239">
        <f>E6</f>
        <v/>
      </c>
      <c r="K6" s="239">
        <f>F6</f>
        <v/>
      </c>
      <c r="L6" s="239">
        <f>G6</f>
        <v/>
      </c>
      <c r="M6" s="236">
        <f>J6+K6+L6</f>
        <v/>
      </c>
    </row>
    <row r="7" ht="18" customFormat="1" customHeight="1" s="2">
      <c r="A7" s="27" t="inlineStr">
        <is>
          <t>004</t>
        </is>
      </c>
      <c r="B7" s="243" t="inlineStr">
        <is>
          <t>供汽量</t>
        </is>
      </c>
      <c r="C7" s="42" t="inlineStr">
        <is>
          <t>吨</t>
        </is>
      </c>
      <c r="D7" s="241" t="n">
        <v>0</v>
      </c>
      <c r="E7" s="241" t="n">
        <v>0</v>
      </c>
      <c r="F7" s="241" t="n">
        <v>0</v>
      </c>
      <c r="G7" s="241" t="n"/>
      <c r="H7" s="236">
        <f>E7+F7+G7</f>
        <v/>
      </c>
      <c r="I7" s="391">
        <f>D7+'26.11'!I7</f>
        <v/>
      </c>
      <c r="J7" s="391">
        <f>E7+'26.11'!J7</f>
        <v/>
      </c>
      <c r="K7" s="391">
        <f>F7+'26.11'!K7</f>
        <v/>
      </c>
      <c r="L7" s="391">
        <f>G7+'26.11'!L7</f>
        <v/>
      </c>
      <c r="M7" s="236">
        <f>J7+K7+L7</f>
        <v/>
      </c>
    </row>
    <row r="8" ht="18" customFormat="1" customHeight="1" s="2">
      <c r="A8" s="27" t="inlineStr">
        <is>
          <t>005</t>
        </is>
      </c>
      <c r="B8" s="243" t="inlineStr">
        <is>
          <t>供热量</t>
        </is>
      </c>
      <c r="C8" s="42" t="inlineStr">
        <is>
          <t>吉焦</t>
        </is>
      </c>
      <c r="D8" s="246" t="n"/>
      <c r="E8" s="241" t="n"/>
      <c r="F8" s="240" t="n"/>
      <c r="G8" s="235" t="n"/>
      <c r="H8" s="236" t="n"/>
      <c r="I8" s="391">
        <f>D8+'26.11'!I8</f>
        <v/>
      </c>
      <c r="J8" s="391">
        <f>E8+'26.11'!J8</f>
        <v/>
      </c>
      <c r="K8" s="391">
        <f>F8+'26.11'!K8</f>
        <v/>
      </c>
      <c r="L8" s="391">
        <f>G8+'26.11'!L8</f>
        <v/>
      </c>
      <c r="M8" s="236">
        <f>J8+K8+L8</f>
        <v/>
      </c>
      <c r="N8" s="45" t="n"/>
    </row>
    <row r="9" ht="18" customFormat="1" customHeight="1" s="2">
      <c r="A9" s="27" t="inlineStr">
        <is>
          <t>006</t>
        </is>
      </c>
      <c r="B9" s="243" t="inlineStr">
        <is>
          <t>高温水销售量</t>
        </is>
      </c>
      <c r="C9" s="42" t="inlineStr">
        <is>
          <t>吉焦</t>
        </is>
      </c>
      <c r="D9" s="241" t="n"/>
      <c r="E9" s="366">
        <f>[1]售热量!$Y$25</f>
        <v/>
      </c>
      <c r="F9" s="240" t="n"/>
      <c r="G9" s="240" t="n"/>
      <c r="H9" s="236">
        <f>E9+F9+G9</f>
        <v/>
      </c>
      <c r="I9" s="391">
        <f>D9+'26.11'!I9</f>
        <v/>
      </c>
      <c r="J9" s="391">
        <f>E9+'26.11'!J9</f>
        <v/>
      </c>
      <c r="K9" s="391">
        <f>F9+'26.11'!K9</f>
        <v/>
      </c>
      <c r="L9" s="391">
        <f>G9+'26.11'!L9</f>
        <v/>
      </c>
      <c r="M9" s="236">
        <f>J9+K9+L9</f>
        <v/>
      </c>
    </row>
    <row r="10" ht="18" customFormat="1" customHeight="1" s="2">
      <c r="A10" s="27" t="inlineStr">
        <is>
          <t>007</t>
        </is>
      </c>
      <c r="B10" s="243" t="inlineStr">
        <is>
          <t>生产耗原煤量</t>
        </is>
      </c>
      <c r="C10" s="42" t="inlineStr">
        <is>
          <t>吨</t>
        </is>
      </c>
      <c r="D10" s="241" t="n"/>
      <c r="E10" s="234" t="n"/>
      <c r="F10" s="240" t="n"/>
      <c r="G10" s="235" t="n"/>
      <c r="H10" s="236">
        <f>E10+F10+G10</f>
        <v/>
      </c>
      <c r="I10" s="391">
        <f>D10+'26.11'!I10</f>
        <v/>
      </c>
      <c r="J10" s="391">
        <f>E10+'26.11'!J10</f>
        <v/>
      </c>
      <c r="K10" s="391">
        <f>F10+'26.11'!K10</f>
        <v/>
      </c>
      <c r="L10" s="391">
        <f>G10+'26.11'!L10</f>
        <v/>
      </c>
      <c r="M10" s="236">
        <f>J10+K10+L10</f>
        <v/>
      </c>
    </row>
    <row r="11" ht="18" customFormat="1" customHeight="1" s="2">
      <c r="A11" s="27" t="inlineStr">
        <is>
          <t>008</t>
        </is>
      </c>
      <c r="B11" s="243" t="inlineStr">
        <is>
          <t>耗油量</t>
        </is>
      </c>
      <c r="C11" s="42" t="inlineStr">
        <is>
          <t>吨</t>
        </is>
      </c>
      <c r="D11" s="241" t="n"/>
      <c r="E11" s="241" t="n"/>
      <c r="F11" s="241" t="n"/>
      <c r="G11" s="241" t="n"/>
      <c r="H11" s="236">
        <f>E11+F11+G11</f>
        <v/>
      </c>
      <c r="I11" s="391">
        <f>D11+'26.11'!I11</f>
        <v/>
      </c>
      <c r="J11" s="391">
        <f>E11+'26.11'!J11</f>
        <v/>
      </c>
      <c r="K11" s="391">
        <f>F11+'26.11'!K11</f>
        <v/>
      </c>
      <c r="L11" s="391">
        <f>G11+'26.11'!L11</f>
        <v/>
      </c>
      <c r="M11" s="236">
        <f>J11+K11+L11</f>
        <v/>
      </c>
    </row>
    <row r="12" ht="18" customFormat="1" customHeight="1" s="2">
      <c r="A12" s="27" t="inlineStr">
        <is>
          <t>009</t>
        </is>
      </c>
      <c r="B12" s="243" t="inlineStr">
        <is>
          <t>耗标煤总量</t>
        </is>
      </c>
      <c r="C12" s="42" t="inlineStr">
        <is>
          <t>吨</t>
        </is>
      </c>
      <c r="D12" s="246">
        <f>D13+D14</f>
        <v/>
      </c>
      <c r="E12" s="246">
        <f>E13+E14</f>
        <v/>
      </c>
      <c r="F12" s="246">
        <f>F13+F14</f>
        <v/>
      </c>
      <c r="G12" s="246">
        <f>G13+G14</f>
        <v/>
      </c>
      <c r="H12" s="236">
        <f>E12+F12+G12</f>
        <v/>
      </c>
      <c r="I12" s="391">
        <f>D12+'26.11'!I12</f>
        <v/>
      </c>
      <c r="J12" s="391">
        <f>E12+'26.11'!J12</f>
        <v/>
      </c>
      <c r="K12" s="391">
        <f>F12+'26.11'!K12</f>
        <v/>
      </c>
      <c r="L12" s="391">
        <f>G12+'26.11'!L12</f>
        <v/>
      </c>
      <c r="M12" s="236">
        <f>J12+K12+L12</f>
        <v/>
      </c>
    </row>
    <row r="13" ht="18" customFormat="1" customHeight="1" s="2">
      <c r="A13" s="27" t="n"/>
      <c r="B13" s="243" t="inlineStr">
        <is>
          <t>其中：煤折标准煤量</t>
        </is>
      </c>
      <c r="C13" s="42" t="inlineStr">
        <is>
          <t>吨</t>
        </is>
      </c>
      <c r="D13" s="241" t="n"/>
      <c r="E13" s="241" t="n"/>
      <c r="F13" s="241" t="n"/>
      <c r="G13" s="246" t="n"/>
      <c r="H13" s="250" t="n"/>
      <c r="I13" s="391">
        <f>D13+'26.11'!I13</f>
        <v/>
      </c>
      <c r="J13" s="391">
        <f>E13+'26.11'!J13</f>
        <v/>
      </c>
      <c r="K13" s="391">
        <f>F13+'26.11'!K13</f>
        <v/>
      </c>
      <c r="L13" s="391">
        <f>G13+'26.11'!L13</f>
        <v/>
      </c>
      <c r="M13" s="250" t="n"/>
    </row>
    <row r="14" ht="18" customFormat="1" customHeight="1" s="2">
      <c r="A14" s="27" t="n"/>
      <c r="B14" s="243" t="inlineStr">
        <is>
          <t xml:space="preserve">      油折标准煤量</t>
        </is>
      </c>
      <c r="C14" s="42" t="inlineStr">
        <is>
          <t>吨</t>
        </is>
      </c>
      <c r="D14" s="246" t="n"/>
      <c r="E14" s="241" t="n"/>
      <c r="F14" s="241" t="n"/>
      <c r="G14" s="241" t="n"/>
      <c r="H14" s="250" t="n"/>
      <c r="I14" s="391">
        <f>D14+'26.11'!I14</f>
        <v/>
      </c>
      <c r="J14" s="391">
        <f>E14+'26.11'!J14</f>
        <v/>
      </c>
      <c r="K14" s="391">
        <f>F14+'26.11'!K14</f>
        <v/>
      </c>
      <c r="L14" s="391">
        <f>G14+'26.11'!L14</f>
        <v/>
      </c>
      <c r="M14" s="250" t="n"/>
    </row>
    <row r="15" ht="18" customFormat="1" customHeight="1" s="2">
      <c r="A15" s="27" t="inlineStr">
        <is>
          <t>010</t>
        </is>
      </c>
      <c r="B15" s="243" t="inlineStr">
        <is>
          <t>耗水量</t>
        </is>
      </c>
      <c r="C15" s="42" t="inlineStr">
        <is>
          <t>吨</t>
        </is>
      </c>
      <c r="D15" s="241" t="n"/>
      <c r="E15" s="251" t="n"/>
      <c r="F15" s="240" t="n"/>
      <c r="G15" s="235" t="n"/>
      <c r="H15" s="236" t="n"/>
      <c r="I15" s="391">
        <f>D15+'26.11'!I15</f>
        <v/>
      </c>
      <c r="J15" s="391">
        <f>E15+'26.11'!J15</f>
        <v/>
      </c>
      <c r="K15" s="391">
        <f>F15+'26.11'!K15</f>
        <v/>
      </c>
      <c r="L15" s="391">
        <f>G15+'26.11'!L15</f>
        <v/>
      </c>
      <c r="M15" s="236">
        <f>J15+K15+L15</f>
        <v/>
      </c>
    </row>
    <row r="16" ht="18" customFormat="1" customHeight="1" s="2">
      <c r="A16" s="27" t="n"/>
      <c r="B16" s="243" t="inlineStr">
        <is>
          <t>其中：耗井水(再生水)量</t>
        </is>
      </c>
      <c r="C16" s="42" t="inlineStr">
        <is>
          <t>吨</t>
        </is>
      </c>
      <c r="D16" s="241" t="n"/>
      <c r="E16" s="251" t="n"/>
      <c r="F16" s="240" t="n"/>
      <c r="G16" s="240" t="n"/>
      <c r="H16" s="236" t="n"/>
      <c r="I16" s="391">
        <f>D16+'26.11'!I16</f>
        <v/>
      </c>
      <c r="J16" s="391">
        <f>E16+'26.11'!J16</f>
        <v/>
      </c>
      <c r="K16" s="391">
        <f>F16+'26.11'!K16</f>
        <v/>
      </c>
      <c r="L16" s="391">
        <f>G16+'26.11'!L16</f>
        <v/>
      </c>
      <c r="M16" s="236">
        <f>J16+K16+L16</f>
        <v/>
      </c>
    </row>
    <row r="17" ht="18" customFormat="1" customHeight="1" s="2">
      <c r="A17" s="27" t="inlineStr">
        <is>
          <t>011</t>
        </is>
      </c>
      <c r="B17" s="243" t="inlineStr">
        <is>
          <t>耗电量</t>
        </is>
      </c>
      <c r="C17" s="42" t="inlineStr">
        <is>
          <t>千瓦时</t>
        </is>
      </c>
      <c r="D17" s="246">
        <f>D18+D19</f>
        <v/>
      </c>
      <c r="E17" s="251" t="n">
        <v>1665006.8</v>
      </c>
      <c r="F17" s="240" t="n"/>
      <c r="G17" s="235" t="n">
        <v>1105022.09999999</v>
      </c>
      <c r="H17" s="236" t="n"/>
      <c r="I17" s="391">
        <f>D17+'26.11'!I17</f>
        <v/>
      </c>
      <c r="J17" s="391">
        <f>E17+'26.11'!J17</f>
        <v/>
      </c>
      <c r="K17" s="358" t="n"/>
      <c r="L17" s="391">
        <f>G17+'26.11'!L17</f>
        <v/>
      </c>
      <c r="M17" s="236">
        <f>J17+K17+L17</f>
        <v/>
      </c>
    </row>
    <row r="18" ht="18" customFormat="1" customHeight="1" s="2">
      <c r="A18" s="27" t="n"/>
      <c r="B18" s="243" t="inlineStr">
        <is>
          <t>其中：耗厂用电量</t>
        </is>
      </c>
      <c r="C18" s="42" t="inlineStr">
        <is>
          <t>千瓦时</t>
        </is>
      </c>
      <c r="D18" s="241" t="n"/>
      <c r="E18" s="251" t="n"/>
      <c r="F18" s="240" t="n"/>
      <c r="G18" s="240" t="n"/>
      <c r="H18" s="250" t="n"/>
      <c r="I18" s="391">
        <f>D18+'26.11'!I18</f>
        <v/>
      </c>
      <c r="J18" s="391">
        <f>E18+'26.11'!J18</f>
        <v/>
      </c>
      <c r="K18" s="391">
        <f>F18+'26.11'!K18</f>
        <v/>
      </c>
      <c r="L18" s="391">
        <f>G18+'26.11'!L18</f>
        <v/>
      </c>
      <c r="M18" s="250" t="n"/>
    </row>
    <row r="19" ht="18" customFormat="1" customHeight="1" s="2">
      <c r="A19" s="27" t="n"/>
      <c r="B19" s="243" t="inlineStr">
        <is>
          <t xml:space="preserve">      耗外购电量</t>
        </is>
      </c>
      <c r="C19" s="42" t="inlineStr">
        <is>
          <t>千瓦时</t>
        </is>
      </c>
      <c r="D19" s="241" t="n"/>
      <c r="E19" s="251" t="n"/>
      <c r="F19" s="235" t="n"/>
      <c r="G19" s="235" t="n"/>
      <c r="H19" s="250" t="n"/>
      <c r="I19" s="391">
        <f>D19+'26.11'!I19</f>
        <v/>
      </c>
      <c r="J19" s="365" t="n"/>
      <c r="K19" s="391">
        <f>F19+'26.11'!K19</f>
        <v/>
      </c>
      <c r="L19" s="391">
        <f>G19+'26.11'!L19</f>
        <v/>
      </c>
      <c r="M19" s="250" t="n"/>
    </row>
    <row r="20" ht="18" customFormat="1" customHeight="1" s="2">
      <c r="A20" s="27" t="n"/>
      <c r="B20" s="243" t="inlineStr">
        <is>
          <t>脱硫脱硝耗水量</t>
        </is>
      </c>
      <c r="C20" s="42" t="inlineStr">
        <is>
          <t>吨</t>
        </is>
      </c>
      <c r="D20" s="241" t="n"/>
      <c r="E20" s="251" t="n"/>
      <c r="F20" s="240" t="n"/>
      <c r="G20" s="240" t="n"/>
      <c r="H20" s="250" t="n"/>
      <c r="I20" s="391">
        <f>D20+'26.11'!I20</f>
        <v/>
      </c>
      <c r="J20" s="391">
        <f>E20+'26.11'!J20</f>
        <v/>
      </c>
      <c r="K20" s="391">
        <f>F20+'26.11'!K20</f>
        <v/>
      </c>
      <c r="L20" s="391">
        <f>G20+'26.11'!L20</f>
        <v/>
      </c>
      <c r="M20" s="250" t="n"/>
    </row>
    <row r="21" ht="18" customFormat="1" customHeight="1" s="2">
      <c r="A21" s="27" t="n"/>
      <c r="B21" s="243" t="inlineStr">
        <is>
          <t>脱硫脱硝耗电量</t>
        </is>
      </c>
      <c r="C21" s="42" t="inlineStr">
        <is>
          <t>千瓦时</t>
        </is>
      </c>
      <c r="D21" s="241" t="n"/>
      <c r="E21" s="251" t="n"/>
      <c r="F21" s="240" t="n"/>
      <c r="G21" s="240" t="n"/>
      <c r="H21" s="250" t="n"/>
      <c r="I21" s="391">
        <f>D21+'26.11'!I21</f>
        <v/>
      </c>
      <c r="J21" s="391">
        <f>E21+'26.11'!J21</f>
        <v/>
      </c>
      <c r="K21" s="391">
        <f>F21+'26.11'!K21</f>
        <v/>
      </c>
      <c r="L21" s="391">
        <f>G21+'26.11'!L21</f>
        <v/>
      </c>
      <c r="M21" s="250" t="n"/>
    </row>
    <row r="22" ht="14" customFormat="1" customHeight="1" s="2">
      <c r="A22" s="51" t="inlineStr">
        <is>
          <t>012</t>
        </is>
      </c>
      <c r="B22" s="252" t="inlineStr">
        <is>
          <t>耗氧化镁(石灰石粉)量</t>
        </is>
      </c>
      <c r="C22" s="53" t="inlineStr">
        <is>
          <t>吨</t>
        </is>
      </c>
      <c r="D22" s="235" t="n"/>
      <c r="E22" s="253" t="n"/>
      <c r="F22" s="253" t="n"/>
      <c r="G22" s="253" t="n"/>
      <c r="H22" s="254" t="n"/>
      <c r="I22" s="391">
        <f>D22+'26.11'!I22</f>
        <v/>
      </c>
      <c r="J22" s="391">
        <f>E22+'26.11'!J22</f>
        <v/>
      </c>
      <c r="K22" s="391">
        <f>F22+'26.11'!K22</f>
        <v/>
      </c>
      <c r="L22" s="391">
        <f>G22+'26.11'!L22</f>
        <v/>
      </c>
      <c r="M22" s="256">
        <f>J22+K22+L22</f>
        <v/>
      </c>
      <c r="N22" s="1" t="n"/>
    </row>
    <row r="23" ht="21" customFormat="1" customHeight="1" s="2">
      <c r="A23" s="51" t="inlineStr">
        <is>
          <t>013</t>
        </is>
      </c>
      <c r="B23" s="252" t="inlineStr">
        <is>
          <t>耗脱硝剂(氨水)量</t>
        </is>
      </c>
      <c r="C23" s="53" t="inlineStr">
        <is>
          <t>吨</t>
        </is>
      </c>
      <c r="D23" s="235" t="n"/>
      <c r="E23" s="253" t="n"/>
      <c r="F23" s="253" t="n"/>
      <c r="G23" s="253" t="n"/>
      <c r="H23" s="254" t="n"/>
      <c r="I23" s="391">
        <f>D23+'26.11'!I23</f>
        <v/>
      </c>
      <c r="J23" s="391">
        <f>E23+'26.11'!J23</f>
        <v/>
      </c>
      <c r="K23" s="391">
        <f>F23+'26.11'!K23</f>
        <v/>
      </c>
      <c r="L23" s="391">
        <f>G23+'26.11'!L23</f>
        <v/>
      </c>
      <c r="M23" s="256">
        <f>J23+K23+L23</f>
        <v/>
      </c>
      <c r="N23" s="1" t="n"/>
    </row>
    <row r="24" ht="18" customFormat="1" customHeight="1" s="2">
      <c r="A24" s="51" t="inlineStr">
        <is>
          <t>014</t>
        </is>
      </c>
      <c r="B24" s="243" t="inlineStr">
        <is>
          <t>供热用电率</t>
        </is>
      </c>
      <c r="C24" s="42" t="inlineStr">
        <is>
          <t>千瓦时/吉焦</t>
        </is>
      </c>
      <c r="D24" s="257">
        <f>D17/D8</f>
        <v/>
      </c>
      <c r="E24" s="257">
        <f>E17/E8</f>
        <v/>
      </c>
      <c r="F24" s="257">
        <f>F17/F8</f>
        <v/>
      </c>
      <c r="G24" s="257">
        <f>G17/G8</f>
        <v/>
      </c>
      <c r="H24" s="258">
        <f>H17/H8</f>
        <v/>
      </c>
      <c r="I24" s="259">
        <f>I17/I8</f>
        <v/>
      </c>
      <c r="J24" s="257">
        <f>J17/J8</f>
        <v/>
      </c>
      <c r="K24" s="257">
        <f>K17/K8</f>
        <v/>
      </c>
      <c r="L24" s="257">
        <f>L17/L8</f>
        <v/>
      </c>
      <c r="M24" s="258">
        <f>M17/M8</f>
        <v/>
      </c>
    </row>
    <row r="25" ht="18" customFormat="1" customHeight="1" s="2">
      <c r="A25" s="51" t="inlineStr">
        <is>
          <t>015</t>
        </is>
      </c>
      <c r="B25" s="243" t="inlineStr">
        <is>
          <t>供热煤耗率</t>
        </is>
      </c>
      <c r="C25" s="42" t="inlineStr">
        <is>
          <t>千克/吉焦</t>
        </is>
      </c>
      <c r="D25" s="257">
        <f>D12*1000/D8</f>
        <v/>
      </c>
      <c r="E25" s="257">
        <f>E12*1000/E8</f>
        <v/>
      </c>
      <c r="F25" s="257">
        <f>F12*1000/F8</f>
        <v/>
      </c>
      <c r="G25" s="257">
        <f>G12*1000/G8</f>
        <v/>
      </c>
      <c r="H25" s="258">
        <f>H12*1000/H8</f>
        <v/>
      </c>
      <c r="I25" s="259">
        <f>I12*1000/I8</f>
        <v/>
      </c>
      <c r="J25" s="257">
        <f>J12*1000/J8</f>
        <v/>
      </c>
      <c r="K25" s="257">
        <f>K12*1000/K8</f>
        <v/>
      </c>
      <c r="L25" s="257">
        <f>L12*1000/L8</f>
        <v/>
      </c>
      <c r="M25" s="258">
        <f>M12*1000/M8</f>
        <v/>
      </c>
    </row>
    <row r="26" ht="18" customFormat="1" customHeight="1" s="260">
      <c r="A26" s="51" t="inlineStr">
        <is>
          <t>016</t>
        </is>
      </c>
      <c r="B26" s="243" t="inlineStr">
        <is>
          <t>入厂煤量</t>
        </is>
      </c>
      <c r="C26" s="261" t="inlineStr">
        <is>
          <t>吨</t>
        </is>
      </c>
      <c r="D26" s="235" t="n"/>
      <c r="E26" s="262" t="n"/>
      <c r="F26" s="263" t="n"/>
      <c r="G26" s="235" t="n"/>
      <c r="H26" s="264" t="n"/>
      <c r="I26" s="391">
        <f>D26+'26.11'!I26</f>
        <v/>
      </c>
      <c r="J26" s="391">
        <f>E26+'26.11'!J26</f>
        <v/>
      </c>
      <c r="K26" s="391">
        <f>F26+'26.11'!K26</f>
        <v/>
      </c>
      <c r="L26" s="391">
        <f>G26+'26.11'!L26</f>
        <v/>
      </c>
      <c r="M26" s="264">
        <f>J26+K26+L26</f>
        <v/>
      </c>
    </row>
    <row r="27" ht="18" customFormat="1" customHeight="1" s="260">
      <c r="A27" s="51" t="inlineStr">
        <is>
          <t>017</t>
        </is>
      </c>
      <c r="B27" s="243" t="inlineStr">
        <is>
          <t>期末库存煤量</t>
        </is>
      </c>
      <c r="C27" s="261" t="inlineStr">
        <is>
          <t>吨</t>
        </is>
      </c>
      <c r="D27" s="251" t="n"/>
      <c r="E27" s="266">
        <f>J27</f>
        <v/>
      </c>
      <c r="F27" s="266" t="n"/>
      <c r="G27" s="266">
        <f>L27</f>
        <v/>
      </c>
      <c r="H27" s="267" t="n"/>
      <c r="I27" s="244" t="n">
        <v>50324</v>
      </c>
      <c r="J27" s="392">
        <f>'26.11'!J27+E26-E10</f>
        <v/>
      </c>
      <c r="K27" s="392">
        <f>'26.11'!K27+F26-F10</f>
        <v/>
      </c>
      <c r="L27" s="392">
        <f>'26.11'!L27+G26-G10</f>
        <v/>
      </c>
      <c r="M27" s="269">
        <f>J27+K27+L27</f>
        <v/>
      </c>
    </row>
    <row r="28" ht="18" customFormat="1" customHeight="1" s="2">
      <c r="A28" s="51" t="inlineStr">
        <is>
          <t>018</t>
        </is>
      </c>
      <c r="B28" s="243" t="inlineStr">
        <is>
          <t>入炉煤低位发热量</t>
        </is>
      </c>
      <c r="C28" s="42" t="inlineStr">
        <is>
          <t>千焦/千克</t>
        </is>
      </c>
      <c r="D28" s="270">
        <f>D13*29308/D10</f>
        <v/>
      </c>
      <c r="E28" s="270">
        <f>E12*29308/E10</f>
        <v/>
      </c>
      <c r="F28" s="270">
        <f>F12*29308/F10</f>
        <v/>
      </c>
      <c r="G28" s="270">
        <f>G12*29308/G10</f>
        <v/>
      </c>
      <c r="H28" s="270">
        <f>H12*29308/H10</f>
        <v/>
      </c>
      <c r="I28" s="271">
        <f>I13*29308/I10</f>
        <v/>
      </c>
      <c r="J28" s="246">
        <f>J12*29308/J10</f>
        <v/>
      </c>
      <c r="K28" s="246">
        <f>K12*29308/K10</f>
        <v/>
      </c>
      <c r="L28" s="246">
        <f>L12*29308/L10</f>
        <v/>
      </c>
      <c r="M28" s="270">
        <f>M12*29308/M10</f>
        <v/>
      </c>
    </row>
    <row r="29" ht="18" customFormat="1" customHeight="1" s="2">
      <c r="A29" s="51" t="inlineStr">
        <is>
          <t>019</t>
        </is>
      </c>
      <c r="B29" s="243" t="inlineStr">
        <is>
          <t>入厂煤低位发热量</t>
        </is>
      </c>
      <c r="C29" s="42" t="inlineStr">
        <is>
          <t>千焦/千克</t>
        </is>
      </c>
      <c r="D29" s="272" t="n"/>
      <c r="E29" s="241" t="n"/>
      <c r="F29" s="241" t="n"/>
      <c r="G29" s="273" t="n"/>
      <c r="H29" s="274" t="n"/>
      <c r="I29" s="275" t="n"/>
      <c r="J29" s="241" t="n">
        <v>17636</v>
      </c>
      <c r="K29" s="241" t="n"/>
      <c r="L29" s="273" t="n"/>
      <c r="M29" s="274" t="n"/>
    </row>
    <row r="30" ht="18" customFormat="1" customHeight="1" s="2">
      <c r="A30" s="51" t="inlineStr">
        <is>
          <t>020</t>
        </is>
      </c>
      <c r="B30" s="243" t="inlineStr">
        <is>
          <t>锅炉热效率</t>
        </is>
      </c>
      <c r="C30" s="75" t="inlineStr">
        <is>
          <t>%</t>
        </is>
      </c>
      <c r="D30" s="276">
        <f>D8/(D12*29.308)</f>
        <v/>
      </c>
      <c r="E30" s="276">
        <f>E8/(E12*29.308)</f>
        <v/>
      </c>
      <c r="F30" s="276">
        <f>F8/(F12*29.308)</f>
        <v/>
      </c>
      <c r="G30" s="276">
        <f>(G8-G36)/(G12*29.308)</f>
        <v/>
      </c>
      <c r="H30" s="277">
        <f>H8/(H12*29.308)</f>
        <v/>
      </c>
      <c r="I30" s="278">
        <f>I8/(I12*29.308)</f>
        <v/>
      </c>
      <c r="J30" s="276">
        <f>J8/(J12*29.308)</f>
        <v/>
      </c>
      <c r="K30" s="276">
        <f>K8/(K12*29.308)</f>
        <v/>
      </c>
      <c r="L30" s="276">
        <f>L8/(L12*29.308)</f>
        <v/>
      </c>
      <c r="M30" s="277">
        <f>M8/(M12*29.308)</f>
        <v/>
      </c>
    </row>
    <row r="31" ht="18" customFormat="1" customHeight="1" s="2">
      <c r="A31" s="51" t="inlineStr">
        <is>
          <t>021</t>
        </is>
      </c>
      <c r="B31" s="243" t="inlineStr">
        <is>
          <t>锅炉设备利用率</t>
        </is>
      </c>
      <c r="C31" s="75" t="inlineStr">
        <is>
          <t>%</t>
        </is>
      </c>
      <c r="D31" s="372">
        <f>D8/3.6/D3/(DAY(DATE(2027,1,0))*24)</f>
        <v/>
      </c>
      <c r="E31" s="372">
        <f>E8/3.6/E3/(DAY(DATE(2027,1,0))*24)</f>
        <v/>
      </c>
      <c r="F31" s="372">
        <f>F8/3.6/F3/(DAY(DATE(2027,1,0))*24)</f>
        <v/>
      </c>
      <c r="G31" s="372">
        <f>(G8-G36)/3.6/G3/(DAY(DATE(2027,1,0))*24)</f>
        <v/>
      </c>
      <c r="H31" s="373">
        <f>H8/3.6/H3/(DAY(DATE(2027,1,0))*24)</f>
        <v/>
      </c>
      <c r="I31" s="371">
        <f>I8/3.6/I3/(DATEDIF(DATE(2026,1,1),DATE(2027,1,1),"D")*24)</f>
        <v/>
      </c>
      <c r="J31" s="372">
        <f>J8/3.6/J3/(DATEDIF(DATE(2026,1,1),DATE(2027,1,1),"D")*24)</f>
        <v/>
      </c>
      <c r="K31" s="372">
        <f>K8/3.6/K3/(DATEDIF(DATE(2026,1,1),DATE(2027,1,1),"D")*24)</f>
        <v/>
      </c>
      <c r="L31" s="372">
        <f>(L8-L36)/3.6/L3/(DATEDIF(DATE(2026,1,1),DATE(2027,1,1),"D")*24)</f>
        <v/>
      </c>
      <c r="M31" s="373">
        <f>M8/3.6/M3/(DATEDIF(DATE(2026,1,1),DATE(2027,1,1),"D")*24)</f>
        <v/>
      </c>
    </row>
    <row r="32" ht="18" customFormat="1" customHeight="1" s="2">
      <c r="A32" s="51" t="inlineStr">
        <is>
          <t>022</t>
        </is>
      </c>
      <c r="B32" s="243" t="inlineStr">
        <is>
          <t>供暖热耗率</t>
        </is>
      </c>
      <c r="C32" s="42" t="inlineStr">
        <is>
          <t>吉焦/平方米</t>
        </is>
      </c>
      <c r="D32" s="282" t="n"/>
      <c r="E32" s="283">
        <f>E8/E6</f>
        <v/>
      </c>
      <c r="F32" s="283">
        <f>F8/F6</f>
        <v/>
      </c>
      <c r="G32" s="283">
        <f>G8/G6</f>
        <v/>
      </c>
      <c r="H32" s="283">
        <f>H8/H6</f>
        <v/>
      </c>
      <c r="I32" s="284" t="n"/>
      <c r="J32" s="283">
        <f>J8/J6</f>
        <v/>
      </c>
      <c r="K32" s="283">
        <f>K8/K6</f>
        <v/>
      </c>
      <c r="L32" s="283">
        <f>L8/L6</f>
        <v/>
      </c>
      <c r="M32" s="285">
        <f>M8/M6</f>
        <v/>
      </c>
    </row>
    <row r="33" ht="18" customFormat="1" customHeight="1" s="2">
      <c r="A33" s="51" t="inlineStr">
        <is>
          <t>023</t>
        </is>
      </c>
      <c r="B33" s="243" t="inlineStr">
        <is>
          <t>单位面积耗标准煤量</t>
        </is>
      </c>
      <c r="C33" s="42" t="inlineStr">
        <is>
          <t>千克/平方米</t>
        </is>
      </c>
      <c r="D33" s="286" t="n"/>
      <c r="E33" s="288">
        <f>E12*1000/E6</f>
        <v/>
      </c>
      <c r="F33" s="288">
        <f>F12*1000/F6</f>
        <v/>
      </c>
      <c r="G33" s="288">
        <f>G12*1000/G6</f>
        <v/>
      </c>
      <c r="H33" s="287">
        <f>H12*1000/H6</f>
        <v/>
      </c>
      <c r="I33" s="289" t="n"/>
      <c r="J33" s="288">
        <f>J12*1000/J6</f>
        <v/>
      </c>
      <c r="K33" s="288">
        <f>K12*1000/K6</f>
        <v/>
      </c>
      <c r="L33" s="288">
        <f>L12*1000/L6</f>
        <v/>
      </c>
      <c r="M33" s="287">
        <f>M12*1000/M6</f>
        <v/>
      </c>
    </row>
    <row r="34" ht="18" customFormat="1" customHeight="1" s="2">
      <c r="A34" s="51" t="inlineStr">
        <is>
          <t>024</t>
        </is>
      </c>
      <c r="B34" s="243" t="inlineStr">
        <is>
          <t>单位面积耗电量</t>
        </is>
      </c>
      <c r="C34" s="42" t="inlineStr">
        <is>
          <t>千瓦时/平方米</t>
        </is>
      </c>
      <c r="D34" s="290" t="n"/>
      <c r="E34" s="288">
        <f>E17/E6</f>
        <v/>
      </c>
      <c r="F34" s="288">
        <f>F17/F6</f>
        <v/>
      </c>
      <c r="G34" s="288">
        <f>G17/G6</f>
        <v/>
      </c>
      <c r="H34" s="287">
        <f>H17/H6</f>
        <v/>
      </c>
      <c r="I34" s="291" t="n"/>
      <c r="J34" s="288">
        <f>J17/J6</f>
        <v/>
      </c>
      <c r="K34" s="288">
        <f>K17/K6</f>
        <v/>
      </c>
      <c r="L34" s="288">
        <f>L17/L6</f>
        <v/>
      </c>
      <c r="M34" s="287">
        <f>M17/M6</f>
        <v/>
      </c>
    </row>
    <row r="35" ht="18" customFormat="1" customHeight="1" s="2">
      <c r="A35" s="92" t="inlineStr">
        <is>
          <t>025</t>
        </is>
      </c>
      <c r="B35" s="292" t="inlineStr">
        <is>
          <t>单位面积耗水量</t>
        </is>
      </c>
      <c r="C35" s="94" t="inlineStr">
        <is>
          <t>千克/平方米</t>
        </is>
      </c>
      <c r="D35" s="293" t="n"/>
      <c r="E35" s="295">
        <f>E15*1000/E6</f>
        <v/>
      </c>
      <c r="F35" s="295">
        <f>F15*1000/F6</f>
        <v/>
      </c>
      <c r="G35" s="295">
        <f>G15*1000/G6</f>
        <v/>
      </c>
      <c r="H35" s="294">
        <f>H15*1000/H6</f>
        <v/>
      </c>
      <c r="I35" s="296" t="n"/>
      <c r="J35" s="295">
        <f>J15*1000/J6</f>
        <v/>
      </c>
      <c r="K35" s="295">
        <f>K15*1000/K6</f>
        <v/>
      </c>
      <c r="L35" s="295">
        <f>L15*1000/L6</f>
        <v/>
      </c>
      <c r="M35" s="294">
        <f>M15*1000/M6</f>
        <v/>
      </c>
    </row>
    <row r="36" ht="21" customFormat="1" customHeight="1" s="2">
      <c r="A36" s="99" t="n"/>
      <c r="B36" s="297" t="inlineStr">
        <is>
          <t>外购热量</t>
        </is>
      </c>
      <c r="C36" s="101" t="inlineStr">
        <is>
          <t>吉焦</t>
        </is>
      </c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391">
        <f>G36+'26.11'!L36</f>
        <v/>
      </c>
      <c r="M36" s="298" t="n"/>
    </row>
    <row r="37" ht="29.25" customFormat="1" customHeight="1" s="1">
      <c r="A37" s="103" t="inlineStr">
        <is>
          <t>电锅炉房(机车)</t>
        </is>
      </c>
      <c r="C37" s="4" t="n"/>
      <c r="D37" s="5" t="inlineStr"/>
      <c r="E37" s="2" t="n"/>
      <c r="F37" s="2" t="n"/>
      <c r="G37" s="2" t="n"/>
      <c r="H37" s="2" t="n"/>
      <c r="I37" s="2" t="n"/>
      <c r="J37" s="2" t="n"/>
    </row>
    <row r="38" ht="31.5" customFormat="1" customHeight="1" s="1">
      <c r="A38" s="104" t="inlineStr">
        <is>
          <t>代码</t>
        </is>
      </c>
      <c r="B38" s="105" t="inlineStr">
        <is>
          <t>项  目</t>
        </is>
      </c>
      <c r="C38" s="105" t="inlineStr">
        <is>
          <t>计量单位</t>
        </is>
      </c>
      <c r="D38" s="106" t="inlineStr">
        <is>
          <t>本月实际</t>
        </is>
      </c>
      <c r="E38" s="107" t="inlineStr">
        <is>
          <t>本年累计</t>
        </is>
      </c>
      <c r="F38" s="2" t="n"/>
      <c r="G38" s="2" t="n"/>
      <c r="H38" s="2" t="n"/>
    </row>
    <row r="39" ht="27.95" customFormat="1" customHeight="1" s="1">
      <c r="A39" s="27" t="inlineStr">
        <is>
          <t>001</t>
        </is>
      </c>
      <c r="B39" s="231" t="inlineStr">
        <is>
          <t>装机总容量</t>
        </is>
      </c>
      <c r="C39" s="29" t="inlineStr">
        <is>
          <t>兆瓦</t>
        </is>
      </c>
      <c r="D39" s="299" t="n">
        <v>0.55</v>
      </c>
      <c r="E39" s="300" t="n">
        <v>0.55</v>
      </c>
      <c r="F39" s="2" t="n"/>
      <c r="G39" s="2" t="n"/>
      <c r="H39" s="2" t="n"/>
    </row>
    <row r="40" ht="27.95" customFormat="1" customHeight="1" s="1">
      <c r="A40" s="27" t="inlineStr">
        <is>
          <t>002</t>
        </is>
      </c>
      <c r="B40" s="231" t="inlineStr">
        <is>
          <t>期末供暖面积</t>
        </is>
      </c>
      <c r="C40" s="29" t="inlineStr">
        <is>
          <t>平方米</t>
        </is>
      </c>
      <c r="D40" s="301" t="n"/>
      <c r="E40" s="302">
        <f>D40</f>
        <v/>
      </c>
      <c r="F40" s="2" t="n"/>
      <c r="G40" s="2" t="n"/>
      <c r="H40" s="2" t="n"/>
    </row>
    <row r="41" ht="27.95" customFormat="1" customHeight="1" s="1">
      <c r="A41" s="27" t="inlineStr">
        <is>
          <t>003</t>
        </is>
      </c>
      <c r="B41" s="231" t="inlineStr">
        <is>
          <t>实际平均供暖面积</t>
        </is>
      </c>
      <c r="C41" s="29" t="inlineStr">
        <is>
          <t>平方米</t>
        </is>
      </c>
      <c r="D41" s="303" t="n"/>
      <c r="E41" s="304" t="n">
        <v>7603.52230769231</v>
      </c>
      <c r="F41" s="2" t="n"/>
      <c r="G41" s="2" t="n"/>
      <c r="H41" s="2" t="n"/>
    </row>
    <row r="42" ht="27.95" customFormat="1" customHeight="1" s="1">
      <c r="A42" s="27" t="inlineStr">
        <is>
          <t>004</t>
        </is>
      </c>
      <c r="B42" s="243" t="inlineStr">
        <is>
          <t>供热量</t>
        </is>
      </c>
      <c r="C42" s="42" t="inlineStr">
        <is>
          <t>吉焦</t>
        </is>
      </c>
      <c r="D42" s="305" t="n"/>
      <c r="E42" s="393">
        <f>D42+'26.11'!E42</f>
        <v/>
      </c>
      <c r="F42" s="2" t="n"/>
      <c r="G42" s="2" t="n"/>
      <c r="H42" s="2" t="n"/>
    </row>
    <row r="43" ht="27.95" customFormat="1" customHeight="1" s="1">
      <c r="A43" s="27" t="inlineStr">
        <is>
          <t>005</t>
        </is>
      </c>
      <c r="B43" s="243" t="inlineStr">
        <is>
          <t>耗水量</t>
        </is>
      </c>
      <c r="C43" s="42" t="inlineStr">
        <is>
          <t>吨</t>
        </is>
      </c>
      <c r="D43" s="301" t="n"/>
      <c r="E43" s="393">
        <f>D43+'26.11'!E43</f>
        <v/>
      </c>
      <c r="F43" s="2" t="n"/>
      <c r="G43" s="2" t="n"/>
      <c r="H43" s="2" t="n"/>
    </row>
    <row r="44" ht="27.95" customFormat="1" customHeight="1" s="1">
      <c r="A44" s="27" t="inlineStr">
        <is>
          <t>006</t>
        </is>
      </c>
      <c r="B44" s="243" t="inlineStr">
        <is>
          <t>耗电量</t>
        </is>
      </c>
      <c r="C44" s="42" t="inlineStr">
        <is>
          <t>千瓦时</t>
        </is>
      </c>
      <c r="D44" s="301" t="n"/>
      <c r="E44" s="393">
        <f>D44+'26.11'!E44</f>
        <v/>
      </c>
      <c r="F44" s="2" t="n"/>
      <c r="G44" s="2" t="n"/>
      <c r="H44" s="2" t="n"/>
    </row>
    <row r="45" ht="27.95" customFormat="1" customHeight="1" s="1">
      <c r="A45" s="27" t="n"/>
      <c r="B45" s="243" t="inlineStr">
        <is>
          <t>其中：高压电量</t>
        </is>
      </c>
      <c r="C45" s="42" t="inlineStr">
        <is>
          <t>千瓦时</t>
        </is>
      </c>
      <c r="D45" s="301">
        <f>D44</f>
        <v/>
      </c>
      <c r="E45" s="393">
        <f>D45+'26.11'!E45</f>
        <v/>
      </c>
      <c r="F45" s="2" t="n"/>
      <c r="G45" s="2" t="n"/>
      <c r="H45" s="2" t="n"/>
    </row>
    <row r="46" ht="27.95" customFormat="1" customHeight="1" s="1">
      <c r="A46" s="27" t="inlineStr">
        <is>
          <t>007</t>
        </is>
      </c>
      <c r="B46" s="243" t="inlineStr">
        <is>
          <t>供热用电率</t>
        </is>
      </c>
      <c r="C46" s="42" t="inlineStr">
        <is>
          <t>千瓦时/吉焦</t>
        </is>
      </c>
      <c r="D46" s="307">
        <f>D44/D42</f>
        <v/>
      </c>
      <c r="E46" s="308">
        <f>E44/E42</f>
        <v/>
      </c>
      <c r="F46" s="2" t="n"/>
      <c r="G46" s="2" t="n"/>
      <c r="H46" s="2" t="n"/>
    </row>
    <row r="47" ht="27.95" customFormat="1" customHeight="1" s="1">
      <c r="A47" s="27" t="inlineStr">
        <is>
          <t>008</t>
        </is>
      </c>
      <c r="B47" s="243" t="inlineStr">
        <is>
          <t>锅炉设备利用率</t>
        </is>
      </c>
      <c r="C47" s="75" t="inlineStr">
        <is>
          <t>%</t>
        </is>
      </c>
      <c r="D47" s="385">
        <f>D42/3.6/D39/(DAY(DATE(2027,1,0))*24)</f>
        <v/>
      </c>
      <c r="E47" s="375">
        <f>E42/3.6/E39/(DATEDIF(DATE(2026,1,1),DATE(2027,1,1),"D")*24)</f>
        <v/>
      </c>
      <c r="F47" s="2" t="n"/>
      <c r="G47" s="2" t="n"/>
      <c r="H47" s="2" t="n"/>
    </row>
    <row r="48" ht="27.95" customFormat="1" customHeight="1" s="1">
      <c r="A48" s="27" t="inlineStr">
        <is>
          <t>009</t>
        </is>
      </c>
      <c r="B48" s="243" t="inlineStr">
        <is>
          <t>供暖热耗率</t>
        </is>
      </c>
      <c r="C48" s="42" t="inlineStr">
        <is>
          <t>吉焦/平方米</t>
        </is>
      </c>
      <c r="D48" s="311">
        <f>D42/D41</f>
        <v/>
      </c>
      <c r="E48" s="312">
        <f>E42/E41</f>
        <v/>
      </c>
      <c r="F48" s="2" t="n"/>
      <c r="G48" s="2" t="n"/>
      <c r="H48" s="2" t="n"/>
    </row>
    <row r="49" ht="27.95" customFormat="1" customHeight="1" s="1">
      <c r="A49" s="27" t="inlineStr">
        <is>
          <t>010</t>
        </is>
      </c>
      <c r="B49" s="243" t="inlineStr">
        <is>
          <t>单位面积耗电量</t>
        </is>
      </c>
      <c r="C49" s="42" t="inlineStr">
        <is>
          <t>千瓦时/平方米</t>
        </is>
      </c>
      <c r="D49" s="313">
        <f>D44/D41</f>
        <v/>
      </c>
      <c r="E49" s="314">
        <f>E44/E41</f>
        <v/>
      </c>
      <c r="F49" s="2" t="n"/>
      <c r="G49" s="2" t="n"/>
      <c r="H49" s="2" t="n"/>
    </row>
    <row r="50" ht="27.95" customFormat="1" customHeight="1" s="1">
      <c r="A50" s="124" t="inlineStr">
        <is>
          <t>011</t>
        </is>
      </c>
      <c r="B50" s="292" t="inlineStr">
        <is>
          <t>单位面积耗水量</t>
        </is>
      </c>
      <c r="C50" s="94" t="inlineStr">
        <is>
          <t>千克/平方米</t>
        </is>
      </c>
      <c r="D50" s="315">
        <f>D43*1000/D41</f>
        <v/>
      </c>
      <c r="E50" s="315">
        <f>E43*1000/E41</f>
        <v/>
      </c>
      <c r="F50" s="2" t="n"/>
      <c r="G50" s="2" t="n"/>
      <c r="H50" s="2" t="n"/>
    </row>
    <row r="51" ht="18" customFormat="1" customHeight="1" s="1">
      <c r="C51" s="4" t="n"/>
      <c r="D51" s="5" t="n"/>
    </row>
    <row r="52" ht="29.25" customFormat="1" customHeight="1" s="1">
      <c r="A52" s="103" t="inlineStr">
        <is>
          <t>电锅炉房(研究院)</t>
        </is>
      </c>
      <c r="C52" s="4" t="n"/>
      <c r="D52" s="5" t="inlineStr"/>
      <c r="E52" s="2" t="n"/>
      <c r="F52" s="2" t="n"/>
      <c r="G52" s="2" t="n"/>
      <c r="H52" s="2" t="n"/>
      <c r="I52" s="2" t="n"/>
      <c r="J52" s="2" t="n"/>
    </row>
    <row r="53" ht="31.5" customFormat="1" customHeight="1" s="1">
      <c r="A53" s="126" t="inlineStr">
        <is>
          <t>代码</t>
        </is>
      </c>
      <c r="B53" s="127" t="inlineStr">
        <is>
          <t>项  目</t>
        </is>
      </c>
      <c r="C53" s="127" t="inlineStr">
        <is>
          <t>计量单位</t>
        </is>
      </c>
      <c r="D53" s="106" t="inlineStr">
        <is>
          <t>本月实际</t>
        </is>
      </c>
      <c r="E53" s="9" t="n"/>
      <c r="F53" s="10" t="n"/>
      <c r="G53" s="128" t="inlineStr">
        <is>
          <t>本年累计</t>
        </is>
      </c>
      <c r="H53" s="9" t="n"/>
      <c r="I53" s="9" t="n"/>
    </row>
    <row r="54" ht="31.5" customFormat="1" customHeight="1" s="1">
      <c r="A54" s="12" t="n"/>
      <c r="B54" s="13" t="n"/>
      <c r="C54" s="13" t="n"/>
      <c r="D54" s="129" t="inlineStr">
        <is>
          <t>旅顺   锅炉房</t>
        </is>
      </c>
      <c r="E54" s="129" t="inlineStr">
        <is>
          <t>复州湾  锅炉房</t>
        </is>
      </c>
      <c r="F54" s="130" t="inlineStr">
        <is>
          <t>合计</t>
        </is>
      </c>
      <c r="G54" s="131" t="inlineStr">
        <is>
          <t>旅顺   锅炉房</t>
        </is>
      </c>
      <c r="H54" s="129" t="inlineStr">
        <is>
          <t>复州湾  锅炉房</t>
        </is>
      </c>
      <c r="I54" s="132" t="inlineStr">
        <is>
          <t>合计</t>
        </is>
      </c>
    </row>
    <row r="55" ht="27.95" customFormat="1" customHeight="1" s="1">
      <c r="A55" s="27" t="inlineStr">
        <is>
          <t>001</t>
        </is>
      </c>
      <c r="B55" s="231" t="inlineStr">
        <is>
          <t>装机总容量</t>
        </is>
      </c>
      <c r="C55" s="29" t="inlineStr">
        <is>
          <t>兆瓦</t>
        </is>
      </c>
      <c r="D55" s="316" t="n">
        <v>6</v>
      </c>
      <c r="E55" s="316" t="n">
        <v>6.4</v>
      </c>
      <c r="F55" s="317">
        <f>SUM(D55:E55)</f>
        <v/>
      </c>
      <c r="G55" s="318">
        <f>D55</f>
        <v/>
      </c>
      <c r="H55" s="319">
        <f>E55</f>
        <v/>
      </c>
      <c r="I55" s="319">
        <f>SUM(G55:H55)</f>
        <v/>
      </c>
    </row>
    <row r="56" ht="27.95" customFormat="1" customHeight="1" s="1">
      <c r="A56" s="27" t="inlineStr">
        <is>
          <t>002</t>
        </is>
      </c>
      <c r="B56" s="231" t="inlineStr">
        <is>
          <t>期末供暖面积</t>
        </is>
      </c>
      <c r="C56" s="29" t="inlineStr">
        <is>
          <t>平方米</t>
        </is>
      </c>
      <c r="D56" s="269" t="n"/>
      <c r="E56" s="269" t="n"/>
      <c r="F56" s="303">
        <f>SUM(D56:E56)</f>
        <v/>
      </c>
      <c r="G56" s="304">
        <f>D56</f>
        <v/>
      </c>
      <c r="H56" s="304">
        <f>E56</f>
        <v/>
      </c>
      <c r="I56" s="269">
        <f>SUM(G56:H56)</f>
        <v/>
      </c>
    </row>
    <row r="57" ht="27.95" customFormat="1" customHeight="1" s="1">
      <c r="A57" s="27" t="inlineStr">
        <is>
          <t>003</t>
        </is>
      </c>
      <c r="B57" s="231" t="inlineStr">
        <is>
          <t>实际平均供暖面积</t>
        </is>
      </c>
      <c r="C57" s="29" t="inlineStr">
        <is>
          <t>平方米</t>
        </is>
      </c>
      <c r="D57" s="269" t="n"/>
      <c r="E57" s="269" t="n"/>
      <c r="F57" s="303">
        <f>SUM(D57:E57)</f>
        <v/>
      </c>
      <c r="G57" s="304">
        <f>D57</f>
        <v/>
      </c>
      <c r="H57" s="304">
        <f>E57</f>
        <v/>
      </c>
      <c r="I57" s="269">
        <f>SUM(G57:H57)</f>
        <v/>
      </c>
    </row>
    <row r="58" ht="27.95" customFormat="1" customHeight="1" s="1">
      <c r="A58" s="27" t="inlineStr">
        <is>
          <t>004</t>
        </is>
      </c>
      <c r="B58" s="243" t="inlineStr">
        <is>
          <t>供热量</t>
        </is>
      </c>
      <c r="C58" s="42" t="inlineStr">
        <is>
          <t>吉焦</t>
        </is>
      </c>
      <c r="D58" s="273" t="n"/>
      <c r="E58" s="320" t="n"/>
      <c r="F58" s="303">
        <f>SUM(D58:E58)</f>
        <v/>
      </c>
      <c r="G58" s="394">
        <f>D58+'26.11'!G58</f>
        <v/>
      </c>
      <c r="H58" s="394">
        <f>E58+'26.11'!H58</f>
        <v/>
      </c>
      <c r="I58" s="269">
        <f>SUM(G58:H58)</f>
        <v/>
      </c>
    </row>
    <row r="59" ht="27.95" customFormat="1" customHeight="1" s="1">
      <c r="A59" s="27" t="inlineStr">
        <is>
          <t>005</t>
        </is>
      </c>
      <c r="B59" s="243" t="inlineStr">
        <is>
          <t>耗水量</t>
        </is>
      </c>
      <c r="C59" s="42" t="inlineStr">
        <is>
          <t>吨</t>
        </is>
      </c>
      <c r="D59" s="273" t="n"/>
      <c r="E59" s="273" t="n"/>
      <c r="F59" s="303">
        <f>SUM(D59:E59)</f>
        <v/>
      </c>
      <c r="G59" s="394">
        <f>D59+'26.11'!G59</f>
        <v/>
      </c>
      <c r="H59" s="394">
        <f>E59+'26.11'!H59</f>
        <v/>
      </c>
      <c r="I59" s="269">
        <f>SUM(G59:H59)</f>
        <v/>
      </c>
    </row>
    <row r="60" ht="27.95" customFormat="1" customHeight="1" s="1">
      <c r="A60" s="27" t="inlineStr">
        <is>
          <t>006</t>
        </is>
      </c>
      <c r="B60" s="243" t="inlineStr">
        <is>
          <t>耗电量</t>
        </is>
      </c>
      <c r="C60" s="42" t="inlineStr">
        <is>
          <t>千瓦时</t>
        </is>
      </c>
      <c r="D60" s="273" t="n"/>
      <c r="E60" s="273" t="n"/>
      <c r="F60" s="303">
        <f>SUM(D60:E60)</f>
        <v/>
      </c>
      <c r="G60" s="394">
        <f>D60+'26.11'!G60</f>
        <v/>
      </c>
      <c r="H60" s="394">
        <f>E60+'26.11'!H60</f>
        <v/>
      </c>
      <c r="I60" s="269">
        <f>SUM(G60:H60)</f>
        <v/>
      </c>
    </row>
    <row r="61" ht="27.95" customFormat="1" customHeight="1" s="1">
      <c r="A61" s="27" t="n"/>
      <c r="B61" s="243" t="inlineStr">
        <is>
          <t>其中：高压电量</t>
        </is>
      </c>
      <c r="C61" s="42" t="inlineStr">
        <is>
          <t>千瓦时</t>
        </is>
      </c>
      <c r="D61" s="273" t="n"/>
      <c r="E61" s="273" t="n"/>
      <c r="F61" s="303">
        <f>SUM(D61:E61)</f>
        <v/>
      </c>
      <c r="G61" s="394">
        <f>D61+'26.11'!G61</f>
        <v/>
      </c>
      <c r="H61" s="394">
        <f>E61+'26.11'!H61</f>
        <v/>
      </c>
      <c r="I61" s="269">
        <f>SUM(G61:H61)</f>
        <v/>
      </c>
    </row>
    <row r="62" ht="27.95" customFormat="1" customHeight="1" s="1">
      <c r="A62" s="27" t="inlineStr">
        <is>
          <t>007</t>
        </is>
      </c>
      <c r="B62" s="243" t="inlineStr">
        <is>
          <t>供热用电率</t>
        </is>
      </c>
      <c r="C62" s="42" t="inlineStr">
        <is>
          <t>千瓦时/吉焦</t>
        </is>
      </c>
      <c r="D62" s="362">
        <f>D60/D58</f>
        <v/>
      </c>
      <c r="E62" s="362">
        <f>E60/E58</f>
        <v/>
      </c>
      <c r="F62" s="307">
        <f>F60/F58</f>
        <v/>
      </c>
      <c r="G62" s="321">
        <f>G60/G58</f>
        <v/>
      </c>
      <c r="H62" s="257">
        <f>H60/H58</f>
        <v/>
      </c>
      <c r="I62" s="258">
        <f>I60/I58</f>
        <v/>
      </c>
    </row>
    <row r="63" ht="27.95" customFormat="1" customHeight="1" s="1">
      <c r="A63" s="27" t="inlineStr">
        <is>
          <t>008</t>
        </is>
      </c>
      <c r="B63" s="243" t="inlineStr">
        <is>
          <t>锅炉设备利用率</t>
        </is>
      </c>
      <c r="C63" s="75" t="inlineStr">
        <is>
          <t>%</t>
        </is>
      </c>
      <c r="D63" s="372">
        <f>D58/3.6/D55/(DAY(DATE(2027,1,0))*24)</f>
        <v/>
      </c>
      <c r="E63" s="372">
        <f>E58/3.6/E55/(DAY(DATE(2027,1,0))*24)</f>
        <v/>
      </c>
      <c r="F63" s="385">
        <f>F58/3.6/F55/(DAY(DATE(2027,1,0))*24)</f>
        <v/>
      </c>
      <c r="G63" s="371">
        <f>G58/3.6/G55/(DATEDIF(DATE(2026,1,1),DATE(2027,1,1),"D")*24)</f>
        <v/>
      </c>
      <c r="H63" s="372">
        <f>H58/3.6/H55/(DATEDIF(DATE(2026,1,1),DATE(2027,1,1),"D")*24)</f>
        <v/>
      </c>
      <c r="I63" s="373">
        <f>I58/3.6/I55/(DATEDIF(DATE(2026,1,1),DATE(2027,1,1),"D")*24)</f>
        <v/>
      </c>
    </row>
    <row r="64" ht="27.95" customFormat="1" customHeight="1" s="1">
      <c r="A64" s="27" t="inlineStr">
        <is>
          <t>009</t>
        </is>
      </c>
      <c r="B64" s="243" t="inlineStr">
        <is>
          <t>供暖热耗率</t>
        </is>
      </c>
      <c r="C64" s="42" t="inlineStr">
        <is>
          <t>吉焦/平方米</t>
        </is>
      </c>
      <c r="D64" s="283">
        <f>D58/D57</f>
        <v/>
      </c>
      <c r="E64" s="283">
        <f>E58/E57</f>
        <v/>
      </c>
      <c r="F64" s="285">
        <f>F58/F57</f>
        <v/>
      </c>
      <c r="G64" s="322">
        <f>G58/G57</f>
        <v/>
      </c>
      <c r="H64" s="283">
        <f>H58/H57</f>
        <v/>
      </c>
      <c r="I64" s="285">
        <f>I58/I57</f>
        <v/>
      </c>
    </row>
    <row r="65" ht="27.95" customFormat="1" customHeight="1" s="1">
      <c r="A65" s="27" t="inlineStr">
        <is>
          <t>010</t>
        </is>
      </c>
      <c r="B65" s="243" t="inlineStr">
        <is>
          <t>单位面积耗电量</t>
        </is>
      </c>
      <c r="C65" s="42" t="inlineStr">
        <is>
          <t>千瓦时/平方米</t>
        </is>
      </c>
      <c r="D65" s="288">
        <f>D60/D57</f>
        <v/>
      </c>
      <c r="E65" s="288">
        <f>E60/E57</f>
        <v/>
      </c>
      <c r="F65" s="287">
        <f>F60/F57</f>
        <v/>
      </c>
      <c r="G65" s="323">
        <f>G60/G57</f>
        <v/>
      </c>
      <c r="H65" s="288">
        <f>H60/H57</f>
        <v/>
      </c>
      <c r="I65" s="287">
        <f>I60/I57</f>
        <v/>
      </c>
    </row>
    <row r="66" ht="27.95" customFormat="1" customHeight="1" s="1">
      <c r="A66" s="124" t="inlineStr">
        <is>
          <t>011</t>
        </is>
      </c>
      <c r="B66" s="292" t="inlineStr">
        <is>
          <t>单位面积耗水量</t>
        </is>
      </c>
      <c r="C66" s="94" t="inlineStr">
        <is>
          <t>千克/平方米</t>
        </is>
      </c>
      <c r="D66" s="295">
        <f>D59*1000/D57</f>
        <v/>
      </c>
      <c r="E66" s="295">
        <f>E59*1000/E57</f>
        <v/>
      </c>
      <c r="F66" s="294">
        <f>F59*1000/F57</f>
        <v/>
      </c>
      <c r="G66" s="324">
        <f>G59*1000/G57</f>
        <v/>
      </c>
      <c r="H66" s="295">
        <f>H59*1000/H57</f>
        <v/>
      </c>
      <c r="I66" s="294">
        <f>I59*1000/I57</f>
        <v/>
      </c>
    </row>
    <row r="67" ht="18" customFormat="1" customHeight="1" s="1">
      <c r="C67" s="4" t="n"/>
      <c r="D67" s="5" t="n"/>
    </row>
    <row r="68" ht="29.25" customFormat="1" customHeight="1" s="1">
      <c r="A68" s="103" t="inlineStr">
        <is>
          <t>天然气锅炉</t>
        </is>
      </c>
      <c r="C68" s="4" t="n"/>
      <c r="D68" s="5" t="n"/>
    </row>
    <row r="69" ht="30" customFormat="1" customHeight="1" s="1">
      <c r="A69" s="126" t="inlineStr">
        <is>
          <t>代码</t>
        </is>
      </c>
      <c r="B69" s="7" t="inlineStr">
        <is>
          <t>项目</t>
        </is>
      </c>
      <c r="C69" s="7" t="inlineStr">
        <is>
          <t>计量单位</t>
        </is>
      </c>
      <c r="D69" s="106" t="inlineStr">
        <is>
          <t>本月实际</t>
        </is>
      </c>
      <c r="E69" s="10" t="n"/>
      <c r="F69" s="144" t="inlineStr">
        <is>
          <t>本年累计</t>
        </is>
      </c>
      <c r="G69" s="9" t="n"/>
    </row>
    <row r="70" ht="30" customFormat="1" customHeight="1" s="1">
      <c r="A70" s="12" t="n"/>
      <c r="B70" s="13" t="n"/>
      <c r="C70" s="13" t="n"/>
      <c r="D70" s="129" t="inlineStr">
        <is>
          <t>北海</t>
        </is>
      </c>
      <c r="E70" s="145" t="inlineStr">
        <is>
          <t>裕景</t>
        </is>
      </c>
      <c r="F70" s="131" t="inlineStr">
        <is>
          <t>北海</t>
        </is>
      </c>
      <c r="G70" s="132" t="inlineStr">
        <is>
          <t>裕景</t>
        </is>
      </c>
    </row>
    <row r="71" ht="27.95" customFormat="1" customHeight="1" s="1">
      <c r="A71" s="18" t="inlineStr">
        <is>
          <t>001</t>
        </is>
      </c>
      <c r="B71" s="224" t="inlineStr">
        <is>
          <t>装机总容量</t>
        </is>
      </c>
      <c r="C71" s="20" t="inlineStr">
        <is>
          <t>兆瓦</t>
        </is>
      </c>
      <c r="D71" s="227" t="n">
        <v>217</v>
      </c>
      <c r="E71" s="325" t="n">
        <v>1.4</v>
      </c>
      <c r="F71" s="326">
        <f>D71</f>
        <v/>
      </c>
      <c r="G71" s="230">
        <f>E71</f>
        <v/>
      </c>
    </row>
    <row r="72" ht="27.95" customFormat="1" customHeight="1" s="1">
      <c r="A72" s="27" t="inlineStr">
        <is>
          <t>002</t>
        </is>
      </c>
      <c r="B72" s="243" t="inlineStr">
        <is>
          <t>供汽量</t>
        </is>
      </c>
      <c r="C72" s="42" t="inlineStr">
        <is>
          <t>吨</t>
        </is>
      </c>
      <c r="D72" s="273" t="n"/>
      <c r="E72" s="301" t="n"/>
      <c r="F72" s="306">
        <f>D72</f>
        <v/>
      </c>
      <c r="G72" s="327">
        <f>E72</f>
        <v/>
      </c>
    </row>
    <row r="73" ht="27.95" customFormat="1" customHeight="1" s="1">
      <c r="A73" s="27" t="inlineStr">
        <is>
          <t>003</t>
        </is>
      </c>
      <c r="B73" s="243" t="inlineStr">
        <is>
          <t>供热量</t>
        </is>
      </c>
      <c r="C73" s="42" t="inlineStr">
        <is>
          <t>吉焦</t>
        </is>
      </c>
      <c r="D73" s="269">
        <f>D72*2.951694</f>
        <v/>
      </c>
      <c r="E73" s="328">
        <f>E72*2.732</f>
        <v/>
      </c>
      <c r="F73" s="393">
        <f>D73+'26.11'!F73</f>
        <v/>
      </c>
      <c r="G73" s="393">
        <f>E73+'26.11'!G73</f>
        <v/>
      </c>
    </row>
    <row r="74" ht="27.95" customFormat="1" customHeight="1" s="1">
      <c r="A74" s="27" t="inlineStr">
        <is>
          <t>004</t>
        </is>
      </c>
      <c r="B74" s="243" t="inlineStr">
        <is>
          <t>耗天然气(人工煤气)量</t>
        </is>
      </c>
      <c r="C74" s="42" t="inlineStr">
        <is>
          <t>立方米</t>
        </is>
      </c>
      <c r="D74" s="273" t="n"/>
      <c r="E74" s="301" t="n"/>
      <c r="F74" s="393">
        <f>D74+'26.11'!F74</f>
        <v/>
      </c>
      <c r="G74" s="393">
        <f>E74+'26.11'!G74</f>
        <v/>
      </c>
    </row>
    <row r="75" ht="27.95" customFormat="1" customHeight="1" s="1">
      <c r="A75" s="27" t="inlineStr">
        <is>
          <t>005</t>
        </is>
      </c>
      <c r="B75" s="243" t="inlineStr">
        <is>
          <t>耗标煤总量</t>
        </is>
      </c>
      <c r="C75" s="42" t="inlineStr">
        <is>
          <t>吨</t>
        </is>
      </c>
      <c r="D75" s="269">
        <f>D74*D80/29308/1000</f>
        <v/>
      </c>
      <c r="E75" s="303">
        <f>E74*E80/29308/1000</f>
        <v/>
      </c>
      <c r="F75" s="393">
        <f>D75+'26.11'!F75</f>
        <v/>
      </c>
      <c r="G75" s="393">
        <f>E75+'26.11'!G75</f>
        <v/>
      </c>
    </row>
    <row r="76" ht="27.95" customFormat="1" customHeight="1" s="1">
      <c r="A76" s="27" t="inlineStr">
        <is>
          <t>006</t>
        </is>
      </c>
      <c r="B76" s="243" t="inlineStr">
        <is>
          <t>耗水量</t>
        </is>
      </c>
      <c r="C76" s="42" t="inlineStr">
        <is>
          <t>吨</t>
        </is>
      </c>
      <c r="D76" s="273" t="n"/>
      <c r="E76" s="329" t="n"/>
      <c r="F76" s="393">
        <f>D76+'26.11'!F76</f>
        <v/>
      </c>
      <c r="G76" s="393">
        <f>E76+'26.11'!G76</f>
        <v/>
      </c>
    </row>
    <row r="77" ht="27.95" customFormat="1" customHeight="1" s="1">
      <c r="A77" s="27" t="inlineStr">
        <is>
          <t>007</t>
        </is>
      </c>
      <c r="B77" s="243" t="inlineStr">
        <is>
          <t>耗电量</t>
        </is>
      </c>
      <c r="C77" s="42" t="inlineStr">
        <is>
          <t>千瓦时</t>
        </is>
      </c>
      <c r="D77" s="273" t="n"/>
      <c r="E77" s="329" t="n"/>
      <c r="F77" s="393">
        <f>D77+'26.11'!F77</f>
        <v/>
      </c>
      <c r="G77" s="393">
        <f>E77+'26.11'!G77</f>
        <v/>
      </c>
    </row>
    <row r="78" ht="27.95" customFormat="1" customHeight="1" s="1">
      <c r="A78" s="27" t="inlineStr">
        <is>
          <t>008</t>
        </is>
      </c>
      <c r="B78" s="243" t="inlineStr">
        <is>
          <t>供热用电率</t>
        </is>
      </c>
      <c r="C78" s="42" t="inlineStr">
        <is>
          <t>千瓦时/吉焦</t>
        </is>
      </c>
      <c r="D78" s="331">
        <f>D77/D73</f>
        <v/>
      </c>
      <c r="E78" s="332" t="n"/>
      <c r="F78" s="333">
        <f>F77/F73</f>
        <v/>
      </c>
      <c r="G78" s="334" t="n"/>
    </row>
    <row r="79" ht="27.95" customFormat="1" customHeight="1" s="1">
      <c r="A79" s="27" t="inlineStr">
        <is>
          <t>009</t>
        </is>
      </c>
      <c r="B79" s="243" t="inlineStr">
        <is>
          <t>供热煤耗率</t>
        </is>
      </c>
      <c r="C79" s="42" t="inlineStr">
        <is>
          <t>千克/吉焦</t>
        </is>
      </c>
      <c r="D79" s="257">
        <f>D75*1000/D73</f>
        <v/>
      </c>
      <c r="E79" s="335">
        <f>E75*1000/E73</f>
        <v/>
      </c>
      <c r="F79" s="336">
        <f>F75*1000/F73</f>
        <v/>
      </c>
      <c r="G79" s="258">
        <f>G75*1000/G73</f>
        <v/>
      </c>
    </row>
    <row r="80" ht="27.95" customFormat="1" customHeight="1" s="1">
      <c r="A80" s="27" t="inlineStr">
        <is>
          <t>010</t>
        </is>
      </c>
      <c r="B80" s="243" t="inlineStr">
        <is>
          <t>天然气(煤气)发热量</t>
        </is>
      </c>
      <c r="C80" s="42" t="inlineStr">
        <is>
          <t>千焦/立方米</t>
        </is>
      </c>
      <c r="D80" s="235" t="n"/>
      <c r="E80" s="337" t="n"/>
      <c r="F80" s="338">
        <f>F75*29308*1000/F74</f>
        <v/>
      </c>
      <c r="G80" s="269">
        <f>G75*29308*1000/G74</f>
        <v/>
      </c>
    </row>
    <row r="81" ht="27.95" customFormat="1" customHeight="1" s="1">
      <c r="A81" s="27" t="inlineStr">
        <is>
          <t>011</t>
        </is>
      </c>
      <c r="B81" s="243" t="inlineStr">
        <is>
          <t>锅炉热效率</t>
        </is>
      </c>
      <c r="C81" s="75" t="inlineStr">
        <is>
          <t>%</t>
        </is>
      </c>
      <c r="D81" s="276">
        <f>D73/(D75*29.308)</f>
        <v/>
      </c>
      <c r="E81" s="339">
        <f>E73/(E75*29.308)</f>
        <v/>
      </c>
      <c r="F81" s="340">
        <f>F73/(F75*29.308)</f>
        <v/>
      </c>
      <c r="G81" s="277">
        <f>G73/(G75*29.308)</f>
        <v/>
      </c>
    </row>
    <row r="82" ht="27.95" customFormat="1" customHeight="1" s="1">
      <c r="A82" s="124" t="inlineStr">
        <is>
          <t>012</t>
        </is>
      </c>
      <c r="B82" s="341" t="inlineStr">
        <is>
          <t>锅炉设备利用率</t>
        </is>
      </c>
      <c r="C82" s="163" t="inlineStr">
        <is>
          <t>%</t>
        </is>
      </c>
      <c r="D82" s="387">
        <f>D73/3.6/D71/(DAY(DATE(2027,1,0))*24)</f>
        <v/>
      </c>
      <c r="E82" s="388">
        <f>E73/3.6/E71/(DAY(DATE(2027,1,0))*24)</f>
        <v/>
      </c>
      <c r="F82" s="378">
        <f>F73/3.6/F71/(DATEDIF(DATE(2026,1,1),DATE(2027,1,1),"D")*24)</f>
        <v/>
      </c>
      <c r="G82" s="379">
        <f>G73/3.6/G71/(DATEDIF(DATE(2026,1,1),DATE(2027,1,1),"D")*24)</f>
        <v/>
      </c>
    </row>
    <row r="83" ht="18" customFormat="1" customHeight="1" s="1">
      <c r="B83" s="168" t="n"/>
      <c r="C83" s="168" t="n"/>
      <c r="D83" s="5" t="n"/>
    </row>
    <row r="84" ht="16.25" customFormat="1" customHeight="1" s="1">
      <c r="A84" s="103" t="inlineStr">
        <is>
          <t>空气源热泵(研究院)</t>
        </is>
      </c>
      <c r="C84" s="4" t="n"/>
      <c r="D84" s="5" t="inlineStr"/>
      <c r="E84" s="2" t="n"/>
      <c r="F84" s="2" t="n"/>
      <c r="G84" s="2" t="n"/>
      <c r="H84" s="2" t="n"/>
      <c r="I84" s="2" t="n"/>
    </row>
    <row r="85" ht="14" customFormat="1" customHeight="1" s="1">
      <c r="A85" s="126" t="inlineStr">
        <is>
          <t>代码</t>
        </is>
      </c>
      <c r="B85" s="127" t="inlineStr">
        <is>
          <t>项  目</t>
        </is>
      </c>
      <c r="C85" s="127" t="inlineStr">
        <is>
          <t>计量单位</t>
        </is>
      </c>
      <c r="D85" s="169" t="inlineStr">
        <is>
          <t>本月实际</t>
        </is>
      </c>
      <c r="E85" s="129" t="inlineStr">
        <is>
          <t>本年累计</t>
        </is>
      </c>
      <c r="F85" s="169" t="inlineStr">
        <is>
          <t>研究院本月实际</t>
        </is>
      </c>
      <c r="G85" s="169" t="inlineStr">
        <is>
          <t>研究院本年累计</t>
        </is>
      </c>
      <c r="H85" s="170" t="n"/>
      <c r="I85" s="170" t="n"/>
    </row>
    <row r="86" ht="14" customFormat="1" customHeight="1" s="1">
      <c r="A86" s="12" t="n"/>
      <c r="B86" s="13" t="n"/>
      <c r="C86" s="13" t="n"/>
      <c r="D86" s="169" t="inlineStr">
        <is>
          <t>碧流河</t>
        </is>
      </c>
      <c r="E86" s="169" t="inlineStr">
        <is>
          <t>碧流河</t>
        </is>
      </c>
      <c r="F86" s="13" t="n"/>
      <c r="G86" s="13" t="n"/>
      <c r="H86" s="170" t="n"/>
      <c r="I86" s="103" t="n"/>
    </row>
    <row r="87" ht="14" customFormat="1" customHeight="1" s="1">
      <c r="A87" s="27" t="inlineStr">
        <is>
          <t>001</t>
        </is>
      </c>
      <c r="B87" s="231" t="inlineStr">
        <is>
          <t>装机总容量</t>
        </is>
      </c>
      <c r="C87" s="29" t="inlineStr">
        <is>
          <t>兆瓦</t>
        </is>
      </c>
      <c r="D87" s="346" t="n">
        <v>0.7887999999999999</v>
      </c>
      <c r="E87" s="347">
        <f>D87</f>
        <v/>
      </c>
      <c r="F87" s="348">
        <f>F55+D87</f>
        <v/>
      </c>
      <c r="G87" s="348">
        <f>E87+I55</f>
        <v/>
      </c>
      <c r="H87" s="318" t="n"/>
      <c r="I87" s="318" t="n"/>
    </row>
    <row r="88" ht="14" customFormat="1" customHeight="1" s="1">
      <c r="A88" s="27" t="inlineStr">
        <is>
          <t>002</t>
        </is>
      </c>
      <c r="B88" s="231" t="inlineStr">
        <is>
          <t>期末供暖面积</t>
        </is>
      </c>
      <c r="C88" s="29" t="inlineStr">
        <is>
          <t>平方米</t>
        </is>
      </c>
      <c r="D88" s="349" t="n"/>
      <c r="E88" s="350">
        <f>D88</f>
        <v/>
      </c>
      <c r="F88" s="380">
        <f>D88+D56+E56</f>
        <v/>
      </c>
      <c r="G88" s="380">
        <f>E88+G56+H56</f>
        <v/>
      </c>
      <c r="H88" s="302" t="n"/>
      <c r="I88" s="302" t="n"/>
    </row>
    <row r="89" ht="14" customFormat="1" customHeight="1" s="1">
      <c r="A89" s="27" t="inlineStr">
        <is>
          <t>003</t>
        </is>
      </c>
      <c r="B89" s="231" t="inlineStr">
        <is>
          <t>实际平均供暖面积</t>
        </is>
      </c>
      <c r="C89" s="29" t="inlineStr">
        <is>
          <t>平方米</t>
        </is>
      </c>
      <c r="D89" s="349" t="n"/>
      <c r="E89" s="350">
        <f>D89</f>
        <v/>
      </c>
      <c r="F89" s="380">
        <f>D89+D57+E57</f>
        <v/>
      </c>
      <c r="G89" s="380">
        <f>E89+G57+H57</f>
        <v/>
      </c>
      <c r="H89" s="302" t="n"/>
      <c r="I89" s="302" t="n"/>
    </row>
    <row r="90" ht="14" customFormat="1" customHeight="1" s="1">
      <c r="A90" s="27" t="inlineStr">
        <is>
          <t>004</t>
        </is>
      </c>
      <c r="B90" s="243" t="inlineStr">
        <is>
          <t>供热量</t>
        </is>
      </c>
      <c r="C90" s="42" t="inlineStr">
        <is>
          <t>吉焦</t>
        </is>
      </c>
      <c r="D90" s="349" t="n"/>
      <c r="E90" s="395">
        <f>D90+'26.11'!E90</f>
        <v/>
      </c>
      <c r="F90" s="351">
        <f>F58+D90</f>
        <v/>
      </c>
      <c r="G90" s="351">
        <f>E90+I58</f>
        <v/>
      </c>
      <c r="H90" s="302" t="n"/>
      <c r="I90" s="302" t="n"/>
    </row>
    <row r="91" ht="14" customFormat="1" customHeight="1" s="1">
      <c r="A91" s="27" t="inlineStr">
        <is>
          <t>005</t>
        </is>
      </c>
      <c r="B91" s="243" t="inlineStr">
        <is>
          <t>耗水量</t>
        </is>
      </c>
      <c r="C91" s="42" t="inlineStr">
        <is>
          <t>吨</t>
        </is>
      </c>
      <c r="D91" s="349" t="n"/>
      <c r="E91" s="395">
        <f>D91+'26.11'!E91</f>
        <v/>
      </c>
      <c r="F91" s="351">
        <f>F59+D91</f>
        <v/>
      </c>
      <c r="G91" s="351">
        <f>E91+I59</f>
        <v/>
      </c>
      <c r="H91" s="302" t="n"/>
      <c r="I91" s="302" t="n"/>
    </row>
    <row r="92" ht="14" customFormat="1" customHeight="1" s="1">
      <c r="A92" s="27" t="inlineStr">
        <is>
          <t>006</t>
        </is>
      </c>
      <c r="B92" s="243" t="inlineStr">
        <is>
          <t>耗电量</t>
        </is>
      </c>
      <c r="C92" s="42" t="inlineStr">
        <is>
          <t>千瓦时</t>
        </is>
      </c>
      <c r="D92" s="349" t="n"/>
      <c r="E92" s="395">
        <f>D92+'26.11'!E92</f>
        <v/>
      </c>
      <c r="F92" s="351">
        <f>F60+D92</f>
        <v/>
      </c>
      <c r="G92" s="351">
        <f>E92+I60</f>
        <v/>
      </c>
      <c r="H92" s="302" t="n"/>
      <c r="I92" s="302" t="n"/>
    </row>
    <row r="93" ht="14" customFormat="1" customHeight="1" s="1">
      <c r="A93" s="27" t="n"/>
      <c r="B93" s="243" t="inlineStr">
        <is>
          <t>其中：高压电量</t>
        </is>
      </c>
      <c r="C93" s="42" t="inlineStr">
        <is>
          <t>千瓦时</t>
        </is>
      </c>
      <c r="D93" s="349" t="n"/>
      <c r="E93" s="395">
        <f>D93+'26.11'!E93</f>
        <v/>
      </c>
      <c r="F93" s="351">
        <f>F61+D93</f>
        <v/>
      </c>
      <c r="G93" s="351">
        <f>E93+I61</f>
        <v/>
      </c>
      <c r="H93" s="302" t="n"/>
      <c r="I93" s="302" t="n"/>
    </row>
    <row r="94" ht="14" customFormat="1" customHeight="1" s="1">
      <c r="A94" s="27" t="inlineStr">
        <is>
          <t>007</t>
        </is>
      </c>
      <c r="B94" s="243" t="inlineStr">
        <is>
          <t>供热用电率</t>
        </is>
      </c>
      <c r="C94" s="42" t="inlineStr">
        <is>
          <t>千瓦时/吉焦</t>
        </is>
      </c>
      <c r="D94" s="352">
        <f>D92/D90</f>
        <v/>
      </c>
      <c r="E94" s="352">
        <f>E92/E90</f>
        <v/>
      </c>
      <c r="F94" s="352">
        <f>F92/F90</f>
        <v/>
      </c>
      <c r="G94" s="352">
        <f>G92/G90</f>
        <v/>
      </c>
      <c r="H94" s="308" t="n"/>
      <c r="I94" s="308" t="n"/>
    </row>
    <row r="95" ht="14" customFormat="1" customHeight="1" s="1">
      <c r="A95" s="27" t="inlineStr">
        <is>
          <t>008</t>
        </is>
      </c>
      <c r="B95" s="243" t="inlineStr">
        <is>
          <t>设备利用率</t>
        </is>
      </c>
      <c r="C95" s="75" t="inlineStr">
        <is>
          <t>%</t>
        </is>
      </c>
      <c r="D95" s="390">
        <f>D90/3.6/D87/(DAY(DATE(2027,1,0))*24)</f>
        <v/>
      </c>
      <c r="E95" s="373">
        <f>E90/3.6/E87/(DATEDIF(DATE(2026,1,1),DATE(2027,1,1),"D")*24)</f>
        <v/>
      </c>
      <c r="F95" s="390">
        <f>F90/3.6/F87/(DAY(DATE(2027,1,0))*24)</f>
        <v/>
      </c>
      <c r="G95" s="373">
        <f>G90/3.6/G87/(DATEDIF(DATE(2026,1,1),DATE(2027,1,1),"D")*24)</f>
        <v/>
      </c>
      <c r="H95" s="354" t="n"/>
      <c r="I95" s="354" t="n"/>
      <c r="K95" s="182" t="n"/>
    </row>
    <row r="96" ht="14" customFormat="1" customHeight="1" s="1">
      <c r="A96" s="27" t="inlineStr">
        <is>
          <t>009</t>
        </is>
      </c>
      <c r="B96" s="243" t="inlineStr">
        <is>
          <t>供暖热耗率</t>
        </is>
      </c>
      <c r="C96" s="42" t="inlineStr">
        <is>
          <t>吉焦/平方米</t>
        </is>
      </c>
      <c r="D96" s="355">
        <f>D90/D89</f>
        <v/>
      </c>
      <c r="E96" s="355">
        <f>E90/E89</f>
        <v/>
      </c>
      <c r="F96" s="355">
        <f>F90/F89</f>
        <v/>
      </c>
      <c r="G96" s="355">
        <f>G90/G89</f>
        <v/>
      </c>
      <c r="H96" s="312" t="n"/>
      <c r="I96" s="312" t="n"/>
    </row>
    <row r="97" ht="14" customFormat="1" customHeight="1" s="1">
      <c r="A97" s="27" t="inlineStr">
        <is>
          <t>010</t>
        </is>
      </c>
      <c r="B97" s="243" t="inlineStr">
        <is>
          <t>单位面积耗电量</t>
        </is>
      </c>
      <c r="C97" s="42" t="inlineStr">
        <is>
          <t>千瓦时/平方米</t>
        </is>
      </c>
      <c r="D97" s="356">
        <f>D92/D89</f>
        <v/>
      </c>
      <c r="E97" s="356">
        <f>E92/E89</f>
        <v/>
      </c>
      <c r="F97" s="356">
        <f>F92/F89</f>
        <v/>
      </c>
      <c r="G97" s="356">
        <f>G92/G89</f>
        <v/>
      </c>
      <c r="H97" s="314" t="n"/>
      <c r="I97" s="314" t="n"/>
    </row>
    <row r="98" ht="14.75" customFormat="1" customHeight="1" s="1">
      <c r="A98" s="124" t="inlineStr">
        <is>
          <t>011</t>
        </is>
      </c>
      <c r="B98" s="292" t="inlineStr">
        <is>
          <t>单位面积耗水量</t>
        </is>
      </c>
      <c r="C98" s="94" t="inlineStr">
        <is>
          <t>千克/平方米</t>
        </is>
      </c>
      <c r="D98" s="356">
        <f>D91*1000/D89</f>
        <v/>
      </c>
      <c r="E98" s="356">
        <f>E91*1000/E89</f>
        <v/>
      </c>
      <c r="F98" s="356">
        <f>F91*1000/F89</f>
        <v/>
      </c>
      <c r="G98" s="356">
        <f>G91*1000/G89</f>
        <v/>
      </c>
      <c r="H98" s="314" t="n"/>
      <c r="I98" s="31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2026-04-01T15:04:26Z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0</vt:bool>
  </property>
  <property name="CalculationRule" fmtid="{D5CDD505-2E9C-101B-9397-08002B2CF9AE}" pid="5">
    <vt:i4>0</vt:i4>
  </property>
</Properties>
</file>