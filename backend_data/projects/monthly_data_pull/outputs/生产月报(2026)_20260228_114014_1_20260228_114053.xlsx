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31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0"/>
      <sz val="11"/>
    </font>
    <font>
      <name val="宋体"/>
      <charset val="134"/>
      <sz val="9"/>
    </font>
    <font>
      <name val="宋体"/>
      <charset val="134"/>
      <b val="1"/>
      <sz val="10"/>
    </font>
    <font>
      <name val="宋体"/>
      <charset val="134"/>
      <b val="1"/>
      <sz val="9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7" borderId="21" applyAlignment="1">
      <alignment vertical="center"/>
    </xf>
    <xf numFmtId="0" fontId="18" fillId="8" borderId="22" applyAlignment="1">
      <alignment vertical="center"/>
    </xf>
    <xf numFmtId="0" fontId="19" fillId="8" borderId="21" applyAlignment="1">
      <alignment vertical="center"/>
    </xf>
    <xf numFmtId="0" fontId="20" fillId="9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166" fontId="2" fillId="0" borderId="7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5" fillId="0" borderId="9" pivotButton="0" quotePrefix="0" xfId="0"/>
    <xf numFmtId="0" fontId="6" fillId="0" borderId="10" applyAlignment="1" pivotButton="0" quotePrefix="0" xfId="0">
      <alignment horizontal="center"/>
    </xf>
    <xf numFmtId="49" fontId="2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horizontal="right" vertical="center"/>
    </xf>
    <xf numFmtId="166" fontId="2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0" fontId="5" fillId="0" borderId="6" applyAlignment="1" pivotButton="0" quotePrefix="0" xfId="0">
      <alignment horizontal="right" vertical="center"/>
    </xf>
    <xf numFmtId="166" fontId="2" fillId="3" borderId="7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0" fontId="2" fillId="0" borderId="7" applyAlignment="1" pivotButton="0" quotePrefix="0" xfId="50">
      <alignment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6" fillId="0" borderId="16" applyAlignment="1" pivotButton="0" quotePrefix="0" xfId="0">
      <alignment horizontal="center" vertical="center"/>
    </xf>
    <xf numFmtId="49" fontId="2" fillId="0" borderId="16" applyAlignment="1" pivotButton="0" quotePrefix="0" xfId="0">
      <alignment horizontal="center" vertical="center"/>
    </xf>
    <xf numFmtId="165" fontId="2" fillId="0" borderId="16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0" fontId="2" fillId="0" borderId="16" applyAlignment="1" pivotButton="0" quotePrefix="0" xfId="0">
      <alignment vertical="center"/>
    </xf>
    <xf numFmtId="10" fontId="2" fillId="0" borderId="17" applyAlignment="1" pivotButton="0" quotePrefix="0" xfId="0">
      <alignment vertical="center"/>
    </xf>
    <xf numFmtId="10" fontId="2" fillId="0" borderId="7" applyAlignment="1" pivotButton="0" quotePrefix="0" xfId="0">
      <alignment vertical="center"/>
    </xf>
    <xf numFmtId="10" fontId="2" fillId="0" borderId="8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0" fontId="2" fillId="0" borderId="10" applyAlignment="1" pivotButton="0" quotePrefix="0" xfId="0">
      <alignment vertical="center"/>
    </xf>
    <xf numFmtId="10" fontId="2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166" fontId="2" fillId="0" borderId="10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2" borderId="10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4" pivotButton="0" quotePrefix="0" xfId="0"/>
    <xf numFmtId="0" fontId="2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/>
    </xf>
    <xf numFmtId="49" fontId="2" fillId="0" borderId="7" applyAlignment="1" pivotButton="0" quotePrefix="0" xfId="0">
      <alignment horizontal="center"/>
    </xf>
    <xf numFmtId="0" fontId="2" fillId="0" borderId="7" pivotButton="0" quotePrefix="0" xfId="0"/>
    <xf numFmtId="166" fontId="2" fillId="0" borderId="7" pivotButton="0" quotePrefix="0" xfId="0"/>
    <xf numFmtId="166" fontId="2" fillId="0" borderId="8" pivotButton="0" quotePrefix="0" xfId="0"/>
    <xf numFmtId="0" fontId="1" fillId="0" borderId="5" pivotButton="0" quotePrefix="0" xfId="0"/>
    <xf numFmtId="49" fontId="2" fillId="0" borderId="10" applyAlignment="1" pivotButton="0" quotePrefix="0" xfId="0">
      <alignment horizontal="center"/>
    </xf>
    <xf numFmtId="166" fontId="2" fillId="0" borderId="10" pivotButton="0" quotePrefix="0" xfId="0"/>
    <xf numFmtId="166" fontId="2" fillId="0" borderId="11" pivotButton="0" quotePrefix="0" xfId="0"/>
    <xf numFmtId="166" fontId="2" fillId="0" borderId="3" pivotButton="0" quotePrefix="0" xfId="0"/>
    <xf numFmtId="166" fontId="2" fillId="0" borderId="7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8" applyAlignment="1" pivotButton="0" quotePrefix="0" xfId="0">
      <alignment vertical="center"/>
    </xf>
    <xf numFmtId="167" fontId="2" fillId="3" borderId="1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167" fontId="2" fillId="3" borderId="8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7" fontId="2" fillId="3" borderId="7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0" fontId="0" fillId="0" borderId="1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12" pivotButton="0" quotePrefix="0" xfId="0"/>
    <xf numFmtId="0" fontId="0" fillId="0" borderId="13" pivotButton="0" quotePrefix="0" xfId="0"/>
    <xf numFmtId="165" fontId="2" fillId="0" borderId="7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6" fontId="2" fillId="0" borderId="7" applyAlignment="1" pivotButton="0" quotePrefix="0" xfId="0">
      <alignment vertical="center"/>
    </xf>
    <xf numFmtId="166" fontId="2" fillId="3" borderId="7" applyAlignment="1" pivotButton="0" quotePrefix="0" xfId="0">
      <alignment vertical="center"/>
    </xf>
    <xf numFmtId="166" fontId="2" fillId="0" borderId="8" applyAlignment="1" pivotButton="0" quotePrefix="0" xfId="0">
      <alignment vertical="center"/>
    </xf>
    <xf numFmtId="167" fontId="2" fillId="3" borderId="7" applyAlignment="1" pivotButton="0" quotePrefix="0" xfId="0">
      <alignment vertical="center"/>
    </xf>
    <xf numFmtId="166" fontId="2" fillId="5" borderId="8" applyAlignment="1" pivotButton="0" quotePrefix="0" xfId="0">
      <alignment vertical="center"/>
    </xf>
    <xf numFmtId="166" fontId="2" fillId="0" borderId="10" applyAlignment="1" pivotButton="0" quotePrefix="0" xfId="0">
      <alignment horizontal="right" vertical="center"/>
    </xf>
    <xf numFmtId="166" fontId="2" fillId="0" borderId="10" applyAlignment="1" pivotButton="0" quotePrefix="0" xfId="0">
      <alignment vertical="center"/>
    </xf>
    <xf numFmtId="166" fontId="2" fillId="0" borderId="11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6" fontId="2" fillId="0" borderId="7" applyAlignment="1" pivotButton="0" quotePrefix="0" xfId="0">
      <alignment horizontal="right" vertical="center"/>
    </xf>
    <xf numFmtId="168" fontId="2" fillId="0" borderId="7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6" applyAlignment="1" pivotButton="0" quotePrefix="0" xfId="0">
      <alignment vertical="center"/>
    </xf>
    <xf numFmtId="164" fontId="6" fillId="0" borderId="7" applyAlignment="1" pivotButton="0" quotePrefix="0" xfId="0">
      <alignment horizontal="center" vertical="center"/>
    </xf>
    <xf numFmtId="164" fontId="2" fillId="0" borderId="7" applyAlignment="1" pivotButton="0" quotePrefix="0" xfId="0">
      <alignment vertical="center"/>
    </xf>
    <xf numFmtId="164" fontId="2" fillId="0" borderId="7" applyAlignment="1" pivotButton="0" quotePrefix="0" xfId="0">
      <alignment horizontal="right" vertical="center"/>
    </xf>
    <xf numFmtId="164" fontId="2" fillId="0" borderId="5" applyAlignment="1" pivotButton="0" quotePrefix="0" xfId="0">
      <alignment vertical="center"/>
    </xf>
    <xf numFmtId="164" fontId="2" fillId="0" borderId="7" applyAlignment="1" pivotButton="0" quotePrefix="0" xfId="50">
      <alignment vertical="center"/>
    </xf>
    <xf numFmtId="167" fontId="2" fillId="3" borderId="8" applyAlignment="1" pivotButton="0" quotePrefix="0" xfId="0">
      <alignment vertical="center"/>
    </xf>
    <xf numFmtId="169" fontId="2" fillId="0" borderId="7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5" fontId="2" fillId="0" borderId="16" applyAlignment="1" pivotButton="0" quotePrefix="0" xfId="0">
      <alignment vertical="center"/>
    </xf>
    <xf numFmtId="165" fontId="2" fillId="0" borderId="10" applyAlignment="1" pivotButton="0" quotePrefix="0" xfId="0">
      <alignment vertical="center"/>
    </xf>
    <xf numFmtId="165" fontId="2" fillId="0" borderId="11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4" applyAlignment="1" pivotButton="0" quotePrefix="0" xfId="0">
      <alignment vertical="center"/>
    </xf>
    <xf numFmtId="170" fontId="5" fillId="0" borderId="6" applyAlignment="1" pivotButton="0" quotePrefix="0" xfId="0">
      <alignment vertical="center"/>
    </xf>
    <xf numFmtId="170" fontId="7" fillId="0" borderId="7" applyAlignment="1" pivotButton="0" quotePrefix="0" xfId="0">
      <alignment horizontal="center" vertical="center"/>
    </xf>
    <xf numFmtId="167" fontId="2" fillId="4" borderId="7" applyAlignment="1" pivotButton="0" quotePrefix="0" xfId="0">
      <alignment vertical="center"/>
    </xf>
    <xf numFmtId="167" fontId="2" fillId="4" borderId="8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16" applyAlignment="1" pivotButton="0" quotePrefix="0" xfId="0">
      <alignment horizontal="center" vertical="center"/>
    </xf>
    <xf numFmtId="167" fontId="2" fillId="4" borderId="16" applyAlignment="1" pivotButton="0" quotePrefix="0" xfId="0">
      <alignment vertical="center"/>
    </xf>
    <xf numFmtId="171" fontId="2" fillId="0" borderId="16" applyAlignment="1" pivotButton="0" quotePrefix="0" xfId="0">
      <alignment vertical="center"/>
    </xf>
    <xf numFmtId="171" fontId="2" fillId="0" borderId="17" applyAlignment="1" pivotButton="0" quotePrefix="0" xfId="0">
      <alignment vertical="center"/>
    </xf>
    <xf numFmtId="171" fontId="2" fillId="0" borderId="7" applyAlignment="1" pivotButton="0" quotePrefix="0" xfId="0">
      <alignment vertical="center"/>
    </xf>
    <xf numFmtId="171" fontId="2" fillId="0" borderId="8" applyAlignment="1" pivotButton="0" quotePrefix="0" xfId="0">
      <alignment vertical="center"/>
    </xf>
    <xf numFmtId="172" fontId="5" fillId="0" borderId="9" applyAlignment="1" pivotButton="0" quotePrefix="0" xfId="0">
      <alignment vertical="center"/>
    </xf>
    <xf numFmtId="172" fontId="7" fillId="0" borderId="10" applyAlignment="1" pivotButton="0" quotePrefix="0" xfId="0">
      <alignment horizontal="center" vertical="center"/>
    </xf>
    <xf numFmtId="167" fontId="2" fillId="3" borderId="10" applyAlignment="1" pivotButton="0" quotePrefix="0" xfId="0">
      <alignment horizontal="right" vertical="center"/>
    </xf>
    <xf numFmtId="167" fontId="2" fillId="4" borderId="10" applyAlignment="1" pivotButton="0" quotePrefix="0" xfId="0">
      <alignment vertical="center"/>
    </xf>
    <xf numFmtId="166" fontId="2" fillId="0" borderId="3" pivotButton="0" quotePrefix="0" xfId="0"/>
    <xf numFmtId="166" fontId="2" fillId="0" borderId="4" pivotButton="0" quotePrefix="0" xfId="0"/>
    <xf numFmtId="166" fontId="2" fillId="0" borderId="7" pivotButton="0" quotePrefix="0" xfId="0"/>
    <xf numFmtId="166" fontId="2" fillId="0" borderId="8" pivotButton="0" quotePrefix="0" xfId="0"/>
    <xf numFmtId="167" fontId="2" fillId="3" borderId="7" pivotButton="0" quotePrefix="0" xfId="0"/>
    <xf numFmtId="166" fontId="2" fillId="0" borderId="10" pivotButton="0" quotePrefix="0" xfId="0"/>
    <xf numFmtId="166" fontId="2" fillId="0" borderId="11" pivotButton="0" quotePrefix="0" xfId="0"/>
    <xf numFmtId="167" fontId="2" fillId="3" borderId="3" pivotButton="0" quotePrefix="0" xfId="0"/>
    <xf numFmtId="167" fontId="2" fillId="3" borderId="4" pivotButton="0" quotePrefix="0" xfId="0"/>
    <xf numFmtId="167" fontId="2" fillId="3" borderId="8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17" applyAlignment="1" pivotButton="0" quotePrefix="0" xfId="0">
      <alignment vertical="center"/>
    </xf>
    <xf numFmtId="167" fontId="2" fillId="0" borderId="10" applyAlignment="1" pivotButton="0" quotePrefix="0" xfId="0">
      <alignment horizontal="right" vertical="center"/>
    </xf>
    <xf numFmtId="167" fontId="2" fillId="3" borderId="10" applyAlignment="1" pivotButton="0" quotePrefix="0" xfId="0">
      <alignment vertical="center"/>
    </xf>
    <xf numFmtId="166" fontId="2" fillId="2" borderId="7" applyAlignment="1" pivotButton="0" quotePrefix="0" xfId="0">
      <alignment vertical="center"/>
    </xf>
    <xf numFmtId="167" fontId="2" fillId="2" borderId="7" applyAlignment="1" pivotButton="0" quotePrefix="0" xfId="0">
      <alignment vertical="center"/>
    </xf>
    <xf numFmtId="167" fontId="2" fillId="2" borderId="10" applyAlignment="1" pivotButton="0" quotePrefix="0" xfId="0">
      <alignment vertical="center"/>
    </xf>
    <xf numFmtId="167" fontId="2" fillId="3" borderId="16" applyAlignment="1" pivotButton="0" quotePrefix="0" xfId="0">
      <alignment vertical="center"/>
    </xf>
    <xf numFmtId="167" fontId="2" fillId="0" borderId="7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A71" sqref="A71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[1]产量!$C$15</f>
        <v/>
      </c>
      <c r="F7" s="148">
        <f>[1]产量!$C$19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</f>
        <v/>
      </c>
      <c r="L7" s="150">
        <f>F7</f>
        <v/>
      </c>
      <c r="M7" s="147">
        <f>SUM(K7:L7)</f>
        <v/>
      </c>
      <c r="N7" s="150">
        <f>H7</f>
        <v/>
      </c>
      <c r="O7" s="150">
        <f>I7</f>
        <v/>
      </c>
      <c r="P7" s="12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[1]产量!$E$15</f>
        <v/>
      </c>
      <c r="F8" s="148">
        <f>[1]产量!$E$19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</f>
        <v/>
      </c>
      <c r="L8" s="150">
        <f>F8</f>
        <v/>
      </c>
      <c r="M8" s="147">
        <f>SUM(K8:L8)</f>
        <v/>
      </c>
      <c r="N8" s="150">
        <f>H8</f>
        <v/>
      </c>
      <c r="O8" s="150">
        <f>I8</f>
        <v/>
      </c>
      <c r="P8" s="12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[1]产量!$G$6</f>
        <v/>
      </c>
      <c r="F9" s="148">
        <f>[1]产量!$G$7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</f>
        <v/>
      </c>
      <c r="L9" s="150">
        <f>F9</f>
        <v/>
      </c>
      <c r="M9" s="147">
        <f>SUM(K9:L9)</f>
        <v/>
      </c>
      <c r="N9" s="150">
        <f>H9</f>
        <v/>
      </c>
      <c r="O9" s="150">
        <f>I9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</f>
        <v/>
      </c>
      <c r="L10" s="150">
        <f>F10</f>
        <v/>
      </c>
      <c r="M10" s="147">
        <f>SUM(K10:L10)</f>
        <v/>
      </c>
      <c r="N10" s="150">
        <f>H10</f>
        <v/>
      </c>
      <c r="O10" s="150">
        <f>I10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[1]产量!$G$28</f>
        <v/>
      </c>
      <c r="F11" s="148">
        <f>[1]产量!$G$30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</f>
        <v/>
      </c>
      <c r="L11" s="150">
        <f>F11</f>
        <v/>
      </c>
      <c r="M11" s="147">
        <f>SUM(K11:L11)</f>
        <v/>
      </c>
      <c r="N11" s="150">
        <f>H11</f>
        <v/>
      </c>
      <c r="O11" s="150">
        <f>I11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[1]产量!$G$15</f>
        <v/>
      </c>
      <c r="F12" s="148">
        <f>[1]产量!$G$19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</f>
        <v/>
      </c>
      <c r="L12" s="150">
        <f>F12</f>
        <v/>
      </c>
      <c r="M12" s="147">
        <f>SUM(K12:L12)</f>
        <v/>
      </c>
      <c r="N12" s="150">
        <f>H12</f>
        <v/>
      </c>
      <c r="O12" s="150">
        <f>I12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2993404</v>
      </c>
      <c r="J13" s="152" t="n"/>
      <c r="K13" s="152" t="n"/>
      <c r="L13" s="152" t="n"/>
      <c r="M13" s="152" t="n"/>
      <c r="N13" s="150">
        <f>H13</f>
        <v/>
      </c>
      <c r="O13" s="150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</f>
        <v/>
      </c>
      <c r="L15" s="150">
        <f>F15</f>
        <v/>
      </c>
      <c r="M15" s="147">
        <f>SUM(K15:L15)</f>
        <v/>
      </c>
      <c r="N15" s="150">
        <f>H15</f>
        <v/>
      </c>
      <c r="O15" s="150">
        <f>I15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</f>
        <v/>
      </c>
      <c r="L16" s="150">
        <f>F16</f>
        <v/>
      </c>
      <c r="M16" s="147">
        <f>SUM(K16:L16)</f>
        <v/>
      </c>
      <c r="N16" s="150">
        <f>H16</f>
        <v/>
      </c>
      <c r="O16" s="150">
        <f>I16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</f>
        <v/>
      </c>
      <c r="L18" s="150">
        <f>F18</f>
        <v/>
      </c>
      <c r="M18" s="147">
        <f>SUM(K18:L18)</f>
        <v/>
      </c>
      <c r="N18" s="150">
        <f>H18</f>
        <v/>
      </c>
      <c r="O18" s="150">
        <f>I18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</f>
        <v/>
      </c>
      <c r="L19" s="150">
        <f>F19</f>
        <v/>
      </c>
      <c r="M19" s="147">
        <f>SUM(K19:L19)</f>
        <v/>
      </c>
      <c r="N19" s="150">
        <f>H19</f>
        <v/>
      </c>
      <c r="O19" s="150">
        <f>I19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</f>
        <v/>
      </c>
      <c r="L20" s="150">
        <f>F20</f>
        <v/>
      </c>
      <c r="M20" s="147">
        <f>SUM(K20:L20)</f>
        <v/>
      </c>
      <c r="N20" s="150">
        <f>H20</f>
        <v/>
      </c>
      <c r="O20" s="150">
        <f>I20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</f>
        <v/>
      </c>
      <c r="L21" s="150">
        <f>F21</f>
        <v/>
      </c>
      <c r="M21" s="147">
        <f>SUM(K21:L21)</f>
        <v/>
      </c>
      <c r="N21" s="150">
        <f>H21</f>
        <v/>
      </c>
      <c r="O21" s="150">
        <f>I21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</f>
        <v/>
      </c>
      <c r="L22" s="150">
        <f>F22</f>
        <v/>
      </c>
      <c r="M22" s="147">
        <f>SUM(K22:L22)</f>
        <v/>
      </c>
      <c r="N22" s="150">
        <f>H22</f>
        <v/>
      </c>
      <c r="O22" s="150">
        <f>I22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</f>
        <v/>
      </c>
      <c r="L23" s="150">
        <f>F23</f>
        <v/>
      </c>
      <c r="M23" s="147">
        <f>SUM(K23:L23)</f>
        <v/>
      </c>
      <c r="N23" s="150">
        <f>H23</f>
        <v/>
      </c>
      <c r="O23" s="150">
        <f>I23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>
        <v>601.88</v>
      </c>
      <c r="J24" s="147">
        <f>M24+N24+O24</f>
        <v/>
      </c>
      <c r="K24" s="150">
        <f>E24</f>
        <v/>
      </c>
      <c r="L24" s="150">
        <f>F24</f>
        <v/>
      </c>
      <c r="M24" s="147">
        <f>SUM(K24:L24)</f>
        <v/>
      </c>
      <c r="N24" s="150">
        <f>H24</f>
        <v/>
      </c>
      <c r="O24" s="150">
        <f>I24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</f>
        <v/>
      </c>
      <c r="L25" s="150">
        <f>F25</f>
        <v/>
      </c>
      <c r="M25" s="147">
        <f>SUM(K25:L25)</f>
        <v/>
      </c>
      <c r="N25" s="150">
        <f>H25</f>
        <v/>
      </c>
      <c r="O25" s="150">
        <f>I25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</f>
        <v/>
      </c>
      <c r="L26" s="150">
        <f>F26</f>
        <v/>
      </c>
      <c r="M26" s="147">
        <f>SUM(K26:L26)</f>
        <v/>
      </c>
      <c r="N26" s="150">
        <f>H26</f>
        <v/>
      </c>
      <c r="O26" s="150">
        <f>I26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</f>
        <v/>
      </c>
      <c r="L27" s="150">
        <f>F27</f>
        <v/>
      </c>
      <c r="M27" s="162">
        <f>SUM(K27:L27)</f>
        <v/>
      </c>
      <c r="N27" s="150">
        <f>H27</f>
        <v/>
      </c>
      <c r="O27" s="150">
        <f>I27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</f>
        <v/>
      </c>
      <c r="L28" s="150">
        <f>F28</f>
        <v/>
      </c>
      <c r="M28" s="162">
        <f>SUM(K28:L28)</f>
        <v/>
      </c>
      <c r="N28" s="150">
        <f>H28</f>
        <v/>
      </c>
      <c r="O28" s="150">
        <f>I28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</f>
        <v/>
      </c>
      <c r="L29" s="150">
        <f>F29</f>
        <v/>
      </c>
      <c r="M29" s="147">
        <f>SUM(K29:L29)</f>
        <v/>
      </c>
      <c r="N29" s="150">
        <f>H29</f>
        <v/>
      </c>
      <c r="O29" s="150">
        <f>I29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</f>
        <v/>
      </c>
      <c r="L30" s="150">
        <f>F30</f>
        <v/>
      </c>
      <c r="M30" s="147">
        <f>M7-M8</f>
        <v/>
      </c>
      <c r="N30" s="150">
        <f>H30</f>
        <v/>
      </c>
      <c r="O30" s="150">
        <f>I30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>
        <v>0</v>
      </c>
      <c r="I31" s="149" t="n">
        <v>0</v>
      </c>
      <c r="J31" s="147">
        <f>M31+N31+O31</f>
        <v/>
      </c>
      <c r="K31" s="150">
        <f>E31</f>
        <v/>
      </c>
      <c r="L31" s="150">
        <f>F31</f>
        <v/>
      </c>
      <c r="M31" s="147">
        <f>SUM(K31:L31)</f>
        <v/>
      </c>
      <c r="N31" s="150">
        <f>H31</f>
        <v/>
      </c>
      <c r="O31" s="150">
        <f>I31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50">
        <f>H32</f>
        <v/>
      </c>
      <c r="O32" s="166">
        <f>I32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</f>
        <v/>
      </c>
      <c r="L33" s="150">
        <f>F33</f>
        <v/>
      </c>
      <c r="M33" s="147">
        <f>SUM(K33:L33)</f>
        <v/>
      </c>
      <c r="N33" s="150">
        <f>H33</f>
        <v/>
      </c>
      <c r="O33" s="150">
        <f>I33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</f>
        <v/>
      </c>
      <c r="L34" s="150">
        <f>F34</f>
        <v/>
      </c>
      <c r="M34" s="147">
        <f>SUM(K34:L34)</f>
        <v/>
      </c>
      <c r="N34" s="150">
        <f>H34</f>
        <v/>
      </c>
      <c r="O34" s="150">
        <f>I34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</f>
        <v/>
      </c>
      <c r="L40" s="150">
        <f>F40</f>
        <v/>
      </c>
      <c r="M40" s="147">
        <f>SUM(K40:L40)</f>
        <v/>
      </c>
      <c r="N40" s="150">
        <f>H40</f>
        <v/>
      </c>
      <c r="O40" s="150">
        <f>I40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</f>
        <v/>
      </c>
      <c r="L41" s="150">
        <f>F41</f>
        <v/>
      </c>
      <c r="M41" s="147">
        <f>SUM(K41:L41)</f>
        <v/>
      </c>
      <c r="N41" s="150">
        <f>H41</f>
        <v/>
      </c>
      <c r="O41" s="150">
        <f>I41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7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</f>
        <v/>
      </c>
      <c r="L43" s="150">
        <f>F43</f>
        <v/>
      </c>
      <c r="M43" s="147">
        <f>SUM(K43:L43)</f>
        <v/>
      </c>
      <c r="N43" s="150">
        <f>H43</f>
        <v/>
      </c>
      <c r="O43" s="150">
        <f>I43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</f>
        <v/>
      </c>
      <c r="L44" s="150">
        <f>F44</f>
        <v/>
      </c>
      <c r="M44" s="147">
        <f>SUM(K44:L44)</f>
        <v/>
      </c>
      <c r="N44" s="150">
        <f>H44</f>
        <v/>
      </c>
      <c r="O44" s="150">
        <f>I44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7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7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169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D7/10000/D6/(DAY(DATE(2026,2,0))*24)</f>
        <v/>
      </c>
      <c r="E52" s="176">
        <f>E7/10000/E6/(DAY(DATE(2026,2,0))*24)</f>
        <v/>
      </c>
      <c r="F52" s="176">
        <f>F7/10000/F6/(DAY(DATE(2026,2,0))*24)</f>
        <v/>
      </c>
      <c r="G52" s="176">
        <f>G7/10000/G6/(DAY(DATE(2026,2,0))*24)</f>
        <v/>
      </c>
      <c r="H52" s="176">
        <f>H7/10000/H6/(DAY(DATE(2026,2,0))*24)</f>
        <v/>
      </c>
      <c r="I52" s="177">
        <f>I7/10000/I6/(DAY(DATE(2026,2,0))*24)</f>
        <v/>
      </c>
      <c r="J52" s="176">
        <f>J7/10000/J6/(DATEDIF(DATE(2026,1,1),DATE(2026,2,1),"D")*24)</f>
        <v/>
      </c>
      <c r="K52" s="176">
        <f>K7/10000/K6/(DATEDIF(DATE(2026,1,1),DATE(2026,2,1),"D")*24)</f>
        <v/>
      </c>
      <c r="L52" s="176">
        <f>L7/10000/L6/(DATEDIF(DATE(2026,1,1),DATE(2026,2,1),"D")*24)</f>
        <v/>
      </c>
      <c r="M52" s="176">
        <f>M7/10000/M6/(DATEDIF(DATE(2026,1,1),DATE(2026,2,1),"D")*24)</f>
        <v/>
      </c>
      <c r="N52" s="176">
        <f>N7/10000/N6/(DATEDIF(DATE(2026,1,1),DATE(2026,2,1),"D")*24)</f>
        <v/>
      </c>
      <c r="O52" s="177">
        <f>O7/10000/O6/(DATEDIF(DATE(2026,1,1),DATE(2026,2,1),"D")*24)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D9*1000/1986/((DAY(DATE(2026,2,0))*24)*3600)</f>
        <v/>
      </c>
      <c r="E53" s="180">
        <f>E9*1000/577/((DAY(DATE(2026,2,0))*24)*3600)</f>
        <v/>
      </c>
      <c r="F53" s="177">
        <f>F9*1000/528/((DAY(DATE(2026,2,0))*24)*3600)</f>
        <v/>
      </c>
      <c r="G53" s="180">
        <f>G9*1000/1442/((DAY(DATE(2026,2,0))*24)*3600)</f>
        <v/>
      </c>
      <c r="H53" s="177">
        <f>H9*1000/414/((DAY(DATE(2026,2,0))*24)*3600)</f>
        <v/>
      </c>
      <c r="I53" s="177">
        <f>I9*1000/130/((DAY(DATE(2026,2,0))*24)*3600)</f>
        <v/>
      </c>
      <c r="J53" s="176">
        <f>J9*1000/1986/((DATEDIF(DATE(2026,1,1),DATE(2026,2,1),"D")*24)*3600)</f>
        <v/>
      </c>
      <c r="K53" s="180">
        <f>K9*1000/577/((DATEDIF(DATE(2026,1,1),DATE(2026,2,1),"D")*24)*3600)</f>
        <v/>
      </c>
      <c r="L53" s="177">
        <f>L9*1000/528/((DATEDIF(DATE(2026,1,1),DATE(2026,2,1),"D")*24)*3600)</f>
        <v/>
      </c>
      <c r="M53" s="180">
        <f>M9*1000/1442/((DATEDIF(DATE(2026,1,1),DATE(2026,2,1),"D")*24)*3600)</f>
        <v/>
      </c>
      <c r="N53" s="177">
        <f>N9*1000/414/((DATEDIF(DATE(2026,1,1),DATE(2026,2,1),"D")*24)*3600)</f>
        <v/>
      </c>
      <c r="O53" s="177">
        <f>O9*1000/130/((DATEDIF(DATE(2026,1,1),DATE(2026,2,1),"D")*24)*3600)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17015.74</v>
      </c>
      <c r="J57" s="155">
        <f>M57+N57+O57</f>
        <v/>
      </c>
      <c r="K57" s="150">
        <f>E57</f>
        <v/>
      </c>
      <c r="L57" s="150">
        <f>F57</f>
        <v/>
      </c>
      <c r="M57" s="147">
        <f>SUM(K57:L57)</f>
        <v/>
      </c>
      <c r="N57" s="150">
        <f>H57</f>
        <v/>
      </c>
      <c r="O57" s="150">
        <f>I57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</f>
        <v/>
      </c>
      <c r="L58" s="150">
        <f>F58</f>
        <v/>
      </c>
      <c r="M58" s="147">
        <f>SUM(K58:L58)</f>
        <v/>
      </c>
      <c r="N58" s="150">
        <f>H58</f>
        <v/>
      </c>
      <c r="O58" s="166">
        <f>I58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187">
        <f>K59</f>
        <v/>
      </c>
      <c r="F59" s="187">
        <f>L59</f>
        <v/>
      </c>
      <c r="G59" s="153">
        <f>SUM(E59:F59)</f>
        <v/>
      </c>
      <c r="H59" s="187">
        <f>N59</f>
        <v/>
      </c>
      <c r="I59" s="187">
        <f>O59</f>
        <v/>
      </c>
      <c r="J59" s="153">
        <f>M59+N59+O59</f>
        <v/>
      </c>
      <c r="K59" s="188">
        <f>'[13]25.12'!$K$59+E57-E14-E58</f>
        <v/>
      </c>
      <c r="L59" s="188">
        <f>'[13]25.12'!$L$59+F57-F14-F58</f>
        <v/>
      </c>
      <c r="M59" s="152">
        <f>SUM(K59:L59)</f>
        <v/>
      </c>
      <c r="N59" s="188">
        <f>'[13]25.12'!$H$59+H57-H14-H58</f>
        <v/>
      </c>
      <c r="O59" s="188">
        <f>'[13]25.12'!$I$59+I57-I14-I58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</f>
        <v/>
      </c>
      <c r="L60" s="150">
        <f>F60</f>
        <v/>
      </c>
      <c r="M60" s="172">
        <f>SUM(K60:L60)</f>
        <v/>
      </c>
      <c r="N60" s="150">
        <f>H60</f>
        <v/>
      </c>
      <c r="O60" s="150">
        <f>I60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93">
        <f>E61</f>
        <v/>
      </c>
      <c r="L61" s="193">
        <f>F61</f>
        <v/>
      </c>
      <c r="M61" s="147">
        <f>SUM(K61:L61)</f>
        <v/>
      </c>
      <c r="N61" s="150">
        <f>H61</f>
        <v/>
      </c>
      <c r="O61" s="150">
        <f>I61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93">
        <f>E62</f>
        <v/>
      </c>
      <c r="L62" s="193">
        <f>F62</f>
        <v/>
      </c>
      <c r="M62" s="147">
        <f>SUM(K62:L62)</f>
        <v/>
      </c>
      <c r="N62" s="150">
        <f>H62</f>
        <v/>
      </c>
      <c r="O62" s="150">
        <f>I62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93">
        <f>E63</f>
        <v/>
      </c>
      <c r="L63" s="193" t="n">
        <v>25920</v>
      </c>
      <c r="M63" s="147">
        <f>SUM(K63:L63)</f>
        <v/>
      </c>
      <c r="N63" s="150">
        <f>H63</f>
        <v/>
      </c>
      <c r="O63" s="150">
        <f>I63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</f>
        <v/>
      </c>
      <c r="L64" s="150">
        <f>F64</f>
        <v/>
      </c>
      <c r="M64" s="147">
        <f>SUM(K64:L64)</f>
        <v/>
      </c>
      <c r="N64" s="150">
        <f>H64</f>
        <v/>
      </c>
      <c r="O64" s="150">
        <f>I64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</f>
        <v/>
      </c>
      <c r="L65" s="150">
        <f>F65</f>
        <v/>
      </c>
      <c r="M65" s="191">
        <f>SUM(K65:L65)</f>
        <v/>
      </c>
      <c r="N65" s="150">
        <f>H65</f>
        <v/>
      </c>
      <c r="O65" s="150">
        <f>I65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</f>
        <v/>
      </c>
      <c r="L66" s="150">
        <f>F66</f>
        <v/>
      </c>
      <c r="M66" s="194">
        <f>SUM(K66:L66)</f>
        <v/>
      </c>
      <c r="N66" s="150">
        <f>H66</f>
        <v/>
      </c>
      <c r="O66" s="150">
        <f>I66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96">
        <f>E67</f>
        <v/>
      </c>
      <c r="L67" s="196">
        <f>F67</f>
        <v/>
      </c>
      <c r="M67" s="189">
        <f>SUM(K67:L67)</f>
        <v/>
      </c>
      <c r="N67" s="196">
        <f>H67</f>
        <v/>
      </c>
      <c r="O67" s="197">
        <f>I67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3">
        <f>E68</f>
        <v/>
      </c>
      <c r="L68" s="193">
        <f>F68</f>
        <v/>
      </c>
      <c r="M68" s="191">
        <f>SUM(K68:L68)</f>
        <v/>
      </c>
      <c r="N68" s="193">
        <f>H68</f>
        <v/>
      </c>
      <c r="O68" s="198">
        <f>I68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L48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 t="n">
        <v>3.28</v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[2]产量!$C$15</f>
        <v/>
      </c>
      <c r="F7" s="148">
        <f>[2]产量!$C$19</f>
        <v/>
      </c>
      <c r="G7" s="147">
        <f>SUM(E7:F7)</f>
        <v/>
      </c>
      <c r="H7" s="147" t="n">
        <v>22641600</v>
      </c>
      <c r="I7" s="149" t="n">
        <v>15352900</v>
      </c>
      <c r="J7" s="147">
        <f>M7+N7+O7</f>
        <v/>
      </c>
      <c r="K7" s="150">
        <f>E7+'26.1'!K7</f>
        <v/>
      </c>
      <c r="L7" s="150">
        <f>F7+'26.1'!L7</f>
        <v/>
      </c>
      <c r="M7" s="147">
        <f>SUM(K7:L7)</f>
        <v/>
      </c>
      <c r="N7" s="150">
        <f>H7+'26.1'!N7</f>
        <v/>
      </c>
      <c r="O7" s="150">
        <f>I7+'26.1'!O7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[2]产量!$E$15</f>
        <v/>
      </c>
      <c r="F8" s="148">
        <f>[2]产量!$E$19</f>
        <v/>
      </c>
      <c r="G8" s="147">
        <f>SUM(E8:F8)</f>
        <v/>
      </c>
      <c r="H8" s="147" t="n">
        <v>15642792</v>
      </c>
      <c r="I8" s="149" t="n">
        <v>11150964</v>
      </c>
      <c r="J8" s="147">
        <f>M8+N8+O8</f>
        <v/>
      </c>
      <c r="K8" s="150">
        <f>E8+'26.1'!K8</f>
        <v/>
      </c>
      <c r="L8" s="150">
        <f>F8+'26.1'!L8</f>
        <v/>
      </c>
      <c r="M8" s="147">
        <f>SUM(K8:L8)</f>
        <v/>
      </c>
      <c r="N8" s="150">
        <f>H8+'26.1'!N8</f>
        <v/>
      </c>
      <c r="O8" s="150">
        <f>I8+'26.1'!O8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[2]产量!$G$6</f>
        <v/>
      </c>
      <c r="F9" s="148">
        <f>[2]产量!$G$7</f>
        <v/>
      </c>
      <c r="G9" s="147">
        <f>SUM(E9:F9)</f>
        <v/>
      </c>
      <c r="H9" s="147" t="n">
        <v>570124</v>
      </c>
      <c r="I9" s="149" t="n">
        <v>292094.32</v>
      </c>
      <c r="J9" s="147">
        <f>M9+N9+O9</f>
        <v/>
      </c>
      <c r="K9" s="150">
        <f>E9+'26.1'!K9</f>
        <v/>
      </c>
      <c r="L9" s="150">
        <f>F9+'26.1'!L9</f>
        <v/>
      </c>
      <c r="M9" s="147">
        <f>SUM(K9:L9)</f>
        <v/>
      </c>
      <c r="N9" s="150">
        <f>H9+'26.1'!N9</f>
        <v/>
      </c>
      <c r="O9" s="150">
        <f>I9+'26.1'!O9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[2]产量!$G$29</f>
        <v/>
      </c>
      <c r="G10" s="147">
        <f>SUM(E10:F10)</f>
        <v/>
      </c>
      <c r="H10" s="147" t="n">
        <v>113115</v>
      </c>
      <c r="I10" s="151" t="n"/>
      <c r="J10" s="147">
        <f>M10+N10+O10</f>
        <v/>
      </c>
      <c r="K10" s="150">
        <f>E10+'26.1'!K10</f>
        <v/>
      </c>
      <c r="L10" s="150">
        <f>F10+'26.1'!L10</f>
        <v/>
      </c>
      <c r="M10" s="147">
        <f>SUM(K10:L10)</f>
        <v/>
      </c>
      <c r="N10" s="150">
        <f>H10+'26.1'!N10</f>
        <v/>
      </c>
      <c r="O10" s="150">
        <f>I10+'26.1'!O10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[2]产量!$G$28</f>
        <v/>
      </c>
      <c r="F11" s="148">
        <f>[2]产量!$G$30</f>
        <v/>
      </c>
      <c r="G11" s="147">
        <f>SUM(E11:F11)</f>
        <v/>
      </c>
      <c r="H11" s="147">
        <f>H9-H10</f>
        <v/>
      </c>
      <c r="I11" s="149" t="n">
        <v>292094.32</v>
      </c>
      <c r="J11" s="147">
        <f>M11+N11+O11</f>
        <v/>
      </c>
      <c r="K11" s="150">
        <f>E11+'26.1'!K11</f>
        <v/>
      </c>
      <c r="L11" s="150">
        <f>F11+'26.1'!L11</f>
        <v/>
      </c>
      <c r="M11" s="147">
        <f>SUM(K11:L11)</f>
        <v/>
      </c>
      <c r="N11" s="150">
        <f>H11+'26.1'!N11</f>
        <v/>
      </c>
      <c r="O11" s="150">
        <f>I11+'26.1'!O11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[2]产量!$G$15</f>
        <v/>
      </c>
      <c r="F12" s="148">
        <f>[2]产量!$G$19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E12+'26.1'!K12</f>
        <v/>
      </c>
      <c r="L12" s="150">
        <f>F12+'26.1'!L12</f>
        <v/>
      </c>
      <c r="M12" s="147">
        <f>SUM(K12:L12)</f>
        <v/>
      </c>
      <c r="N12" s="150">
        <f>H12+'26.1'!N12</f>
        <v/>
      </c>
      <c r="O12" s="150">
        <f>I12+'26.1'!O12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>
        <v>6337791.65</v>
      </c>
      <c r="I13" s="154" t="n">
        <v>3019870.33</v>
      </c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>
        <v>14337.393088</v>
      </c>
      <c r="F15" s="147" t="n">
        <v>13051.1898</v>
      </c>
      <c r="G15" s="147">
        <f>SUM(E15:F15)</f>
        <v/>
      </c>
      <c r="H15" s="147" t="n">
        <v>7865</v>
      </c>
      <c r="I15" s="149" t="n">
        <v>4953.18904627418</v>
      </c>
      <c r="J15" s="147">
        <f>M15+N15+O15</f>
        <v/>
      </c>
      <c r="K15" s="150">
        <f>E15+'26.1'!K15</f>
        <v/>
      </c>
      <c r="L15" s="150">
        <f>F15+'26.1'!L15</f>
        <v/>
      </c>
      <c r="M15" s="147">
        <f>SUM(K15:L15)</f>
        <v/>
      </c>
      <c r="N15" s="150">
        <f>H15+'26.1'!N15</f>
        <v/>
      </c>
      <c r="O15" s="150">
        <f>I15+'26.1'!O15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>
        <v>53934.606912</v>
      </c>
      <c r="F16" s="147" t="n">
        <v>60187.8102</v>
      </c>
      <c r="G16" s="147">
        <f>SUM(E16:F16)</f>
        <v/>
      </c>
      <c r="H16" s="147" t="n">
        <v>31436</v>
      </c>
      <c r="I16" s="149" t="n">
        <v>15701.0009537258</v>
      </c>
      <c r="J16" s="147">
        <f>M16+N16+O16</f>
        <v/>
      </c>
      <c r="K16" s="150">
        <f>E16+'26.1'!K16</f>
        <v/>
      </c>
      <c r="L16" s="150">
        <f>F16+'26.1'!L16</f>
        <v/>
      </c>
      <c r="M16" s="147">
        <f>SUM(K16:L16)</f>
        <v/>
      </c>
      <c r="N16" s="150">
        <f>H16+'26.1'!N16</f>
        <v/>
      </c>
      <c r="O16" s="150">
        <f>I16+'26.1'!O16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>
        <v>14.5532772</v>
      </c>
      <c r="F18" s="147" t="n">
        <v>4.455</v>
      </c>
      <c r="G18" s="147">
        <f>SUM(E18:F18)</f>
        <v/>
      </c>
      <c r="H18" s="147" t="n">
        <v>3</v>
      </c>
      <c r="I18" s="149" t="n">
        <v>0.0479630432979863</v>
      </c>
      <c r="J18" s="147">
        <f>M18+N18+O18</f>
        <v/>
      </c>
      <c r="K18" s="150">
        <f>E18+'26.1'!K18</f>
        <v/>
      </c>
      <c r="L18" s="150">
        <f>F18+'26.1'!L18</f>
        <v/>
      </c>
      <c r="M18" s="147">
        <f>SUM(K18:L18)</f>
        <v/>
      </c>
      <c r="N18" s="150">
        <f>H18+'26.1'!N18</f>
        <v/>
      </c>
      <c r="O18" s="150">
        <f>I18+'26.1'!O18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>
        <v>54.7467228</v>
      </c>
      <c r="F19" s="147" t="n">
        <v>20.545</v>
      </c>
      <c r="G19" s="147">
        <f>SUM(E19:F19)</f>
        <v/>
      </c>
      <c r="H19" s="147" t="n">
        <v>11</v>
      </c>
      <c r="I19" s="149" t="n">
        <v>0.152036956702014</v>
      </c>
      <c r="J19" s="147">
        <f>M19+N19+O19</f>
        <v/>
      </c>
      <c r="K19" s="150">
        <f>E19+'26.1'!K19</f>
        <v/>
      </c>
      <c r="L19" s="150">
        <f>F19+'26.1'!L19</f>
        <v/>
      </c>
      <c r="M19" s="147">
        <f>SUM(K19:L19)</f>
        <v/>
      </c>
      <c r="N19" s="150">
        <f>H19+'26.1'!N19</f>
        <v/>
      </c>
      <c r="O19" s="150">
        <f>I19+'26.1'!O19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>
        <v>177610</v>
      </c>
      <c r="F20" s="147" t="n">
        <v>194774</v>
      </c>
      <c r="G20" s="147">
        <f>SUM(E20:F20)</f>
        <v/>
      </c>
      <c r="H20" s="147" t="n">
        <v>94794</v>
      </c>
      <c r="I20" s="149" t="n">
        <v>34653</v>
      </c>
      <c r="J20" s="147">
        <f>M20+N20+O20</f>
        <v/>
      </c>
      <c r="K20" s="150">
        <f>E20+'26.1'!K20</f>
        <v/>
      </c>
      <c r="L20" s="150">
        <f>F20+'26.1'!L20</f>
        <v/>
      </c>
      <c r="M20" s="147">
        <f>SUM(K20:L20)</f>
        <v/>
      </c>
      <c r="N20" s="150">
        <f>H20+'26.1'!N20</f>
        <v/>
      </c>
      <c r="O20" s="150">
        <f>I20+'26.1'!O20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>
        <v>121213</v>
      </c>
      <c r="F21" s="147" t="n"/>
      <c r="G21" s="147">
        <f>SUM(E21:F21)</f>
        <v/>
      </c>
      <c r="H21" s="147" t="n"/>
      <c r="I21" s="149" t="n">
        <v>11538</v>
      </c>
      <c r="J21" s="147">
        <f>M21+N21+O21</f>
        <v/>
      </c>
      <c r="K21" s="150">
        <f>E21+'26.1'!K21</f>
        <v/>
      </c>
      <c r="L21" s="150">
        <f>F21+'26.1'!L21</f>
        <v/>
      </c>
      <c r="M21" s="147">
        <f>SUM(K21:L21)</f>
        <v/>
      </c>
      <c r="N21" s="150">
        <f>H21+'26.1'!N21</f>
        <v/>
      </c>
      <c r="O21" s="150">
        <f>I21+'26.1'!O21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>
        <v>6.4</v>
      </c>
      <c r="F22" s="147" t="n">
        <v>40</v>
      </c>
      <c r="G22" s="147">
        <f>SUM(E22:F22)</f>
        <v/>
      </c>
      <c r="H22" s="147" t="n">
        <v>15</v>
      </c>
      <c r="I22" s="149" t="n">
        <v>2.31</v>
      </c>
      <c r="J22" s="147">
        <f>M22+N22+O22</f>
        <v/>
      </c>
      <c r="K22" s="150">
        <f>E22+'26.1'!K22</f>
        <v/>
      </c>
      <c r="L22" s="150">
        <f>F22+'26.1'!L22</f>
        <v/>
      </c>
      <c r="M22" s="147">
        <f>SUM(K22:L22)</f>
        <v/>
      </c>
      <c r="N22" s="150">
        <f>H22+'26.1'!N22</f>
        <v/>
      </c>
      <c r="O22" s="150">
        <f>I22+'26.1'!O22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>
        <v>9.699999999999999</v>
      </c>
      <c r="F23" s="147" t="n">
        <v>32</v>
      </c>
      <c r="G23" s="147">
        <f>SUM(E23:F23)</f>
        <v/>
      </c>
      <c r="H23" s="147" t="n">
        <v>10</v>
      </c>
      <c r="I23" s="149" t="n">
        <v>2.3</v>
      </c>
      <c r="J23" s="147">
        <f>M23+N23+O23</f>
        <v/>
      </c>
      <c r="K23" s="150">
        <f>E23+'26.1'!K23</f>
        <v/>
      </c>
      <c r="L23" s="150">
        <f>F23+'26.1'!L23</f>
        <v/>
      </c>
      <c r="M23" s="147">
        <f>SUM(K23:L23)</f>
        <v/>
      </c>
      <c r="N23" s="150">
        <f>H23+'26.1'!N23</f>
        <v/>
      </c>
      <c r="O23" s="150">
        <f>I23+'26.1'!O23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29" t="n"/>
      <c r="I24" s="149" t="n">
        <v>601.88</v>
      </c>
      <c r="J24" s="147">
        <f>M24+N24+O24</f>
        <v/>
      </c>
      <c r="K24" s="150">
        <f>E24+'26.1'!K24</f>
        <v/>
      </c>
      <c r="L24" s="150">
        <f>F24+'26.1'!L24</f>
        <v/>
      </c>
      <c r="M24" s="147">
        <f>SUM(K24:L24)</f>
        <v/>
      </c>
      <c r="N24" s="150">
        <f>H24+'26.1'!N24</f>
        <v/>
      </c>
      <c r="O24" s="150">
        <f>I24+'26.1'!O24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>
        <v>2045</v>
      </c>
      <c r="F25" s="147" t="n">
        <v>854</v>
      </c>
      <c r="G25" s="147">
        <f>SUM(E25:F25)</f>
        <v/>
      </c>
      <c r="H25" s="147" t="n">
        <v>702</v>
      </c>
      <c r="I25" s="149" t="n">
        <v>364.38</v>
      </c>
      <c r="J25" s="147">
        <f>M25+N25+O25</f>
        <v/>
      </c>
      <c r="K25" s="150">
        <f>E25+'26.1'!K25</f>
        <v/>
      </c>
      <c r="L25" s="150">
        <f>F25+'26.1'!L25</f>
        <v/>
      </c>
      <c r="M25" s="147">
        <f>SUM(K25:L25)</f>
        <v/>
      </c>
      <c r="N25" s="150">
        <f>H25+'26.1'!N25</f>
        <v/>
      </c>
      <c r="O25" s="150">
        <f>I25+'26.1'!O25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>
        <v>377.74</v>
      </c>
      <c r="F26" s="147" t="n">
        <v>201</v>
      </c>
      <c r="G26" s="147">
        <f>SUM(E26:F26)</f>
        <v/>
      </c>
      <c r="H26" s="147" t="n">
        <v>319</v>
      </c>
      <c r="I26" s="158" t="n">
        <v>74.273</v>
      </c>
      <c r="J26" s="147">
        <f>M26+N26+O26</f>
        <v/>
      </c>
      <c r="K26" s="150">
        <f>E26+'26.1'!K26</f>
        <v/>
      </c>
      <c r="L26" s="150">
        <f>F26+'26.1'!L26</f>
        <v/>
      </c>
      <c r="M26" s="147">
        <f>SUM(K26:L26)</f>
        <v/>
      </c>
      <c r="N26" s="150">
        <f>H26+'26.1'!N26</f>
        <v/>
      </c>
      <c r="O26" s="150">
        <f>I26+'26.1'!O26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>
        <v>1.075</v>
      </c>
      <c r="F27" s="162" t="n">
        <v>1</v>
      </c>
      <c r="G27" s="162">
        <f>SUM(E27:F27)</f>
        <v/>
      </c>
      <c r="H27" s="162" t="n">
        <v>1</v>
      </c>
      <c r="I27" s="48" t="n">
        <v>0.05</v>
      </c>
      <c r="J27" s="162">
        <f>M27+N27+O27</f>
        <v/>
      </c>
      <c r="K27" s="150">
        <f>E27+'26.1'!K27</f>
        <v/>
      </c>
      <c r="L27" s="150">
        <f>F27+'26.1'!L27</f>
        <v/>
      </c>
      <c r="M27" s="162">
        <f>SUM(K27:L27)</f>
        <v/>
      </c>
      <c r="N27" s="150">
        <f>H27+'26.1'!N27</f>
        <v/>
      </c>
      <c r="O27" s="150">
        <f>I27+'26.1'!O27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>
        <v>0</v>
      </c>
      <c r="F28" s="162" t="n">
        <v>0</v>
      </c>
      <c r="G28" s="162">
        <f>SUM(E28:F28)</f>
        <v/>
      </c>
      <c r="H28" s="162" t="n">
        <v>0</v>
      </c>
      <c r="I28" s="165" t="n">
        <v>0</v>
      </c>
      <c r="J28" s="162">
        <f>M28+N28+O28</f>
        <v/>
      </c>
      <c r="K28" s="150">
        <f>E28+'26.1'!K28</f>
        <v/>
      </c>
      <c r="L28" s="150">
        <f>F28+'26.1'!L28</f>
        <v/>
      </c>
      <c r="M28" s="162">
        <f>SUM(K28:L28)</f>
        <v/>
      </c>
      <c r="N28" s="150">
        <f>H28+'26.1'!N28</f>
        <v/>
      </c>
      <c r="O28" s="150">
        <f>I28+'26.1'!O28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>
        <v>28</v>
      </c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E29+'26.1'!K29</f>
        <v/>
      </c>
      <c r="L29" s="150">
        <f>F29+'26.1'!L29</f>
        <v/>
      </c>
      <c r="M29" s="147">
        <f>SUM(K29:L29)</f>
        <v/>
      </c>
      <c r="N29" s="150">
        <f>H29+'26.1'!N29</f>
        <v/>
      </c>
      <c r="O29" s="150">
        <f>I29+'26.1'!O29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E30+'26.1'!K30</f>
        <v/>
      </c>
      <c r="L30" s="150">
        <f>F30+'26.1'!L30</f>
        <v/>
      </c>
      <c r="M30" s="147">
        <f>M7-M8</f>
        <v/>
      </c>
      <c r="N30" s="150">
        <f>H30+'26.1'!N30</f>
        <v/>
      </c>
      <c r="O30" s="150">
        <f>I30+'26.1'!O30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>
        <v>6593264.5</v>
      </c>
      <c r="F31" s="147" t="n">
        <v>573928</v>
      </c>
      <c r="G31" s="147">
        <f>SUM(E31:F31)</f>
        <v/>
      </c>
      <c r="H31" s="147" t="n"/>
      <c r="I31" s="149" t="n"/>
      <c r="J31" s="147">
        <f>M31+N31+O31</f>
        <v/>
      </c>
      <c r="K31" s="150">
        <f>E31+'26.1'!K31</f>
        <v/>
      </c>
      <c r="L31" s="150">
        <f>F31+'26.1'!L31</f>
        <v/>
      </c>
      <c r="M31" s="147">
        <f>SUM(K31:L31)</f>
        <v/>
      </c>
      <c r="N31" s="150">
        <f>H31+'26.1'!N31</f>
        <v/>
      </c>
      <c r="O31" s="150">
        <f>I31+'26.1'!O31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>
        <v>3573096.00147514</v>
      </c>
      <c r="F33" s="147" t="n">
        <v>2844984.384</v>
      </c>
      <c r="G33" s="147">
        <f>SUM(E33:F33)</f>
        <v/>
      </c>
      <c r="H33" s="147" t="n">
        <v>1400555</v>
      </c>
      <c r="I33" s="149" t="n">
        <v>1007688.19151684</v>
      </c>
      <c r="J33" s="147">
        <f>M33+N33+O33</f>
        <v/>
      </c>
      <c r="K33" s="150">
        <f>E33+'26.1'!K33</f>
        <v/>
      </c>
      <c r="L33" s="150">
        <f>F33+'26.1'!L33</f>
        <v/>
      </c>
      <c r="M33" s="147">
        <f>SUM(K33:L33)</f>
        <v/>
      </c>
      <c r="N33" s="150">
        <f>H33+'26.1'!N33</f>
        <v/>
      </c>
      <c r="O33" s="150">
        <f>I33+'26.1'!O33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>
        <v>13441322.778525</v>
      </c>
      <c r="F34" s="147" t="n">
        <v>13120135.616</v>
      </c>
      <c r="G34" s="147">
        <f>SUM(E34:F34)</f>
        <v/>
      </c>
      <c r="H34" s="147" t="n">
        <v>5598253</v>
      </c>
      <c r="I34" s="149" t="n">
        <v>3194247.80848316</v>
      </c>
      <c r="J34" s="147">
        <f>M34+N34+O34</f>
        <v/>
      </c>
      <c r="K34" s="150">
        <f>E34+'26.1'!K34</f>
        <v/>
      </c>
      <c r="L34" s="150">
        <f>F34+'26.1'!L34</f>
        <v/>
      </c>
      <c r="M34" s="147">
        <f>SUM(K34:L34)</f>
        <v/>
      </c>
      <c r="N34" s="150">
        <f>H34+'26.1'!N34</f>
        <v/>
      </c>
      <c r="O34" s="150">
        <f>I34+'26.1'!O34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>
        <v>9817.246900174699</v>
      </c>
      <c r="F40" s="147" t="n">
        <v>8544.63729638324</v>
      </c>
      <c r="G40" s="147">
        <f>SUM(E40:F40)</f>
        <v/>
      </c>
      <c r="H40" s="147" t="n">
        <v>5641</v>
      </c>
      <c r="I40" s="149" t="n">
        <v>3561.75043843677</v>
      </c>
      <c r="J40" s="147">
        <f>M40+N40+O40</f>
        <v/>
      </c>
      <c r="K40" s="150">
        <f>E40+'26.1'!K40</f>
        <v/>
      </c>
      <c r="L40" s="150">
        <f>F40+'26.1'!L40</f>
        <v/>
      </c>
      <c r="M40" s="147">
        <f>SUM(K40:L40)</f>
        <v/>
      </c>
      <c r="N40" s="150">
        <f>H40+'26.1'!N40</f>
        <v/>
      </c>
      <c r="O40" s="150">
        <f>I40+'26.1'!O40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>
        <v>21.20558020812</v>
      </c>
      <c r="F41" s="147" t="n">
        <v>6.4913805</v>
      </c>
      <c r="G41" s="147">
        <f>SUM(E41:F41)</f>
        <v/>
      </c>
      <c r="H41" s="147" t="n">
        <v>4</v>
      </c>
      <c r="I41" s="149" t="n">
        <v>0.0685186332828376</v>
      </c>
      <c r="J41" s="147">
        <f>M41+N41+O41</f>
        <v/>
      </c>
      <c r="K41" s="150">
        <f>E41+'26.1'!K41</f>
        <v/>
      </c>
      <c r="L41" s="150">
        <f>F41+'26.1'!L41</f>
        <v/>
      </c>
      <c r="M41" s="147">
        <f>SUM(K41:L41)</f>
        <v/>
      </c>
      <c r="N41" s="150">
        <f>H41+'26.1'!N41</f>
        <v/>
      </c>
      <c r="O41" s="150">
        <f>I41+'26.1'!O41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>
        <v>36930.6550800009</v>
      </c>
      <c r="F43" s="147" t="n">
        <v>39405.0669481916</v>
      </c>
      <c r="G43" s="147">
        <f>SUM(E43:F43)</f>
        <v/>
      </c>
      <c r="H43" s="147" t="n">
        <v>22549</v>
      </c>
      <c r="I43" s="149" t="n">
        <v>11290.3114555853</v>
      </c>
      <c r="J43" s="147">
        <f>M43+N43+O43</f>
        <v/>
      </c>
      <c r="K43" s="150">
        <f>E43+'26.1'!K43</f>
        <v/>
      </c>
      <c r="L43" s="150">
        <f>F43+'26.1'!L43</f>
        <v/>
      </c>
      <c r="M43" s="147">
        <f>SUM(K43:L43)</f>
        <v/>
      </c>
      <c r="N43" s="150">
        <f>H43+'26.1'!N43</f>
        <v/>
      </c>
      <c r="O43" s="150">
        <f>I43+'26.1'!O43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>
        <v>79.77379608</v>
      </c>
      <c r="F44" s="147" t="n">
        <v>29.9361195</v>
      </c>
      <c r="G44" s="147">
        <f>SUM(E44:F44)</f>
        <v/>
      </c>
      <c r="H44" s="147" t="n">
        <v>16</v>
      </c>
      <c r="I44" s="149" t="n">
        <v>0.217195652431448</v>
      </c>
      <c r="J44" s="147">
        <f>M44+N44+O44</f>
        <v/>
      </c>
      <c r="K44" s="150">
        <f>E44+'26.1'!K44</f>
        <v/>
      </c>
      <c r="L44" s="150">
        <f>F44+'26.1'!L44</f>
        <v/>
      </c>
      <c r="M44" s="147">
        <f>SUM(K44:L44)</f>
        <v/>
      </c>
      <c r="N44" s="150">
        <f>H44+'26.1'!N44</f>
        <v/>
      </c>
      <c r="O44" s="150">
        <f>I44+'26.1'!O44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>
        <v>20159.4936</v>
      </c>
      <c r="F49" s="147" t="n">
        <v>19277</v>
      </c>
      <c r="G49" s="157" t="n"/>
      <c r="H49" s="147" t="n">
        <v>20991.6</v>
      </c>
      <c r="I49" s="149" t="n">
        <v>20480</v>
      </c>
      <c r="J49" s="157" t="n"/>
      <c r="K49" s="147" t="n">
        <v>20159.4936</v>
      </c>
      <c r="L49" s="147" t="n">
        <v>19277</v>
      </c>
      <c r="M49" s="157" t="n">
        <v>0</v>
      </c>
      <c r="N49" s="147" t="n">
        <v>20991.6</v>
      </c>
      <c r="O49" s="149" t="n">
        <v>20480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>
        <v>99360</v>
      </c>
      <c r="F50" s="147" t="n">
        <v>99840</v>
      </c>
      <c r="G50" s="147">
        <f>SUM(E50:F50)</f>
        <v/>
      </c>
      <c r="H50" s="147" t="n">
        <v>36720</v>
      </c>
      <c r="I50" s="149" t="n">
        <v>23000</v>
      </c>
      <c r="J50" s="147">
        <f>M50+N50+O50</f>
        <v/>
      </c>
      <c r="K50" s="147" t="n">
        <v>99360</v>
      </c>
      <c r="L50" s="147" t="n">
        <v>99840</v>
      </c>
      <c r="M50" s="147">
        <f>SUM(K50:L50)</f>
        <v/>
      </c>
      <c r="N50" s="147" t="n">
        <v>36720</v>
      </c>
      <c r="O50" s="149" t="n">
        <v>23000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>
        <v>58.8333333333333</v>
      </c>
      <c r="F51" s="147" t="n">
        <v>120</v>
      </c>
      <c r="G51" s="147">
        <f>SUM(E51:F51)</f>
        <v/>
      </c>
      <c r="H51" s="147" t="n">
        <v>350</v>
      </c>
      <c r="I51" s="149" t="n">
        <v>140</v>
      </c>
      <c r="J51" s="147">
        <f>M51+N51+O51</f>
        <v/>
      </c>
      <c r="K51" s="147" t="n">
        <v>58.8333333333333</v>
      </c>
      <c r="L51" s="147" t="n">
        <v>120</v>
      </c>
      <c r="M51" s="147">
        <f>SUM(K51:L51)</f>
        <v/>
      </c>
      <c r="N51" s="147" t="n">
        <v>350</v>
      </c>
      <c r="O51" s="149" t="n">
        <v>140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D7/10000/D6/(DAY(DATE(2026,3,0))*24)</f>
        <v/>
      </c>
      <c r="E52" s="176">
        <f>E7/10000/E6/(DAY(DATE(2026,3,0))*24)</f>
        <v/>
      </c>
      <c r="F52" s="176">
        <f>F7/10000/F6/(DAY(DATE(2026,3,0))*24)</f>
        <v/>
      </c>
      <c r="G52" s="176">
        <f>G7/10000/G6/(DAY(DATE(2026,3,0))*24)</f>
        <v/>
      </c>
      <c r="H52" s="176">
        <f>H7/10000/H6/(DAY(DATE(2026,3,0))*24)</f>
        <v/>
      </c>
      <c r="I52" s="177">
        <f>I7/10000/I6/(DAY(DATE(2026,3,0))*24)</f>
        <v/>
      </c>
      <c r="J52" s="176">
        <f>J7/10000/J6/(DATEDIF(DATE(2026,1,1),DATE(2026,3,1),"D")*24)</f>
        <v/>
      </c>
      <c r="K52" s="176">
        <f>K7/10000/K6/(DATEDIF(DATE(2026,1,1),DATE(2026,3,1),"D")*24)</f>
        <v/>
      </c>
      <c r="L52" s="176">
        <f>L7/10000/L6/(DATEDIF(DATE(2026,1,1),DATE(2026,3,1),"D")*24)</f>
        <v/>
      </c>
      <c r="M52" s="176">
        <f>M7/10000/M6/(DATEDIF(DATE(2026,1,1),DATE(2026,3,1),"D")*24)</f>
        <v/>
      </c>
      <c r="N52" s="176">
        <f>N7/10000/N6/(DATEDIF(DATE(2026,1,1),DATE(2026,3,1),"D")*24)</f>
        <v/>
      </c>
      <c r="O52" s="177">
        <f>O7/10000/O6/(DATEDIF(DATE(2026,1,1),DATE(2026,3,1),"D")*24)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D9*1000/1986/((DAY(DATE(2026,3,0))*24)*3600)</f>
        <v/>
      </c>
      <c r="E53" s="180">
        <f>E9*1000/577/((DAY(DATE(2026,3,0))*24)*3600)</f>
        <v/>
      </c>
      <c r="F53" s="177">
        <f>F9*1000/528/((DAY(DATE(2026,3,0))*24)*3600)</f>
        <v/>
      </c>
      <c r="G53" s="180">
        <f>G9*1000/1442/((DAY(DATE(2026,3,0))*24)*3600)</f>
        <v/>
      </c>
      <c r="H53" s="177">
        <f>H9*1000/414/((DAY(DATE(2026,3,0))*24)*3600)</f>
        <v/>
      </c>
      <c r="I53" s="177">
        <f>I9*1000/130/((DAY(DATE(2026,3,0))*24)*3600)</f>
        <v/>
      </c>
      <c r="J53" s="176">
        <f>J9*1000/1986/((DATEDIF(DATE(2026,1,1),DATE(2026,3,1),"D")*24)*3600)</f>
        <v/>
      </c>
      <c r="K53" s="180">
        <f>K9*1000/577/((DATEDIF(DATE(2026,1,1),DATE(2026,3,1),"D")*24)*3600)</f>
        <v/>
      </c>
      <c r="L53" s="177">
        <f>L9*1000/528/((DATEDIF(DATE(2026,1,1),DATE(2026,3,1),"D")*24)*3600)</f>
        <v/>
      </c>
      <c r="M53" s="180">
        <f>M9*1000/1442/((DATEDIF(DATE(2026,1,1),DATE(2026,3,1),"D")*24)*3600)</f>
        <v/>
      </c>
      <c r="N53" s="177">
        <f>N9*1000/414/((DATEDIF(DATE(2026,1,1),DATE(2026,3,1),"D")*24)*3600)</f>
        <v/>
      </c>
      <c r="O53" s="177">
        <f>O9*1000/130/((DATEDIF(DATE(2026,1,1),DATE(2026,3,1),"D")*24)*3600)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>
        <v>26761</v>
      </c>
      <c r="F57" s="172" t="n">
        <v>66608</v>
      </c>
      <c r="G57" s="172" t="n"/>
      <c r="H57" s="172" t="n">
        <v>4890.18</v>
      </c>
      <c r="I57" s="173" t="n">
        <v>0</v>
      </c>
      <c r="J57" s="155">
        <f>M57+N57+O57</f>
        <v/>
      </c>
      <c r="K57" s="150">
        <f>E57+'26.1'!K57</f>
        <v/>
      </c>
      <c r="L57" s="150">
        <f>F57+'26.1'!L57</f>
        <v/>
      </c>
      <c r="M57" s="147">
        <f>SUM(K57:L57)</f>
        <v/>
      </c>
      <c r="N57" s="150">
        <f>H57+'26.1'!N57</f>
        <v/>
      </c>
      <c r="O57" s="150">
        <f>I57+'26.1'!O57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>
        <v>42844</v>
      </c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E58+'26.1'!K58</f>
        <v/>
      </c>
      <c r="L58" s="150">
        <f>F58+'26.1'!L58</f>
        <v/>
      </c>
      <c r="M58" s="147">
        <f>SUM(K58:L58)</f>
        <v/>
      </c>
      <c r="N58" s="150">
        <f>H58+'26.1'!N58</f>
        <v/>
      </c>
      <c r="O58" s="150">
        <f>I58+'26.1'!O58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'26.1'!K59+E57-E14-E58</f>
        <v/>
      </c>
      <c r="L59" s="208">
        <f>'26.1'!L59+F57-F14-F58</f>
        <v/>
      </c>
      <c r="M59" s="152">
        <f>SUM(K59:L59)</f>
        <v/>
      </c>
      <c r="N59" s="208">
        <f>'26.1'!N59+H57-H14-H58</f>
        <v/>
      </c>
      <c r="O59" s="208">
        <f>'26.1'!O59+I57-I14-I58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>
        <v>0</v>
      </c>
      <c r="F60" s="189" t="n">
        <v>0</v>
      </c>
      <c r="G60" s="172" t="n"/>
      <c r="H60" s="189" t="n">
        <v>1828619</v>
      </c>
      <c r="I60" s="190" t="n">
        <v>1027192</v>
      </c>
      <c r="J60" s="172">
        <f>M60+N60+O60</f>
        <v/>
      </c>
      <c r="K60" s="150">
        <f>E60+'26.1'!K60</f>
        <v/>
      </c>
      <c r="L60" s="150">
        <f>F60+'26.1'!L60</f>
        <v/>
      </c>
      <c r="M60" s="172">
        <f>SUM(K60:L60)</f>
        <v/>
      </c>
      <c r="N60" s="150">
        <f>H60+'26.1'!N60</f>
        <v/>
      </c>
      <c r="O60" s="150">
        <f>I60+'26.1'!O60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>
        <v>1828619</v>
      </c>
      <c r="I61" s="192" t="n">
        <v>1027192</v>
      </c>
      <c r="J61" s="147">
        <f>M61+N61+O61</f>
        <v/>
      </c>
      <c r="K61" s="150">
        <f>E61+'26.1'!K61</f>
        <v/>
      </c>
      <c r="L61" s="150">
        <f>F61+'26.1'!L61</f>
        <v/>
      </c>
      <c r="M61" s="147">
        <f>SUM(K61:L61)</f>
        <v/>
      </c>
      <c r="N61" s="150">
        <f>H61+'26.1'!N61</f>
        <v/>
      </c>
      <c r="O61" s="150">
        <f>I61+'26.1'!O61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>
        <v>40661</v>
      </c>
      <c r="I62" s="192" t="n">
        <v>22885</v>
      </c>
      <c r="J62" s="147">
        <f>M62+N62+O62</f>
        <v/>
      </c>
      <c r="K62" s="150">
        <f>E62+'26.1'!K62</f>
        <v/>
      </c>
      <c r="L62" s="150">
        <f>F62+'26.1'!L62</f>
        <v/>
      </c>
      <c r="M62" s="147">
        <f>SUM(K62:L62)</f>
        <v/>
      </c>
      <c r="N62" s="150">
        <f>H62+'26.1'!N62</f>
        <v/>
      </c>
      <c r="O62" s="150">
        <f>I62+'26.1'!O62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>
        <v>25920</v>
      </c>
      <c r="G63" s="147">
        <f>SUM(E63:F63)</f>
        <v/>
      </c>
      <c r="H63" s="191" t="n"/>
      <c r="I63" s="192" t="n"/>
      <c r="J63" s="147">
        <f>M63+N63+O63</f>
        <v/>
      </c>
      <c r="K63" s="150">
        <f>E63+'26.1'!K63</f>
        <v/>
      </c>
      <c r="L63" s="150">
        <f>F63+'26.1'!L63</f>
        <v/>
      </c>
      <c r="M63" s="147">
        <f>SUM(K63:L63)</f>
        <v/>
      </c>
      <c r="N63" s="150">
        <f>H63+'26.1'!N63</f>
        <v/>
      </c>
      <c r="O63" s="150">
        <f>I63+'26.1'!O63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>
        <v>73699</v>
      </c>
      <c r="F64" s="191" t="n">
        <v>0</v>
      </c>
      <c r="G64" s="147">
        <f>SUM(E64:F64)</f>
        <v/>
      </c>
      <c r="H64" s="191" t="n"/>
      <c r="I64" s="192" t="n"/>
      <c r="J64" s="147">
        <f>M64+N64+O64</f>
        <v/>
      </c>
      <c r="K64" s="150">
        <f>E64+'26.1'!K64</f>
        <v/>
      </c>
      <c r="L64" s="150">
        <f>F64+'26.1'!L64</f>
        <v/>
      </c>
      <c r="M64" s="147">
        <f>SUM(K64:L64)</f>
        <v/>
      </c>
      <c r="N64" s="150">
        <f>H64+'26.1'!N64</f>
        <v/>
      </c>
      <c r="O64" s="150">
        <f>I64+'26.1'!O64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>
        <v>6302</v>
      </c>
      <c r="F65" s="191" t="n">
        <v>32849</v>
      </c>
      <c r="G65" s="191">
        <f>SUM(E65:F65)</f>
        <v/>
      </c>
      <c r="H65" s="191" t="n">
        <v>23814</v>
      </c>
      <c r="I65" s="192" t="n">
        <v>7404</v>
      </c>
      <c r="J65" s="191">
        <f>M65+N65+O65</f>
        <v/>
      </c>
      <c r="K65" s="150">
        <f>E65+'26.1'!K65</f>
        <v/>
      </c>
      <c r="L65" s="150">
        <f>F65+'26.1'!L65</f>
        <v/>
      </c>
      <c r="M65" s="191">
        <f>SUM(K65:L65)</f>
        <v/>
      </c>
      <c r="N65" s="150">
        <f>H65+'26.1'!N65</f>
        <v/>
      </c>
      <c r="O65" s="150">
        <f>I65+'26.1'!O65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>
        <v>1072980</v>
      </c>
      <c r="F66" s="194" t="n">
        <v>1283190</v>
      </c>
      <c r="G66" s="194">
        <f>SUM(E66:F66)</f>
        <v/>
      </c>
      <c r="H66" s="194" t="n">
        <v>754606</v>
      </c>
      <c r="I66" s="195" t="n">
        <v>619963</v>
      </c>
      <c r="J66" s="194">
        <f>M66+N66+O66</f>
        <v/>
      </c>
      <c r="K66" s="150">
        <f>E66+'26.1'!K66</f>
        <v/>
      </c>
      <c r="L66" s="150">
        <f>F66+'26.1'!L66</f>
        <v/>
      </c>
      <c r="M66" s="194">
        <f>SUM(K66:L66)</f>
        <v/>
      </c>
      <c r="N66" s="150">
        <f>H66+'26.1'!N66</f>
        <v/>
      </c>
      <c r="O66" s="150">
        <f>I66+'26.1'!O66</f>
        <v/>
      </c>
      <c r="P66" s="98" t="n"/>
    </row>
    <row r="67" ht="13.75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E67+'26.1'!K67</f>
        <v/>
      </c>
      <c r="L67" s="150">
        <f>F67+'26.1'!L67</f>
        <v/>
      </c>
      <c r="M67" s="189">
        <f>SUM(K67:L67)</f>
        <v/>
      </c>
      <c r="N67" s="150">
        <f>H67+'26.1'!N67</f>
        <v/>
      </c>
      <c r="O67" s="150">
        <f>I67+'26.1'!O67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89" t="n">
        <v>0</v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E68+'26.1'!K68</f>
        <v/>
      </c>
      <c r="L68" s="150">
        <f>F68+'26.1'!L68</f>
        <v/>
      </c>
      <c r="M68" s="191">
        <f>SUM(K68:L68)</f>
        <v/>
      </c>
      <c r="N68" s="150">
        <f>H68+'26.1'!N68</f>
        <v/>
      </c>
      <c r="O68" s="150">
        <f>I68+'26.1'!O68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  <c r="H78" s="1" t="n">
        <v>34235</v>
      </c>
    </row>
    <row r="79" customFormat="1" s="1">
      <c r="F79" s="205" t="n"/>
      <c r="G79" s="205" t="n"/>
      <c r="H79" s="1" t="n">
        <v>36462</v>
      </c>
    </row>
    <row r="80" customFormat="1" s="1">
      <c r="F80" s="205" t="n"/>
      <c r="G80" s="205" t="n"/>
      <c r="H80" s="1" t="n">
        <v>17500</v>
      </c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[3]产量!$C$15</f>
        <v/>
      </c>
      <c r="F7" s="209">
        <f>[3]产量!$C$19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E7+'26.2'!K7</f>
        <v/>
      </c>
      <c r="L7" s="210">
        <f>F7+'26.2'!L7</f>
        <v/>
      </c>
      <c r="M7" s="147">
        <f>SUM(K7:L7)</f>
        <v/>
      </c>
      <c r="N7" s="210">
        <f>H7+'26.2'!N7</f>
        <v/>
      </c>
      <c r="O7" s="210">
        <f>I7+'26.2'!O7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[3]产量!$E$15</f>
        <v/>
      </c>
      <c r="F8" s="209">
        <f>[3]产量!$E$19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E8+'26.2'!K8</f>
        <v/>
      </c>
      <c r="L8" s="210">
        <f>F8+'26.2'!L8</f>
        <v/>
      </c>
      <c r="M8" s="147">
        <f>SUM(K8:L8)</f>
        <v/>
      </c>
      <c r="N8" s="210">
        <f>H8+'26.2'!N8</f>
        <v/>
      </c>
      <c r="O8" s="210">
        <f>I8+'26.2'!O8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[3]产量!$G$6</f>
        <v/>
      </c>
      <c r="F9" s="209">
        <f>[3]产量!$G$7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E9+'26.2'!K9</f>
        <v/>
      </c>
      <c r="L9" s="210">
        <f>F9+'26.2'!L9</f>
        <v/>
      </c>
      <c r="M9" s="147">
        <f>SUM(K9:L9)</f>
        <v/>
      </c>
      <c r="N9" s="210">
        <f>H9+'26.2'!N9</f>
        <v/>
      </c>
      <c r="O9" s="210">
        <f>I9+'26.2'!O9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[3]产量!$G$29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E10+'26.2'!K10</f>
        <v/>
      </c>
      <c r="L10" s="210">
        <f>F10+'26.2'!L10</f>
        <v/>
      </c>
      <c r="M10" s="147">
        <f>SUM(K10:L10)</f>
        <v/>
      </c>
      <c r="N10" s="210">
        <f>H10+'26.2'!N10</f>
        <v/>
      </c>
      <c r="O10" s="210">
        <f>I10+'26.2'!O10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[3]产量!$G$28</f>
        <v/>
      </c>
      <c r="F11" s="209">
        <f>[3]产量!$G$30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E11+'26.2'!K11</f>
        <v/>
      </c>
      <c r="L11" s="210">
        <f>F11+'26.2'!L11</f>
        <v/>
      </c>
      <c r="M11" s="147">
        <f>SUM(K11:L11)</f>
        <v/>
      </c>
      <c r="N11" s="210">
        <f>H11+'26.2'!N11</f>
        <v/>
      </c>
      <c r="O11" s="210">
        <f>I11+'26.2'!O11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[3]产量!$G$15</f>
        <v/>
      </c>
      <c r="F12" s="209">
        <f>[3]产量!$G$19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E12+'26.2'!K12</f>
        <v/>
      </c>
      <c r="L12" s="210">
        <f>F12+'26.2'!L12</f>
        <v/>
      </c>
      <c r="M12" s="147">
        <f>SUM(K12:L12)</f>
        <v/>
      </c>
      <c r="N12" s="210">
        <f>H12+'26.2'!N12</f>
        <v/>
      </c>
      <c r="O12" s="210">
        <f>I12+'26.2'!O12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E15+'26.2'!K15</f>
        <v/>
      </c>
      <c r="L15" s="210">
        <f>F15+'26.2'!L15</f>
        <v/>
      </c>
      <c r="M15" s="147">
        <f>SUM(K15:L15)</f>
        <v/>
      </c>
      <c r="N15" s="210">
        <f>H15+'26.2'!N15</f>
        <v/>
      </c>
      <c r="O15" s="210">
        <f>I15+'26.2'!O15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E16+'26.2'!K16</f>
        <v/>
      </c>
      <c r="L16" s="210">
        <f>F16+'26.2'!L16</f>
        <v/>
      </c>
      <c r="M16" s="147">
        <f>SUM(K16:L16)</f>
        <v/>
      </c>
      <c r="N16" s="210">
        <f>H16+'26.2'!N16</f>
        <v/>
      </c>
      <c r="O16" s="210">
        <f>I16+'26.2'!O16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E18+'26.2'!K18</f>
        <v/>
      </c>
      <c r="L18" s="210">
        <f>F18+'26.2'!L18</f>
        <v/>
      </c>
      <c r="M18" s="147">
        <f>SUM(K18:L18)</f>
        <v/>
      </c>
      <c r="N18" s="210">
        <f>H18+'26.2'!N18</f>
        <v/>
      </c>
      <c r="O18" s="210">
        <f>I18+'26.2'!O18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E19+'26.2'!K19</f>
        <v/>
      </c>
      <c r="L19" s="210">
        <f>F19+'26.2'!L19</f>
        <v/>
      </c>
      <c r="M19" s="147">
        <f>SUM(K19:L19)</f>
        <v/>
      </c>
      <c r="N19" s="210">
        <f>H19+'26.2'!N19</f>
        <v/>
      </c>
      <c r="O19" s="210">
        <f>I19+'26.2'!O19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E20+'26.2'!K20</f>
        <v/>
      </c>
      <c r="L20" s="210">
        <f>F20+'26.2'!L20</f>
        <v/>
      </c>
      <c r="M20" s="147">
        <f>SUM(K20:L20)</f>
        <v/>
      </c>
      <c r="N20" s="210">
        <f>H20+'26.2'!N20</f>
        <v/>
      </c>
      <c r="O20" s="210">
        <f>I20+'26.2'!O20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E21+'26.2'!K21</f>
        <v/>
      </c>
      <c r="L21" s="210">
        <f>F21+'26.2'!L21</f>
        <v/>
      </c>
      <c r="M21" s="147">
        <f>SUM(K21:L21)</f>
        <v/>
      </c>
      <c r="N21" s="210">
        <f>H21+'26.2'!N21</f>
        <v/>
      </c>
      <c r="O21" s="210">
        <f>I21+'26.2'!O21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E22+'26.2'!K22</f>
        <v/>
      </c>
      <c r="L22" s="210">
        <f>F22+'26.2'!L22</f>
        <v/>
      </c>
      <c r="M22" s="147">
        <f>SUM(K22:L22)</f>
        <v/>
      </c>
      <c r="N22" s="210">
        <f>H22+'26.2'!N22</f>
        <v/>
      </c>
      <c r="O22" s="210">
        <f>I22+'26.2'!O22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E23+'26.2'!K23</f>
        <v/>
      </c>
      <c r="L23" s="210">
        <f>F23+'26.2'!L23</f>
        <v/>
      </c>
      <c r="M23" s="147">
        <f>SUM(K23:L23)</f>
        <v/>
      </c>
      <c r="N23" s="210">
        <f>H23+'26.2'!N23</f>
        <v/>
      </c>
      <c r="O23" s="210">
        <f>I23+'26.2'!O23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29" t="n"/>
      <c r="I24" s="149" t="n"/>
      <c r="J24" s="147">
        <f>M24+N24+O24</f>
        <v/>
      </c>
      <c r="K24" s="210">
        <f>E24+'26.2'!K24</f>
        <v/>
      </c>
      <c r="L24" s="210">
        <f>F24+'26.2'!L24</f>
        <v/>
      </c>
      <c r="M24" s="147">
        <f>SUM(K24:L24)</f>
        <v/>
      </c>
      <c r="N24" s="210">
        <f>H24+'26.2'!N24</f>
        <v/>
      </c>
      <c r="O24" s="210">
        <f>I24+'26.2'!O24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29" t="n"/>
      <c r="I25" s="149" t="n"/>
      <c r="J25" s="147">
        <f>M25+N25+O25</f>
        <v/>
      </c>
      <c r="K25" s="210">
        <f>E25+'26.2'!K25</f>
        <v/>
      </c>
      <c r="L25" s="210">
        <f>F25+'26.2'!L25</f>
        <v/>
      </c>
      <c r="M25" s="147">
        <f>SUM(K25:L25)</f>
        <v/>
      </c>
      <c r="N25" s="210">
        <f>H25+'26.2'!N25</f>
        <v/>
      </c>
      <c r="O25" s="210">
        <f>I25+'26.2'!O25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E26+'26.2'!K26</f>
        <v/>
      </c>
      <c r="L26" s="210">
        <f>F26+'26.2'!L26</f>
        <v/>
      </c>
      <c r="M26" s="147">
        <f>SUM(K26:L26)</f>
        <v/>
      </c>
      <c r="N26" s="210">
        <f>H26+'26.2'!N26</f>
        <v/>
      </c>
      <c r="O26" s="210">
        <f>I26+'26.2'!O26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E27+'26.2'!K27</f>
        <v/>
      </c>
      <c r="L27" s="210">
        <f>F27+'26.2'!L27</f>
        <v/>
      </c>
      <c r="M27" s="162">
        <f>SUM(K27:L27)</f>
        <v/>
      </c>
      <c r="N27" s="210">
        <f>H27+'26.2'!N27</f>
        <v/>
      </c>
      <c r="O27" s="210">
        <f>I27+'26.2'!O27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E28+'26.2'!K28</f>
        <v/>
      </c>
      <c r="L28" s="210">
        <f>F28+'26.2'!L28</f>
        <v/>
      </c>
      <c r="M28" s="162">
        <f>SUM(K28:L28)</f>
        <v/>
      </c>
      <c r="N28" s="210">
        <f>H28+'26.2'!N28</f>
        <v/>
      </c>
      <c r="O28" s="210">
        <f>I28+'26.2'!O28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E29+'26.2'!K29</f>
        <v/>
      </c>
      <c r="L29" s="210">
        <f>F29+'26.2'!L29</f>
        <v/>
      </c>
      <c r="M29" s="147">
        <f>SUM(K29:L29)</f>
        <v/>
      </c>
      <c r="N29" s="210">
        <f>H29+'26.2'!N29</f>
        <v/>
      </c>
      <c r="O29" s="210">
        <f>I29+'26.2'!O29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E30+'26.2'!K30</f>
        <v/>
      </c>
      <c r="L30" s="210">
        <f>F30+'26.2'!L30</f>
        <v/>
      </c>
      <c r="M30" s="147">
        <f>M7-M8</f>
        <v/>
      </c>
      <c r="N30" s="210">
        <f>H30+'26.2'!N30</f>
        <v/>
      </c>
      <c r="O30" s="210">
        <f>I30+'26.2'!O30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>
        <v>0</v>
      </c>
      <c r="I31" s="149" t="n"/>
      <c r="J31" s="147">
        <f>M31+N31+O31</f>
        <v/>
      </c>
      <c r="K31" s="210">
        <f>E31+'26.2'!K31</f>
        <v/>
      </c>
      <c r="L31" s="210">
        <f>F31+'26.2'!L31</f>
        <v/>
      </c>
      <c r="M31" s="147">
        <f>SUM(K31:L31)</f>
        <v/>
      </c>
      <c r="N31" s="210">
        <f>H31+'26.2'!N31</f>
        <v/>
      </c>
      <c r="O31" s="210">
        <f>I31+'26.2'!O31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E33+'26.2'!K33</f>
        <v/>
      </c>
      <c r="L33" s="210">
        <f>F33+'26.2'!L33</f>
        <v/>
      </c>
      <c r="M33" s="147">
        <f>SUM(K33:L33)</f>
        <v/>
      </c>
      <c r="N33" s="210">
        <f>H33+'26.2'!N33</f>
        <v/>
      </c>
      <c r="O33" s="210">
        <f>I33+'26.2'!O33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E34+'26.2'!K34</f>
        <v/>
      </c>
      <c r="L34" s="210">
        <f>F34+'26.2'!L34</f>
        <v/>
      </c>
      <c r="M34" s="147">
        <f>SUM(K34:L34)</f>
        <v/>
      </c>
      <c r="N34" s="210">
        <f>H34+'26.2'!N34</f>
        <v/>
      </c>
      <c r="O34" s="210">
        <f>I34+'26.2'!O34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47" t="n"/>
      <c r="I40" s="149" t="n"/>
      <c r="J40" s="147">
        <f>M40+N40+O40</f>
        <v/>
      </c>
      <c r="K40" s="210">
        <f>E40+'26.2'!K40</f>
        <v/>
      </c>
      <c r="L40" s="210">
        <f>F40+'26.2'!L40</f>
        <v/>
      </c>
      <c r="M40" s="147">
        <f>SUM(K40:L40)</f>
        <v/>
      </c>
      <c r="N40" s="210">
        <f>H40+'26.2'!N40</f>
        <v/>
      </c>
      <c r="O40" s="210">
        <f>I40+'26.2'!O40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47" t="n"/>
      <c r="I41" s="149" t="n"/>
      <c r="J41" s="147">
        <f>M41+N41+O41</f>
        <v/>
      </c>
      <c r="K41" s="210">
        <f>E41+'26.2'!K41</f>
        <v/>
      </c>
      <c r="L41" s="210">
        <f>F41+'26.2'!L41</f>
        <v/>
      </c>
      <c r="M41" s="147">
        <f>SUM(K41:L41)</f>
        <v/>
      </c>
      <c r="N41" s="210">
        <f>H41+'26.2'!N41</f>
        <v/>
      </c>
      <c r="O41" s="210">
        <f>I41+'26.2'!O41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E43+'26.2'!K43</f>
        <v/>
      </c>
      <c r="L43" s="210">
        <f>F43+'26.2'!L43</f>
        <v/>
      </c>
      <c r="M43" s="147">
        <f>SUM(K43:L43)</f>
        <v/>
      </c>
      <c r="N43" s="210">
        <f>H43+'26.2'!N43</f>
        <v/>
      </c>
      <c r="O43" s="210">
        <f>I43+'26.2'!O43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E44+'26.2'!K44</f>
        <v/>
      </c>
      <c r="L44" s="210">
        <f>F44+'26.2'!L44</f>
        <v/>
      </c>
      <c r="M44" s="147">
        <f>SUM(K44:L44)</f>
        <v/>
      </c>
      <c r="N44" s="210">
        <f>H44+'26.2'!N44</f>
        <v/>
      </c>
      <c r="O44" s="210">
        <f>I44+'26.2'!O44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20227</v>
      </c>
      <c r="L49" s="147" t="n">
        <v>18454</v>
      </c>
      <c r="M49" s="157" t="n">
        <v>0</v>
      </c>
      <c r="N49" s="147" t="n">
        <v>19867.98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D7/10000/D6/(DAY(DATE(2026,4,0))*24)</f>
        <v/>
      </c>
      <c r="E52" s="176">
        <f>E7/10000/E6/(DAY(DATE(2026,4,0))*24)</f>
        <v/>
      </c>
      <c r="F52" s="176">
        <f>F7/10000/F6/(DAY(DATE(2026,4,0))*24)</f>
        <v/>
      </c>
      <c r="G52" s="176">
        <f>G7/10000/G6/(DAY(DATE(2026,4,0))*24)</f>
        <v/>
      </c>
      <c r="H52" s="176">
        <f>H7/10000/H6/(DAY(DATE(2026,4,0))*24)</f>
        <v/>
      </c>
      <c r="I52" s="177">
        <f>I7/10000/I6/(DAY(DATE(2026,4,0))*24)</f>
        <v/>
      </c>
      <c r="J52" s="176">
        <f>J7/10000/J6/(DATEDIF(DATE(2026,1,1),DATE(2026,4,1),"D")*24)</f>
        <v/>
      </c>
      <c r="K52" s="176">
        <f>K7/10000/K6/(DATEDIF(DATE(2026,1,1),DATE(2026,4,1),"D")*24)</f>
        <v/>
      </c>
      <c r="L52" s="176">
        <f>L7/10000/L6/(DATEDIF(DATE(2026,1,1),DATE(2026,4,1),"D")*24)</f>
        <v/>
      </c>
      <c r="M52" s="176">
        <f>M7/10000/M6/(DATEDIF(DATE(2026,1,1),DATE(2026,4,1),"D")*24)</f>
        <v/>
      </c>
      <c r="N52" s="176">
        <f>N7/10000/N6/(DATEDIF(DATE(2026,1,1),DATE(2026,4,1),"D")*24)</f>
        <v/>
      </c>
      <c r="O52" s="177">
        <f>O7/10000/O6/(DATEDIF(DATE(2026,1,1),DATE(2026,4,1),"D")*24)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D9*1000/1986/((DAY(DATE(2026,4,0))*24)*3600)</f>
        <v/>
      </c>
      <c r="E53" s="180">
        <f>E9*1000/577/((DAY(DATE(2026,4,0))*24)*3600)</f>
        <v/>
      </c>
      <c r="F53" s="177">
        <f>F9*1000/528/((DAY(DATE(2026,4,0))*24)*3600)</f>
        <v/>
      </c>
      <c r="G53" s="180">
        <f>G9*1000/1442/((DAY(DATE(2026,4,0))*24)*3600)</f>
        <v/>
      </c>
      <c r="H53" s="177">
        <f>H9*1000/414/((DAY(DATE(2026,4,0))*24)*3600)</f>
        <v/>
      </c>
      <c r="I53" s="177">
        <f>I9*1000/130/((DAY(DATE(2026,4,0))*24)*3600)</f>
        <v/>
      </c>
      <c r="J53" s="176">
        <f>J9*1000/1986/((DATEDIF(DATE(2026,1,1),DATE(2026,4,1),"D")*24)*3600)</f>
        <v/>
      </c>
      <c r="K53" s="180">
        <f>K9*1000/577/((DATEDIF(DATE(2026,1,1),DATE(2026,4,1),"D")*24)*3600)</f>
        <v/>
      </c>
      <c r="L53" s="177">
        <f>L9*1000/528/((DATEDIF(DATE(2026,1,1),DATE(2026,4,1),"D")*24)*3600)</f>
        <v/>
      </c>
      <c r="M53" s="180">
        <f>M9*1000/1442/((DATEDIF(DATE(2026,1,1),DATE(2026,4,1),"D")*24)*3600)</f>
        <v/>
      </c>
      <c r="N53" s="177">
        <f>N9*1000/414/((DATEDIF(DATE(2026,1,1),DATE(2026,4,1),"D")*24)*3600)</f>
        <v/>
      </c>
      <c r="O53" s="177">
        <f>O9*1000/130/((DATEDIF(DATE(2026,1,1),DATE(2026,4,1),"D")*24)*3600)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E57+'26.2'!K57</f>
        <v/>
      </c>
      <c r="L57" s="210">
        <f>F57+'26.2'!L57</f>
        <v/>
      </c>
      <c r="M57" s="147">
        <f>SUM(K57:L57)</f>
        <v/>
      </c>
      <c r="N57" s="210">
        <f>H57+'26.2'!N57</f>
        <v/>
      </c>
      <c r="O57" s="210">
        <f>I57+'26.2'!O57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E58+'26.2'!K58</f>
        <v/>
      </c>
      <c r="L58" s="210">
        <f>F58+'26.2'!L58</f>
        <v/>
      </c>
      <c r="M58" s="147">
        <f>SUM(K58:L58)</f>
        <v/>
      </c>
      <c r="N58" s="210">
        <f>H58+'26.2'!N58</f>
        <v/>
      </c>
      <c r="O58" s="210">
        <f>I58+'26.2'!O58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'26.2'!K59+E57-E14-E58</f>
        <v/>
      </c>
      <c r="L59" s="211">
        <f>'26.2'!L59+F57-F14-F58</f>
        <v/>
      </c>
      <c r="M59" s="152">
        <f>SUM(K59:L59)</f>
        <v/>
      </c>
      <c r="N59" s="211">
        <f>'26.2'!N59+H57-H14-H58</f>
        <v/>
      </c>
      <c r="O59" s="211">
        <f>'26.2'!O59+I57-I14-I58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E60+'26.2'!K60</f>
        <v/>
      </c>
      <c r="L60" s="210">
        <f>F60+'26.2'!L60</f>
        <v/>
      </c>
      <c r="M60" s="172">
        <f>SUM(K60:L60)</f>
        <v/>
      </c>
      <c r="N60" s="210">
        <f>H60+'26.2'!N60</f>
        <v/>
      </c>
      <c r="O60" s="210">
        <f>I60+'26.2'!O60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E61+'26.2'!K61</f>
        <v/>
      </c>
      <c r="L61" s="210">
        <f>F61+'26.2'!L61</f>
        <v/>
      </c>
      <c r="M61" s="147">
        <f>SUM(K61:L61)</f>
        <v/>
      </c>
      <c r="N61" s="210">
        <f>H61+'26.2'!N61</f>
        <v/>
      </c>
      <c r="O61" s="210">
        <f>I61+'26.2'!O61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E62+'26.2'!K62</f>
        <v/>
      </c>
      <c r="L62" s="210">
        <f>F62+'26.2'!L62</f>
        <v/>
      </c>
      <c r="M62" s="147">
        <f>SUM(K62:L62)</f>
        <v/>
      </c>
      <c r="N62" s="210">
        <f>H62+'26.2'!N62</f>
        <v/>
      </c>
      <c r="O62" s="210">
        <f>I62+'26.2'!O62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E63+'26.2'!K63</f>
        <v/>
      </c>
      <c r="L63" s="210">
        <f>F63+'26.2'!L63</f>
        <v/>
      </c>
      <c r="M63" s="147">
        <f>SUM(K63:L63)</f>
        <v/>
      </c>
      <c r="N63" s="210">
        <f>H63+'26.2'!N63</f>
        <v/>
      </c>
      <c r="O63" s="210">
        <f>I63+'26.2'!O63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E64+'26.2'!K64</f>
        <v/>
      </c>
      <c r="L64" s="210">
        <f>F64+'26.2'!L64</f>
        <v/>
      </c>
      <c r="M64" s="147">
        <f>SUM(K64:L64)</f>
        <v/>
      </c>
      <c r="N64" s="210">
        <f>H64+'26.2'!N64</f>
        <v/>
      </c>
      <c r="O64" s="210">
        <f>I64+'26.2'!O64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E65+'26.2'!K65</f>
        <v/>
      </c>
      <c r="L65" s="210">
        <f>F65+'26.2'!L65</f>
        <v/>
      </c>
      <c r="M65" s="191">
        <f>SUM(K65:L65)</f>
        <v/>
      </c>
      <c r="N65" s="210">
        <f>H65+'26.2'!N65</f>
        <v/>
      </c>
      <c r="O65" s="210">
        <f>I65+'26.2'!O65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E66+'26.2'!K66</f>
        <v/>
      </c>
      <c r="L66" s="210">
        <f>F66+'26.2'!L66</f>
        <v/>
      </c>
      <c r="M66" s="194">
        <f>SUM(K66:L66)</f>
        <v/>
      </c>
      <c r="N66" s="210">
        <f>H66+'26.2'!N66</f>
        <v/>
      </c>
      <c r="O66" s="210">
        <f>I66+'26.2'!O66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E67+'26.2'!K67</f>
        <v/>
      </c>
      <c r="L67" s="210">
        <f>F67+'26.2'!L67</f>
        <v/>
      </c>
      <c r="M67" s="189">
        <f>SUM(K67:L67)</f>
        <v/>
      </c>
      <c r="N67" s="210">
        <f>H67+'26.2'!N67</f>
        <v/>
      </c>
      <c r="O67" s="210">
        <f>I67+'26.2'!O67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E68+'26.2'!K68</f>
        <v/>
      </c>
      <c r="L68" s="210">
        <f>F68+'26.2'!L68</f>
        <v/>
      </c>
      <c r="M68" s="191">
        <f>SUM(K68:L68)</f>
        <v/>
      </c>
      <c r="N68" s="210">
        <f>H68+'26.2'!N68</f>
        <v/>
      </c>
      <c r="O68" s="210">
        <f>I68+'26.2'!O68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[4]产量!$C$15</f>
        <v/>
      </c>
      <c r="F7" s="148">
        <f>[4]产量!$C$19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E7+'26.3'!K7</f>
        <v/>
      </c>
      <c r="L7" s="150">
        <f>F7+'26.3'!L7</f>
        <v/>
      </c>
      <c r="M7" s="147">
        <f>SUM(K7:L7)</f>
        <v/>
      </c>
      <c r="N7" s="150">
        <f>H7+'26.3'!N7</f>
        <v/>
      </c>
      <c r="O7" s="150">
        <f>I7+'26.3'!O7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[4]产量!$E$15</f>
        <v/>
      </c>
      <c r="F8" s="148">
        <f>[4]产量!$E$19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E8+'26.3'!K8</f>
        <v/>
      </c>
      <c r="L8" s="150">
        <f>F8+'26.3'!L8</f>
        <v/>
      </c>
      <c r="M8" s="147">
        <f>SUM(K8:L8)</f>
        <v/>
      </c>
      <c r="N8" s="150">
        <f>H8+'26.3'!N8</f>
        <v/>
      </c>
      <c r="O8" s="150">
        <f>I8+'26.3'!O8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[4]产量!$G$6</f>
        <v/>
      </c>
      <c r="F9" s="148">
        <f>[4]产量!$G$7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E9+'26.3'!K9</f>
        <v/>
      </c>
      <c r="L9" s="150">
        <f>F9+'26.3'!L9</f>
        <v/>
      </c>
      <c r="M9" s="147">
        <f>SUM(K9:L9)</f>
        <v/>
      </c>
      <c r="N9" s="150">
        <f>H9+'26.3'!N9</f>
        <v/>
      </c>
      <c r="O9" s="150">
        <f>I9+'26.3'!O9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[4]产量!$G$29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E10+'26.3'!K10</f>
        <v/>
      </c>
      <c r="L10" s="150">
        <f>F10+'26.3'!L10</f>
        <v/>
      </c>
      <c r="M10" s="147">
        <f>SUM(K10:L10)</f>
        <v/>
      </c>
      <c r="N10" s="150">
        <f>H10+'26.3'!N10</f>
        <v/>
      </c>
      <c r="O10" s="150">
        <f>I10+'26.3'!O10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[4]产量!$G$28</f>
        <v/>
      </c>
      <c r="F11" s="148">
        <f>[4]产量!$G$30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E11+'26.3'!K11</f>
        <v/>
      </c>
      <c r="L11" s="150">
        <f>F11+'26.3'!L11</f>
        <v/>
      </c>
      <c r="M11" s="147">
        <f>SUM(K11:L11)</f>
        <v/>
      </c>
      <c r="N11" s="150">
        <f>H11+'26.3'!N11</f>
        <v/>
      </c>
      <c r="O11" s="150">
        <f>I11+'26.3'!O11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[4]产量!$G$15</f>
        <v/>
      </c>
      <c r="F12" s="148">
        <f>[4]产量!$G$19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E12+'26.3'!K12</f>
        <v/>
      </c>
      <c r="L12" s="150">
        <f>F12+'26.3'!L12</f>
        <v/>
      </c>
      <c r="M12" s="147">
        <f>SUM(K12:L12)</f>
        <v/>
      </c>
      <c r="N12" s="150">
        <f>H12+'26.3'!N12</f>
        <v/>
      </c>
      <c r="O12" s="150">
        <f>I12+'26.3'!O12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E15+'26.3'!K15</f>
        <v/>
      </c>
      <c r="L15" s="150">
        <f>F15+'26.3'!L15</f>
        <v/>
      </c>
      <c r="M15" s="147">
        <f>SUM(K15:L15)</f>
        <v/>
      </c>
      <c r="N15" s="150">
        <f>H15+'26.3'!N15</f>
        <v/>
      </c>
      <c r="O15" s="150">
        <f>I15+'26.3'!O15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E16+'26.3'!K16</f>
        <v/>
      </c>
      <c r="L16" s="150">
        <f>F16+'26.3'!L16</f>
        <v/>
      </c>
      <c r="M16" s="147">
        <f>SUM(K16:L16)</f>
        <v/>
      </c>
      <c r="N16" s="150">
        <f>H16+'26.3'!N16</f>
        <v/>
      </c>
      <c r="O16" s="150">
        <f>I16+'26.3'!O16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E18+'26.3'!K18</f>
        <v/>
      </c>
      <c r="L18" s="150">
        <f>F18+'26.3'!L18</f>
        <v/>
      </c>
      <c r="M18" s="147">
        <f>SUM(K18:L18)</f>
        <v/>
      </c>
      <c r="N18" s="150">
        <f>H18+'26.3'!N18</f>
        <v/>
      </c>
      <c r="O18" s="150">
        <f>I18+'26.3'!O18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E19+'26.3'!K19</f>
        <v/>
      </c>
      <c r="L19" s="150">
        <f>F19+'26.3'!L19</f>
        <v/>
      </c>
      <c r="M19" s="147">
        <f>SUM(K19:L19)</f>
        <v/>
      </c>
      <c r="N19" s="150">
        <f>H19+'26.3'!N19</f>
        <v/>
      </c>
      <c r="O19" s="150">
        <f>I19+'26.3'!O19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E20+'26.3'!K20</f>
        <v/>
      </c>
      <c r="L20" s="150">
        <f>F20+'26.3'!L20</f>
        <v/>
      </c>
      <c r="M20" s="147">
        <f>SUM(K20:L20)</f>
        <v/>
      </c>
      <c r="N20" s="150">
        <f>H20+'26.3'!N20</f>
        <v/>
      </c>
      <c r="O20" s="150">
        <f>I20+'26.3'!O20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E21+'26.3'!K21</f>
        <v/>
      </c>
      <c r="L21" s="150">
        <f>F21+'26.3'!L21</f>
        <v/>
      </c>
      <c r="M21" s="147">
        <f>SUM(K21:L21)</f>
        <v/>
      </c>
      <c r="N21" s="150">
        <f>H21+'26.3'!N21</f>
        <v/>
      </c>
      <c r="O21" s="150">
        <f>I21+'26.3'!O21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E22+'26.3'!K22</f>
        <v/>
      </c>
      <c r="L22" s="150">
        <f>F22+'26.3'!L22</f>
        <v/>
      </c>
      <c r="M22" s="147">
        <f>SUM(K22:L22)</f>
        <v/>
      </c>
      <c r="N22" s="150">
        <f>H22+'26.3'!N22</f>
        <v/>
      </c>
      <c r="O22" s="150">
        <f>I22+'26.3'!O22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E23+'26.3'!K23</f>
        <v/>
      </c>
      <c r="L23" s="150">
        <f>F23+'26.3'!L23</f>
        <v/>
      </c>
      <c r="M23" s="147">
        <f>SUM(K23:L23)</f>
        <v/>
      </c>
      <c r="N23" s="150">
        <f>H23+'26.3'!N23</f>
        <v/>
      </c>
      <c r="O23" s="150">
        <f>I23+'26.3'!O23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F24" s="2" t="n"/>
      <c r="G24" s="147">
        <f>SUM(E24:F24)</f>
        <v/>
      </c>
      <c r="H24" s="147" t="n"/>
      <c r="I24" s="149" t="n"/>
      <c r="J24" s="147">
        <f>M24+N24+O24</f>
        <v/>
      </c>
      <c r="K24" s="150">
        <f>E24+'26.3'!K24</f>
        <v/>
      </c>
      <c r="L24" s="150">
        <f>F24+'26.3'!L24</f>
        <v/>
      </c>
      <c r="M24" s="147">
        <f>SUM(K24:L24)</f>
        <v/>
      </c>
      <c r="N24" s="150">
        <f>H24+'26.3'!N24</f>
        <v/>
      </c>
      <c r="O24" s="150">
        <f>I24+'26.3'!O24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E25+'26.3'!K25</f>
        <v/>
      </c>
      <c r="L25" s="150">
        <f>F25+'26.3'!L25</f>
        <v/>
      </c>
      <c r="M25" s="147">
        <f>SUM(K25:L25)</f>
        <v/>
      </c>
      <c r="N25" s="150">
        <f>H25+'26.3'!N25</f>
        <v/>
      </c>
      <c r="O25" s="150">
        <f>I25+'26.3'!O25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E26+'26.3'!K26</f>
        <v/>
      </c>
      <c r="L26" s="150">
        <f>F26+'26.3'!L26</f>
        <v/>
      </c>
      <c r="M26" s="147">
        <f>SUM(K26:L26)</f>
        <v/>
      </c>
      <c r="N26" s="150">
        <f>H26+'26.3'!N26</f>
        <v/>
      </c>
      <c r="O26" s="150">
        <f>I26+'26.3'!O26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E27+'26.3'!K27</f>
        <v/>
      </c>
      <c r="L27" s="150">
        <f>F27+'26.3'!L27</f>
        <v/>
      </c>
      <c r="M27" s="162">
        <f>SUM(K27:L27)</f>
        <v/>
      </c>
      <c r="N27" s="150">
        <f>H27+'26.3'!N27</f>
        <v/>
      </c>
      <c r="O27" s="150">
        <f>I27+'26.3'!O27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E28+'26.3'!K28</f>
        <v/>
      </c>
      <c r="L28" s="150">
        <f>F28+'26.3'!L28</f>
        <v/>
      </c>
      <c r="M28" s="162">
        <f>SUM(K28:L28)</f>
        <v/>
      </c>
      <c r="N28" s="150">
        <f>H28+'26.3'!N28</f>
        <v/>
      </c>
      <c r="O28" s="150">
        <f>I28+'26.3'!O28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E29+'26.3'!K29</f>
        <v/>
      </c>
      <c r="L29" s="150">
        <f>F29+'26.3'!L29</f>
        <v/>
      </c>
      <c r="M29" s="147">
        <f>SUM(K29:L29)</f>
        <v/>
      </c>
      <c r="N29" s="150">
        <f>H29+'26.3'!N29</f>
        <v/>
      </c>
      <c r="O29" s="150">
        <f>I29+'26.3'!O29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E30+'26.3'!K30</f>
        <v/>
      </c>
      <c r="L30" s="150">
        <f>F30+'26.3'!L30</f>
        <v/>
      </c>
      <c r="M30" s="147">
        <f>M7-M8</f>
        <v/>
      </c>
      <c r="N30" s="150">
        <f>H30+'26.3'!N30</f>
        <v/>
      </c>
      <c r="O30" s="150">
        <f>I30+'26.3'!O30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E31+'26.3'!K31</f>
        <v/>
      </c>
      <c r="L31" s="150">
        <f>F31+'26.3'!L31</f>
        <v/>
      </c>
      <c r="M31" s="147">
        <f>SUM(K31:L31)</f>
        <v/>
      </c>
      <c r="N31" s="150">
        <f>H31+'26.3'!N31</f>
        <v/>
      </c>
      <c r="O31" s="150">
        <f>I31+'26.3'!O31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E33+'26.3'!K33</f>
        <v/>
      </c>
      <c r="L33" s="150">
        <f>F33+'26.3'!L33</f>
        <v/>
      </c>
      <c r="M33" s="147">
        <f>SUM(K33:L33)</f>
        <v/>
      </c>
      <c r="N33" s="150">
        <f>H33+'26.3'!N33</f>
        <v/>
      </c>
      <c r="O33" s="150">
        <f>I33+'26.3'!O33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E34+'26.3'!K34</f>
        <v/>
      </c>
      <c r="L34" s="150">
        <f>F34+'26.3'!L34</f>
        <v/>
      </c>
      <c r="M34" s="147">
        <f>SUM(K34:L34)</f>
        <v/>
      </c>
      <c r="N34" s="150">
        <f>H34+'26.3'!N34</f>
        <v/>
      </c>
      <c r="O34" s="150">
        <f>I34+'26.3'!O34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6" t="n"/>
      <c r="I40" s="149" t="n"/>
      <c r="J40" s="147">
        <f>M40+N40+O40</f>
        <v/>
      </c>
      <c r="K40" s="150">
        <f>E40+'26.3'!K40</f>
        <v/>
      </c>
      <c r="L40" s="150">
        <f>F40+'26.3'!L40</f>
        <v/>
      </c>
      <c r="M40" s="147">
        <f>SUM(K40:L40)</f>
        <v/>
      </c>
      <c r="N40" s="150">
        <f>H40+'26.3'!N40</f>
        <v/>
      </c>
      <c r="O40" s="150">
        <f>I40+'26.3'!O40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6" t="n"/>
      <c r="I41" s="149" t="n"/>
      <c r="J41" s="147">
        <f>M41+N41+O41</f>
        <v/>
      </c>
      <c r="K41" s="150">
        <f>E41+'26.3'!K41</f>
        <v/>
      </c>
      <c r="L41" s="150">
        <f>F41+'26.3'!L41</f>
        <v/>
      </c>
      <c r="M41" s="147">
        <f>SUM(K41:L41)</f>
        <v/>
      </c>
      <c r="N41" s="150">
        <f>H41+'26.3'!N41</f>
        <v/>
      </c>
      <c r="O41" s="150">
        <f>I41+'26.3'!O41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E43+'26.3'!K43</f>
        <v/>
      </c>
      <c r="L43" s="150">
        <f>F43+'26.3'!L43</f>
        <v/>
      </c>
      <c r="M43" s="147">
        <f>SUM(K43:L43)</f>
        <v/>
      </c>
      <c r="N43" s="150">
        <f>H43+'26.3'!N43</f>
        <v/>
      </c>
      <c r="O43" s="150">
        <f>I43+'26.3'!O43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E44+'26.3'!K44</f>
        <v/>
      </c>
      <c r="L44" s="150">
        <f>F44+'26.3'!L44</f>
        <v/>
      </c>
      <c r="M44" s="147">
        <f>SUM(K44:L44)</f>
        <v/>
      </c>
      <c r="N44" s="150">
        <f>H44+'26.3'!N44</f>
        <v/>
      </c>
      <c r="O44" s="150">
        <f>I44+'26.3'!O44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50">
        <f>D7/10000/D6/(5*24)</f>
        <v/>
      </c>
      <c r="E52" s="150">
        <f>E7/10000/E6/(5*24)</f>
        <v/>
      </c>
      <c r="F52" s="150">
        <f>F7/10000/F6/(5*24)</f>
        <v/>
      </c>
      <c r="G52" s="150">
        <f>G7/10000/G6/(5*24)</f>
        <v/>
      </c>
      <c r="H52" s="150">
        <f>H7/10000/H6/(5*24)</f>
        <v/>
      </c>
      <c r="I52" s="166">
        <f>I7/10000/I6/(5*24)</f>
        <v/>
      </c>
      <c r="J52" s="176">
        <f>J7/10000/J6/(DATEDIF(DATE(2026,1,1),DATE(2026,5,1),"D")*24)</f>
        <v/>
      </c>
      <c r="K52" s="176">
        <f>K7/10000/K6/(DATEDIF(DATE(2026,1,1),DATE(2026,5,1),"D")*24)</f>
        <v/>
      </c>
      <c r="L52" s="176">
        <f>L7/10000/L6/(DATEDIF(DATE(2026,1,1),DATE(2026,5,1),"D")*24)</f>
        <v/>
      </c>
      <c r="M52" s="176">
        <f>M7/10000/M6/(DATEDIF(DATE(2026,1,1),DATE(2026,5,1),"D")*24)</f>
        <v/>
      </c>
      <c r="N52" s="176">
        <f>N7/10000/N6/(DATEDIF(DATE(2026,1,1),DATE(2026,5,1),"D")*24)</f>
        <v/>
      </c>
      <c r="O52" s="177">
        <f>O7/10000/O6/(DATEDIF(DATE(2026,1,1),DATE(2026,5,1),"D")*24)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212">
        <f>D9*1000/1986/((5*24)*3600)</f>
        <v/>
      </c>
      <c r="E53" s="212">
        <f>E9*1000/577/((5*24)*3600)</f>
        <v/>
      </c>
      <c r="F53" s="166">
        <f>F9*1000/528/((5*24)*3600)</f>
        <v/>
      </c>
      <c r="G53" s="212">
        <f>G9*1000/1442/((5*24)*3600)</f>
        <v/>
      </c>
      <c r="H53" s="166">
        <f>H9*1000/414/((5*24)*3600)</f>
        <v/>
      </c>
      <c r="I53" s="166">
        <f>I9*1000/130/((5*24)*3600)</f>
        <v/>
      </c>
      <c r="J53" s="176">
        <f>J9*1000/1986/((DATEDIF(DATE(2026,1,1),DATE(2026,5,1),"D")*24)*3600)</f>
        <v/>
      </c>
      <c r="K53" s="180">
        <f>K9*1000/577/((DATEDIF(DATE(2026,1,1),DATE(2026,5,1),"D")*24)*3600)</f>
        <v/>
      </c>
      <c r="L53" s="177">
        <f>L9*1000/528/((DATEDIF(DATE(2026,1,1),DATE(2026,5,1),"D")*24)*3600)</f>
        <v/>
      </c>
      <c r="M53" s="180">
        <f>M9*1000/1442/((DATEDIF(DATE(2026,1,1),DATE(2026,5,1),"D")*24)*3600)</f>
        <v/>
      </c>
      <c r="N53" s="177">
        <f>N9*1000/414/((DATEDIF(DATE(2026,1,1),DATE(2026,5,1),"D")*24)*3600)</f>
        <v/>
      </c>
      <c r="O53" s="177">
        <f>O9*1000/130/((DATEDIF(DATE(2026,1,1),DATE(2026,5,1),"D")*24)*3600)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E57+'26.3'!K57</f>
        <v/>
      </c>
      <c r="L57" s="150">
        <f>F57+'26.3'!L57</f>
        <v/>
      </c>
      <c r="M57" s="147">
        <f>SUM(K57:L57)</f>
        <v/>
      </c>
      <c r="N57" s="150">
        <f>H57+'26.3'!N57</f>
        <v/>
      </c>
      <c r="O57" s="150">
        <f>I57+'26.3'!O57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E58+'26.3'!K58</f>
        <v/>
      </c>
      <c r="L58" s="150">
        <f>F58+'26.3'!L58</f>
        <v/>
      </c>
      <c r="M58" s="147">
        <f>SUM(K58:L58)</f>
        <v/>
      </c>
      <c r="N58" s="150">
        <f>H58+'26.3'!N58</f>
        <v/>
      </c>
      <c r="O58" s="150">
        <f>I58+'26.3'!O58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'26.3'!K59+E57-E14-E58</f>
        <v/>
      </c>
      <c r="L59" s="208">
        <f>'26.3'!L59+F57-F14-F58</f>
        <v/>
      </c>
      <c r="M59" s="152">
        <f>SUM(K59:L59)</f>
        <v/>
      </c>
      <c r="N59" s="208">
        <f>'26.3'!N59+H57-H14-H58</f>
        <v/>
      </c>
      <c r="O59" s="208">
        <f>'26.3'!O59+I57-I14-I58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E60+'26.3'!K60</f>
        <v/>
      </c>
      <c r="L60" s="150">
        <f>F60+'26.3'!L60</f>
        <v/>
      </c>
      <c r="M60" s="172">
        <f>SUM(K60:L60)</f>
        <v/>
      </c>
      <c r="N60" s="150">
        <f>H60+'26.3'!N60</f>
        <v/>
      </c>
      <c r="O60" s="150">
        <f>I60+'26.3'!O60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E61+'26.3'!K61</f>
        <v/>
      </c>
      <c r="L61" s="150">
        <f>F61+'26.3'!L61</f>
        <v/>
      </c>
      <c r="M61" s="147">
        <f>SUM(K61:L61)</f>
        <v/>
      </c>
      <c r="N61" s="150">
        <f>H61+'26.3'!N61</f>
        <v/>
      </c>
      <c r="O61" s="150">
        <f>I61+'26.3'!O61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E62+'26.3'!K62</f>
        <v/>
      </c>
      <c r="L62" s="150">
        <f>F62+'26.3'!L62</f>
        <v/>
      </c>
      <c r="M62" s="147">
        <f>SUM(K62:L62)</f>
        <v/>
      </c>
      <c r="N62" s="150">
        <f>H62+'26.3'!N62</f>
        <v/>
      </c>
      <c r="O62" s="150">
        <f>I62+'26.3'!O62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E63+'26.3'!K63</f>
        <v/>
      </c>
      <c r="L63" s="150">
        <f>F63+'26.3'!L63</f>
        <v/>
      </c>
      <c r="M63" s="147">
        <f>SUM(K63:L63)</f>
        <v/>
      </c>
      <c r="N63" s="150">
        <f>H63+'26.3'!N63</f>
        <v/>
      </c>
      <c r="O63" s="150">
        <f>I63+'26.3'!O63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E64+'26.3'!K64</f>
        <v/>
      </c>
      <c r="L64" s="150">
        <f>F64+'26.3'!L64</f>
        <v/>
      </c>
      <c r="M64" s="147">
        <f>SUM(K64:L64)</f>
        <v/>
      </c>
      <c r="N64" s="150">
        <f>H64+'26.3'!N64</f>
        <v/>
      </c>
      <c r="O64" s="150">
        <f>I64+'26.3'!O64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E65+'26.3'!K65</f>
        <v/>
      </c>
      <c r="L65" s="150">
        <f>F65+'26.3'!L65</f>
        <v/>
      </c>
      <c r="M65" s="191">
        <f>SUM(K65:L65)</f>
        <v/>
      </c>
      <c r="N65" s="150">
        <f>H65+'26.3'!N65</f>
        <v/>
      </c>
      <c r="O65" s="150">
        <f>I65+'26.3'!O65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E66+'26.3'!K66</f>
        <v/>
      </c>
      <c r="L66" s="150">
        <f>F66+'26.3'!L66</f>
        <v/>
      </c>
      <c r="M66" s="194">
        <f>SUM(K66:L66)</f>
        <v/>
      </c>
      <c r="N66" s="150">
        <f>H66+'26.3'!N66</f>
        <v/>
      </c>
      <c r="O66" s="150">
        <f>I66+'26.3'!O66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50">
        <f>E67+'26.3'!K67</f>
        <v/>
      </c>
      <c r="L67" s="150">
        <f>F67+'26.3'!L67</f>
        <v/>
      </c>
      <c r="M67" s="189">
        <f>SUM(K67:L67)</f>
        <v/>
      </c>
      <c r="N67" s="150">
        <f>H67+'26.3'!N67</f>
        <v/>
      </c>
      <c r="O67" s="150">
        <f>I67+'26.3'!O67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50">
        <f>E68+'26.3'!K68</f>
        <v/>
      </c>
      <c r="L68" s="150">
        <f>F68+'26.3'!L68</f>
        <v/>
      </c>
      <c r="M68" s="191">
        <f>SUM(K68:L68)</f>
        <v/>
      </c>
      <c r="N68" s="150">
        <f>H68+'26.3'!N68</f>
        <v/>
      </c>
      <c r="O68" s="150">
        <f>I68+'26.3'!O68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>
        <v>37296</v>
      </c>
      <c r="G73" s="120" t="n"/>
      <c r="H73" s="1" t="n"/>
      <c r="J73" s="200" t="n"/>
      <c r="K73" s="200" t="n"/>
      <c r="L73" s="204" t="n">
        <v>1827232</v>
      </c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[5]产量!$C$15</f>
        <v/>
      </c>
      <c r="F7" s="209">
        <f>[5]产量!$C$19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E7+'26.4'!K7</f>
        <v/>
      </c>
      <c r="L7" s="210">
        <f>F7+'26.4'!L7</f>
        <v/>
      </c>
      <c r="M7" s="147">
        <f>SUM(K7:L7)</f>
        <v/>
      </c>
      <c r="N7" s="210">
        <f>H7+'26.4'!N7</f>
        <v/>
      </c>
      <c r="O7" s="210">
        <f>I7+'26.4'!O7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[5]产量!$E$15</f>
        <v/>
      </c>
      <c r="F8" s="209">
        <f>[5]产量!$E$19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E8+'26.4'!K8</f>
        <v/>
      </c>
      <c r="L8" s="210">
        <f>F8+'26.4'!L8</f>
        <v/>
      </c>
      <c r="M8" s="147">
        <f>SUM(K8:L8)</f>
        <v/>
      </c>
      <c r="N8" s="210">
        <f>H8+'26.4'!N8</f>
        <v/>
      </c>
      <c r="O8" s="210">
        <f>I8+'26.4'!O8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[5]产量!$G$6</f>
        <v/>
      </c>
      <c r="F9" s="209">
        <f>[5]产量!$G$7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E9+'26.4'!K9</f>
        <v/>
      </c>
      <c r="L9" s="210">
        <f>F9+'26.4'!L9</f>
        <v/>
      </c>
      <c r="M9" s="147">
        <f>SUM(K9:L9)</f>
        <v/>
      </c>
      <c r="N9" s="210">
        <f>H9+'26.4'!N9</f>
        <v/>
      </c>
      <c r="O9" s="210">
        <f>I9+'26.4'!O9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[5]产量!$G$29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E10+'26.4'!K10</f>
        <v/>
      </c>
      <c r="L10" s="210">
        <f>F10+'26.4'!L10</f>
        <v/>
      </c>
      <c r="M10" s="147">
        <f>SUM(K10:L10)</f>
        <v/>
      </c>
      <c r="N10" s="210">
        <f>H10+'26.4'!N10</f>
        <v/>
      </c>
      <c r="O10" s="210">
        <f>I10+'26.4'!O10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[5]产量!$G$28</f>
        <v/>
      </c>
      <c r="F11" s="209">
        <f>[5]产量!$G$30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E11+'26.4'!K11</f>
        <v/>
      </c>
      <c r="L11" s="210">
        <f>F11+'26.4'!L11</f>
        <v/>
      </c>
      <c r="M11" s="147">
        <f>SUM(K11:L11)</f>
        <v/>
      </c>
      <c r="N11" s="210">
        <f>H11+'26.4'!N11</f>
        <v/>
      </c>
      <c r="O11" s="210">
        <f>I11+'26.4'!O11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[5]产量!$G$15</f>
        <v/>
      </c>
      <c r="F12" s="209">
        <f>[5]产量!$G$19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E12+'26.4'!K12</f>
        <v/>
      </c>
      <c r="L12" s="210">
        <f>F12+'26.4'!L12</f>
        <v/>
      </c>
      <c r="M12" s="147">
        <f>SUM(K12:L12)</f>
        <v/>
      </c>
      <c r="N12" s="210">
        <f>H12+'26.4'!N12</f>
        <v/>
      </c>
      <c r="O12" s="210">
        <f>I12+'26.4'!O12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E15+'26.4'!K15</f>
        <v/>
      </c>
      <c r="L15" s="210">
        <f>F15+'26.4'!L15</f>
        <v/>
      </c>
      <c r="M15" s="147">
        <f>SUM(K15:L15)</f>
        <v/>
      </c>
      <c r="N15" s="210">
        <f>H15+'26.4'!N15</f>
        <v/>
      </c>
      <c r="O15" s="210">
        <f>I15+'26.4'!O15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E16+'26.4'!K16</f>
        <v/>
      </c>
      <c r="L16" s="210">
        <f>F16+'26.4'!L16</f>
        <v/>
      </c>
      <c r="M16" s="147">
        <f>SUM(K16:L16)</f>
        <v/>
      </c>
      <c r="N16" s="210">
        <f>H16+'26.4'!N16</f>
        <v/>
      </c>
      <c r="O16" s="210">
        <f>I16+'26.4'!O16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E18+'26.4'!K18</f>
        <v/>
      </c>
      <c r="L18" s="210">
        <f>F18+'26.4'!L18</f>
        <v/>
      </c>
      <c r="M18" s="147">
        <f>SUM(K18:L18)</f>
        <v/>
      </c>
      <c r="N18" s="210">
        <f>H18+'26.4'!N18</f>
        <v/>
      </c>
      <c r="O18" s="210">
        <f>I18+'26.4'!O18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E19+'26.4'!K19</f>
        <v/>
      </c>
      <c r="L19" s="210">
        <f>F19+'26.4'!L19</f>
        <v/>
      </c>
      <c r="M19" s="147">
        <f>SUM(K19:L19)</f>
        <v/>
      </c>
      <c r="N19" s="210">
        <f>H19+'26.4'!N19</f>
        <v/>
      </c>
      <c r="O19" s="210">
        <f>I19+'26.4'!O19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E20+'26.4'!K20</f>
        <v/>
      </c>
      <c r="L20" s="210">
        <f>F20+'26.4'!L20</f>
        <v/>
      </c>
      <c r="M20" s="147">
        <f>SUM(K20:L20)</f>
        <v/>
      </c>
      <c r="N20" s="210">
        <f>H20+'26.4'!N20</f>
        <v/>
      </c>
      <c r="O20" s="210">
        <f>I20+'26.4'!O20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E21+'26.4'!K21</f>
        <v/>
      </c>
      <c r="L21" s="210">
        <f>F21+'26.4'!L21</f>
        <v/>
      </c>
      <c r="M21" s="147">
        <f>SUM(K21:L21)</f>
        <v/>
      </c>
      <c r="N21" s="210">
        <f>H21+'26.4'!N21</f>
        <v/>
      </c>
      <c r="O21" s="210">
        <f>I21+'26.4'!O21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E22+'26.4'!K22</f>
        <v/>
      </c>
      <c r="L22" s="210">
        <f>F22+'26.4'!L22</f>
        <v/>
      </c>
      <c r="M22" s="147">
        <f>SUM(K22:L22)</f>
        <v/>
      </c>
      <c r="N22" s="210">
        <f>H22+'26.4'!N22</f>
        <v/>
      </c>
      <c r="O22" s="210">
        <f>I22+'26.4'!O22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E23+'26.4'!K23</f>
        <v/>
      </c>
      <c r="L23" s="210">
        <f>F23+'26.4'!L23</f>
        <v/>
      </c>
      <c r="M23" s="147">
        <f>SUM(K23:L23)</f>
        <v/>
      </c>
      <c r="N23" s="210">
        <f>H23+'26.4'!N23</f>
        <v/>
      </c>
      <c r="O23" s="210">
        <f>I23+'26.4'!O23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E24+'26.4'!K24</f>
        <v/>
      </c>
      <c r="L24" s="210">
        <f>F24+'26.4'!L24</f>
        <v/>
      </c>
      <c r="M24" s="147">
        <f>SUM(K24:L24)</f>
        <v/>
      </c>
      <c r="N24" s="210">
        <f>H24+'26.4'!N24</f>
        <v/>
      </c>
      <c r="O24" s="210">
        <f>I24+'26.4'!O24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E25+'26.4'!K25</f>
        <v/>
      </c>
      <c r="L25" s="210">
        <f>F25+'26.4'!L25</f>
        <v/>
      </c>
      <c r="M25" s="147">
        <f>SUM(K25:L25)</f>
        <v/>
      </c>
      <c r="N25" s="210">
        <f>H25+'26.4'!N25</f>
        <v/>
      </c>
      <c r="O25" s="210">
        <f>I25+'26.4'!O25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E26+'26.4'!K26</f>
        <v/>
      </c>
      <c r="L26" s="210">
        <f>F26+'26.4'!L26</f>
        <v/>
      </c>
      <c r="M26" s="147">
        <f>SUM(K26:L26)</f>
        <v/>
      </c>
      <c r="N26" s="210">
        <f>H26+'26.4'!N26</f>
        <v/>
      </c>
      <c r="O26" s="210">
        <f>I26+'26.4'!O26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E27+'26.4'!K27</f>
        <v/>
      </c>
      <c r="L27" s="210">
        <f>F27+'26.4'!L27</f>
        <v/>
      </c>
      <c r="M27" s="162">
        <f>SUM(K27:L27)</f>
        <v/>
      </c>
      <c r="N27" s="210">
        <f>H27+'26.4'!N27</f>
        <v/>
      </c>
      <c r="O27" s="210">
        <f>I27+'26.4'!O27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E28+'26.4'!K28</f>
        <v/>
      </c>
      <c r="L28" s="210">
        <f>F28+'26.4'!L28</f>
        <v/>
      </c>
      <c r="M28" s="162">
        <f>SUM(K28:L28)</f>
        <v/>
      </c>
      <c r="N28" s="210">
        <f>H28+'26.4'!N28</f>
        <v/>
      </c>
      <c r="O28" s="210">
        <f>I28+'26.4'!O28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E29+'26.4'!K29</f>
        <v/>
      </c>
      <c r="L29" s="210">
        <f>F29+'26.4'!L29</f>
        <v/>
      </c>
      <c r="M29" s="147">
        <f>SUM(K29:L29)</f>
        <v/>
      </c>
      <c r="N29" s="210">
        <f>H29+'26.4'!N29</f>
        <v/>
      </c>
      <c r="O29" s="210">
        <f>I29+'26.4'!O29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E30+'26.4'!K30</f>
        <v/>
      </c>
      <c r="L30" s="210">
        <f>F30+'26.4'!L30</f>
        <v/>
      </c>
      <c r="M30" s="147">
        <f>M7-M8</f>
        <v/>
      </c>
      <c r="N30" s="210">
        <f>H30+'26.4'!N30</f>
        <v/>
      </c>
      <c r="O30" s="210">
        <f>I30+'26.4'!O30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E31+'26.4'!K31</f>
        <v/>
      </c>
      <c r="L31" s="210">
        <f>F31+'26.4'!L31</f>
        <v/>
      </c>
      <c r="M31" s="147">
        <f>SUM(K31:L31)</f>
        <v/>
      </c>
      <c r="N31" s="210">
        <f>H31+'26.4'!N31</f>
        <v/>
      </c>
      <c r="O31" s="210">
        <f>I31+'26.4'!O31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E33+'26.4'!K33</f>
        <v/>
      </c>
      <c r="L33" s="210">
        <f>F33+'26.4'!L33</f>
        <v/>
      </c>
      <c r="M33" s="147">
        <f>SUM(K33:L33)</f>
        <v/>
      </c>
      <c r="N33" s="210">
        <f>H33+'26.4'!N33</f>
        <v/>
      </c>
      <c r="O33" s="210">
        <f>I33+'26.4'!O33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E34+'26.4'!K34</f>
        <v/>
      </c>
      <c r="L34" s="210">
        <f>F34+'26.4'!L34</f>
        <v/>
      </c>
      <c r="M34" s="147">
        <f>SUM(K34:L34)</f>
        <v/>
      </c>
      <c r="N34" s="210">
        <f>H34+'26.4'!N34</f>
        <v/>
      </c>
      <c r="O34" s="210">
        <f>I34+'26.4'!O34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E40+'26.4'!K40</f>
        <v/>
      </c>
      <c r="L40" s="210">
        <f>F40+'26.4'!L40</f>
        <v/>
      </c>
      <c r="M40" s="147">
        <f>SUM(K40:L40)</f>
        <v/>
      </c>
      <c r="N40" s="210">
        <f>H40+'26.4'!N40</f>
        <v/>
      </c>
      <c r="O40" s="210">
        <f>I40+'26.4'!O40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E41+'26.4'!K41</f>
        <v/>
      </c>
      <c r="L41" s="210">
        <f>F41+'26.4'!L41</f>
        <v/>
      </c>
      <c r="M41" s="147">
        <f>SUM(K41:L41)</f>
        <v/>
      </c>
      <c r="N41" s="210">
        <f>H41+'26.4'!N41</f>
        <v/>
      </c>
      <c r="O41" s="210">
        <f>I41+'26.4'!O41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E43+'26.4'!K43</f>
        <v/>
      </c>
      <c r="L43" s="210">
        <f>F43+'26.4'!L43</f>
        <v/>
      </c>
      <c r="M43" s="147">
        <f>SUM(K43:L43)</f>
        <v/>
      </c>
      <c r="N43" s="210">
        <f>H43+'26.4'!N43</f>
        <v/>
      </c>
      <c r="O43" s="210">
        <f>I43+'26.4'!O43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E44+'26.4'!K44</f>
        <v/>
      </c>
      <c r="L44" s="210">
        <f>F44+'26.4'!L44</f>
        <v/>
      </c>
      <c r="M44" s="147">
        <f>SUM(K44:L44)</f>
        <v/>
      </c>
      <c r="N44" s="210">
        <f>H44+'26.4'!N44</f>
        <v/>
      </c>
      <c r="O44" s="210">
        <f>I44+'26.4'!O44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D7/10000/D6/(DAY(DATE(2026,6,0))*24)</f>
        <v/>
      </c>
      <c r="E52" s="176">
        <f>E7/10000/E6/(DAY(DATE(2026,6,0))*24)</f>
        <v/>
      </c>
      <c r="F52" s="176">
        <f>F7/10000/F6/(DAY(DATE(2026,6,0))*24)</f>
        <v/>
      </c>
      <c r="G52" s="176">
        <f>G7/10000/G6/(DAY(DATE(2026,6,0))*24)</f>
        <v/>
      </c>
      <c r="H52" s="176">
        <f>H7/10000/H6/(DAY(DATE(2026,6,0))*24)</f>
        <v/>
      </c>
      <c r="I52" s="177">
        <f>I7/10000/I6/(DAY(DATE(2026,6,0))*24)</f>
        <v/>
      </c>
      <c r="J52" s="176">
        <f>J7/10000/J6/(DATEDIF(DATE(2026,1,1),DATE(2026,6,1),"D")*24)</f>
        <v/>
      </c>
      <c r="K52" s="176">
        <f>K7/10000/K6/(DATEDIF(DATE(2026,1,1),DATE(2026,6,1),"D")*24)</f>
        <v/>
      </c>
      <c r="L52" s="176">
        <f>L7/10000/L6/(DATEDIF(DATE(2026,1,1),DATE(2026,6,1),"D")*24)</f>
        <v/>
      </c>
      <c r="M52" s="176">
        <f>M7/10000/M6/(DATEDIF(DATE(2026,1,1),DATE(2026,6,1),"D")*24)</f>
        <v/>
      </c>
      <c r="N52" s="176">
        <f>N7/10000/N6/(DATEDIF(DATE(2026,1,1),DATE(2026,6,1),"D")*24)</f>
        <v/>
      </c>
      <c r="O52" s="177">
        <f>O7/10000/O6/(DATEDIF(DATE(2026,1,1),DATE(2026,6,1),"D")*24)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D9*1000/1986/((DAY(DATE(2026,6,0))*24)*3600)</f>
        <v/>
      </c>
      <c r="E53" s="180">
        <f>E9*1000/577/((DAY(DATE(2026,6,0))*24)*3600)</f>
        <v/>
      </c>
      <c r="F53" s="177">
        <f>F9*1000/528/((DAY(DATE(2026,6,0))*24)*3600)</f>
        <v/>
      </c>
      <c r="G53" s="180">
        <f>G9*1000/1442/((DAY(DATE(2026,6,0))*24)*3600)</f>
        <v/>
      </c>
      <c r="H53" s="177">
        <f>H9*1000/414/((DAY(DATE(2026,6,0))*24)*3600)</f>
        <v/>
      </c>
      <c r="I53" s="177">
        <f>I9*1000/130/((DAY(DATE(2026,6,0))*24)*3600)</f>
        <v/>
      </c>
      <c r="J53" s="176">
        <f>J9*1000/1986/((DATEDIF(DATE(2026,1,1),DATE(2026,6,1),"D")*24)*3600)</f>
        <v/>
      </c>
      <c r="K53" s="180">
        <f>K9*1000/577/((DATEDIF(DATE(2026,1,1),DATE(2026,6,1),"D")*24)*3600)</f>
        <v/>
      </c>
      <c r="L53" s="177">
        <f>L9*1000/528/((DATEDIF(DATE(2026,1,1),DATE(2026,6,1),"D")*24)*3600)</f>
        <v/>
      </c>
      <c r="M53" s="180">
        <f>M9*1000/1442/((DATEDIF(DATE(2026,1,1),DATE(2026,6,1),"D")*24)*3600)</f>
        <v/>
      </c>
      <c r="N53" s="177">
        <f>N9*1000/414/((DATEDIF(DATE(2026,1,1),DATE(2026,6,1),"D")*24)*3600)</f>
        <v/>
      </c>
      <c r="O53" s="177">
        <f>O9*1000/130/((DATEDIF(DATE(2026,1,1),DATE(2026,6,1),"D")*24)*3600)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E57+'26.4'!K57</f>
        <v/>
      </c>
      <c r="L57" s="210">
        <f>F57+'26.4'!L57</f>
        <v/>
      </c>
      <c r="M57" s="147">
        <f>SUM(K57:L57)</f>
        <v/>
      </c>
      <c r="N57" s="210">
        <f>H57+'26.4'!N57</f>
        <v/>
      </c>
      <c r="O57" s="210">
        <f>I57+'26.4'!O57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E58+'26.4'!K58</f>
        <v/>
      </c>
      <c r="L58" s="210">
        <f>F58+'26.4'!L58</f>
        <v/>
      </c>
      <c r="M58" s="147">
        <f>SUM(K58:L58)</f>
        <v/>
      </c>
      <c r="N58" s="210">
        <f>H58+'26.4'!N58</f>
        <v/>
      </c>
      <c r="O58" s="210">
        <f>I58+'26.4'!O58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'26.4'!K59+E57-E14-E58</f>
        <v/>
      </c>
      <c r="L59" s="211">
        <f>'26.4'!L59+F57-F14-F58</f>
        <v/>
      </c>
      <c r="M59" s="152">
        <f>SUM(K59:L59)</f>
        <v/>
      </c>
      <c r="N59" s="211">
        <f>'26.4'!N59+H57-H14-H58</f>
        <v/>
      </c>
      <c r="O59" s="211">
        <f>'26.4'!O59+I57-I14-I58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E60+'26.4'!K60</f>
        <v/>
      </c>
      <c r="L60" s="210">
        <f>F60+'26.4'!L60</f>
        <v/>
      </c>
      <c r="M60" s="172">
        <f>SUM(K60:L60)</f>
        <v/>
      </c>
      <c r="N60" s="210">
        <f>H60+'26.4'!N60</f>
        <v/>
      </c>
      <c r="O60" s="210">
        <f>I60+'26.4'!O60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E61+'26.4'!K61</f>
        <v/>
      </c>
      <c r="L61" s="210">
        <f>F61+'26.4'!L61</f>
        <v/>
      </c>
      <c r="M61" s="147">
        <f>SUM(K61:L61)</f>
        <v/>
      </c>
      <c r="N61" s="210">
        <f>H61+'26.4'!N61</f>
        <v/>
      </c>
      <c r="O61" s="210">
        <f>I61+'26.4'!O61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E62+'26.4'!K62</f>
        <v/>
      </c>
      <c r="L62" s="210">
        <f>F62+'26.4'!L62</f>
        <v/>
      </c>
      <c r="M62" s="147">
        <f>SUM(K62:L62)</f>
        <v/>
      </c>
      <c r="N62" s="210">
        <f>H62+'26.4'!N62</f>
        <v/>
      </c>
      <c r="O62" s="210">
        <f>I62+'26.4'!O62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E63+'26.4'!K63</f>
        <v/>
      </c>
      <c r="L63" s="210">
        <f>F63+'26.4'!L63</f>
        <v/>
      </c>
      <c r="M63" s="147">
        <f>SUM(K63:L63)</f>
        <v/>
      </c>
      <c r="N63" s="210">
        <f>H63+'26.4'!N63</f>
        <v/>
      </c>
      <c r="O63" s="210">
        <f>I63+'26.4'!O63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E64+'26.4'!K64</f>
        <v/>
      </c>
      <c r="L64" s="210">
        <f>F64+'26.4'!L64</f>
        <v/>
      </c>
      <c r="M64" s="147">
        <f>SUM(K64:L64)</f>
        <v/>
      </c>
      <c r="N64" s="210">
        <f>H64+'26.4'!N64</f>
        <v/>
      </c>
      <c r="O64" s="210">
        <f>I64+'26.4'!O64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E65+'26.4'!K65</f>
        <v/>
      </c>
      <c r="L65" s="210">
        <f>F65+'26.4'!L65</f>
        <v/>
      </c>
      <c r="M65" s="191">
        <f>SUM(K65:L65)</f>
        <v/>
      </c>
      <c r="N65" s="210">
        <f>H65+'26.4'!N65</f>
        <v/>
      </c>
      <c r="O65" s="210">
        <f>I65+'26.4'!O65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E66+'26.4'!K66</f>
        <v/>
      </c>
      <c r="L66" s="210">
        <f>F66+'26.4'!L66</f>
        <v/>
      </c>
      <c r="M66" s="194">
        <f>SUM(K66:L66)</f>
        <v/>
      </c>
      <c r="N66" s="210">
        <f>H66+'26.4'!N66</f>
        <v/>
      </c>
      <c r="O66" s="210">
        <f>I66+'26.4'!O66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210">
        <f>E67+'26.4'!K67</f>
        <v/>
      </c>
      <c r="L67" s="210">
        <f>F67+'26.4'!L67</f>
        <v/>
      </c>
      <c r="M67" s="189">
        <f>SUM(K67:L67)</f>
        <v/>
      </c>
      <c r="N67" s="210">
        <f>H67+'26.4'!N67</f>
        <v/>
      </c>
      <c r="O67" s="210">
        <f>I67+'26.4'!O67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210">
        <f>E68+'26.4'!K68</f>
        <v/>
      </c>
      <c r="L68" s="210">
        <f>F68+'26.4'!L68</f>
        <v/>
      </c>
      <c r="M68" s="191">
        <f>SUM(K68:L68)</f>
        <v/>
      </c>
      <c r="N68" s="210">
        <f>H68+'26.4'!N68</f>
        <v/>
      </c>
      <c r="O68" s="210">
        <f>I68+'26.4'!O68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6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1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[6]产量!$C$15</f>
        <v/>
      </c>
      <c r="F7" s="148">
        <f>[6]产量!$C$19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E7+'26.5'!K7</f>
        <v/>
      </c>
      <c r="L7" s="150">
        <f>F7+'26.5'!L7</f>
        <v/>
      </c>
      <c r="M7" s="147">
        <f>SUM(K7:L7)</f>
        <v/>
      </c>
      <c r="N7" s="150">
        <f>H7+'26.5'!N7</f>
        <v/>
      </c>
      <c r="O7" s="150">
        <f>I7+'26.5'!O7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[6]产量!$E$15</f>
        <v/>
      </c>
      <c r="F8" s="148">
        <f>[6]产量!$E$19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E8+'26.5'!K8</f>
        <v/>
      </c>
      <c r="L8" s="150">
        <f>F8+'26.5'!L8</f>
        <v/>
      </c>
      <c r="M8" s="147">
        <f>SUM(K8:L8)</f>
        <v/>
      </c>
      <c r="N8" s="150">
        <f>H8+'26.5'!N8</f>
        <v/>
      </c>
      <c r="O8" s="150">
        <f>I8+'26.5'!O8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[6]产量!$G$6</f>
        <v/>
      </c>
      <c r="F9" s="148">
        <f>[6]产量!$G$7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E9+'26.5'!K9</f>
        <v/>
      </c>
      <c r="L9" s="150">
        <f>F9+'26.5'!L9</f>
        <v/>
      </c>
      <c r="M9" s="147">
        <f>SUM(K9:L9)</f>
        <v/>
      </c>
      <c r="N9" s="150">
        <f>H9+'26.5'!N9</f>
        <v/>
      </c>
      <c r="O9" s="150">
        <f>I9+'26.5'!O9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[6]产量!$G$29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E10+'26.5'!K10</f>
        <v/>
      </c>
      <c r="L10" s="150">
        <f>F10+'26.5'!L10</f>
        <v/>
      </c>
      <c r="M10" s="147">
        <f>SUM(K10:L10)</f>
        <v/>
      </c>
      <c r="N10" s="150">
        <f>H10+'26.5'!N10</f>
        <v/>
      </c>
      <c r="O10" s="150">
        <f>I10+'26.5'!O10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[6]产量!$G$28</f>
        <v/>
      </c>
      <c r="F11" s="148">
        <f>[6]产量!$G$30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E11+'26.5'!K11</f>
        <v/>
      </c>
      <c r="L11" s="150">
        <f>F11+'26.5'!L11</f>
        <v/>
      </c>
      <c r="M11" s="147">
        <f>SUM(K11:L11)</f>
        <v/>
      </c>
      <c r="N11" s="150">
        <f>H11+'26.5'!N11</f>
        <v/>
      </c>
      <c r="O11" s="150">
        <f>I11+'26.5'!O11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[6]产量!$G$15</f>
        <v/>
      </c>
      <c r="F12" s="148">
        <f>[6]产量!$G$19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E12+'26.5'!K12</f>
        <v/>
      </c>
      <c r="L12" s="150">
        <f>F12+'26.5'!L12</f>
        <v/>
      </c>
      <c r="M12" s="147">
        <f>SUM(K12:L12)</f>
        <v/>
      </c>
      <c r="N12" s="150">
        <f>H12+'26.5'!N12</f>
        <v/>
      </c>
      <c r="O12" s="150">
        <f>I12+'26.5'!O12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E15+'26.5'!K15</f>
        <v/>
      </c>
      <c r="L15" s="150">
        <f>F15+'26.5'!L15</f>
        <v/>
      </c>
      <c r="M15" s="147">
        <f>SUM(K15:L15)</f>
        <v/>
      </c>
      <c r="N15" s="150">
        <f>H15+'26.5'!N15</f>
        <v/>
      </c>
      <c r="O15" s="150">
        <f>I15+'26.5'!O15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E16+'26.5'!K16</f>
        <v/>
      </c>
      <c r="L16" s="150">
        <f>F16+'26.5'!L16</f>
        <v/>
      </c>
      <c r="M16" s="147">
        <f>SUM(K16:L16)</f>
        <v/>
      </c>
      <c r="N16" s="150">
        <f>H16+'26.5'!N16</f>
        <v/>
      </c>
      <c r="O16" s="150">
        <f>I16+'26.5'!O16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E18+'26.5'!K18</f>
        <v/>
      </c>
      <c r="L18" s="150">
        <f>F18+'26.5'!L18</f>
        <v/>
      </c>
      <c r="M18" s="147">
        <f>SUM(K18:L18)</f>
        <v/>
      </c>
      <c r="N18" s="150">
        <f>H18+'26.5'!N18</f>
        <v/>
      </c>
      <c r="O18" s="150">
        <f>I18+'26.5'!O18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E19+'26.5'!K19</f>
        <v/>
      </c>
      <c r="L19" s="150">
        <f>F19+'26.5'!L19</f>
        <v/>
      </c>
      <c r="M19" s="147">
        <f>SUM(K19:L19)</f>
        <v/>
      </c>
      <c r="N19" s="150">
        <f>H19+'26.5'!N19</f>
        <v/>
      </c>
      <c r="O19" s="150">
        <f>I19+'26.5'!O19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E20+'26.5'!K20</f>
        <v/>
      </c>
      <c r="L20" s="150">
        <f>F20+'26.5'!L20</f>
        <v/>
      </c>
      <c r="M20" s="147">
        <f>SUM(K20:L20)</f>
        <v/>
      </c>
      <c r="N20" s="150">
        <f>H20+'26.5'!N20</f>
        <v/>
      </c>
      <c r="O20" s="150">
        <f>I20+'26.5'!O20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E21+'26.5'!K21</f>
        <v/>
      </c>
      <c r="L21" s="150">
        <f>F21+'26.5'!L21</f>
        <v/>
      </c>
      <c r="M21" s="147">
        <f>SUM(K21:L21)</f>
        <v/>
      </c>
      <c r="N21" s="150">
        <f>H21+'26.5'!N21</f>
        <v/>
      </c>
      <c r="O21" s="150">
        <f>I21+'26.5'!O21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E22+'26.5'!K22</f>
        <v/>
      </c>
      <c r="L22" s="150">
        <f>F22+'26.5'!L22</f>
        <v/>
      </c>
      <c r="M22" s="147">
        <f>SUM(K22:L22)</f>
        <v/>
      </c>
      <c r="N22" s="150">
        <f>H22+'26.5'!N22</f>
        <v/>
      </c>
      <c r="O22" s="150">
        <f>I22+'26.5'!O22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E23+'26.5'!K23</f>
        <v/>
      </c>
      <c r="L23" s="150">
        <f>F23+'26.5'!L23</f>
        <v/>
      </c>
      <c r="M23" s="147">
        <f>SUM(K23:L23)</f>
        <v/>
      </c>
      <c r="N23" s="150">
        <f>H23+'26.5'!N23</f>
        <v/>
      </c>
      <c r="O23" s="150">
        <f>I23+'26.5'!O23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E24+'26.5'!K24</f>
        <v/>
      </c>
      <c r="L24" s="150">
        <f>F24+'26.5'!L24</f>
        <v/>
      </c>
      <c r="M24" s="147">
        <f>SUM(K24:L24)</f>
        <v/>
      </c>
      <c r="N24" s="150">
        <f>H24+'26.5'!N24</f>
        <v/>
      </c>
      <c r="O24" s="150">
        <f>I24+'26.5'!O24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E25+'26.5'!K25</f>
        <v/>
      </c>
      <c r="L25" s="150">
        <f>F25+'26.5'!L25</f>
        <v/>
      </c>
      <c r="M25" s="147">
        <f>SUM(K25:L25)</f>
        <v/>
      </c>
      <c r="N25" s="150">
        <f>H25+'26.5'!N25</f>
        <v/>
      </c>
      <c r="O25" s="150">
        <f>I25+'26.5'!O25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E26+'26.5'!K26</f>
        <v/>
      </c>
      <c r="L26" s="150">
        <f>F26+'26.5'!L26</f>
        <v/>
      </c>
      <c r="M26" s="147">
        <f>SUM(K26:L26)</f>
        <v/>
      </c>
      <c r="N26" s="150">
        <f>H26+'26.5'!N26</f>
        <v/>
      </c>
      <c r="O26" s="150">
        <f>I26+'26.5'!O26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E27+'26.5'!K27</f>
        <v/>
      </c>
      <c r="L27" s="150">
        <f>F27+'26.5'!L27</f>
        <v/>
      </c>
      <c r="M27" s="162">
        <f>SUM(K27:L27)</f>
        <v/>
      </c>
      <c r="N27" s="150">
        <f>H27+'26.5'!N27</f>
        <v/>
      </c>
      <c r="O27" s="150">
        <f>I27+'26.5'!O27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E28+'26.5'!K28</f>
        <v/>
      </c>
      <c r="L28" s="150">
        <f>F28+'26.5'!L28</f>
        <v/>
      </c>
      <c r="M28" s="162">
        <f>SUM(K28:L28)</f>
        <v/>
      </c>
      <c r="N28" s="150">
        <f>H28+'26.5'!N28</f>
        <v/>
      </c>
      <c r="O28" s="150">
        <f>I28+'26.5'!O28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E29+'26.5'!K29</f>
        <v/>
      </c>
      <c r="L29" s="150">
        <f>F29+'26.5'!L29</f>
        <v/>
      </c>
      <c r="M29" s="147">
        <f>SUM(K29:L29)</f>
        <v/>
      </c>
      <c r="N29" s="150">
        <f>H29+'26.5'!N29</f>
        <v/>
      </c>
      <c r="O29" s="150">
        <f>I29+'26.5'!O29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E30+'26.5'!K30</f>
        <v/>
      </c>
      <c r="L30" s="150">
        <f>F30+'26.5'!L30</f>
        <v/>
      </c>
      <c r="M30" s="147">
        <f>M7-M8</f>
        <v/>
      </c>
      <c r="N30" s="150">
        <f>H30+'26.5'!N30</f>
        <v/>
      </c>
      <c r="O30" s="150">
        <f>I30+'26.5'!O30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E31+'26.5'!K31</f>
        <v/>
      </c>
      <c r="L31" s="150">
        <f>F31+'26.5'!L31</f>
        <v/>
      </c>
      <c r="M31" s="147">
        <f>SUM(K31:L31)</f>
        <v/>
      </c>
      <c r="N31" s="150">
        <f>H31+'26.5'!N31</f>
        <v/>
      </c>
      <c r="O31" s="150">
        <f>I31+'26.5'!O31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E33+'26.5'!K33</f>
        <v/>
      </c>
      <c r="L33" s="150">
        <f>F33+'26.5'!L33</f>
        <v/>
      </c>
      <c r="M33" s="147">
        <f>SUM(K33:L33)</f>
        <v/>
      </c>
      <c r="N33" s="150">
        <f>H33+'26.5'!N33</f>
        <v/>
      </c>
      <c r="O33" s="150">
        <f>I33+'26.5'!O33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E34+'26.5'!K34</f>
        <v/>
      </c>
      <c r="L34" s="150">
        <f>F34+'26.5'!L34</f>
        <v/>
      </c>
      <c r="M34" s="147">
        <f>SUM(K34:L34)</f>
        <v/>
      </c>
      <c r="N34" s="150">
        <f>H34+'26.5'!N34</f>
        <v/>
      </c>
      <c r="O34" s="150">
        <f>I34+'26.5'!O34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E40+'26.5'!K40</f>
        <v/>
      </c>
      <c r="L40" s="150">
        <f>F40+'26.5'!L40</f>
        <v/>
      </c>
      <c r="M40" s="147">
        <f>SUM(K40:L40)</f>
        <v/>
      </c>
      <c r="N40" s="150">
        <f>H40+'26.5'!N40</f>
        <v/>
      </c>
      <c r="O40" s="150">
        <f>I40+'26.5'!O40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E41+'26.5'!K41</f>
        <v/>
      </c>
      <c r="L41" s="150">
        <f>F41+'26.5'!L41</f>
        <v/>
      </c>
      <c r="M41" s="147">
        <f>SUM(K41:L41)</f>
        <v/>
      </c>
      <c r="N41" s="150">
        <f>H41+'26.5'!N41</f>
        <v/>
      </c>
      <c r="O41" s="150">
        <f>I41+'26.5'!O41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E43+'26.5'!K43</f>
        <v/>
      </c>
      <c r="L43" s="150">
        <f>F43+'26.5'!L43</f>
        <v/>
      </c>
      <c r="M43" s="147">
        <f>SUM(K43:L43)</f>
        <v/>
      </c>
      <c r="N43" s="150">
        <f>H43+'26.5'!N43</f>
        <v/>
      </c>
      <c r="O43" s="150">
        <f>I43+'26.5'!O43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E44+'26.5'!K44</f>
        <v/>
      </c>
      <c r="L44" s="150">
        <f>F44+'26.5'!L44</f>
        <v/>
      </c>
      <c r="M44" s="147">
        <f>SUM(K44:L44)</f>
        <v/>
      </c>
      <c r="N44" s="150">
        <f>H44+'26.5'!N44</f>
        <v/>
      </c>
      <c r="O44" s="150">
        <f>I44+'26.5'!O44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D7/10000/D6/(DAY(DATE(2026,7,0))*24)</f>
        <v/>
      </c>
      <c r="E52" s="176">
        <f>E7/10000/E6/(DAY(DATE(2026,7,0))*24)</f>
        <v/>
      </c>
      <c r="F52" s="176">
        <f>F7/10000/F6/(DAY(DATE(2026,7,0))*24)</f>
        <v/>
      </c>
      <c r="G52" s="176">
        <f>G7/10000/G6/(DAY(DATE(2026,7,0))*24)</f>
        <v/>
      </c>
      <c r="H52" s="176">
        <f>H7/10000/H6/(DAY(DATE(2026,7,0))*24)</f>
        <v/>
      </c>
      <c r="I52" s="177">
        <f>I7/10000/I6/(DAY(DATE(2026,7,0))*24)</f>
        <v/>
      </c>
      <c r="J52" s="176">
        <f>J7/10000/J6/(DATEDIF(DATE(2026,1,1),DATE(2026,7,1),"D")*24)</f>
        <v/>
      </c>
      <c r="K52" s="176">
        <f>K7/10000/K6/(DATEDIF(DATE(2026,1,1),DATE(2026,7,1),"D")*24)</f>
        <v/>
      </c>
      <c r="L52" s="176">
        <f>L7/10000/L6/(DATEDIF(DATE(2026,1,1),DATE(2026,7,1),"D")*24)</f>
        <v/>
      </c>
      <c r="M52" s="176">
        <f>M7/10000/M6/(DATEDIF(DATE(2026,1,1),DATE(2026,7,1),"D")*24)</f>
        <v/>
      </c>
      <c r="N52" s="176">
        <f>N7/10000/N6/(DATEDIF(DATE(2026,1,1),DATE(2026,7,1),"D")*24)</f>
        <v/>
      </c>
      <c r="O52" s="177">
        <f>O7/10000/O6/(DATEDIF(DATE(2026,1,1),DATE(2026,7,1),"D")*24)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D9*1000/1986/((DAY(DATE(2026,7,0))*24)*3600)</f>
        <v/>
      </c>
      <c r="E53" s="180">
        <f>E9*1000/577/((DAY(DATE(2026,7,0))*24)*3600)</f>
        <v/>
      </c>
      <c r="F53" s="177">
        <f>F9*1000/528/((DAY(DATE(2026,7,0))*24)*3600)</f>
        <v/>
      </c>
      <c r="G53" s="180">
        <f>G9*1000/1442/((DAY(DATE(2026,7,0))*24)*3600)</f>
        <v/>
      </c>
      <c r="H53" s="177">
        <f>H9*1000/414/((DAY(DATE(2026,7,0))*24)*3600)</f>
        <v/>
      </c>
      <c r="I53" s="177">
        <f>I9*1000/130/((DAY(DATE(2026,7,0))*24)*3600)</f>
        <v/>
      </c>
      <c r="J53" s="176">
        <f>J9*1000/1986/((DATEDIF(DATE(2026,1,1),DATE(2026,7,1),"D")*24)*3600)</f>
        <v/>
      </c>
      <c r="K53" s="180">
        <f>K9*1000/577/((DATEDIF(DATE(2026,1,1),DATE(2026,7,1),"D")*24)*3600)</f>
        <v/>
      </c>
      <c r="L53" s="177">
        <f>L9*1000/528/((DATEDIF(DATE(2026,1,1),DATE(2026,7,1),"D")*24)*3600)</f>
        <v/>
      </c>
      <c r="M53" s="180">
        <f>M9*1000/1442/((DATEDIF(DATE(2026,1,1),DATE(2026,7,1),"D")*24)*3600)</f>
        <v/>
      </c>
      <c r="N53" s="177">
        <f>N9*1000/414/((DATEDIF(DATE(2026,1,1),DATE(2026,7,1),"D")*24)*3600)</f>
        <v/>
      </c>
      <c r="O53" s="177">
        <f>O9*1000/130/((DATEDIF(DATE(2026,1,1),DATE(2026,7,1),"D")*24)*3600)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E57+'26.5'!K57</f>
        <v/>
      </c>
      <c r="L57" s="150">
        <f>F57+'26.5'!L57</f>
        <v/>
      </c>
      <c r="M57" s="147">
        <f>SUM(K57:L57)</f>
        <v/>
      </c>
      <c r="N57" s="150">
        <f>H57+'26.5'!N57</f>
        <v/>
      </c>
      <c r="O57" s="150">
        <f>I57+'26.5'!O57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E58+'26.5'!K58</f>
        <v/>
      </c>
      <c r="L58" s="150">
        <f>F58+'26.5'!L58</f>
        <v/>
      </c>
      <c r="M58" s="147">
        <f>SUM(K58:L58)</f>
        <v/>
      </c>
      <c r="N58" s="150">
        <f>H58+'26.5'!N58</f>
        <v/>
      </c>
      <c r="O58" s="150">
        <f>I58+'26.5'!O58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'26.5'!K59+E57-E14-E58</f>
        <v/>
      </c>
      <c r="L59" s="208">
        <f>'26.5'!L59+F57-F14-F58</f>
        <v/>
      </c>
      <c r="M59" s="152">
        <f>SUM(K59:L59)</f>
        <v/>
      </c>
      <c r="N59" s="208">
        <f>'26.5'!N59+H57-H14-H58</f>
        <v/>
      </c>
      <c r="O59" s="208">
        <f>'26.5'!O59+I57-I14-I58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E60+'26.5'!K60</f>
        <v/>
      </c>
      <c r="L60" s="150">
        <f>F60+'26.5'!L60</f>
        <v/>
      </c>
      <c r="M60" s="172">
        <f>SUM(K60:L60)</f>
        <v/>
      </c>
      <c r="N60" s="150">
        <f>H60+'26.5'!N60</f>
        <v/>
      </c>
      <c r="O60" s="150">
        <f>I60+'26.5'!O60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E61+'26.5'!K61</f>
        <v/>
      </c>
      <c r="L61" s="150">
        <f>F61+'26.5'!L61</f>
        <v/>
      </c>
      <c r="M61" s="147">
        <f>SUM(K61:L61)</f>
        <v/>
      </c>
      <c r="N61" s="150">
        <f>H61+'26.5'!N61</f>
        <v/>
      </c>
      <c r="O61" s="150">
        <f>I61+'26.5'!O61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E62+'26.5'!K62</f>
        <v/>
      </c>
      <c r="L62" s="150">
        <f>F62+'26.5'!L62</f>
        <v/>
      </c>
      <c r="M62" s="147">
        <f>SUM(K62:L62)</f>
        <v/>
      </c>
      <c r="N62" s="150">
        <f>H62+'26.5'!N62</f>
        <v/>
      </c>
      <c r="O62" s="150">
        <f>I62+'26.5'!O62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E63+'26.5'!K63</f>
        <v/>
      </c>
      <c r="L63" s="150">
        <f>F63+'26.5'!L63</f>
        <v/>
      </c>
      <c r="M63" s="147">
        <f>SUM(K63:L63)</f>
        <v/>
      </c>
      <c r="N63" s="150">
        <f>H63+'26.5'!N63</f>
        <v/>
      </c>
      <c r="O63" s="150">
        <f>I63+'26.5'!O63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E64+'26.5'!K64</f>
        <v/>
      </c>
      <c r="L64" s="150">
        <f>F64+'26.5'!L64</f>
        <v/>
      </c>
      <c r="M64" s="147">
        <f>SUM(K64:L64)</f>
        <v/>
      </c>
      <c r="N64" s="150">
        <f>H64+'26.5'!N64</f>
        <v/>
      </c>
      <c r="O64" s="150">
        <f>I64+'26.5'!O64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E65+'26.5'!K65</f>
        <v/>
      </c>
      <c r="L65" s="150">
        <f>F65+'26.5'!L65</f>
        <v/>
      </c>
      <c r="M65" s="191">
        <f>SUM(K65:L65)</f>
        <v/>
      </c>
      <c r="N65" s="150">
        <f>H65+'26.5'!N65</f>
        <v/>
      </c>
      <c r="O65" s="150">
        <f>I65+'26.5'!O65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E66+'26.5'!K66</f>
        <v/>
      </c>
      <c r="L66" s="150">
        <f>F66+'26.5'!L66</f>
        <v/>
      </c>
      <c r="M66" s="194">
        <f>SUM(K66:L66)</f>
        <v/>
      </c>
      <c r="N66" s="150">
        <f>H66+'26.5'!N66</f>
        <v/>
      </c>
      <c r="O66" s="150">
        <f>I66+'26.5'!O66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[7]产量!$C$15</f>
        <v/>
      </c>
      <c r="F7" s="209">
        <f>[7]产量!$C$19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E7+'26.6'!K7</f>
        <v/>
      </c>
      <c r="L7" s="210">
        <f>F7+'26.6'!L7</f>
        <v/>
      </c>
      <c r="M7" s="147">
        <f>SUM(K7:L7)</f>
        <v/>
      </c>
      <c r="N7" s="210">
        <f>H7+'26.6'!N7</f>
        <v/>
      </c>
      <c r="O7" s="210">
        <f>I7+'26.6'!O7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[7]产量!$E$15</f>
        <v/>
      </c>
      <c r="F8" s="209">
        <f>[7]产量!$E$19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E8+'26.6'!K8</f>
        <v/>
      </c>
      <c r="L8" s="210">
        <f>F8+'26.6'!L8</f>
        <v/>
      </c>
      <c r="M8" s="147">
        <f>SUM(K8:L8)</f>
        <v/>
      </c>
      <c r="N8" s="210">
        <f>H8+'26.6'!N8</f>
        <v/>
      </c>
      <c r="O8" s="210">
        <f>I8+'26.6'!O8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[7]产量!$G$6</f>
        <v/>
      </c>
      <c r="F9" s="209">
        <f>[7]产量!$G$7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E9+'26.6'!K9</f>
        <v/>
      </c>
      <c r="L9" s="210">
        <f>F9+'26.6'!L9</f>
        <v/>
      </c>
      <c r="M9" s="147">
        <f>SUM(K9:L9)</f>
        <v/>
      </c>
      <c r="N9" s="210">
        <f>H9+'26.6'!N9</f>
        <v/>
      </c>
      <c r="O9" s="210">
        <f>I9+'26.6'!O9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[7]产量!$G$29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E10+'26.6'!K10</f>
        <v/>
      </c>
      <c r="L10" s="210">
        <f>F10+'26.6'!L10</f>
        <v/>
      </c>
      <c r="M10" s="147">
        <f>SUM(K10:L10)</f>
        <v/>
      </c>
      <c r="N10" s="210">
        <f>H10+'26.6'!N10</f>
        <v/>
      </c>
      <c r="O10" s="210">
        <f>I10+'26.6'!O10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[7]产量!$G$28</f>
        <v/>
      </c>
      <c r="F11" s="209">
        <f>[7]产量!$G$30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E11+'26.6'!K11</f>
        <v/>
      </c>
      <c r="L11" s="210">
        <f>F11+'26.6'!L11</f>
        <v/>
      </c>
      <c r="M11" s="147">
        <f>SUM(K11:L11)</f>
        <v/>
      </c>
      <c r="N11" s="210">
        <f>H11+'26.6'!N11</f>
        <v/>
      </c>
      <c r="O11" s="210">
        <f>I11+'26.6'!O11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[7]产量!$G$15</f>
        <v/>
      </c>
      <c r="F12" s="209">
        <f>[7]产量!$G$19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E12+'26.6'!K12</f>
        <v/>
      </c>
      <c r="L12" s="210">
        <f>F12+'26.6'!L12</f>
        <v/>
      </c>
      <c r="M12" s="147">
        <f>SUM(K12:L12)</f>
        <v/>
      </c>
      <c r="N12" s="210">
        <f>H12+'26.6'!N12</f>
        <v/>
      </c>
      <c r="O12" s="210">
        <f>I12+'26.6'!O12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E15+'26.6'!K15</f>
        <v/>
      </c>
      <c r="L15" s="210">
        <f>F15+'26.6'!L15</f>
        <v/>
      </c>
      <c r="M15" s="147">
        <f>SUM(K15:L15)</f>
        <v/>
      </c>
      <c r="N15" s="210">
        <f>H15+'26.6'!N15</f>
        <v/>
      </c>
      <c r="O15" s="210">
        <f>I15+'26.6'!O15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E16+'26.6'!K16</f>
        <v/>
      </c>
      <c r="L16" s="210">
        <f>F16+'26.6'!L16</f>
        <v/>
      </c>
      <c r="M16" s="147">
        <f>SUM(K16:L16)</f>
        <v/>
      </c>
      <c r="N16" s="210">
        <f>H16+'26.6'!N16</f>
        <v/>
      </c>
      <c r="O16" s="210">
        <f>I16+'26.6'!O16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E18+'26.6'!K18</f>
        <v/>
      </c>
      <c r="L18" s="210">
        <f>F18+'26.6'!L18</f>
        <v/>
      </c>
      <c r="M18" s="147">
        <f>SUM(K18:L18)</f>
        <v/>
      </c>
      <c r="N18" s="210">
        <f>H18+'26.6'!N18</f>
        <v/>
      </c>
      <c r="O18" s="210">
        <f>I18+'26.6'!O18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E19+'26.6'!K19</f>
        <v/>
      </c>
      <c r="L19" s="210">
        <f>F19+'26.6'!L19</f>
        <v/>
      </c>
      <c r="M19" s="147">
        <f>SUM(K19:L19)</f>
        <v/>
      </c>
      <c r="N19" s="210">
        <f>H19+'26.6'!N19</f>
        <v/>
      </c>
      <c r="O19" s="210">
        <f>I19+'26.6'!O19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E20+'26.6'!K20</f>
        <v/>
      </c>
      <c r="L20" s="210">
        <f>F20+'26.6'!L20</f>
        <v/>
      </c>
      <c r="M20" s="147">
        <f>SUM(K20:L20)</f>
        <v/>
      </c>
      <c r="N20" s="210">
        <f>H20+'26.6'!N20</f>
        <v/>
      </c>
      <c r="O20" s="210">
        <f>I20+'26.6'!O20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E21+'26.6'!K21</f>
        <v/>
      </c>
      <c r="L21" s="210">
        <f>F21+'26.6'!L21</f>
        <v/>
      </c>
      <c r="M21" s="147">
        <f>SUM(K21:L21)</f>
        <v/>
      </c>
      <c r="N21" s="210">
        <f>H21+'26.6'!N21</f>
        <v/>
      </c>
      <c r="O21" s="210">
        <f>I21+'26.6'!O21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E22+'26.6'!K22</f>
        <v/>
      </c>
      <c r="L22" s="210">
        <f>F22+'26.6'!L22</f>
        <v/>
      </c>
      <c r="M22" s="147">
        <f>SUM(K22:L22)</f>
        <v/>
      </c>
      <c r="N22" s="210">
        <f>H22+'26.6'!N22</f>
        <v/>
      </c>
      <c r="O22" s="210">
        <f>I22+'26.6'!O22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E23+'26.6'!K23</f>
        <v/>
      </c>
      <c r="L23" s="210">
        <f>F23+'26.6'!L23</f>
        <v/>
      </c>
      <c r="M23" s="147">
        <f>SUM(K23:L23)</f>
        <v/>
      </c>
      <c r="N23" s="210">
        <f>H23+'26.6'!N23</f>
        <v/>
      </c>
      <c r="O23" s="210">
        <f>I23+'26.6'!O23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E24+'26.6'!K24</f>
        <v/>
      </c>
      <c r="L24" s="210">
        <f>F24+'26.6'!L24</f>
        <v/>
      </c>
      <c r="M24" s="147">
        <f>SUM(K24:L24)</f>
        <v/>
      </c>
      <c r="N24" s="210">
        <f>H24+'26.6'!N24</f>
        <v/>
      </c>
      <c r="O24" s="210">
        <f>I24+'26.6'!O24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E25+'26.6'!K25</f>
        <v/>
      </c>
      <c r="L25" s="210">
        <f>F25+'26.6'!L25</f>
        <v/>
      </c>
      <c r="M25" s="147">
        <f>SUM(K25:L25)</f>
        <v/>
      </c>
      <c r="N25" s="210">
        <f>H25+'26.6'!N25</f>
        <v/>
      </c>
      <c r="O25" s="210">
        <f>I25+'26.6'!O25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E26+'26.6'!K26</f>
        <v/>
      </c>
      <c r="L26" s="210">
        <f>F26+'26.6'!L26</f>
        <v/>
      </c>
      <c r="M26" s="147">
        <f>SUM(K26:L26)</f>
        <v/>
      </c>
      <c r="N26" s="210">
        <f>H26+'26.6'!N26</f>
        <v/>
      </c>
      <c r="O26" s="210">
        <f>I26+'26.6'!O26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E27+'26.6'!K27</f>
        <v/>
      </c>
      <c r="L27" s="210">
        <f>F27+'26.6'!L27</f>
        <v/>
      </c>
      <c r="M27" s="162">
        <f>SUM(K27:L27)</f>
        <v/>
      </c>
      <c r="N27" s="210">
        <f>H27+'26.6'!N27</f>
        <v/>
      </c>
      <c r="O27" s="210">
        <f>I27+'26.6'!O27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E28+'26.6'!K28</f>
        <v/>
      </c>
      <c r="L28" s="210">
        <f>F28+'26.6'!L28</f>
        <v/>
      </c>
      <c r="M28" s="162">
        <f>SUM(K28:L28)</f>
        <v/>
      </c>
      <c r="N28" s="210">
        <f>H28+'26.6'!N28</f>
        <v/>
      </c>
      <c r="O28" s="210">
        <f>I28+'26.6'!O28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E29+'26.6'!K29</f>
        <v/>
      </c>
      <c r="L29" s="210">
        <f>F29+'26.6'!L29</f>
        <v/>
      </c>
      <c r="M29" s="147">
        <f>SUM(K29:L29)</f>
        <v/>
      </c>
      <c r="N29" s="210">
        <f>H29+'26.6'!N29</f>
        <v/>
      </c>
      <c r="O29" s="210">
        <f>I29+'26.6'!O29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E30+'26.6'!K30</f>
        <v/>
      </c>
      <c r="L30" s="210">
        <f>F30+'26.6'!L30</f>
        <v/>
      </c>
      <c r="M30" s="147">
        <f>M7-M8</f>
        <v/>
      </c>
      <c r="N30" s="210">
        <f>H30+'26.6'!N30</f>
        <v/>
      </c>
      <c r="O30" s="210">
        <f>I30+'26.6'!O30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E31+'26.6'!K31</f>
        <v/>
      </c>
      <c r="L31" s="210">
        <f>F31+'26.6'!L31</f>
        <v/>
      </c>
      <c r="M31" s="147">
        <f>SUM(K31:L31)</f>
        <v/>
      </c>
      <c r="N31" s="210">
        <f>H31+'26.6'!N31</f>
        <v/>
      </c>
      <c r="O31" s="210">
        <f>I31+'26.6'!O31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E33+'26.6'!K33</f>
        <v/>
      </c>
      <c r="L33" s="210">
        <f>F33+'26.6'!L33</f>
        <v/>
      </c>
      <c r="M33" s="147">
        <f>SUM(K33:L33)</f>
        <v/>
      </c>
      <c r="N33" s="210">
        <f>H33+'26.6'!N33</f>
        <v/>
      </c>
      <c r="O33" s="210">
        <f>I33+'26.6'!O33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E34+'26.6'!K34</f>
        <v/>
      </c>
      <c r="L34" s="210">
        <f>F34+'26.6'!L34</f>
        <v/>
      </c>
      <c r="M34" s="147">
        <f>SUM(K34:L34)</f>
        <v/>
      </c>
      <c r="N34" s="210">
        <f>H34+'26.6'!N34</f>
        <v/>
      </c>
      <c r="O34" s="210">
        <f>I34+'26.6'!O34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E40+'26.6'!K40</f>
        <v/>
      </c>
      <c r="L40" s="210">
        <f>F40+'26.6'!L40</f>
        <v/>
      </c>
      <c r="M40" s="147">
        <f>SUM(K40:L40)</f>
        <v/>
      </c>
      <c r="N40" s="210">
        <f>H40+'26.6'!N40</f>
        <v/>
      </c>
      <c r="O40" s="210">
        <f>I40+'26.6'!O40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E41+'26.6'!K41</f>
        <v/>
      </c>
      <c r="L41" s="210">
        <f>F41+'26.6'!L41</f>
        <v/>
      </c>
      <c r="M41" s="147">
        <f>SUM(K41:L41)</f>
        <v/>
      </c>
      <c r="N41" s="210">
        <f>H41+'26.6'!N41</f>
        <v/>
      </c>
      <c r="O41" s="210">
        <f>I41+'26.6'!O41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E43+'26.6'!K43</f>
        <v/>
      </c>
      <c r="L43" s="210">
        <f>F43+'26.6'!L43</f>
        <v/>
      </c>
      <c r="M43" s="147">
        <f>SUM(K43:L43)</f>
        <v/>
      </c>
      <c r="N43" s="210">
        <f>H43+'26.6'!N43</f>
        <v/>
      </c>
      <c r="O43" s="210">
        <f>I43+'26.6'!O43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E44+'26.6'!K44</f>
        <v/>
      </c>
      <c r="L44" s="210">
        <f>F44+'26.6'!L44</f>
        <v/>
      </c>
      <c r="M44" s="147">
        <f>SUM(K44:L44)</f>
        <v/>
      </c>
      <c r="N44" s="210">
        <f>H44+'26.6'!N44</f>
        <v/>
      </c>
      <c r="O44" s="210">
        <f>I44+'26.6'!O44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D7/10000/D6/(DAY(DATE(2026,8,0))*24)</f>
        <v/>
      </c>
      <c r="E52" s="176">
        <f>E7/10000/E6/(DAY(DATE(2026,8,0))*24)</f>
        <v/>
      </c>
      <c r="F52" s="176">
        <f>F7/10000/F6/(DAY(DATE(2026,8,0))*24)</f>
        <v/>
      </c>
      <c r="G52" s="176">
        <f>G7/10000/G6/(DAY(DATE(2026,8,0))*24)</f>
        <v/>
      </c>
      <c r="H52" s="176">
        <f>H7/10000/H6/(DAY(DATE(2026,8,0))*24)</f>
        <v/>
      </c>
      <c r="I52" s="177">
        <f>I7/10000/I6/(DAY(DATE(2026,8,0))*24)</f>
        <v/>
      </c>
      <c r="J52" s="176">
        <f>J7/10000/J6/(DATEDIF(DATE(2026,1,1),DATE(2026,8,1),"D")*24)</f>
        <v/>
      </c>
      <c r="K52" s="176">
        <f>K7/10000/K6/(DATEDIF(DATE(2026,1,1),DATE(2026,8,1),"D")*24)</f>
        <v/>
      </c>
      <c r="L52" s="176">
        <f>L7/10000/L6/(DATEDIF(DATE(2026,1,1),DATE(2026,8,1),"D")*24)</f>
        <v/>
      </c>
      <c r="M52" s="176">
        <f>M7/10000/M6/(DATEDIF(DATE(2026,1,1),DATE(2026,8,1),"D")*24)</f>
        <v/>
      </c>
      <c r="N52" s="176">
        <f>N7/10000/N6/(DATEDIF(DATE(2026,1,1),DATE(2026,8,1),"D")*24)</f>
        <v/>
      </c>
      <c r="O52" s="177">
        <f>O7/10000/O6/(DATEDIF(DATE(2026,1,1),DATE(2026,8,1),"D")*24)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D9*1000/1986/((DAY(DATE(2026,8,0))*24)*3600)</f>
        <v/>
      </c>
      <c r="E53" s="180">
        <f>E9*1000/577/((DAY(DATE(2026,8,0))*24)*3600)</f>
        <v/>
      </c>
      <c r="F53" s="177">
        <f>F9*1000/528/((DAY(DATE(2026,8,0))*24)*3600)</f>
        <v/>
      </c>
      <c r="G53" s="180">
        <f>G9*1000/1442/((DAY(DATE(2026,8,0))*24)*3600)</f>
        <v/>
      </c>
      <c r="H53" s="177">
        <f>H9*1000/414/((DAY(DATE(2026,8,0))*24)*3600)</f>
        <v/>
      </c>
      <c r="I53" s="177">
        <f>I9*1000/130/((DAY(DATE(2026,8,0))*24)*3600)</f>
        <v/>
      </c>
      <c r="J53" s="176">
        <f>J9*1000/1986/((DATEDIF(DATE(2026,1,1),DATE(2026,8,1),"D")*24)*3600)</f>
        <v/>
      </c>
      <c r="K53" s="180">
        <f>K9*1000/577/((DATEDIF(DATE(2026,1,1),DATE(2026,8,1),"D")*24)*3600)</f>
        <v/>
      </c>
      <c r="L53" s="177">
        <f>L9*1000/528/((DATEDIF(DATE(2026,1,1),DATE(2026,8,1),"D")*24)*3600)</f>
        <v/>
      </c>
      <c r="M53" s="180">
        <f>M9*1000/1442/((DATEDIF(DATE(2026,1,1),DATE(2026,8,1),"D")*24)*3600)</f>
        <v/>
      </c>
      <c r="N53" s="177">
        <f>N9*1000/414/((DATEDIF(DATE(2026,1,1),DATE(2026,8,1),"D")*24)*3600)</f>
        <v/>
      </c>
      <c r="O53" s="177">
        <f>O9*1000/130/((DATEDIF(DATE(2026,1,1),DATE(2026,8,1),"D")*24)*3600)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E57+'26.6'!K57</f>
        <v/>
      </c>
      <c r="L57" s="210">
        <f>F57+'26.6'!L57</f>
        <v/>
      </c>
      <c r="M57" s="147">
        <f>SUM(K57:L57)</f>
        <v/>
      </c>
      <c r="N57" s="210">
        <f>H57+'26.6'!N57</f>
        <v/>
      </c>
      <c r="O57" s="210">
        <f>I57+'26.6'!O57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E58+'26.6'!K58</f>
        <v/>
      </c>
      <c r="L58" s="210">
        <f>F58+'26.6'!L58</f>
        <v/>
      </c>
      <c r="M58" s="147">
        <f>SUM(K58:L58)</f>
        <v/>
      </c>
      <c r="N58" s="210">
        <f>H58+'26.6'!N58</f>
        <v/>
      </c>
      <c r="O58" s="210">
        <f>I58+'26.6'!O58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'26.6'!K59+E57-E14-E58</f>
        <v/>
      </c>
      <c r="L59" s="211">
        <f>'26.6'!L59+F57-F14-F58</f>
        <v/>
      </c>
      <c r="M59" s="152">
        <f>SUM(K59:L59)</f>
        <v/>
      </c>
      <c r="N59" s="211">
        <f>'26.6'!N59+H57-H14-H58</f>
        <v/>
      </c>
      <c r="O59" s="211">
        <f>'26.6'!O59+I57-I14-I58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E60+'26.6'!K60</f>
        <v/>
      </c>
      <c r="L60" s="210">
        <f>F60+'26.6'!L60</f>
        <v/>
      </c>
      <c r="M60" s="172">
        <f>SUM(K60:L60)</f>
        <v/>
      </c>
      <c r="N60" s="210">
        <f>H60+'26.6'!N60</f>
        <v/>
      </c>
      <c r="O60" s="210">
        <f>I60+'26.6'!O60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E61+'26.6'!K61</f>
        <v/>
      </c>
      <c r="L61" s="210">
        <f>F61+'26.6'!L61</f>
        <v/>
      </c>
      <c r="M61" s="147">
        <f>SUM(K61:L61)</f>
        <v/>
      </c>
      <c r="N61" s="210">
        <f>H61+'26.6'!N61</f>
        <v/>
      </c>
      <c r="O61" s="210">
        <f>I61+'26.6'!O61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E62+'26.6'!K62</f>
        <v/>
      </c>
      <c r="L62" s="210">
        <f>F62+'26.6'!L62</f>
        <v/>
      </c>
      <c r="M62" s="147">
        <f>SUM(K62:L62)</f>
        <v/>
      </c>
      <c r="N62" s="210">
        <f>H62+'26.6'!N62</f>
        <v/>
      </c>
      <c r="O62" s="210">
        <f>I62+'26.6'!O62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E63+'26.6'!K63</f>
        <v/>
      </c>
      <c r="L63" s="210">
        <f>F63+'26.6'!L63</f>
        <v/>
      </c>
      <c r="M63" s="147">
        <f>SUM(K63:L63)</f>
        <v/>
      </c>
      <c r="N63" s="210">
        <f>H63+'26.6'!N63</f>
        <v/>
      </c>
      <c r="O63" s="210">
        <f>I63+'26.6'!O63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E64+'26.6'!K64</f>
        <v/>
      </c>
      <c r="L64" s="210">
        <f>F64+'26.6'!L64</f>
        <v/>
      </c>
      <c r="M64" s="147">
        <f>SUM(K64:L64)</f>
        <v/>
      </c>
      <c r="N64" s="210">
        <f>H64+'26.6'!N64</f>
        <v/>
      </c>
      <c r="O64" s="210">
        <f>I64+'26.6'!O64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E65+'26.6'!K65</f>
        <v/>
      </c>
      <c r="L65" s="210">
        <f>F65+'26.6'!L65</f>
        <v/>
      </c>
      <c r="M65" s="191">
        <f>SUM(K65:L65)</f>
        <v/>
      </c>
      <c r="N65" s="210">
        <f>H65+'26.6'!N65</f>
        <v/>
      </c>
      <c r="O65" s="210">
        <f>I65+'26.6'!O65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E66+'26.6'!K66</f>
        <v/>
      </c>
      <c r="L66" s="210">
        <f>F66+'26.6'!L66</f>
        <v/>
      </c>
      <c r="M66" s="194">
        <f>SUM(K66:L66)</f>
        <v/>
      </c>
      <c r="N66" s="210">
        <f>H66+'26.6'!N66</f>
        <v/>
      </c>
      <c r="O66" s="210">
        <f>I66+'26.6'!O66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[8]产量!$C$15</f>
        <v/>
      </c>
      <c r="F7" s="148">
        <f>[8]产量!$C$19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E7+'26.7'!K7</f>
        <v/>
      </c>
      <c r="L7" s="150">
        <f>F7+'26.7'!L7</f>
        <v/>
      </c>
      <c r="M7" s="147">
        <f>SUM(K7:L7)</f>
        <v/>
      </c>
      <c r="N7" s="150">
        <f>H7+'26.7'!N7</f>
        <v/>
      </c>
      <c r="O7" s="150">
        <f>I7+'26.7'!O7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[8]产量!$E$15</f>
        <v/>
      </c>
      <c r="F8" s="148">
        <f>[8]产量!$E$19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E8+'26.7'!K8</f>
        <v/>
      </c>
      <c r="L8" s="150">
        <f>F8+'26.7'!L8</f>
        <v/>
      </c>
      <c r="M8" s="147">
        <f>SUM(K8:L8)</f>
        <v/>
      </c>
      <c r="N8" s="150">
        <f>H8+'26.7'!N8</f>
        <v/>
      </c>
      <c r="O8" s="150">
        <f>I8+'26.7'!O8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[8]产量!$G$6</f>
        <v/>
      </c>
      <c r="F9" s="148">
        <f>[8]产量!$G$7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E9+'26.7'!K9</f>
        <v/>
      </c>
      <c r="L9" s="150">
        <f>F9+'26.7'!L9</f>
        <v/>
      </c>
      <c r="M9" s="147">
        <f>SUM(K9:L9)</f>
        <v/>
      </c>
      <c r="N9" s="150">
        <f>H9+'26.7'!N9</f>
        <v/>
      </c>
      <c r="O9" s="150">
        <f>I9+'26.7'!O9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[8]产量!$G$29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E10+'26.7'!K10</f>
        <v/>
      </c>
      <c r="L10" s="150">
        <f>F10+'26.7'!L10</f>
        <v/>
      </c>
      <c r="M10" s="147">
        <f>SUM(K10:L10)</f>
        <v/>
      </c>
      <c r="N10" s="150">
        <f>H10+'26.7'!N10</f>
        <v/>
      </c>
      <c r="O10" s="150">
        <f>I10+'26.7'!O10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[8]产量!$G$28</f>
        <v/>
      </c>
      <c r="F11" s="148">
        <f>[8]产量!$G$30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E11+'26.7'!K11</f>
        <v/>
      </c>
      <c r="L11" s="150">
        <f>F11+'26.7'!L11</f>
        <v/>
      </c>
      <c r="M11" s="147">
        <f>SUM(K11:L11)</f>
        <v/>
      </c>
      <c r="N11" s="150">
        <f>H11+'26.7'!N11</f>
        <v/>
      </c>
      <c r="O11" s="150">
        <f>I11+'26.7'!O11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[8]产量!$G$15</f>
        <v/>
      </c>
      <c r="F12" s="148">
        <f>[8]产量!$G$19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E12+'26.7'!K12</f>
        <v/>
      </c>
      <c r="L12" s="150">
        <f>F12+'26.7'!L12</f>
        <v/>
      </c>
      <c r="M12" s="147">
        <f>SUM(K12:L12)</f>
        <v/>
      </c>
      <c r="N12" s="150">
        <f>H12+'26.7'!N12</f>
        <v/>
      </c>
      <c r="O12" s="150">
        <f>I12+'26.7'!O12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E15+'26.7'!K15</f>
        <v/>
      </c>
      <c r="L15" s="150">
        <f>F15+'26.7'!L15</f>
        <v/>
      </c>
      <c r="M15" s="147">
        <f>SUM(K15:L15)</f>
        <v/>
      </c>
      <c r="N15" s="150">
        <f>H15+'26.7'!N15</f>
        <v/>
      </c>
      <c r="O15" s="150">
        <f>I15+'26.7'!O15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E16+'26.7'!K16</f>
        <v/>
      </c>
      <c r="L16" s="150">
        <f>F16+'26.7'!L16</f>
        <v/>
      </c>
      <c r="M16" s="147">
        <f>SUM(K16:L16)</f>
        <v/>
      </c>
      <c r="N16" s="150">
        <f>H16+'26.7'!N16</f>
        <v/>
      </c>
      <c r="O16" s="150">
        <f>I16+'26.7'!O16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E18+'26.7'!K18</f>
        <v/>
      </c>
      <c r="L18" s="150">
        <f>F18+'26.7'!L18</f>
        <v/>
      </c>
      <c r="M18" s="147">
        <f>SUM(K18:L18)</f>
        <v/>
      </c>
      <c r="N18" s="150">
        <f>H18+'26.7'!N18</f>
        <v/>
      </c>
      <c r="O18" s="150">
        <f>I18+'26.7'!O18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E19+'26.7'!K19</f>
        <v/>
      </c>
      <c r="L19" s="150">
        <f>F19+'26.7'!L19</f>
        <v/>
      </c>
      <c r="M19" s="147">
        <f>SUM(K19:L19)</f>
        <v/>
      </c>
      <c r="N19" s="150">
        <f>H19+'26.7'!N19</f>
        <v/>
      </c>
      <c r="O19" s="150">
        <f>I19+'26.7'!O19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E20+'26.7'!K20</f>
        <v/>
      </c>
      <c r="L20" s="150">
        <f>F20+'26.7'!L20</f>
        <v/>
      </c>
      <c r="M20" s="147">
        <f>SUM(K20:L20)</f>
        <v/>
      </c>
      <c r="N20" s="150">
        <f>H20+'26.7'!N20</f>
        <v/>
      </c>
      <c r="O20" s="150">
        <f>I20+'26.7'!O20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E21+'26.7'!K21</f>
        <v/>
      </c>
      <c r="L21" s="150">
        <f>F21+'26.7'!L21</f>
        <v/>
      </c>
      <c r="M21" s="147">
        <f>SUM(K21:L21)</f>
        <v/>
      </c>
      <c r="N21" s="150">
        <f>H21+'26.7'!N21</f>
        <v/>
      </c>
      <c r="O21" s="150">
        <f>I21+'26.7'!O21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E22+'26.7'!K22</f>
        <v/>
      </c>
      <c r="L22" s="150">
        <f>F22+'26.7'!L22</f>
        <v/>
      </c>
      <c r="M22" s="147">
        <f>SUM(K22:L22)</f>
        <v/>
      </c>
      <c r="N22" s="150">
        <f>H22+'26.7'!N22</f>
        <v/>
      </c>
      <c r="O22" s="150">
        <f>I22+'26.7'!O22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E23+'26.7'!K23</f>
        <v/>
      </c>
      <c r="L23" s="150">
        <f>F23+'26.7'!L23</f>
        <v/>
      </c>
      <c r="M23" s="147">
        <f>SUM(K23:L23)</f>
        <v/>
      </c>
      <c r="N23" s="150">
        <f>H23+'26.7'!N23</f>
        <v/>
      </c>
      <c r="O23" s="150">
        <f>I23+'26.7'!O23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E24+'26.7'!K24</f>
        <v/>
      </c>
      <c r="L24" s="150">
        <f>F24+'26.7'!L24</f>
        <v/>
      </c>
      <c r="M24" s="147">
        <f>SUM(K24:L24)</f>
        <v/>
      </c>
      <c r="N24" s="150">
        <f>H24+'26.7'!N24</f>
        <v/>
      </c>
      <c r="O24" s="150">
        <f>I24+'26.7'!O24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E25+'26.7'!K25</f>
        <v/>
      </c>
      <c r="L25" s="150">
        <f>F25+'26.7'!L25</f>
        <v/>
      </c>
      <c r="M25" s="147">
        <f>SUM(K25:L25)</f>
        <v/>
      </c>
      <c r="N25" s="150">
        <f>H25+'26.7'!N25</f>
        <v/>
      </c>
      <c r="O25" s="150">
        <f>I25+'26.7'!O25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E26+'26.7'!K26</f>
        <v/>
      </c>
      <c r="L26" s="150">
        <f>F26+'26.7'!L26</f>
        <v/>
      </c>
      <c r="M26" s="147">
        <f>SUM(K26:L26)</f>
        <v/>
      </c>
      <c r="N26" s="150">
        <f>H26+'26.7'!N26</f>
        <v/>
      </c>
      <c r="O26" s="150">
        <f>I26+'26.7'!O26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E27+'26.7'!K27</f>
        <v/>
      </c>
      <c r="L27" s="150">
        <f>F27+'26.7'!L27</f>
        <v/>
      </c>
      <c r="M27" s="162">
        <f>SUM(K27:L27)</f>
        <v/>
      </c>
      <c r="N27" s="150">
        <f>H27+'26.7'!N27</f>
        <v/>
      </c>
      <c r="O27" s="150">
        <f>I27+'26.7'!O27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E28+'26.7'!K28</f>
        <v/>
      </c>
      <c r="L28" s="150">
        <f>F28+'26.7'!L28</f>
        <v/>
      </c>
      <c r="M28" s="162">
        <f>SUM(K28:L28)</f>
        <v/>
      </c>
      <c r="N28" s="150">
        <f>H28+'26.7'!N28</f>
        <v/>
      </c>
      <c r="O28" s="150">
        <f>I28+'26.7'!O28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E29+'26.7'!K29</f>
        <v/>
      </c>
      <c r="L29" s="150">
        <f>F29+'26.7'!L29</f>
        <v/>
      </c>
      <c r="M29" s="147">
        <f>SUM(K29:L29)</f>
        <v/>
      </c>
      <c r="N29" s="150">
        <f>H29+'26.7'!N29</f>
        <v/>
      </c>
      <c r="O29" s="150">
        <f>I29+'26.7'!O29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E30+'26.7'!K30</f>
        <v/>
      </c>
      <c r="L30" s="150">
        <f>F30+'26.7'!L30</f>
        <v/>
      </c>
      <c r="M30" s="147">
        <f>M7-M8</f>
        <v/>
      </c>
      <c r="N30" s="150">
        <f>H30+'26.7'!N30</f>
        <v/>
      </c>
      <c r="O30" s="150">
        <f>I30+'26.7'!O30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E31+'26.7'!K31</f>
        <v/>
      </c>
      <c r="L31" s="150">
        <f>F31+'26.7'!L31</f>
        <v/>
      </c>
      <c r="M31" s="147">
        <f>SUM(K31:L31)</f>
        <v/>
      </c>
      <c r="N31" s="150">
        <f>H31+'26.7'!N31</f>
        <v/>
      </c>
      <c r="O31" s="150">
        <f>I31+'26.7'!O31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E33+'26.7'!K33</f>
        <v/>
      </c>
      <c r="L33" s="150">
        <f>F33+'26.7'!L33</f>
        <v/>
      </c>
      <c r="M33" s="147">
        <f>SUM(K33:L33)</f>
        <v/>
      </c>
      <c r="N33" s="150">
        <f>H33+'26.7'!N33</f>
        <v/>
      </c>
      <c r="O33" s="150">
        <f>I33+'26.7'!O33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E34+'26.7'!K34</f>
        <v/>
      </c>
      <c r="L34" s="150">
        <f>F34+'26.7'!L34</f>
        <v/>
      </c>
      <c r="M34" s="147">
        <f>SUM(K34:L34)</f>
        <v/>
      </c>
      <c r="N34" s="150">
        <f>H34+'26.7'!N34</f>
        <v/>
      </c>
      <c r="O34" s="150">
        <f>I34+'26.7'!O34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E40+'26.7'!K40</f>
        <v/>
      </c>
      <c r="L40" s="150">
        <f>F40+'26.7'!L40</f>
        <v/>
      </c>
      <c r="M40" s="147">
        <f>SUM(K40:L40)</f>
        <v/>
      </c>
      <c r="N40" s="150">
        <f>H40+'26.7'!N40</f>
        <v/>
      </c>
      <c r="O40" s="150">
        <f>I40+'26.7'!O40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E41+'26.7'!K41</f>
        <v/>
      </c>
      <c r="L41" s="150">
        <f>F41+'26.7'!L41</f>
        <v/>
      </c>
      <c r="M41" s="147">
        <f>SUM(K41:L41)</f>
        <v/>
      </c>
      <c r="N41" s="150">
        <f>H41+'26.7'!N41</f>
        <v/>
      </c>
      <c r="O41" s="150">
        <f>I41+'26.7'!O41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E43+'26.7'!K43</f>
        <v/>
      </c>
      <c r="L43" s="150">
        <f>F43+'26.7'!L43</f>
        <v/>
      </c>
      <c r="M43" s="147">
        <f>SUM(K43:L43)</f>
        <v/>
      </c>
      <c r="N43" s="150">
        <f>H43+'26.7'!N43</f>
        <v/>
      </c>
      <c r="O43" s="150">
        <f>I43+'26.7'!O43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E44+'26.7'!K44</f>
        <v/>
      </c>
      <c r="L44" s="150">
        <f>F44+'26.7'!L44</f>
        <v/>
      </c>
      <c r="M44" s="147">
        <f>SUM(K44:L44)</f>
        <v/>
      </c>
      <c r="N44" s="150">
        <f>H44+'26.7'!N44</f>
        <v/>
      </c>
      <c r="O44" s="150">
        <f>I44+'26.7'!O44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20235.4246194425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D7/10000/D6/(DAY(DATE(2026,9,0))*24)</f>
        <v/>
      </c>
      <c r="E52" s="176">
        <f>E7/10000/E6/(DAY(DATE(2026,9,0))*24)</f>
        <v/>
      </c>
      <c r="F52" s="176">
        <f>F7/10000/F6/(DAY(DATE(2026,9,0))*24)</f>
        <v/>
      </c>
      <c r="G52" s="176">
        <f>G7/10000/G6/(DAY(DATE(2026,9,0))*24)</f>
        <v/>
      </c>
      <c r="H52" s="176">
        <f>H7/10000/H6/(DAY(DATE(2026,9,0))*24)</f>
        <v/>
      </c>
      <c r="I52" s="177">
        <f>I7/10000/I6/(DAY(DATE(2026,9,0))*24)</f>
        <v/>
      </c>
      <c r="J52" s="176">
        <f>J7/10000/J6/(DATEDIF(DATE(2026,1,1),DATE(2026,9,1),"D")*24)</f>
        <v/>
      </c>
      <c r="K52" s="176">
        <f>K7/10000/K6/(DATEDIF(DATE(2026,1,1),DATE(2026,9,1),"D")*24)</f>
        <v/>
      </c>
      <c r="L52" s="176">
        <f>L7/10000/L6/(DATEDIF(DATE(2026,1,1),DATE(2026,9,1),"D")*24)</f>
        <v/>
      </c>
      <c r="M52" s="176">
        <f>M7/10000/M6/(DATEDIF(DATE(2026,1,1),DATE(2026,9,1),"D")*24)</f>
        <v/>
      </c>
      <c r="N52" s="176">
        <f>N7/10000/N6/(DATEDIF(DATE(2026,1,1),DATE(2026,9,1),"D")*24)</f>
        <v/>
      </c>
      <c r="O52" s="177">
        <f>O7/10000/O6/(DATEDIF(DATE(2026,1,1),DATE(2026,9,1),"D")*24)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D9*1000/1986/((DAY(DATE(2026,9,0))*24)*3600)</f>
        <v/>
      </c>
      <c r="E53" s="180">
        <f>E9*1000/577/((DAY(DATE(2026,9,0))*24)*3600)</f>
        <v/>
      </c>
      <c r="F53" s="177">
        <f>F9*1000/528/((DAY(DATE(2026,9,0))*24)*3600)</f>
        <v/>
      </c>
      <c r="G53" s="180">
        <f>G9*1000/1442/((DAY(DATE(2026,9,0))*24)*3600)</f>
        <v/>
      </c>
      <c r="H53" s="177">
        <f>H9*1000/414/((DAY(DATE(2026,9,0))*24)*3600)</f>
        <v/>
      </c>
      <c r="I53" s="177">
        <f>I9*1000/130/((DAY(DATE(2026,9,0))*24)*3600)</f>
        <v/>
      </c>
      <c r="J53" s="176">
        <f>J9*1000/1986/((DATEDIF(DATE(2026,1,1),DATE(2026,9,1),"D")*24)*3600)</f>
        <v/>
      </c>
      <c r="K53" s="180">
        <f>K9*1000/577/((DATEDIF(DATE(2026,1,1),DATE(2026,9,1),"D")*24)*3600)</f>
        <v/>
      </c>
      <c r="L53" s="177">
        <f>L9*1000/528/((DATEDIF(DATE(2026,1,1),DATE(2026,9,1),"D")*24)*3600)</f>
        <v/>
      </c>
      <c r="M53" s="180">
        <f>M9*1000/1442/((DATEDIF(DATE(2026,1,1),DATE(2026,9,1),"D")*24)*3600)</f>
        <v/>
      </c>
      <c r="N53" s="177">
        <f>N9*1000/414/((DATEDIF(DATE(2026,1,1),DATE(2026,9,1),"D")*24)*3600)</f>
        <v/>
      </c>
      <c r="O53" s="177">
        <f>O9*1000/130/((DATEDIF(DATE(2026,1,1),DATE(2026,9,1),"D")*24)*3600)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E57+'26.7'!K57</f>
        <v/>
      </c>
      <c r="L57" s="150">
        <f>F57+'26.7'!L57</f>
        <v/>
      </c>
      <c r="M57" s="147">
        <f>SUM(K57:L57)</f>
        <v/>
      </c>
      <c r="N57" s="150">
        <f>H57+'26.7'!N57</f>
        <v/>
      </c>
      <c r="O57" s="150">
        <f>I57+'26.7'!O57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E58+'26.7'!K58</f>
        <v/>
      </c>
      <c r="L58" s="150">
        <f>F58+'26.7'!L58</f>
        <v/>
      </c>
      <c r="M58" s="147">
        <f>SUM(K58:L58)</f>
        <v/>
      </c>
      <c r="N58" s="150">
        <f>H58+'26.7'!N58</f>
        <v/>
      </c>
      <c r="O58" s="150">
        <f>I58+'26.7'!O58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'26.7'!K59+E57-E14-E58</f>
        <v/>
      </c>
      <c r="L59" s="208">
        <f>'26.7'!L59+F57-F14-F58</f>
        <v/>
      </c>
      <c r="M59" s="152">
        <f>SUM(K59:L59)</f>
        <v/>
      </c>
      <c r="N59" s="208">
        <f>'26.7'!N59+H57-H14-H58</f>
        <v/>
      </c>
      <c r="O59" s="208">
        <f>'26.7'!O59+I57-I14-I58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E60+'26.7'!K60</f>
        <v/>
      </c>
      <c r="L60" s="150">
        <f>F60+'26.7'!L60</f>
        <v/>
      </c>
      <c r="M60" s="172">
        <f>SUM(K60:L60)</f>
        <v/>
      </c>
      <c r="N60" s="150">
        <f>H60+'26.7'!N60</f>
        <v/>
      </c>
      <c r="O60" s="150">
        <f>I60+'26.7'!O60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E61+'26.7'!K61</f>
        <v/>
      </c>
      <c r="L61" s="150">
        <f>F61+'26.7'!L61</f>
        <v/>
      </c>
      <c r="M61" s="147">
        <f>SUM(K61:L61)</f>
        <v/>
      </c>
      <c r="N61" s="150">
        <f>H61+'26.7'!N61</f>
        <v/>
      </c>
      <c r="O61" s="150">
        <f>I61+'26.7'!O61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E62+'26.7'!K62</f>
        <v/>
      </c>
      <c r="L62" s="150">
        <f>F62+'26.7'!L62</f>
        <v/>
      </c>
      <c r="M62" s="147">
        <f>SUM(K62:L62)</f>
        <v/>
      </c>
      <c r="N62" s="150">
        <f>H62+'26.7'!N62</f>
        <v/>
      </c>
      <c r="O62" s="150">
        <f>I62+'26.7'!O62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E63+'26.7'!K63</f>
        <v/>
      </c>
      <c r="L63" s="150">
        <f>F63+'26.7'!L63</f>
        <v/>
      </c>
      <c r="M63" s="147">
        <f>SUM(K63:L63)</f>
        <v/>
      </c>
      <c r="N63" s="150">
        <f>H63+'26.7'!N63</f>
        <v/>
      </c>
      <c r="O63" s="150">
        <f>I63+'26.7'!O63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E64+'26.7'!K64</f>
        <v/>
      </c>
      <c r="L64" s="150">
        <f>F64+'26.7'!L64</f>
        <v/>
      </c>
      <c r="M64" s="147">
        <f>SUM(K64:L64)</f>
        <v/>
      </c>
      <c r="N64" s="150">
        <f>H64+'26.7'!N64</f>
        <v/>
      </c>
      <c r="O64" s="150">
        <f>I64+'26.7'!O64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E65+'26.7'!K65</f>
        <v/>
      </c>
      <c r="L65" s="150">
        <f>F65+'26.7'!L65</f>
        <v/>
      </c>
      <c r="M65" s="191">
        <f>SUM(K65:L65)</f>
        <v/>
      </c>
      <c r="N65" s="150">
        <f>H65+'26.7'!N65</f>
        <v/>
      </c>
      <c r="O65" s="150">
        <f>I65+'26.7'!O65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E66+'26.7'!K66</f>
        <v/>
      </c>
      <c r="L66" s="150">
        <f>F66+'26.7'!L66</f>
        <v/>
      </c>
      <c r="M66" s="194">
        <f>SUM(K66:L66)</f>
        <v/>
      </c>
      <c r="N66" s="150">
        <f>H66+'26.7'!N66</f>
        <v/>
      </c>
      <c r="O66" s="150">
        <f>I66+'26.7'!O66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[9]产量!$C$15</f>
        <v/>
      </c>
      <c r="F7" s="209">
        <f>[9]产量!$C$19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E7+'26.8'!K7</f>
        <v/>
      </c>
      <c r="L7" s="210">
        <f>F7+'26.8'!L7</f>
        <v/>
      </c>
      <c r="M7" s="147">
        <f>SUM(K7:L7)</f>
        <v/>
      </c>
      <c r="N7" s="210">
        <f>H7+'26.8'!N7</f>
        <v/>
      </c>
      <c r="O7" s="210">
        <f>I7+'26.8'!O7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[9]产量!$E$15</f>
        <v/>
      </c>
      <c r="F8" s="209">
        <f>[9]产量!$E$19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E8+'26.8'!K8</f>
        <v/>
      </c>
      <c r="L8" s="210">
        <f>F8+'26.8'!L8</f>
        <v/>
      </c>
      <c r="M8" s="147">
        <f>SUM(K8:L8)</f>
        <v/>
      </c>
      <c r="N8" s="210">
        <f>H8+'26.8'!N8</f>
        <v/>
      </c>
      <c r="O8" s="210">
        <f>I8+'26.8'!O8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[9]产量!$G$6</f>
        <v/>
      </c>
      <c r="F9" s="209">
        <f>[9]产量!$G$7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E9+'26.8'!K9</f>
        <v/>
      </c>
      <c r="L9" s="210">
        <f>F9+'26.8'!L9</f>
        <v/>
      </c>
      <c r="M9" s="147">
        <f>SUM(K9:L9)</f>
        <v/>
      </c>
      <c r="N9" s="210">
        <f>H9+'26.8'!N9</f>
        <v/>
      </c>
      <c r="O9" s="210">
        <f>I9+'26.8'!O9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[9]产量!$G$29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E10+'26.8'!K10</f>
        <v/>
      </c>
      <c r="L10" s="210">
        <f>F10+'26.8'!L10</f>
        <v/>
      </c>
      <c r="M10" s="147">
        <f>SUM(K10:L10)</f>
        <v/>
      </c>
      <c r="N10" s="210">
        <f>H10+'26.8'!N10</f>
        <v/>
      </c>
      <c r="O10" s="210">
        <f>I10+'26.8'!O10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[9]产量!$G$28</f>
        <v/>
      </c>
      <c r="F11" s="209">
        <f>[9]产量!$G$30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E11+'26.8'!K11</f>
        <v/>
      </c>
      <c r="L11" s="210">
        <f>F11+'26.8'!L11</f>
        <v/>
      </c>
      <c r="M11" s="147">
        <f>SUM(K11:L11)</f>
        <v/>
      </c>
      <c r="N11" s="210">
        <f>H11+'26.8'!N11</f>
        <v/>
      </c>
      <c r="O11" s="210">
        <f>I11+'26.8'!O11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[9]产量!$G$15</f>
        <v/>
      </c>
      <c r="F12" s="209">
        <f>[9]产量!$G$19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E12+'26.8'!K12</f>
        <v/>
      </c>
      <c r="L12" s="210">
        <f>F12+'26.8'!L12</f>
        <v/>
      </c>
      <c r="M12" s="147">
        <f>SUM(K12:L12)</f>
        <v/>
      </c>
      <c r="N12" s="210">
        <f>H12+'26.8'!N12</f>
        <v/>
      </c>
      <c r="O12" s="210">
        <f>I12+'26.8'!O12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E15+'26.8'!K15</f>
        <v/>
      </c>
      <c r="L15" s="210">
        <f>F15+'26.8'!L15</f>
        <v/>
      </c>
      <c r="M15" s="147">
        <f>SUM(K15:L15)</f>
        <v/>
      </c>
      <c r="N15" s="210">
        <f>H15+'26.8'!N15</f>
        <v/>
      </c>
      <c r="O15" s="210">
        <f>I15+'26.8'!O15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E16+'26.8'!K16</f>
        <v/>
      </c>
      <c r="L16" s="210">
        <f>F16+'26.8'!L16</f>
        <v/>
      </c>
      <c r="M16" s="147">
        <f>SUM(K16:L16)</f>
        <v/>
      </c>
      <c r="N16" s="210">
        <f>H16+'26.8'!N16</f>
        <v/>
      </c>
      <c r="O16" s="210">
        <f>I16+'26.8'!O16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E18+'26.8'!K18</f>
        <v/>
      </c>
      <c r="L18" s="210">
        <f>F18+'26.8'!L18</f>
        <v/>
      </c>
      <c r="M18" s="147">
        <f>SUM(K18:L18)</f>
        <v/>
      </c>
      <c r="N18" s="210">
        <f>H18+'26.8'!N18</f>
        <v/>
      </c>
      <c r="O18" s="210">
        <f>I18+'26.8'!O18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E19+'26.8'!K19</f>
        <v/>
      </c>
      <c r="L19" s="210">
        <f>F19+'26.8'!L19</f>
        <v/>
      </c>
      <c r="M19" s="147">
        <f>SUM(K19:L19)</f>
        <v/>
      </c>
      <c r="N19" s="210">
        <f>H19+'26.8'!N19</f>
        <v/>
      </c>
      <c r="O19" s="210">
        <f>I19+'26.8'!O19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E20+'26.8'!K20</f>
        <v/>
      </c>
      <c r="L20" s="210">
        <f>F20+'26.8'!L20</f>
        <v/>
      </c>
      <c r="M20" s="147">
        <f>SUM(K20:L20)</f>
        <v/>
      </c>
      <c r="N20" s="210">
        <f>H20+'26.8'!N20</f>
        <v/>
      </c>
      <c r="O20" s="210">
        <f>I20+'26.8'!O20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E21+'26.8'!K21</f>
        <v/>
      </c>
      <c r="L21" s="210">
        <f>F21+'26.8'!L21</f>
        <v/>
      </c>
      <c r="M21" s="147">
        <f>SUM(K21:L21)</f>
        <v/>
      </c>
      <c r="N21" s="210">
        <f>H21+'26.8'!N21</f>
        <v/>
      </c>
      <c r="O21" s="210">
        <f>I21+'26.8'!O21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E22+'26.8'!K22</f>
        <v/>
      </c>
      <c r="L22" s="210">
        <f>F22+'26.8'!L22</f>
        <v/>
      </c>
      <c r="M22" s="147">
        <f>SUM(K22:L22)</f>
        <v/>
      </c>
      <c r="N22" s="210">
        <f>H22+'26.8'!N22</f>
        <v/>
      </c>
      <c r="O22" s="210">
        <f>I22+'26.8'!O22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E23+'26.8'!K23</f>
        <v/>
      </c>
      <c r="L23" s="210">
        <f>F23+'26.8'!L23</f>
        <v/>
      </c>
      <c r="M23" s="147">
        <f>SUM(K23:L23)</f>
        <v/>
      </c>
      <c r="N23" s="210">
        <f>H23+'26.8'!N23</f>
        <v/>
      </c>
      <c r="O23" s="210">
        <f>I23+'26.8'!O23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E24+'26.8'!K24</f>
        <v/>
      </c>
      <c r="L24" s="210">
        <f>F24+'26.8'!L24</f>
        <v/>
      </c>
      <c r="M24" s="147">
        <f>SUM(K24:L24)</f>
        <v/>
      </c>
      <c r="N24" s="210">
        <f>H24+'26.8'!N24</f>
        <v/>
      </c>
      <c r="O24" s="210">
        <f>I24+'26.8'!O24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E25+'26.8'!K25</f>
        <v/>
      </c>
      <c r="L25" s="210">
        <f>F25+'26.8'!L25</f>
        <v/>
      </c>
      <c r="M25" s="147">
        <f>SUM(K25:L25)</f>
        <v/>
      </c>
      <c r="N25" s="210">
        <f>H25+'26.8'!N25</f>
        <v/>
      </c>
      <c r="O25" s="210">
        <f>I25+'26.8'!O25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E26+'26.8'!K26</f>
        <v/>
      </c>
      <c r="L26" s="210">
        <f>F26+'26.8'!L26</f>
        <v/>
      </c>
      <c r="M26" s="147">
        <f>SUM(K26:L26)</f>
        <v/>
      </c>
      <c r="N26" s="210">
        <f>H26+'26.8'!N26</f>
        <v/>
      </c>
      <c r="O26" s="210">
        <f>I26+'26.8'!O26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E27+'26.8'!K27</f>
        <v/>
      </c>
      <c r="L27" s="210">
        <f>F27+'26.8'!L27</f>
        <v/>
      </c>
      <c r="M27" s="162">
        <f>SUM(K27:L27)</f>
        <v/>
      </c>
      <c r="N27" s="210">
        <f>H27+'26.8'!N27</f>
        <v/>
      </c>
      <c r="O27" s="210">
        <f>I27+'26.8'!O27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E28+'26.8'!K28</f>
        <v/>
      </c>
      <c r="L28" s="210">
        <f>F28+'26.8'!L28</f>
        <v/>
      </c>
      <c r="M28" s="162">
        <f>SUM(K28:L28)</f>
        <v/>
      </c>
      <c r="N28" s="210">
        <f>H28+'26.8'!N28</f>
        <v/>
      </c>
      <c r="O28" s="210">
        <f>I28+'26.8'!O28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E29+'26.8'!K29</f>
        <v/>
      </c>
      <c r="L29" s="210">
        <f>F29+'26.8'!L29</f>
        <v/>
      </c>
      <c r="M29" s="147">
        <f>SUM(K29:L29)</f>
        <v/>
      </c>
      <c r="N29" s="210">
        <f>H29+'26.8'!N29</f>
        <v/>
      </c>
      <c r="O29" s="210">
        <f>I29+'26.8'!O29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E30+'26.8'!K30</f>
        <v/>
      </c>
      <c r="L30" s="210">
        <f>F30+'26.8'!L30</f>
        <v/>
      </c>
      <c r="M30" s="147">
        <f>M7-M8</f>
        <v/>
      </c>
      <c r="N30" s="210">
        <f>H30+'26.8'!N30</f>
        <v/>
      </c>
      <c r="O30" s="210">
        <f>I30+'26.8'!O30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E31+'26.8'!K31</f>
        <v/>
      </c>
      <c r="L31" s="210">
        <f>F31+'26.8'!L31</f>
        <v/>
      </c>
      <c r="M31" s="147">
        <f>SUM(K31:L31)</f>
        <v/>
      </c>
      <c r="N31" s="210">
        <f>H31+'26.8'!N31</f>
        <v/>
      </c>
      <c r="O31" s="210">
        <f>I31+'26.8'!O31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E33+'26.8'!K33</f>
        <v/>
      </c>
      <c r="L33" s="210">
        <f>F33+'26.8'!L33</f>
        <v/>
      </c>
      <c r="M33" s="147">
        <f>SUM(K33:L33)</f>
        <v/>
      </c>
      <c r="N33" s="210">
        <f>H33+'26.8'!N33</f>
        <v/>
      </c>
      <c r="O33" s="210">
        <f>I33+'26.8'!O33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E34+'26.8'!K34</f>
        <v/>
      </c>
      <c r="L34" s="210">
        <f>F34+'26.8'!L34</f>
        <v/>
      </c>
      <c r="M34" s="147">
        <f>SUM(K34:L34)</f>
        <v/>
      </c>
      <c r="N34" s="210">
        <f>H34+'26.8'!N34</f>
        <v/>
      </c>
      <c r="O34" s="210">
        <f>I34+'26.8'!O34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E40+'26.8'!K40</f>
        <v/>
      </c>
      <c r="L40" s="210">
        <f>F40+'26.8'!L40</f>
        <v/>
      </c>
      <c r="M40" s="147">
        <f>SUM(K40:L40)</f>
        <v/>
      </c>
      <c r="N40" s="210">
        <f>H40+'26.8'!N40</f>
        <v/>
      </c>
      <c r="O40" s="210">
        <f>I40+'26.8'!O40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E41+'26.8'!K41</f>
        <v/>
      </c>
      <c r="L41" s="210">
        <f>F41+'26.8'!L41</f>
        <v/>
      </c>
      <c r="M41" s="147">
        <f>SUM(K41:L41)</f>
        <v/>
      </c>
      <c r="N41" s="210">
        <f>H41+'26.8'!N41</f>
        <v/>
      </c>
      <c r="O41" s="210">
        <f>I41+'26.8'!O41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E43+'26.8'!K43</f>
        <v/>
      </c>
      <c r="L43" s="210">
        <f>F43+'26.8'!L43</f>
        <v/>
      </c>
      <c r="M43" s="147">
        <f>SUM(K43:L43)</f>
        <v/>
      </c>
      <c r="N43" s="210">
        <f>H43+'26.8'!N43</f>
        <v/>
      </c>
      <c r="O43" s="210">
        <f>I43+'26.8'!O43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E44+'26.8'!K44</f>
        <v/>
      </c>
      <c r="L44" s="210">
        <f>F44+'26.8'!L44</f>
        <v/>
      </c>
      <c r="M44" s="147">
        <f>SUM(K44:L44)</f>
        <v/>
      </c>
      <c r="N44" s="210">
        <f>H44+'26.8'!N44</f>
        <v/>
      </c>
      <c r="O44" s="210">
        <f>I44+'26.8'!O44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20396.3651268659</v>
      </c>
      <c r="L49" s="147" t="n">
        <v>19728.9525999986</v>
      </c>
      <c r="M49" s="157" t="n">
        <v>0</v>
      </c>
      <c r="N49" s="147" t="n">
        <v>19766.17</v>
      </c>
      <c r="O49" s="149" t="n">
        <v>20675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D7/10000/D6/(DAY(DATE(2026,10,0))*24)</f>
        <v/>
      </c>
      <c r="E52" s="176">
        <f>E7/10000/E6/(DAY(DATE(2026,10,0))*24)</f>
        <v/>
      </c>
      <c r="F52" s="176">
        <f>F7/10000/F6/(DAY(DATE(2026,10,0))*24)</f>
        <v/>
      </c>
      <c r="G52" s="176">
        <f>G7/10000/G6/(DAY(DATE(2026,10,0))*24)</f>
        <v/>
      </c>
      <c r="H52" s="176">
        <f>H7/10000/H6/(DAY(DATE(2026,10,0))*24)</f>
        <v/>
      </c>
      <c r="I52" s="177">
        <f>I7/10000/I6/(DAY(DATE(2026,10,0))*24)</f>
        <v/>
      </c>
      <c r="J52" s="176">
        <f>J7/10000/J6/(DATEDIF(DATE(2026,1,1),DATE(2026,10,1),"D")*24)</f>
        <v/>
      </c>
      <c r="K52" s="176">
        <f>K7/10000/K6/(DATEDIF(DATE(2026,1,1),DATE(2026,10,1),"D")*24)</f>
        <v/>
      </c>
      <c r="L52" s="176">
        <f>L7/10000/L6/(DATEDIF(DATE(2026,1,1),DATE(2026,10,1),"D")*24)</f>
        <v/>
      </c>
      <c r="M52" s="176">
        <f>M7/10000/M6/(DATEDIF(DATE(2026,1,1),DATE(2026,10,1),"D")*24)</f>
        <v/>
      </c>
      <c r="N52" s="176">
        <f>N7/10000/N6/(DATEDIF(DATE(2026,1,1),DATE(2026,10,1),"D")*24)</f>
        <v/>
      </c>
      <c r="O52" s="177">
        <f>O7/10000/O6/(DATEDIF(DATE(2026,1,1),DATE(2026,10,1),"D")*24)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D9*1000/1986/((DAY(DATE(2026,10,0))*24)*3600)</f>
        <v/>
      </c>
      <c r="E53" s="180">
        <f>E9*1000/577/((DAY(DATE(2026,10,0))*24)*3600)</f>
        <v/>
      </c>
      <c r="F53" s="177">
        <f>F9*1000/528/((DAY(DATE(2026,10,0))*24)*3600)</f>
        <v/>
      </c>
      <c r="G53" s="180">
        <f>G9*1000/1442/((DAY(DATE(2026,10,0))*24)*3600)</f>
        <v/>
      </c>
      <c r="H53" s="177">
        <f>H9*1000/414/((DAY(DATE(2026,10,0))*24)*3600)</f>
        <v/>
      </c>
      <c r="I53" s="177">
        <f>I9*1000/130/((DAY(DATE(2026,10,0))*24)*3600)</f>
        <v/>
      </c>
      <c r="J53" s="176">
        <f>J9*1000/1986/((DATEDIF(DATE(2026,1,1),DATE(2026,10,1),"D")*24)*3600)</f>
        <v/>
      </c>
      <c r="K53" s="180">
        <f>K9*1000/577/((DATEDIF(DATE(2026,1,1),DATE(2026,10,1),"D")*24)*3600)</f>
        <v/>
      </c>
      <c r="L53" s="177">
        <f>L9*1000/528/((DATEDIF(DATE(2026,1,1),DATE(2026,10,1),"D")*24)*3600)</f>
        <v/>
      </c>
      <c r="M53" s="180">
        <f>M9*1000/1442/((DATEDIF(DATE(2026,1,1),DATE(2026,10,1),"D")*24)*3600)</f>
        <v/>
      </c>
      <c r="N53" s="177">
        <f>N9*1000/414/((DATEDIF(DATE(2026,1,1),DATE(2026,10,1),"D")*24)*3600)</f>
        <v/>
      </c>
      <c r="O53" s="177">
        <f>O9*1000/130/((DATEDIF(DATE(2026,1,1),DATE(2026,10,1),"D")*24)*3600)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 t="n"/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E57+'26.8'!K57</f>
        <v/>
      </c>
      <c r="L57" s="210">
        <f>F57+'26.8'!L57</f>
        <v/>
      </c>
      <c r="M57" s="147">
        <f>SUM(K57:L57)</f>
        <v/>
      </c>
      <c r="N57" s="210">
        <f>H57+'26.8'!N57</f>
        <v/>
      </c>
      <c r="O57" s="210">
        <f>I57+'26.8'!O57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E58+'26.8'!K58</f>
        <v/>
      </c>
      <c r="L58" s="210">
        <f>F58+'26.8'!L58</f>
        <v/>
      </c>
      <c r="M58" s="147">
        <f>SUM(K58:L58)</f>
        <v/>
      </c>
      <c r="N58" s="210">
        <f>H58+'26.8'!N58</f>
        <v/>
      </c>
      <c r="O58" s="210">
        <f>I58+'26.8'!O58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'26.8'!K59+E57-E14-E58</f>
        <v/>
      </c>
      <c r="L59" s="211">
        <f>'26.8'!L59+F57-F14-F58</f>
        <v/>
      </c>
      <c r="M59" s="152">
        <f>SUM(K59:L59)</f>
        <v/>
      </c>
      <c r="N59" s="211">
        <f>'26.8'!N59+H57-H14-H58</f>
        <v/>
      </c>
      <c r="O59" s="211">
        <f>'26.8'!O59+I57-I14-I58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E60+'26.8'!K60</f>
        <v/>
      </c>
      <c r="L60" s="210">
        <f>F60+'26.8'!L60</f>
        <v/>
      </c>
      <c r="M60" s="172">
        <f>SUM(K60:L60)</f>
        <v/>
      </c>
      <c r="N60" s="210">
        <f>H60+'26.8'!N60</f>
        <v/>
      </c>
      <c r="O60" s="210">
        <f>I60+'26.8'!O60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E61+'26.8'!K61</f>
        <v/>
      </c>
      <c r="L61" s="210">
        <f>F61+'26.8'!L61</f>
        <v/>
      </c>
      <c r="M61" s="147">
        <f>SUM(K61:L61)</f>
        <v/>
      </c>
      <c r="N61" s="210">
        <f>H61+'26.8'!N61</f>
        <v/>
      </c>
      <c r="O61" s="210">
        <f>I61+'26.8'!O61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E62+'26.8'!K62</f>
        <v/>
      </c>
      <c r="L62" s="210">
        <f>F62+'26.8'!L62</f>
        <v/>
      </c>
      <c r="M62" s="147">
        <f>SUM(K62:L62)</f>
        <v/>
      </c>
      <c r="N62" s="210">
        <f>H62+'26.8'!N62</f>
        <v/>
      </c>
      <c r="O62" s="210">
        <f>I62+'26.8'!O62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E63+'26.8'!K63</f>
        <v/>
      </c>
      <c r="L63" s="210">
        <f>F63+'26.8'!L63</f>
        <v/>
      </c>
      <c r="M63" s="147">
        <f>SUM(K63:L63)</f>
        <v/>
      </c>
      <c r="N63" s="210">
        <f>H63+'26.8'!N63</f>
        <v/>
      </c>
      <c r="O63" s="210">
        <f>I63+'26.8'!O63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E64+'26.8'!K64</f>
        <v/>
      </c>
      <c r="L64" s="210">
        <f>F64+'26.8'!L64</f>
        <v/>
      </c>
      <c r="M64" s="147">
        <f>SUM(K64:L64)</f>
        <v/>
      </c>
      <c r="N64" s="210">
        <f>H64+'26.8'!N64</f>
        <v/>
      </c>
      <c r="O64" s="210">
        <f>I64+'26.8'!O64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E65+'26.8'!K65</f>
        <v/>
      </c>
      <c r="L65" s="210">
        <f>F65+'26.8'!L65</f>
        <v/>
      </c>
      <c r="M65" s="191">
        <f>SUM(K65:L65)</f>
        <v/>
      </c>
      <c r="N65" s="210">
        <f>H65+'26.8'!N65</f>
        <v/>
      </c>
      <c r="O65" s="210">
        <f>I65+'26.8'!O65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E66+'26.8'!K66</f>
        <v/>
      </c>
      <c r="L66" s="210">
        <f>F66+'26.8'!L66</f>
        <v/>
      </c>
      <c r="M66" s="194">
        <f>SUM(K66:L66)</f>
        <v/>
      </c>
      <c r="N66" s="210">
        <f>H66+'26.8'!N66</f>
        <v/>
      </c>
      <c r="O66" s="210">
        <f>I66+'26.8'!O66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[10]产量!$C$15</f>
        <v/>
      </c>
      <c r="F7" s="209">
        <f>[10]产量!$C$19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E7+'26.9'!K7</f>
        <v/>
      </c>
      <c r="L7" s="210">
        <f>F7+'26.9'!L7</f>
        <v/>
      </c>
      <c r="M7" s="147">
        <f>SUM(K7:L7)</f>
        <v/>
      </c>
      <c r="N7" s="210">
        <f>H7+'26.9'!N7</f>
        <v/>
      </c>
      <c r="O7" s="210">
        <f>I7+'26.9'!O7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[10]产量!$E$15</f>
        <v/>
      </c>
      <c r="F8" s="209">
        <f>[10]产量!$E$19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E8+'26.9'!K8</f>
        <v/>
      </c>
      <c r="L8" s="210">
        <f>F8+'26.9'!L8</f>
        <v/>
      </c>
      <c r="M8" s="147">
        <f>SUM(K8:L8)</f>
        <v/>
      </c>
      <c r="N8" s="210">
        <f>H8+'26.9'!N8</f>
        <v/>
      </c>
      <c r="O8" s="210">
        <f>I8+'26.9'!O8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[10]产量!$G$6</f>
        <v/>
      </c>
      <c r="F9" s="209">
        <f>[10]产量!$G$7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E9+'26.9'!K9</f>
        <v/>
      </c>
      <c r="L9" s="210">
        <f>F9+'26.9'!L9</f>
        <v/>
      </c>
      <c r="M9" s="147">
        <f>SUM(K9:L9)</f>
        <v/>
      </c>
      <c r="N9" s="210">
        <f>H9+'26.9'!N9</f>
        <v/>
      </c>
      <c r="O9" s="210">
        <f>I9+'26.9'!O9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[10]产量!$G$29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210">
        <f>E10+'26.9'!K10</f>
        <v/>
      </c>
      <c r="L10" s="210">
        <f>F10+'26.9'!L10</f>
        <v/>
      </c>
      <c r="M10" s="147">
        <f>SUM(K10:L10)</f>
        <v/>
      </c>
      <c r="N10" s="210">
        <f>H10+'26.9'!N10</f>
        <v/>
      </c>
      <c r="O10" s="210">
        <f>I10+'26.9'!O10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[10]产量!$G$28</f>
        <v/>
      </c>
      <c r="F11" s="209">
        <f>[10]产量!$G$30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E11+'26.9'!K11</f>
        <v/>
      </c>
      <c r="L11" s="210">
        <f>F11+'26.9'!L11</f>
        <v/>
      </c>
      <c r="M11" s="147">
        <f>SUM(K11:L11)</f>
        <v/>
      </c>
      <c r="N11" s="210">
        <f>H11+'26.9'!N11</f>
        <v/>
      </c>
      <c r="O11" s="210">
        <f>I11+'26.9'!O11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[10]产量!$G$15</f>
        <v/>
      </c>
      <c r="F12" s="209">
        <f>[10]产量!$G$19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E12+'26.9'!K12</f>
        <v/>
      </c>
      <c r="L12" s="210">
        <f>F12+'26.9'!L12</f>
        <v/>
      </c>
      <c r="M12" s="147">
        <f>SUM(K12:L12)</f>
        <v/>
      </c>
      <c r="N12" s="210">
        <f>H12+'26.9'!N12</f>
        <v/>
      </c>
      <c r="O12" s="210">
        <f>I12+'26.9'!O12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3" t="n"/>
      <c r="I13" s="154" t="n"/>
      <c r="J13" s="152" t="n"/>
      <c r="K13" s="152" t="n"/>
      <c r="L13" s="152" t="n"/>
      <c r="M13" s="152" t="n"/>
      <c r="N13" s="153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210">
        <f>E15+'26.9'!K15</f>
        <v/>
      </c>
      <c r="L15" s="210">
        <f>F15+'26.9'!L15</f>
        <v/>
      </c>
      <c r="M15" s="147">
        <f>SUM(K15:L15)</f>
        <v/>
      </c>
      <c r="N15" s="210">
        <f>H15+'26.9'!N15</f>
        <v/>
      </c>
      <c r="O15" s="210">
        <f>I15+'26.9'!O15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210">
        <f>E16+'26.9'!K16</f>
        <v/>
      </c>
      <c r="L16" s="210">
        <f>F16+'26.9'!L16</f>
        <v/>
      </c>
      <c r="M16" s="147">
        <f>SUM(K16:L16)</f>
        <v/>
      </c>
      <c r="N16" s="210">
        <f>H16+'26.9'!N16</f>
        <v/>
      </c>
      <c r="O16" s="210">
        <f>I16+'26.9'!O16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210">
        <f>E18+'26.9'!K18</f>
        <v/>
      </c>
      <c r="L18" s="210">
        <f>F18+'26.9'!L18</f>
        <v/>
      </c>
      <c r="M18" s="147">
        <f>SUM(K18:L18)</f>
        <v/>
      </c>
      <c r="N18" s="210">
        <f>H18+'26.9'!N18</f>
        <v/>
      </c>
      <c r="O18" s="210">
        <f>I18+'26.9'!O18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210">
        <f>E19+'26.9'!K19</f>
        <v/>
      </c>
      <c r="L19" s="210">
        <f>F19+'26.9'!L19</f>
        <v/>
      </c>
      <c r="M19" s="147">
        <f>SUM(K19:L19)</f>
        <v/>
      </c>
      <c r="N19" s="210">
        <f>H19+'26.9'!N19</f>
        <v/>
      </c>
      <c r="O19" s="210">
        <f>I19+'26.9'!O19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E20+'26.9'!K20</f>
        <v/>
      </c>
      <c r="L20" s="210">
        <f>F20+'26.9'!L20</f>
        <v/>
      </c>
      <c r="M20" s="147">
        <f>SUM(K20:L20)</f>
        <v/>
      </c>
      <c r="N20" s="210">
        <f>H20+'26.9'!N20</f>
        <v/>
      </c>
      <c r="O20" s="210">
        <f>I20+'26.9'!O20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E21+'26.9'!K21</f>
        <v/>
      </c>
      <c r="L21" s="210">
        <f>F21+'26.9'!L21</f>
        <v/>
      </c>
      <c r="M21" s="147">
        <f>SUM(K21:L21)</f>
        <v/>
      </c>
      <c r="N21" s="210">
        <f>H21+'26.9'!N21</f>
        <v/>
      </c>
      <c r="O21" s="210">
        <f>I21+'26.9'!O21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E22+'26.9'!K22</f>
        <v/>
      </c>
      <c r="L22" s="210">
        <f>F22+'26.9'!L22</f>
        <v/>
      </c>
      <c r="M22" s="147">
        <f>SUM(K22:L22)</f>
        <v/>
      </c>
      <c r="N22" s="210">
        <f>H22+'26.9'!N22</f>
        <v/>
      </c>
      <c r="O22" s="210">
        <f>I22+'26.9'!O22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E23+'26.9'!K23</f>
        <v/>
      </c>
      <c r="L23" s="210">
        <f>F23+'26.9'!L23</f>
        <v/>
      </c>
      <c r="M23" s="147">
        <f>SUM(K23:L23)</f>
        <v/>
      </c>
      <c r="N23" s="210">
        <f>H23+'26.9'!N23</f>
        <v/>
      </c>
      <c r="O23" s="210">
        <f>I23+'26.9'!O23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E24+'26.9'!K24</f>
        <v/>
      </c>
      <c r="L24" s="210">
        <f>F24+'26.9'!L24</f>
        <v/>
      </c>
      <c r="M24" s="147">
        <f>SUM(K24:L24)</f>
        <v/>
      </c>
      <c r="N24" s="210">
        <f>H24+'26.9'!N24</f>
        <v/>
      </c>
      <c r="O24" s="210">
        <f>I24+'26.9'!O24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E25+'26.9'!K25</f>
        <v/>
      </c>
      <c r="L25" s="210">
        <f>F25+'26.9'!L25</f>
        <v/>
      </c>
      <c r="M25" s="147">
        <f>SUM(K25:L25)</f>
        <v/>
      </c>
      <c r="N25" s="210">
        <f>H25+'26.9'!N25</f>
        <v/>
      </c>
      <c r="O25" s="210">
        <f>I25+'26.9'!O25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E26+'26.9'!K26</f>
        <v/>
      </c>
      <c r="L26" s="210">
        <f>F26+'26.9'!L26</f>
        <v/>
      </c>
      <c r="M26" s="147">
        <f>SUM(K26:L26)</f>
        <v/>
      </c>
      <c r="N26" s="210">
        <f>H26+'26.9'!N26</f>
        <v/>
      </c>
      <c r="O26" s="210">
        <f>I26+'26.9'!O26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E27+'26.9'!K27</f>
        <v/>
      </c>
      <c r="L27" s="210">
        <f>F27+'26.9'!L27</f>
        <v/>
      </c>
      <c r="M27" s="162">
        <f>SUM(K27:L27)</f>
        <v/>
      </c>
      <c r="N27" s="210">
        <f>H27+'26.9'!N27</f>
        <v/>
      </c>
      <c r="O27" s="210">
        <f>I27+'26.9'!O27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E28+'26.9'!K28</f>
        <v/>
      </c>
      <c r="L28" s="210">
        <f>F28+'26.9'!L28</f>
        <v/>
      </c>
      <c r="M28" s="162">
        <f>SUM(K28:L28)</f>
        <v/>
      </c>
      <c r="N28" s="210">
        <f>H28+'26.9'!N28</f>
        <v/>
      </c>
      <c r="O28" s="210">
        <f>I28+'26.9'!O28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E29+'26.9'!K29</f>
        <v/>
      </c>
      <c r="L29" s="210">
        <f>F29+'26.9'!L29</f>
        <v/>
      </c>
      <c r="M29" s="147">
        <f>SUM(K29:L29)</f>
        <v/>
      </c>
      <c r="N29" s="210">
        <f>H29+'26.9'!N29</f>
        <v/>
      </c>
      <c r="O29" s="210">
        <f>I29+'26.9'!O29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E30+'26.9'!K30</f>
        <v/>
      </c>
      <c r="L30" s="210">
        <f>F30+'26.9'!L30</f>
        <v/>
      </c>
      <c r="M30" s="147">
        <f>M7-M8</f>
        <v/>
      </c>
      <c r="N30" s="210">
        <f>H30+'26.9'!N30</f>
        <v/>
      </c>
      <c r="O30" s="210">
        <f>I30+'26.9'!O30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E31+'26.9'!K31</f>
        <v/>
      </c>
      <c r="L31" s="210">
        <f>F31+'26.9'!L31</f>
        <v/>
      </c>
      <c r="M31" s="147">
        <f>SUM(K31:L31)</f>
        <v/>
      </c>
      <c r="N31" s="210">
        <f>H31+'26.9'!N31</f>
        <v/>
      </c>
      <c r="O31" s="210">
        <f>I31+'26.9'!O31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E33+'26.9'!K33</f>
        <v/>
      </c>
      <c r="L33" s="210">
        <f>F33+'26.9'!L33</f>
        <v/>
      </c>
      <c r="M33" s="147">
        <f>SUM(K33:L33)</f>
        <v/>
      </c>
      <c r="N33" s="210">
        <f>H33+'26.9'!N33</f>
        <v/>
      </c>
      <c r="O33" s="210">
        <f>I33+'26.9'!O33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E34+'26.9'!K34</f>
        <v/>
      </c>
      <c r="L34" s="210">
        <f>F34+'26.9'!L34</f>
        <v/>
      </c>
      <c r="M34" s="147">
        <f>SUM(K34:L34)</f>
        <v/>
      </c>
      <c r="N34" s="210">
        <f>H34+'26.9'!N34</f>
        <v/>
      </c>
      <c r="O34" s="210">
        <f>I34+'26.9'!O34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E40+'26.9'!K40</f>
        <v/>
      </c>
      <c r="L40" s="210">
        <f>F40+'26.9'!L40</f>
        <v/>
      </c>
      <c r="M40" s="147">
        <f>SUM(K40:L40)</f>
        <v/>
      </c>
      <c r="N40" s="210">
        <f>H40+'26.9'!N40</f>
        <v/>
      </c>
      <c r="O40" s="210">
        <f>I40+'26.9'!O40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E41+'26.9'!K41</f>
        <v/>
      </c>
      <c r="L41" s="210">
        <f>F41+'26.9'!L41</f>
        <v/>
      </c>
      <c r="M41" s="147">
        <f>SUM(K41:L41)</f>
        <v/>
      </c>
      <c r="N41" s="210">
        <f>H41+'26.9'!N41</f>
        <v/>
      </c>
      <c r="O41" s="210">
        <f>I41+'26.9'!O41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E43+'26.9'!K43</f>
        <v/>
      </c>
      <c r="L43" s="210">
        <f>F43+'26.9'!L43</f>
        <v/>
      </c>
      <c r="M43" s="147">
        <f>SUM(K43:L43)</f>
        <v/>
      </c>
      <c r="N43" s="210">
        <f>H43+'26.9'!N43</f>
        <v/>
      </c>
      <c r="O43" s="210">
        <f>I43+'26.9'!O43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E44+'26.9'!K44</f>
        <v/>
      </c>
      <c r="L44" s="210">
        <f>F44+'26.9'!L44</f>
        <v/>
      </c>
      <c r="M44" s="147">
        <f>SUM(K44:L44)</f>
        <v/>
      </c>
      <c r="N44" s="210">
        <f>H44+'26.9'!N44</f>
        <v/>
      </c>
      <c r="O44" s="210">
        <f>I44+'26.9'!O44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20397.5206923911</v>
      </c>
      <c r="L49" s="147" t="n">
        <v>19806.5368619774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D7/10000/D6/(DAY(DATE(2026,11,0))*24)</f>
        <v/>
      </c>
      <c r="E52" s="176">
        <f>E7/10000/E6/(DAY(DATE(2026,11,0))*24)</f>
        <v/>
      </c>
      <c r="F52" s="176">
        <f>F7/10000/F6/(DAY(DATE(2026,11,0))*24)</f>
        <v/>
      </c>
      <c r="G52" s="176">
        <f>G7/10000/G6/(DAY(DATE(2026,11,0))*24)</f>
        <v/>
      </c>
      <c r="H52" s="176">
        <f>H7/10000/H6/(DAY(DATE(2026,11,0))*24)</f>
        <v/>
      </c>
      <c r="I52" s="177">
        <f>I7/10000/I6/(DAY(DATE(2026,11,0))*24)</f>
        <v/>
      </c>
      <c r="J52" s="176">
        <f>J7/10000/J6/(DATEDIF(DATE(2026,1,1),DATE(2026,11,1),"D")*24)</f>
        <v/>
      </c>
      <c r="K52" s="176">
        <f>K7/10000/K6/(DATEDIF(DATE(2026,1,1),DATE(2026,11,1),"D")*24)</f>
        <v/>
      </c>
      <c r="L52" s="176">
        <f>L7/10000/L6/(DATEDIF(DATE(2026,1,1),DATE(2026,11,1),"D")*24)</f>
        <v/>
      </c>
      <c r="M52" s="176">
        <f>M7/10000/M6/(DATEDIF(DATE(2026,1,1),DATE(2026,11,1),"D")*24)</f>
        <v/>
      </c>
      <c r="N52" s="176">
        <f>N7/10000/N6/(DATEDIF(DATE(2026,1,1),DATE(2026,11,1),"D")*24)</f>
        <v/>
      </c>
      <c r="O52" s="177">
        <f>O7/10000/O6/(DATEDIF(DATE(2026,1,1),DATE(2026,11,1),"D")*24)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D9*1000/1986/((DAY(DATE(2026,11,0))*24)*3600)</f>
        <v/>
      </c>
      <c r="E53" s="180">
        <f>E9*1000/577/((DAY(DATE(2026,11,0))*24)*3600)</f>
        <v/>
      </c>
      <c r="F53" s="177">
        <f>F9*1000/528/((DAY(DATE(2026,11,0))*24)*3600)</f>
        <v/>
      </c>
      <c r="G53" s="180">
        <f>G9*1000/1442/((DAY(DATE(2026,11,0))*24)*3600)</f>
        <v/>
      </c>
      <c r="H53" s="177">
        <f>H9*1000/414/((DAY(DATE(2026,11,0))*24)*3600)</f>
        <v/>
      </c>
      <c r="I53" s="177">
        <f>I9*1000/130/((DAY(DATE(2026,11,0))*24)*3600)</f>
        <v/>
      </c>
      <c r="J53" s="176">
        <f>J9*1000/1986/((DATEDIF(DATE(2026,1,1),DATE(2026,11,1),"D")*24)*3600)</f>
        <v/>
      </c>
      <c r="K53" s="180">
        <f>K9*1000/577/((DATEDIF(DATE(2026,1,1),DATE(2026,11,1),"D")*24)*3600)</f>
        <v/>
      </c>
      <c r="L53" s="177">
        <f>L9*1000/528/((DATEDIF(DATE(2026,1,1),DATE(2026,11,1),"D")*24)*3600)</f>
        <v/>
      </c>
      <c r="M53" s="180">
        <f>M9*1000/1442/((DATEDIF(DATE(2026,1,1),DATE(2026,11,1),"D")*24)*3600)</f>
        <v/>
      </c>
      <c r="N53" s="177">
        <f>N9*1000/414/((DATEDIF(DATE(2026,1,1),DATE(2026,11,1),"D")*24)*3600)</f>
        <v/>
      </c>
      <c r="O53" s="177">
        <f>O9*1000/130/((DATEDIF(DATE(2026,1,1),DATE(2026,11,1),"D")*24)*3600)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E57+'26.9'!K57</f>
        <v/>
      </c>
      <c r="L57" s="210">
        <f>F57+'26.9'!L57</f>
        <v/>
      </c>
      <c r="M57" s="147">
        <f>SUM(K57:L57)</f>
        <v/>
      </c>
      <c r="N57" s="210">
        <f>H57+'26.9'!N57</f>
        <v/>
      </c>
      <c r="O57" s="210">
        <f>I57+'26.9'!O57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E58+'26.9'!K58</f>
        <v/>
      </c>
      <c r="L58" s="210">
        <f>F58+'26.9'!L58</f>
        <v/>
      </c>
      <c r="M58" s="147">
        <f>SUM(K58:L58)</f>
        <v/>
      </c>
      <c r="N58" s="210">
        <f>H58+'26.9'!N58</f>
        <v/>
      </c>
      <c r="O58" s="210">
        <f>I58+'26.9'!O58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'26.9'!K59+E57-E14-E58</f>
        <v/>
      </c>
      <c r="L59" s="211">
        <f>'26.9'!L59+F57-F14-F58</f>
        <v/>
      </c>
      <c r="M59" s="152">
        <f>SUM(K59:L59)</f>
        <v/>
      </c>
      <c r="N59" s="211">
        <f>'26.9'!N59+H57-H14-H58</f>
        <v/>
      </c>
      <c r="O59" s="211">
        <f>'26.9'!O59+I57-I14-I58</f>
        <v/>
      </c>
      <c r="P59" s="12" t="n"/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E60+'26.9'!K60</f>
        <v/>
      </c>
      <c r="L60" s="210">
        <f>F60+'26.9'!L60</f>
        <v/>
      </c>
      <c r="M60" s="172">
        <f>SUM(K60:L60)</f>
        <v/>
      </c>
      <c r="N60" s="210">
        <f>H60+'26.9'!N60</f>
        <v/>
      </c>
      <c r="O60" s="210">
        <f>I60+'26.9'!O60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E61+'26.9'!K61</f>
        <v/>
      </c>
      <c r="L61" s="210">
        <f>F61+'26.9'!L61</f>
        <v/>
      </c>
      <c r="M61" s="147">
        <f>SUM(K61:L61)</f>
        <v/>
      </c>
      <c r="N61" s="210">
        <f>H61+'26.9'!N61</f>
        <v/>
      </c>
      <c r="O61" s="210">
        <f>I61+'26.9'!O61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E62+'26.9'!K62</f>
        <v/>
      </c>
      <c r="L62" s="210">
        <f>F62+'26.9'!L62</f>
        <v/>
      </c>
      <c r="M62" s="147">
        <f>SUM(K62:L62)</f>
        <v/>
      </c>
      <c r="N62" s="210">
        <f>H62+'26.9'!N62</f>
        <v/>
      </c>
      <c r="O62" s="210">
        <f>I62+'26.9'!O62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E63+'26.9'!K63</f>
        <v/>
      </c>
      <c r="L63" s="210">
        <f>F63+'26.9'!L63</f>
        <v/>
      </c>
      <c r="M63" s="147">
        <f>SUM(K63:L63)</f>
        <v/>
      </c>
      <c r="N63" s="210">
        <f>H63+'26.9'!N63</f>
        <v/>
      </c>
      <c r="O63" s="210">
        <f>I63+'26.9'!O63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E64+'26.9'!K64</f>
        <v/>
      </c>
      <c r="L64" s="210">
        <f>F64+'26.9'!L64</f>
        <v/>
      </c>
      <c r="M64" s="147">
        <f>SUM(K64:L64)</f>
        <v/>
      </c>
      <c r="N64" s="210">
        <f>H64+'26.9'!N64</f>
        <v/>
      </c>
      <c r="O64" s="210">
        <f>I64+'26.9'!O64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E65+'26.9'!K65</f>
        <v/>
      </c>
      <c r="L65" s="210">
        <f>F65+'26.9'!L65</f>
        <v/>
      </c>
      <c r="M65" s="191">
        <f>SUM(K65:L65)</f>
        <v/>
      </c>
      <c r="N65" s="210">
        <f>H65+'26.9'!N65</f>
        <v/>
      </c>
      <c r="O65" s="210">
        <f>I65+'26.9'!O65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E66+'26.9'!K66</f>
        <v/>
      </c>
      <c r="L66" s="210">
        <f>F66+'26.9'!L66</f>
        <v/>
      </c>
      <c r="M66" s="194">
        <f>SUM(K66:L66)</f>
        <v/>
      </c>
      <c r="N66" s="210">
        <f>H66+'26.9'!N66</f>
        <v/>
      </c>
      <c r="O66" s="210">
        <f>I66+'26.9'!O66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148">
        <f>[11]产量!$C$15</f>
        <v/>
      </c>
      <c r="F7" s="148">
        <f>[11]产量!$C$19</f>
        <v/>
      </c>
      <c r="G7" s="147">
        <f>SUM(E7:F7)</f>
        <v/>
      </c>
      <c r="H7" s="147" t="n"/>
      <c r="I7" s="149" t="n"/>
      <c r="J7" s="147">
        <f>M7+N7+O7</f>
        <v/>
      </c>
      <c r="K7" s="150">
        <f>E7+'26.10'!K7</f>
        <v/>
      </c>
      <c r="L7" s="150">
        <f>F7+'26.10'!L7</f>
        <v/>
      </c>
      <c r="M7" s="147">
        <f>SUM(K7:L7)</f>
        <v/>
      </c>
      <c r="N7" s="150">
        <f>H7+'26.10'!N7</f>
        <v/>
      </c>
      <c r="O7" s="150">
        <f>I7+'26.10'!O7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148">
        <f>[11]产量!$E$15</f>
        <v/>
      </c>
      <c r="F8" s="148">
        <f>[11]产量!$E$19</f>
        <v/>
      </c>
      <c r="G8" s="147">
        <f>SUM(E8:F8)</f>
        <v/>
      </c>
      <c r="H8" s="147" t="n"/>
      <c r="I8" s="149" t="n"/>
      <c r="J8" s="147">
        <f>M8+N8+O8</f>
        <v/>
      </c>
      <c r="K8" s="150">
        <f>E8+'26.10'!K8</f>
        <v/>
      </c>
      <c r="L8" s="150">
        <f>F8+'26.10'!L8</f>
        <v/>
      </c>
      <c r="M8" s="147">
        <f>SUM(K8:L8)</f>
        <v/>
      </c>
      <c r="N8" s="150">
        <f>H8+'26.10'!N8</f>
        <v/>
      </c>
      <c r="O8" s="150">
        <f>I8+'26.10'!O8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148">
        <f>[11]产量!$G$6</f>
        <v/>
      </c>
      <c r="F9" s="148">
        <f>[11]产量!$G$7</f>
        <v/>
      </c>
      <c r="G9" s="147">
        <f>SUM(E9:F9)</f>
        <v/>
      </c>
      <c r="H9" s="147" t="n"/>
      <c r="I9" s="149" t="n"/>
      <c r="J9" s="147">
        <f>M9+N9+O9</f>
        <v/>
      </c>
      <c r="K9" s="150">
        <f>E9+'26.10'!K9</f>
        <v/>
      </c>
      <c r="L9" s="150">
        <f>F9+'26.10'!L9</f>
        <v/>
      </c>
      <c r="M9" s="147">
        <f>SUM(K9:L9)</f>
        <v/>
      </c>
      <c r="N9" s="150">
        <f>H9+'26.10'!N9</f>
        <v/>
      </c>
      <c r="O9" s="150">
        <f>I9+'26.10'!O9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148">
        <f>[11]产量!$G$29</f>
        <v/>
      </c>
      <c r="G10" s="147">
        <f>SUM(E10:F10)</f>
        <v/>
      </c>
      <c r="H10" s="147" t="n"/>
      <c r="I10" s="151" t="n"/>
      <c r="J10" s="147">
        <f>M10+N10+O10</f>
        <v/>
      </c>
      <c r="K10" s="150">
        <f>E10+'26.10'!K10</f>
        <v/>
      </c>
      <c r="L10" s="150">
        <f>F10+'26.10'!L10</f>
        <v/>
      </c>
      <c r="M10" s="147">
        <f>SUM(K10:L10)</f>
        <v/>
      </c>
      <c r="N10" s="150">
        <f>H10+'26.10'!N10</f>
        <v/>
      </c>
      <c r="O10" s="150">
        <f>I10+'26.10'!O10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148">
        <f>[11]产量!$G$28</f>
        <v/>
      </c>
      <c r="F11" s="148">
        <f>[11]产量!$G$30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150">
        <f>E11+'26.10'!K11</f>
        <v/>
      </c>
      <c r="L11" s="150">
        <f>F11+'26.10'!L11</f>
        <v/>
      </c>
      <c r="M11" s="147">
        <f>SUM(K11:L11)</f>
        <v/>
      </c>
      <c r="N11" s="150">
        <f>H11+'26.10'!N11</f>
        <v/>
      </c>
      <c r="O11" s="150">
        <f>I11+'26.10'!O11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148">
        <f>[11]产量!$G$15</f>
        <v/>
      </c>
      <c r="F12" s="148">
        <f>[11]产量!$G$19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150">
        <f>E12+'26.10'!K12</f>
        <v/>
      </c>
      <c r="L12" s="150">
        <f>F12+'26.10'!L12</f>
        <v/>
      </c>
      <c r="M12" s="147">
        <f>SUM(K12:L12)</f>
        <v/>
      </c>
      <c r="N12" s="150">
        <f>H12+'26.10'!N12</f>
        <v/>
      </c>
      <c r="O12" s="150">
        <f>I12+'26.10'!O12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7" t="n"/>
      <c r="F15" s="147" t="n"/>
      <c r="G15" s="147">
        <f>SUM(E15:F15)</f>
        <v/>
      </c>
      <c r="H15" s="147" t="n"/>
      <c r="I15" s="149" t="n"/>
      <c r="J15" s="147">
        <f>M15+N15+O15</f>
        <v/>
      </c>
      <c r="K15" s="150">
        <f>E15+'26.10'!K15</f>
        <v/>
      </c>
      <c r="L15" s="150">
        <f>F15+'26.10'!L15</f>
        <v/>
      </c>
      <c r="M15" s="147">
        <f>SUM(K15:L15)</f>
        <v/>
      </c>
      <c r="N15" s="150">
        <f>H15+'26.10'!N15</f>
        <v/>
      </c>
      <c r="O15" s="150">
        <f>I15+'26.10'!O15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7" t="n"/>
      <c r="F16" s="147" t="n"/>
      <c r="G16" s="147">
        <f>SUM(E16:F16)</f>
        <v/>
      </c>
      <c r="H16" s="147" t="n"/>
      <c r="I16" s="149" t="n"/>
      <c r="J16" s="147">
        <f>M16+N16+O16</f>
        <v/>
      </c>
      <c r="K16" s="150">
        <f>E16+'26.10'!K16</f>
        <v/>
      </c>
      <c r="L16" s="150">
        <f>F16+'26.10'!L16</f>
        <v/>
      </c>
      <c r="M16" s="147">
        <f>SUM(K16:L16)</f>
        <v/>
      </c>
      <c r="N16" s="150">
        <f>H16+'26.10'!N16</f>
        <v/>
      </c>
      <c r="O16" s="150">
        <f>I16+'26.10'!O16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7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7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7" t="n"/>
      <c r="I18" s="149" t="n"/>
      <c r="J18" s="147">
        <f>M18+N18+O18</f>
        <v/>
      </c>
      <c r="K18" s="150">
        <f>E18+'26.10'!K18</f>
        <v/>
      </c>
      <c r="L18" s="150">
        <f>F18+'26.10'!L18</f>
        <v/>
      </c>
      <c r="M18" s="147">
        <f>SUM(K18:L18)</f>
        <v/>
      </c>
      <c r="N18" s="150">
        <f>H18+'26.10'!N18</f>
        <v/>
      </c>
      <c r="O18" s="150">
        <f>I18+'26.10'!O18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7" t="n"/>
      <c r="I19" s="149" t="n"/>
      <c r="J19" s="147">
        <f>M19+N19+O19</f>
        <v/>
      </c>
      <c r="K19" s="150">
        <f>E19+'26.10'!K19</f>
        <v/>
      </c>
      <c r="L19" s="150">
        <f>F19+'26.10'!L19</f>
        <v/>
      </c>
      <c r="M19" s="147">
        <f>SUM(K19:L19)</f>
        <v/>
      </c>
      <c r="N19" s="150">
        <f>H19+'26.10'!N19</f>
        <v/>
      </c>
      <c r="O19" s="150">
        <f>I19+'26.10'!O19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150">
        <f>E20+'26.10'!K20</f>
        <v/>
      </c>
      <c r="L20" s="150">
        <f>F20+'26.10'!L20</f>
        <v/>
      </c>
      <c r="M20" s="147">
        <f>SUM(K20:L20)</f>
        <v/>
      </c>
      <c r="N20" s="150">
        <f>H20+'26.10'!N20</f>
        <v/>
      </c>
      <c r="O20" s="150">
        <f>I20+'26.10'!O20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150">
        <f>E21+'26.10'!K21</f>
        <v/>
      </c>
      <c r="L21" s="150">
        <f>F21+'26.10'!L21</f>
        <v/>
      </c>
      <c r="M21" s="147">
        <f>SUM(K21:L21)</f>
        <v/>
      </c>
      <c r="N21" s="150">
        <f>H21+'26.10'!N21</f>
        <v/>
      </c>
      <c r="O21" s="150">
        <f>I21+'26.10'!O21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150">
        <f>E22+'26.10'!K22</f>
        <v/>
      </c>
      <c r="L22" s="150">
        <f>F22+'26.10'!L22</f>
        <v/>
      </c>
      <c r="M22" s="147">
        <f>SUM(K22:L22)</f>
        <v/>
      </c>
      <c r="N22" s="150">
        <f>H22+'26.10'!N22</f>
        <v/>
      </c>
      <c r="O22" s="150">
        <f>I22+'26.10'!O22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150">
        <f>E23+'26.10'!K23</f>
        <v/>
      </c>
      <c r="L23" s="150">
        <f>F23+'26.10'!L23</f>
        <v/>
      </c>
      <c r="M23" s="147">
        <f>SUM(K23:L23)</f>
        <v/>
      </c>
      <c r="N23" s="150">
        <f>H23+'26.10'!N23</f>
        <v/>
      </c>
      <c r="O23" s="150">
        <f>I23+'26.10'!O23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150">
        <f>E24+'26.10'!K24</f>
        <v/>
      </c>
      <c r="L24" s="150">
        <f>F24+'26.10'!L24</f>
        <v/>
      </c>
      <c r="M24" s="147">
        <f>SUM(K24:L24)</f>
        <v/>
      </c>
      <c r="N24" s="150">
        <f>H24+'26.10'!N24</f>
        <v/>
      </c>
      <c r="O24" s="150">
        <f>I24+'26.10'!O24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150">
        <f>E25+'26.10'!K25</f>
        <v/>
      </c>
      <c r="L25" s="150">
        <f>F25+'26.10'!L25</f>
        <v/>
      </c>
      <c r="M25" s="147">
        <f>SUM(K25:L25)</f>
        <v/>
      </c>
      <c r="N25" s="150">
        <f>H25+'26.10'!N25</f>
        <v/>
      </c>
      <c r="O25" s="150">
        <f>I25+'26.10'!O25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150">
        <f>E26+'26.10'!K26</f>
        <v/>
      </c>
      <c r="L26" s="150">
        <f>F26+'26.10'!L26</f>
        <v/>
      </c>
      <c r="M26" s="147">
        <f>SUM(K26:L26)</f>
        <v/>
      </c>
      <c r="N26" s="150">
        <f>H26+'26.10'!N26</f>
        <v/>
      </c>
      <c r="O26" s="150">
        <f>I26+'26.10'!O26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150">
        <f>E27+'26.10'!K27</f>
        <v/>
      </c>
      <c r="L27" s="150">
        <f>F27+'26.10'!L27</f>
        <v/>
      </c>
      <c r="M27" s="162">
        <f>SUM(K27:L27)</f>
        <v/>
      </c>
      <c r="N27" s="150">
        <f>H27+'26.10'!N27</f>
        <v/>
      </c>
      <c r="O27" s="150">
        <f>I27+'26.10'!O27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150">
        <f>E28+'26.10'!K28</f>
        <v/>
      </c>
      <c r="L28" s="150">
        <f>F28+'26.10'!L28</f>
        <v/>
      </c>
      <c r="M28" s="162">
        <f>SUM(K28:L28)</f>
        <v/>
      </c>
      <c r="N28" s="150">
        <f>H28+'26.10'!N28</f>
        <v/>
      </c>
      <c r="O28" s="150">
        <f>I28+'26.10'!O28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150">
        <f>E29+'26.10'!K29</f>
        <v/>
      </c>
      <c r="L29" s="150">
        <f>F29+'26.10'!L29</f>
        <v/>
      </c>
      <c r="M29" s="147">
        <f>SUM(K29:L29)</f>
        <v/>
      </c>
      <c r="N29" s="150">
        <f>H29+'26.10'!N29</f>
        <v/>
      </c>
      <c r="O29" s="150">
        <f>I29+'26.10'!O29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150">
        <f>E30+'26.10'!K30</f>
        <v/>
      </c>
      <c r="L30" s="150">
        <f>F30+'26.10'!L30</f>
        <v/>
      </c>
      <c r="M30" s="147">
        <f>M7-M8</f>
        <v/>
      </c>
      <c r="N30" s="150">
        <f>H30+'26.10'!N30</f>
        <v/>
      </c>
      <c r="O30" s="150">
        <f>I30+'26.10'!O30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150">
        <f>E31+'26.10'!K31</f>
        <v/>
      </c>
      <c r="L31" s="150">
        <f>F31+'26.10'!L31</f>
        <v/>
      </c>
      <c r="M31" s="147">
        <f>SUM(K31:L31)</f>
        <v/>
      </c>
      <c r="N31" s="150">
        <f>H31+'26.10'!N31</f>
        <v/>
      </c>
      <c r="O31" s="150">
        <f>I31+'26.10'!O31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150">
        <f>E33+'26.10'!K33</f>
        <v/>
      </c>
      <c r="L33" s="150">
        <f>F33+'26.10'!L33</f>
        <v/>
      </c>
      <c r="M33" s="147">
        <f>SUM(K33:L33)</f>
        <v/>
      </c>
      <c r="N33" s="150">
        <f>H33+'26.10'!N33</f>
        <v/>
      </c>
      <c r="O33" s="150">
        <f>I33+'26.10'!O33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150">
        <f>E34+'26.10'!K34</f>
        <v/>
      </c>
      <c r="L34" s="150">
        <f>F34+'26.10'!L34</f>
        <v/>
      </c>
      <c r="M34" s="147">
        <f>SUM(K34:L34)</f>
        <v/>
      </c>
      <c r="N34" s="150">
        <f>H34+'26.10'!N34</f>
        <v/>
      </c>
      <c r="O34" s="150">
        <f>I34+'26.10'!O34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150">
        <f>E40+'26.10'!K40</f>
        <v/>
      </c>
      <c r="L40" s="150">
        <f>F40+'26.10'!L40</f>
        <v/>
      </c>
      <c r="M40" s="147">
        <f>SUM(K40:L40)</f>
        <v/>
      </c>
      <c r="N40" s="150">
        <f>H40+'26.10'!N40</f>
        <v/>
      </c>
      <c r="O40" s="150">
        <f>I40+'26.10'!O40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150">
        <f>E41+'26.10'!K41</f>
        <v/>
      </c>
      <c r="L41" s="150">
        <f>F41+'26.10'!L41</f>
        <v/>
      </c>
      <c r="M41" s="147">
        <f>SUM(K41:L41)</f>
        <v/>
      </c>
      <c r="N41" s="150">
        <f>H41+'26.10'!N41</f>
        <v/>
      </c>
      <c r="O41" s="150">
        <f>I41+'26.10'!O41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150">
        <f>E43+'26.10'!K43</f>
        <v/>
      </c>
      <c r="L43" s="150">
        <f>F43+'26.10'!L43</f>
        <v/>
      </c>
      <c r="M43" s="147">
        <f>SUM(K43:L43)</f>
        <v/>
      </c>
      <c r="N43" s="150">
        <f>H43+'26.10'!N43</f>
        <v/>
      </c>
      <c r="O43" s="150">
        <f>I43+'26.10'!O43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150">
        <f>E44+'26.10'!K44</f>
        <v/>
      </c>
      <c r="L44" s="150">
        <f>F44+'26.10'!L44</f>
        <v/>
      </c>
      <c r="M44" s="147">
        <f>SUM(K44:L44)</f>
        <v/>
      </c>
      <c r="N44" s="150">
        <f>H44+'26.10'!N44</f>
        <v/>
      </c>
      <c r="O44" s="150">
        <f>I44+'26.10'!O44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20377.4773285849</v>
      </c>
      <c r="L49" s="147" t="n">
        <v>19910.1353750648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109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D7/10000/D6/(DAY(DATE(2026,12,0))*24)</f>
        <v/>
      </c>
      <c r="E52" s="176">
        <f>E7/10000/E6/(DAY(DATE(2026,12,0))*24)</f>
        <v/>
      </c>
      <c r="F52" s="176">
        <f>F7/10000/F6/(DAY(DATE(2026,12,0))*24)</f>
        <v/>
      </c>
      <c r="G52" s="176">
        <f>G7/10000/G6/(DAY(DATE(2026,12,0))*24)</f>
        <v/>
      </c>
      <c r="H52" s="176">
        <f>H7/10000/H6/(DAY(DATE(2026,12,0))*24)</f>
        <v/>
      </c>
      <c r="I52" s="177">
        <f>I7/10000/I6/(DAY(DATE(2026,12,0))*24)</f>
        <v/>
      </c>
      <c r="J52" s="176">
        <f>J7/10000/J6/(DATEDIF(DATE(2026,1,1),DATE(2026,12,1),"D")*24)</f>
        <v/>
      </c>
      <c r="K52" s="176">
        <f>K7/10000/K6/(DATEDIF(DATE(2026,1,1),DATE(2026,12,1),"D")*24)</f>
        <v/>
      </c>
      <c r="L52" s="176">
        <f>L7/10000/L6/(DATEDIF(DATE(2026,1,1),DATE(2026,12,1),"D")*24)</f>
        <v/>
      </c>
      <c r="M52" s="176">
        <f>M7/10000/M6/(DATEDIF(DATE(2026,1,1),DATE(2026,12,1),"D")*24)</f>
        <v/>
      </c>
      <c r="N52" s="176">
        <f>N7/10000/N6/(DATEDIF(DATE(2026,1,1),DATE(2026,12,1),"D")*24)</f>
        <v/>
      </c>
      <c r="O52" s="177">
        <f>O7/10000/O6/(DATEDIF(DATE(2026,1,1),DATE(2026,12,1),"D")*24)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D9*1000/1986/((DAY(DATE(2026,12,0))*24)*3600)</f>
        <v/>
      </c>
      <c r="E53" s="180">
        <f>E9*1000/577/((DAY(DATE(2026,12,0))*24)*3600)</f>
        <v/>
      </c>
      <c r="F53" s="177">
        <f>F9*1000/528/((DAY(DATE(2026,12,0))*24)*3600)</f>
        <v/>
      </c>
      <c r="G53" s="180">
        <f>G9*1000/1442/((DAY(DATE(2026,12,0))*24)*3600)</f>
        <v/>
      </c>
      <c r="H53" s="177">
        <f>H9*1000/414/((DAY(DATE(2026,12,0))*24)*3600)</f>
        <v/>
      </c>
      <c r="I53" s="177">
        <f>I9*1000/130/((DAY(DATE(2026,12,0))*24)*3600)</f>
        <v/>
      </c>
      <c r="J53" s="176">
        <f>J9*1000/1986/((DATEDIF(DATE(2026,1,1),DATE(2026,12,1),"D")*24)*3600)</f>
        <v/>
      </c>
      <c r="K53" s="180">
        <f>K9*1000/577/((DATEDIF(DATE(2026,1,1),DATE(2026,12,1),"D")*24)*3600)</f>
        <v/>
      </c>
      <c r="L53" s="177">
        <f>L9*1000/528/((DATEDIF(DATE(2026,1,1),DATE(2026,12,1),"D")*24)*3600)</f>
        <v/>
      </c>
      <c r="M53" s="180">
        <f>M9*1000/1442/((DATEDIF(DATE(2026,1,1),DATE(2026,12,1),"D")*24)*3600)</f>
        <v/>
      </c>
      <c r="N53" s="177">
        <f>N9*1000/414/((DATEDIF(DATE(2026,1,1),DATE(2026,12,1),"D")*24)*3600)</f>
        <v/>
      </c>
      <c r="O53" s="177">
        <f>O9*1000/130/((DATEDIF(DATE(2026,1,1),DATE(2026,12,1),"D")*24)*3600)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150">
        <f>E57+'26.10'!K57</f>
        <v/>
      </c>
      <c r="L57" s="150">
        <f>F57+'26.10'!L57</f>
        <v/>
      </c>
      <c r="M57" s="147">
        <f>SUM(K57:L57)</f>
        <v/>
      </c>
      <c r="N57" s="150">
        <f>H57+'26.10'!N57</f>
        <v/>
      </c>
      <c r="O57" s="150">
        <f>I57+'26.10'!O57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150">
        <f>E58+'26.10'!K58</f>
        <v/>
      </c>
      <c r="L58" s="150">
        <f>F58+'26.10'!L58</f>
        <v/>
      </c>
      <c r="M58" s="147">
        <f>SUM(K58:L58)</f>
        <v/>
      </c>
      <c r="N58" s="150">
        <f>H58+'26.10'!N58</f>
        <v/>
      </c>
      <c r="O58" s="150">
        <f>I58+'26.10'!O58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08">
        <f>'26.10'!K59+E57-E14-E58</f>
        <v/>
      </c>
      <c r="L59" s="208">
        <f>'26.10'!L59+F57-F14-F58</f>
        <v/>
      </c>
      <c r="M59" s="152">
        <f>SUM(K59:L59)</f>
        <v/>
      </c>
      <c r="N59" s="208">
        <f>'26.10'!N59+H57-H14-H58</f>
        <v/>
      </c>
      <c r="O59" s="208">
        <f>'26.10'!O59+I57-I14-I58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150">
        <f>E60+'26.10'!K60</f>
        <v/>
      </c>
      <c r="L60" s="150">
        <f>F60+'26.10'!L60</f>
        <v/>
      </c>
      <c r="M60" s="172">
        <f>SUM(K60:L60)</f>
        <v/>
      </c>
      <c r="N60" s="150">
        <f>H60+'26.10'!N60</f>
        <v/>
      </c>
      <c r="O60" s="150">
        <f>I60+'26.10'!O60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150">
        <f>E61+'26.10'!K61</f>
        <v/>
      </c>
      <c r="L61" s="150">
        <f>F61+'26.10'!L61</f>
        <v/>
      </c>
      <c r="M61" s="147">
        <f>SUM(K61:L61)</f>
        <v/>
      </c>
      <c r="N61" s="150">
        <f>H61+'26.10'!N61</f>
        <v/>
      </c>
      <c r="O61" s="150">
        <f>I61+'26.10'!O61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150">
        <f>E62+'26.10'!K62</f>
        <v/>
      </c>
      <c r="L62" s="150">
        <f>F62+'26.10'!L62</f>
        <v/>
      </c>
      <c r="M62" s="147">
        <f>SUM(K62:L62)</f>
        <v/>
      </c>
      <c r="N62" s="150">
        <f>H62+'26.10'!N62</f>
        <v/>
      </c>
      <c r="O62" s="150">
        <f>I62+'26.10'!O62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150">
        <f>E63+'26.10'!K63</f>
        <v/>
      </c>
      <c r="L63" s="150">
        <f>F63+'26.10'!L63</f>
        <v/>
      </c>
      <c r="M63" s="147">
        <f>SUM(K63:L63)</f>
        <v/>
      </c>
      <c r="N63" s="150">
        <f>H63+'26.10'!N63</f>
        <v/>
      </c>
      <c r="O63" s="150">
        <f>I63+'26.10'!O63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150">
        <f>E64+'26.10'!K64</f>
        <v/>
      </c>
      <c r="L64" s="150">
        <f>F64+'26.10'!L64</f>
        <v/>
      </c>
      <c r="M64" s="147">
        <f>SUM(K64:L64)</f>
        <v/>
      </c>
      <c r="N64" s="150">
        <f>H64+'26.10'!N64</f>
        <v/>
      </c>
      <c r="O64" s="150">
        <f>I64+'26.10'!O64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150">
        <f>E65+'26.10'!K65</f>
        <v/>
      </c>
      <c r="L65" s="150">
        <f>F65+'26.10'!L65</f>
        <v/>
      </c>
      <c r="M65" s="191">
        <f>SUM(K65:L65)</f>
        <v/>
      </c>
      <c r="N65" s="150">
        <f>H65+'26.10'!N65</f>
        <v/>
      </c>
      <c r="O65" s="150">
        <f>I65+'26.10'!O65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150">
        <f>E66+'26.10'!K66</f>
        <v/>
      </c>
      <c r="L66" s="150">
        <f>F66+'26.10'!L66</f>
        <v/>
      </c>
      <c r="M66" s="194">
        <f>SUM(K66:L66)</f>
        <v/>
      </c>
      <c r="N66" s="150">
        <f>H66+'26.10'!N66</f>
        <v/>
      </c>
      <c r="O66" s="150">
        <f>I66+'26.10'!O66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136" t="n"/>
      <c r="C2" s="136" t="n"/>
      <c r="D2" s="136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</row>
    <row r="3" ht="12.75" customFormat="1" customHeight="1" s="2">
      <c r="A3" s="8" t="inlineStr">
        <is>
          <t>指 标 名 称</t>
        </is>
      </c>
      <c r="B3" s="9" t="inlineStr">
        <is>
          <t>计量单位</t>
        </is>
      </c>
      <c r="C3" s="10" t="inlineStr">
        <is>
          <t>代码</t>
        </is>
      </c>
      <c r="D3" s="9" t="inlineStr">
        <is>
          <t>本        月        实        际</t>
        </is>
      </c>
      <c r="E3" s="137" t="n"/>
      <c r="F3" s="137" t="n"/>
      <c r="G3" s="137" t="n"/>
      <c r="H3" s="137" t="n"/>
      <c r="I3" s="138" t="n"/>
      <c r="J3" s="9" t="inlineStr">
        <is>
          <t>本        年        累        计</t>
        </is>
      </c>
      <c r="K3" s="137" t="n"/>
      <c r="L3" s="137" t="n"/>
      <c r="M3" s="137" t="n"/>
      <c r="N3" s="137" t="n"/>
      <c r="O3" s="138" t="n"/>
      <c r="P3" s="12" t="n"/>
    </row>
    <row r="4" ht="13.9" customFormat="1" customHeight="1" s="2">
      <c r="A4" s="139" t="n"/>
      <c r="B4" s="140" t="n"/>
      <c r="C4" s="140" t="n"/>
      <c r="D4" s="14" t="inlineStr">
        <is>
          <t>合  计</t>
        </is>
      </c>
      <c r="E4" s="14" t="inlineStr">
        <is>
          <t>其                      中</t>
        </is>
      </c>
      <c r="F4" s="141" t="n"/>
      <c r="G4" s="141" t="n"/>
      <c r="H4" s="141" t="n"/>
      <c r="I4" s="142" t="n"/>
      <c r="J4" s="14" t="inlineStr">
        <is>
          <t>合  计</t>
        </is>
      </c>
      <c r="K4" s="14" t="inlineStr">
        <is>
          <t>其                      中</t>
        </is>
      </c>
      <c r="L4" s="141" t="n"/>
      <c r="M4" s="141" t="n"/>
      <c r="N4" s="141" t="n"/>
      <c r="O4" s="142" t="n"/>
      <c r="P4" s="12" t="n"/>
    </row>
    <row r="5" ht="13.9" customFormat="1" customHeight="1" s="2">
      <c r="A5" s="143" t="n"/>
      <c r="B5" s="144" t="n"/>
      <c r="C5" s="144" t="n"/>
      <c r="D5" s="144" t="n"/>
      <c r="E5" s="14" t="inlineStr">
        <is>
          <t>北海热电厂</t>
        </is>
      </c>
      <c r="F5" s="14" t="inlineStr">
        <is>
          <t>香海热电厂</t>
        </is>
      </c>
      <c r="G5" s="14" t="inlineStr">
        <is>
          <t>主城区小计</t>
        </is>
      </c>
      <c r="H5" s="14" t="inlineStr">
        <is>
          <t>金州热电厂</t>
        </is>
      </c>
      <c r="I5" s="16" t="inlineStr">
        <is>
          <t>瓦房店热电厂</t>
        </is>
      </c>
      <c r="J5" s="144" t="n"/>
      <c r="K5" s="14" t="inlineStr">
        <is>
          <t>北海热电厂</t>
        </is>
      </c>
      <c r="L5" s="14" t="inlineStr">
        <is>
          <t>香海热电厂</t>
        </is>
      </c>
      <c r="M5" s="14" t="inlineStr">
        <is>
          <t>主城区小计</t>
        </is>
      </c>
      <c r="N5" s="14" t="inlineStr">
        <is>
          <t>金州热电厂</t>
        </is>
      </c>
      <c r="O5" s="16" t="inlineStr">
        <is>
          <t>瓦房店热电厂</t>
        </is>
      </c>
      <c r="P5" s="12" t="n"/>
    </row>
    <row r="6" ht="13.9" customFormat="1" customHeight="1" s="3">
      <c r="A6" s="17" t="inlineStr">
        <is>
          <t>发电机组容量</t>
        </is>
      </c>
      <c r="B6" s="18" t="inlineStr">
        <is>
          <t>万千瓦</t>
        </is>
      </c>
      <c r="C6" s="19" t="inlineStr">
        <is>
          <t>001</t>
        </is>
      </c>
      <c r="D6" s="145">
        <f>G6+H6+I6</f>
        <v/>
      </c>
      <c r="E6" s="145" t="n">
        <v>10</v>
      </c>
      <c r="F6" s="145" t="n">
        <v>10</v>
      </c>
      <c r="G6" s="145">
        <f>SUM(E6:F6)</f>
        <v/>
      </c>
      <c r="H6" s="145" t="n">
        <v>3.6</v>
      </c>
      <c r="I6" s="146">
        <f>3.96-0.68</f>
        <v/>
      </c>
      <c r="J6" s="145">
        <f>M6+N6+O6</f>
        <v/>
      </c>
      <c r="K6" s="145" t="n">
        <v>10</v>
      </c>
      <c r="L6" s="145" t="n">
        <v>10</v>
      </c>
      <c r="M6" s="145">
        <f>SUM(K6:L6)</f>
        <v/>
      </c>
      <c r="N6" s="145" t="n">
        <v>3.6</v>
      </c>
      <c r="O6" s="146" t="n">
        <v>3.28</v>
      </c>
      <c r="P6" s="22" t="n"/>
    </row>
    <row r="7" ht="13.9" customFormat="1" customHeight="1" s="2">
      <c r="A7" s="17" t="inlineStr">
        <is>
          <t>发电量</t>
        </is>
      </c>
      <c r="B7" s="18" t="inlineStr">
        <is>
          <t>千瓦时</t>
        </is>
      </c>
      <c r="C7" s="19" t="inlineStr">
        <is>
          <t>002</t>
        </is>
      </c>
      <c r="D7" s="147">
        <f>G7+H7+I7</f>
        <v/>
      </c>
      <c r="E7" s="209">
        <f>[12]产量!$C$15</f>
        <v/>
      </c>
      <c r="F7" s="209">
        <f>[12]产量!$C$19</f>
        <v/>
      </c>
      <c r="G7" s="147">
        <f>SUM(E7:F7)</f>
        <v/>
      </c>
      <c r="H7" s="147" t="n"/>
      <c r="I7" s="149" t="n"/>
      <c r="J7" s="147">
        <f>M7+N7+O7</f>
        <v/>
      </c>
      <c r="K7" s="210">
        <f>E7+'26.11'!K7</f>
        <v/>
      </c>
      <c r="L7" s="210">
        <f>F7+'26.11'!L7</f>
        <v/>
      </c>
      <c r="M7" s="147">
        <f>SUM(K7:L7)</f>
        <v/>
      </c>
      <c r="N7" s="210">
        <f>H7+'26.11'!N7</f>
        <v/>
      </c>
      <c r="O7" s="210">
        <f>I7+'26.11'!O7</f>
        <v/>
      </c>
      <c r="P7" s="27" t="n"/>
    </row>
    <row r="8" ht="13.9" customFormat="1" customHeight="1" s="2">
      <c r="A8" s="17" t="inlineStr">
        <is>
          <t>供电量</t>
        </is>
      </c>
      <c r="B8" s="18" t="inlineStr">
        <is>
          <t>千瓦时</t>
        </is>
      </c>
      <c r="C8" s="19" t="inlineStr">
        <is>
          <t>003</t>
        </is>
      </c>
      <c r="D8" s="147">
        <f>G8+H8+I8</f>
        <v/>
      </c>
      <c r="E8" s="209">
        <f>[12]产量!$E$15</f>
        <v/>
      </c>
      <c r="F8" s="209">
        <f>[12]产量!$E$19</f>
        <v/>
      </c>
      <c r="G8" s="147">
        <f>SUM(E8:F8)</f>
        <v/>
      </c>
      <c r="H8" s="147" t="n"/>
      <c r="I8" s="149" t="n"/>
      <c r="J8" s="147">
        <f>M8+N8+O8</f>
        <v/>
      </c>
      <c r="K8" s="210">
        <f>E8+'26.11'!K8</f>
        <v/>
      </c>
      <c r="L8" s="210">
        <f>F8+'26.11'!L8</f>
        <v/>
      </c>
      <c r="M8" s="147">
        <f>SUM(K8:L8)</f>
        <v/>
      </c>
      <c r="N8" s="210">
        <f>H8+'26.11'!N8</f>
        <v/>
      </c>
      <c r="O8" s="210">
        <f>I8+'26.11'!O8</f>
        <v/>
      </c>
      <c r="P8" s="28" t="n"/>
    </row>
    <row r="9" ht="13.9" customFormat="1" customHeight="1" s="2">
      <c r="A9" s="17" t="inlineStr">
        <is>
          <t>供热量</t>
        </is>
      </c>
      <c r="B9" s="18" t="inlineStr">
        <is>
          <t>吉焦</t>
        </is>
      </c>
      <c r="C9" s="19" t="inlineStr">
        <is>
          <t>004</t>
        </is>
      </c>
      <c r="D9" s="147">
        <f>G9+H9+I9</f>
        <v/>
      </c>
      <c r="E9" s="209">
        <f>[12]产量!$G$6</f>
        <v/>
      </c>
      <c r="F9" s="209">
        <f>[12]产量!$G$7</f>
        <v/>
      </c>
      <c r="G9" s="147">
        <f>SUM(E9:F9)</f>
        <v/>
      </c>
      <c r="H9" s="147" t="n"/>
      <c r="I9" s="149" t="n"/>
      <c r="J9" s="147">
        <f>M9+N9+O9</f>
        <v/>
      </c>
      <c r="K9" s="210">
        <f>E9+'26.11'!K9</f>
        <v/>
      </c>
      <c r="L9" s="210">
        <f>F9+'26.11'!L9</f>
        <v/>
      </c>
      <c r="M9" s="147">
        <f>SUM(K9:L9)</f>
        <v/>
      </c>
      <c r="N9" s="210">
        <f>H9+'26.11'!N9</f>
        <v/>
      </c>
      <c r="O9" s="210">
        <f>I9+'26.11'!O9</f>
        <v/>
      </c>
      <c r="P9" s="12" t="n"/>
    </row>
    <row r="10" ht="13.9" customFormat="1" customHeight="1" s="2">
      <c r="A10" s="17" t="inlineStr">
        <is>
          <t>其中：低真空、热泵供热量</t>
        </is>
      </c>
      <c r="B10" s="18" t="inlineStr">
        <is>
          <t>吉焦</t>
        </is>
      </c>
      <c r="C10" s="19" t="inlineStr">
        <is>
          <t>005</t>
        </is>
      </c>
      <c r="D10" s="147">
        <f>G10+H10+I10</f>
        <v/>
      </c>
      <c r="E10" s="147" t="n"/>
      <c r="F10" s="209">
        <f>[12]产量!$G$29</f>
        <v/>
      </c>
      <c r="G10" s="147">
        <f>SUM(E10:F10)</f>
        <v/>
      </c>
      <c r="H10" s="147" t="n"/>
      <c r="I10" s="149" t="n"/>
      <c r="J10" s="147">
        <f>M10+N10+O10</f>
        <v/>
      </c>
      <c r="K10" s="210">
        <f>E10+'26.11'!K10</f>
        <v/>
      </c>
      <c r="L10" s="210">
        <f>F10+'26.11'!L10</f>
        <v/>
      </c>
      <c r="M10" s="147">
        <f>SUM(K10:L10)</f>
        <v/>
      </c>
      <c r="N10" s="210">
        <f>H10+'26.11'!N10</f>
        <v/>
      </c>
      <c r="O10" s="210">
        <f>I10+'26.11'!O10</f>
        <v/>
      </c>
      <c r="P10" s="12" t="n"/>
    </row>
    <row r="11" ht="13.9" customFormat="1" customHeight="1" s="2">
      <c r="A11" s="17" t="inlineStr">
        <is>
          <t xml:space="preserve">      高温水网供热量</t>
        </is>
      </c>
      <c r="B11" s="18" t="inlineStr">
        <is>
          <t>吉焦</t>
        </is>
      </c>
      <c r="C11" s="19" t="inlineStr">
        <is>
          <t>006</t>
        </is>
      </c>
      <c r="D11" s="147">
        <f>G11+H11+I11</f>
        <v/>
      </c>
      <c r="E11" s="209">
        <f>[12]产量!$G$28</f>
        <v/>
      </c>
      <c r="F11" s="209">
        <f>[12]产量!$G$30</f>
        <v/>
      </c>
      <c r="G11" s="147">
        <f>SUM(E11:F11)</f>
        <v/>
      </c>
      <c r="H11" s="147">
        <f>H9-H10</f>
        <v/>
      </c>
      <c r="I11" s="149">
        <f>I9-I10</f>
        <v/>
      </c>
      <c r="J11" s="147">
        <f>M11+N11+O11</f>
        <v/>
      </c>
      <c r="K11" s="210">
        <f>E11+'26.11'!K11</f>
        <v/>
      </c>
      <c r="L11" s="210">
        <f>F11+'26.11'!L11</f>
        <v/>
      </c>
      <c r="M11" s="147">
        <f>SUM(K11:L11)</f>
        <v/>
      </c>
      <c r="N11" s="210">
        <f>H11+'26.11'!N11</f>
        <v/>
      </c>
      <c r="O11" s="210">
        <f>I11+'26.11'!O11</f>
        <v/>
      </c>
      <c r="P11" s="12" t="n"/>
    </row>
    <row r="12" ht="13.9" customFormat="1" customHeight="1" s="2">
      <c r="A12" s="17" t="inlineStr">
        <is>
          <t>供汽量</t>
        </is>
      </c>
      <c r="B12" s="18" t="inlineStr">
        <is>
          <t>吨</t>
        </is>
      </c>
      <c r="C12" s="19" t="inlineStr">
        <is>
          <t>007</t>
        </is>
      </c>
      <c r="D12" s="147">
        <f>G12+H12+I12</f>
        <v/>
      </c>
      <c r="E12" s="209">
        <f>[12]产量!$G$15</f>
        <v/>
      </c>
      <c r="F12" s="209">
        <f>[12]产量!$G$19</f>
        <v/>
      </c>
      <c r="G12" s="147">
        <f>SUM(E12:F12)</f>
        <v/>
      </c>
      <c r="H12" s="147" t="n">
        <v>0</v>
      </c>
      <c r="I12" s="149" t="n">
        <v>0</v>
      </c>
      <c r="J12" s="147">
        <f>M12+N12+O12</f>
        <v/>
      </c>
      <c r="K12" s="210">
        <f>E12+'26.11'!K12</f>
        <v/>
      </c>
      <c r="L12" s="210">
        <f>F12+'26.11'!L12</f>
        <v/>
      </c>
      <c r="M12" s="147">
        <f>SUM(K12:L12)</f>
        <v/>
      </c>
      <c r="N12" s="210">
        <f>H12+'26.11'!N12</f>
        <v/>
      </c>
      <c r="O12" s="210">
        <f>I12+'26.11'!O12</f>
        <v/>
      </c>
      <c r="P12" s="12" t="n"/>
    </row>
    <row r="13" ht="13.9" customFormat="1" customHeight="1" s="2">
      <c r="A13" s="29" t="inlineStr">
        <is>
          <t>期末供暖收费面积</t>
        </is>
      </c>
      <c r="B13" s="30" t="inlineStr">
        <is>
          <t>平方米</t>
        </is>
      </c>
      <c r="C13" s="31" t="inlineStr">
        <is>
          <t>008</t>
        </is>
      </c>
      <c r="D13" s="152" t="n"/>
      <c r="E13" s="152" t="n"/>
      <c r="F13" s="152" t="n"/>
      <c r="G13" s="152" t="n"/>
      <c r="H13" s="152" t="n"/>
      <c r="I13" s="154" t="n"/>
      <c r="J13" s="152" t="n"/>
      <c r="K13" s="152" t="n"/>
      <c r="L13" s="152" t="n"/>
      <c r="M13" s="152" t="n"/>
      <c r="N13" s="152">
        <f>H13</f>
        <v/>
      </c>
      <c r="O13" s="154">
        <f>I13</f>
        <v/>
      </c>
      <c r="P13" s="12" t="n"/>
    </row>
    <row r="14" ht="13.9" customFormat="1" customHeight="1" s="2">
      <c r="A14" s="34" t="inlineStr">
        <is>
          <t>生产耗原煤量</t>
        </is>
      </c>
      <c r="B14" s="35" t="inlineStr">
        <is>
          <t>吨</t>
        </is>
      </c>
      <c r="C14" s="36" t="inlineStr">
        <is>
          <t>009</t>
        </is>
      </c>
      <c r="D14" s="155">
        <f>D15+D16</f>
        <v/>
      </c>
      <c r="E14" s="155">
        <f>E15+E16</f>
        <v/>
      </c>
      <c r="F14" s="155">
        <f>F15+F16</f>
        <v/>
      </c>
      <c r="G14" s="155">
        <f>G15+G16</f>
        <v/>
      </c>
      <c r="H14" s="155">
        <f>H15+H16</f>
        <v/>
      </c>
      <c r="I14" s="156">
        <f>I15+I16</f>
        <v/>
      </c>
      <c r="J14" s="155">
        <f>J15+J16</f>
        <v/>
      </c>
      <c r="K14" s="155">
        <f>K15+K16</f>
        <v/>
      </c>
      <c r="L14" s="155">
        <f>L15+L16</f>
        <v/>
      </c>
      <c r="M14" s="155">
        <f>M15+M16</f>
        <v/>
      </c>
      <c r="N14" s="155">
        <f>N15+N16</f>
        <v/>
      </c>
      <c r="O14" s="156">
        <f>O15+O16</f>
        <v/>
      </c>
      <c r="P14" s="12" t="n"/>
    </row>
    <row r="15" ht="13.9" customFormat="1" customHeight="1" s="2">
      <c r="A15" s="39" t="inlineStr">
        <is>
          <t>发电耗原煤量</t>
        </is>
      </c>
      <c r="B15" s="18" t="inlineStr">
        <is>
          <t>吨</t>
        </is>
      </c>
      <c r="C15" s="19" t="inlineStr">
        <is>
          <t>010</t>
        </is>
      </c>
      <c r="D15" s="147">
        <f>G15+H15+I15</f>
        <v/>
      </c>
      <c r="E15" s="148" t="n"/>
      <c r="F15" s="148" t="n"/>
      <c r="G15" s="147">
        <f>SUM(E15:F15)</f>
        <v/>
      </c>
      <c r="H15" s="147" t="n"/>
      <c r="I15" s="149" t="n"/>
      <c r="J15" s="147">
        <f>M15+N15+O15</f>
        <v/>
      </c>
      <c r="K15" s="210">
        <f>E15+'26.11'!K15</f>
        <v/>
      </c>
      <c r="L15" s="150">
        <f>F15+'26.11'!L15</f>
        <v/>
      </c>
      <c r="M15" s="147">
        <f>SUM(K15:L15)</f>
        <v/>
      </c>
      <c r="N15" s="210">
        <f>H15+'26.11'!N15</f>
        <v/>
      </c>
      <c r="O15" s="210">
        <f>I15+'26.11'!O15</f>
        <v/>
      </c>
      <c r="P15" s="12" t="n"/>
    </row>
    <row r="16" ht="13.9" customFormat="1" customHeight="1" s="2">
      <c r="A16" s="39" t="inlineStr">
        <is>
          <t>供热耗原煤量</t>
        </is>
      </c>
      <c r="B16" s="18" t="inlineStr">
        <is>
          <t>吨</t>
        </is>
      </c>
      <c r="C16" s="19" t="inlineStr">
        <is>
          <t>011</t>
        </is>
      </c>
      <c r="D16" s="147">
        <f>G16+H16+I16</f>
        <v/>
      </c>
      <c r="E16" s="148" t="n"/>
      <c r="F16" s="148" t="n"/>
      <c r="G16" s="147">
        <f>SUM(E16:F16)</f>
        <v/>
      </c>
      <c r="H16" s="147" t="n"/>
      <c r="I16" s="149" t="n"/>
      <c r="J16" s="147">
        <f>M16+N16+O16</f>
        <v/>
      </c>
      <c r="K16" s="210">
        <f>E16+'26.11'!K16</f>
        <v/>
      </c>
      <c r="L16" s="150">
        <f>F16+'26.11'!L16</f>
        <v/>
      </c>
      <c r="M16" s="147">
        <f>SUM(K16:L16)</f>
        <v/>
      </c>
      <c r="N16" s="210">
        <f>H16+'26.11'!N16</f>
        <v/>
      </c>
      <c r="O16" s="210">
        <f>I16+'26.11'!O16</f>
        <v/>
      </c>
      <c r="P16" s="12" t="n"/>
    </row>
    <row r="17" ht="13.9" customFormat="1" customHeight="1" s="2">
      <c r="A17" s="17" t="inlineStr">
        <is>
          <t>锅炉耗油量</t>
        </is>
      </c>
      <c r="B17" s="18" t="inlineStr">
        <is>
          <t>吨</t>
        </is>
      </c>
      <c r="C17" s="19" t="inlineStr">
        <is>
          <t>012</t>
        </is>
      </c>
      <c r="D17" s="147">
        <f>D18+D19</f>
        <v/>
      </c>
      <c r="E17" s="147">
        <f>E18+E19</f>
        <v/>
      </c>
      <c r="F17" s="147">
        <f>F18+F19</f>
        <v/>
      </c>
      <c r="G17" s="147">
        <f>G18+G19</f>
        <v/>
      </c>
      <c r="H17" s="148">
        <f>H18+H19</f>
        <v/>
      </c>
      <c r="I17" s="149">
        <f>I18+I19</f>
        <v/>
      </c>
      <c r="J17" s="147">
        <f>J18+J19</f>
        <v/>
      </c>
      <c r="K17" s="147">
        <f>K18+K19</f>
        <v/>
      </c>
      <c r="L17" s="147">
        <f>L18+L19</f>
        <v/>
      </c>
      <c r="M17" s="147">
        <f>M18+M19</f>
        <v/>
      </c>
      <c r="N17" s="148">
        <f>N18+N19</f>
        <v/>
      </c>
      <c r="O17" s="149">
        <f>O18+O19</f>
        <v/>
      </c>
      <c r="P17" s="12" t="n"/>
    </row>
    <row r="18" ht="13.9" customFormat="1" customHeight="1" s="2">
      <c r="A18" s="39" t="inlineStr">
        <is>
          <t>发电耗油量</t>
        </is>
      </c>
      <c r="B18" s="18" t="inlineStr">
        <is>
          <t>吨</t>
        </is>
      </c>
      <c r="C18" s="19" t="inlineStr">
        <is>
          <t>013</t>
        </is>
      </c>
      <c r="D18" s="147">
        <f>G18+H18+I18</f>
        <v/>
      </c>
      <c r="E18" s="147" t="n"/>
      <c r="F18" s="147" t="n"/>
      <c r="G18" s="147">
        <f>SUM(E18:F18)</f>
        <v/>
      </c>
      <c r="H18" s="148" t="n"/>
      <c r="I18" s="149" t="n"/>
      <c r="J18" s="147">
        <f>M18+N18+O18</f>
        <v/>
      </c>
      <c r="K18" s="210">
        <f>E18+'26.11'!K18</f>
        <v/>
      </c>
      <c r="L18" s="210">
        <f>F18+'26.11'!L18</f>
        <v/>
      </c>
      <c r="M18" s="147">
        <f>SUM(K18:L18)</f>
        <v/>
      </c>
      <c r="N18" s="150">
        <f>H18+'26.11'!N18</f>
        <v/>
      </c>
      <c r="O18" s="210">
        <f>I18+'26.11'!O18</f>
        <v/>
      </c>
      <c r="P18" s="12" t="n"/>
    </row>
    <row r="19" ht="13.9" customFormat="1" customHeight="1" s="2">
      <c r="A19" s="39" t="inlineStr">
        <is>
          <t>供热耗油量</t>
        </is>
      </c>
      <c r="B19" s="18" t="inlineStr">
        <is>
          <t>吨</t>
        </is>
      </c>
      <c r="C19" s="19" t="inlineStr">
        <is>
          <t>014</t>
        </is>
      </c>
      <c r="D19" s="147">
        <f>G19+H19+I19</f>
        <v/>
      </c>
      <c r="E19" s="147" t="n"/>
      <c r="F19" s="147" t="n"/>
      <c r="G19" s="147">
        <f>SUM(E19:F19)</f>
        <v/>
      </c>
      <c r="H19" s="148" t="n"/>
      <c r="I19" s="149" t="n"/>
      <c r="J19" s="147">
        <f>M19+N19+O19</f>
        <v/>
      </c>
      <c r="K19" s="210">
        <f>E19+'26.11'!K19</f>
        <v/>
      </c>
      <c r="L19" s="210">
        <f>F19+'26.11'!L19</f>
        <v/>
      </c>
      <c r="M19" s="147">
        <f>SUM(K19:L19)</f>
        <v/>
      </c>
      <c r="N19" s="150">
        <f>H19+'26.11'!N19</f>
        <v/>
      </c>
      <c r="O19" s="210">
        <f>I19+'26.11'!O19</f>
        <v/>
      </c>
      <c r="P19" s="12" t="n"/>
    </row>
    <row r="20" ht="13.9" customFormat="1" customHeight="1" s="2">
      <c r="A20" s="17" t="inlineStr">
        <is>
          <t>耗水量</t>
        </is>
      </c>
      <c r="B20" s="18" t="inlineStr">
        <is>
          <t>吨</t>
        </is>
      </c>
      <c r="C20" s="19" t="inlineStr">
        <is>
          <t>015</t>
        </is>
      </c>
      <c r="D20" s="147">
        <f>G20+H20+I20</f>
        <v/>
      </c>
      <c r="E20" s="147" t="n"/>
      <c r="F20" s="147" t="n"/>
      <c r="G20" s="147">
        <f>SUM(E20:F20)</f>
        <v/>
      </c>
      <c r="H20" s="147" t="n"/>
      <c r="I20" s="149" t="n"/>
      <c r="J20" s="147">
        <f>M20+N20+O20</f>
        <v/>
      </c>
      <c r="K20" s="210">
        <f>E20+'26.11'!K20</f>
        <v/>
      </c>
      <c r="L20" s="210">
        <f>F20+'26.11'!L20</f>
        <v/>
      </c>
      <c r="M20" s="147">
        <f>SUM(K20:L20)</f>
        <v/>
      </c>
      <c r="N20" s="210">
        <f>H20+'26.11'!N20</f>
        <v/>
      </c>
      <c r="O20" s="210">
        <f>I20+'26.11'!O20</f>
        <v/>
      </c>
      <c r="P20" s="12" t="n"/>
    </row>
    <row r="21" ht="13.9" customFormat="1" customHeight="1" s="2">
      <c r="A21" s="17" t="inlineStr">
        <is>
          <t>其中：耗再生水量(或井水)</t>
        </is>
      </c>
      <c r="B21" s="18" t="inlineStr">
        <is>
          <t>吨</t>
        </is>
      </c>
      <c r="C21" s="19" t="inlineStr">
        <is>
          <t>016</t>
        </is>
      </c>
      <c r="D21" s="147">
        <f>G21+H21+I21</f>
        <v/>
      </c>
      <c r="E21" s="147" t="n"/>
      <c r="F21" s="147" t="n"/>
      <c r="G21" s="147">
        <f>SUM(E21:F21)</f>
        <v/>
      </c>
      <c r="H21" s="147" t="n"/>
      <c r="I21" s="149" t="n"/>
      <c r="J21" s="147">
        <f>M21+N21+O21</f>
        <v/>
      </c>
      <c r="K21" s="210">
        <f>E21+'26.11'!K21</f>
        <v/>
      </c>
      <c r="L21" s="210">
        <f>F21+'26.11'!L21</f>
        <v/>
      </c>
      <c r="M21" s="147">
        <f>SUM(K21:L21)</f>
        <v/>
      </c>
      <c r="N21" s="210">
        <f>H21+'26.11'!N21</f>
        <v/>
      </c>
      <c r="O21" s="210">
        <f>I21+'26.11'!O21</f>
        <v/>
      </c>
      <c r="P21" s="12" t="n"/>
    </row>
    <row r="22" ht="13.9" customFormat="1" customHeight="1" s="2">
      <c r="A22" s="17" t="inlineStr">
        <is>
          <t>耗酸量</t>
        </is>
      </c>
      <c r="B22" s="18" t="inlineStr">
        <is>
          <t>吨</t>
        </is>
      </c>
      <c r="C22" s="19" t="inlineStr">
        <is>
          <t>017</t>
        </is>
      </c>
      <c r="D22" s="147">
        <f>G22+H22+I22</f>
        <v/>
      </c>
      <c r="E22" s="147" t="n"/>
      <c r="F22" s="147" t="n"/>
      <c r="G22" s="147">
        <f>SUM(E22:F22)</f>
        <v/>
      </c>
      <c r="H22" s="147" t="n"/>
      <c r="I22" s="149" t="n"/>
      <c r="J22" s="147">
        <f>M22+N22+O22</f>
        <v/>
      </c>
      <c r="K22" s="210">
        <f>E22+'26.11'!K22</f>
        <v/>
      </c>
      <c r="L22" s="210">
        <f>F22+'26.11'!L22</f>
        <v/>
      </c>
      <c r="M22" s="147">
        <f>SUM(K22:L22)</f>
        <v/>
      </c>
      <c r="N22" s="210">
        <f>H22+'26.11'!N22</f>
        <v/>
      </c>
      <c r="O22" s="210">
        <f>I22+'26.11'!O22</f>
        <v/>
      </c>
      <c r="P22" s="12" t="n"/>
    </row>
    <row r="23" ht="13.9" customFormat="1" customHeight="1" s="2">
      <c r="A23" s="17" t="inlineStr">
        <is>
          <t>耗碱量</t>
        </is>
      </c>
      <c r="B23" s="18" t="inlineStr">
        <is>
          <t>吨</t>
        </is>
      </c>
      <c r="C23" s="19" t="inlineStr">
        <is>
          <t>018</t>
        </is>
      </c>
      <c r="D23" s="147">
        <f>G23+H23+I23</f>
        <v/>
      </c>
      <c r="E23" s="147" t="n"/>
      <c r="F23" s="147" t="n"/>
      <c r="G23" s="147">
        <f>SUM(E23:F23)</f>
        <v/>
      </c>
      <c r="H23" s="147" t="n"/>
      <c r="I23" s="149" t="n"/>
      <c r="J23" s="147">
        <f>M23+N23+O23</f>
        <v/>
      </c>
      <c r="K23" s="210">
        <f>E23+'26.11'!K23</f>
        <v/>
      </c>
      <c r="L23" s="210">
        <f>F23+'26.11'!L23</f>
        <v/>
      </c>
      <c r="M23" s="147">
        <f>SUM(K23:L23)</f>
        <v/>
      </c>
      <c r="N23" s="210">
        <f>H23+'26.11'!N23</f>
        <v/>
      </c>
      <c r="O23" s="210">
        <f>I23+'26.11'!O23</f>
        <v/>
      </c>
      <c r="P23" s="12" t="n"/>
    </row>
    <row r="24" ht="13.9" customFormat="1" customHeight="1" s="2">
      <c r="A24" s="17" t="inlineStr">
        <is>
          <t>耗石灰石量</t>
        </is>
      </c>
      <c r="B24" s="18" t="inlineStr">
        <is>
          <t>吨</t>
        </is>
      </c>
      <c r="C24" s="19" t="inlineStr">
        <is>
          <t>019</t>
        </is>
      </c>
      <c r="D24" s="147">
        <f>G24+H24+I24</f>
        <v/>
      </c>
      <c r="E24" s="147" t="n"/>
      <c r="G24" s="147">
        <f>SUM(E24:F24)</f>
        <v/>
      </c>
      <c r="H24" s="147" t="n"/>
      <c r="I24" s="149" t="n"/>
      <c r="J24" s="147">
        <f>M24+N24+O24</f>
        <v/>
      </c>
      <c r="K24" s="210">
        <f>E24+'26.11'!K24</f>
        <v/>
      </c>
      <c r="L24" s="210">
        <f>F24+'26.11'!L24</f>
        <v/>
      </c>
      <c r="M24" s="147">
        <f>SUM(K24:L24)</f>
        <v/>
      </c>
      <c r="N24" s="210">
        <f>H24+'26.11'!N24</f>
        <v/>
      </c>
      <c r="O24" s="210">
        <f>I24+'26.11'!O24</f>
        <v/>
      </c>
      <c r="P24" s="12" t="n"/>
    </row>
    <row r="25" ht="13.9" customFormat="1" customHeight="1" s="2">
      <c r="A25" s="17" t="inlineStr">
        <is>
          <t>耗石灰石粉量</t>
        </is>
      </c>
      <c r="B25" s="18" t="inlineStr">
        <is>
          <t>吨</t>
        </is>
      </c>
      <c r="C25" s="19" t="inlineStr">
        <is>
          <t>020</t>
        </is>
      </c>
      <c r="D25" s="147">
        <f>G25+H25+I25</f>
        <v/>
      </c>
      <c r="E25" s="157" t="n"/>
      <c r="F25" s="147" t="n"/>
      <c r="G25" s="147">
        <f>SUM(E25:F25)</f>
        <v/>
      </c>
      <c r="H25" s="147" t="n"/>
      <c r="I25" s="149" t="n"/>
      <c r="J25" s="147">
        <f>M25+N25+O25</f>
        <v/>
      </c>
      <c r="K25" s="210">
        <f>E25+'26.11'!K25</f>
        <v/>
      </c>
      <c r="L25" s="210">
        <f>F25+'26.11'!L25</f>
        <v/>
      </c>
      <c r="M25" s="147">
        <f>SUM(K25:L25)</f>
        <v/>
      </c>
      <c r="N25" s="210">
        <f>H25+'26.11'!N25</f>
        <v/>
      </c>
      <c r="O25" s="210">
        <f>I25+'26.11'!O25</f>
        <v/>
      </c>
      <c r="P25" s="12" t="n"/>
    </row>
    <row r="26" ht="13.9" customFormat="1" customHeight="1" s="2">
      <c r="A26" s="17" t="inlineStr">
        <is>
          <t>耗氨水量</t>
        </is>
      </c>
      <c r="B26" s="18" t="inlineStr">
        <is>
          <t>吨</t>
        </is>
      </c>
      <c r="C26" s="19" t="inlineStr">
        <is>
          <t>021</t>
        </is>
      </c>
      <c r="D26" s="147">
        <f>G26+H26+I26</f>
        <v/>
      </c>
      <c r="E26" s="157" t="n"/>
      <c r="F26" s="147" t="n"/>
      <c r="G26" s="147">
        <f>SUM(E26:F26)</f>
        <v/>
      </c>
      <c r="H26" s="147" t="n"/>
      <c r="I26" s="158" t="n"/>
      <c r="J26" s="147">
        <f>M26+N26+O26</f>
        <v/>
      </c>
      <c r="K26" s="210">
        <f>E26+'26.11'!K26</f>
        <v/>
      </c>
      <c r="L26" s="210">
        <f>F26+'26.11'!L26</f>
        <v/>
      </c>
      <c r="M26" s="147">
        <f>SUM(K26:L26)</f>
        <v/>
      </c>
      <c r="N26" s="210">
        <f>H26+'26.11'!N26</f>
        <v/>
      </c>
      <c r="O26" s="210">
        <f>I26+'26.11'!O26</f>
        <v/>
      </c>
      <c r="P26" s="12" t="n"/>
    </row>
    <row r="27" ht="13.9" customFormat="1" customHeight="1" s="159">
      <c r="A27" s="160" t="inlineStr">
        <is>
          <t>耗阻垢剂量(水质稳定剂)</t>
        </is>
      </c>
      <c r="B27" s="161" t="inlineStr">
        <is>
          <t>吨</t>
        </is>
      </c>
      <c r="C27" s="19" t="inlineStr">
        <is>
          <t>022</t>
        </is>
      </c>
      <c r="D27" s="162">
        <f>G27+H27+I27</f>
        <v/>
      </c>
      <c r="E27" s="163" t="n"/>
      <c r="F27" s="162" t="n"/>
      <c r="G27" s="162">
        <f>SUM(E27:F27)</f>
        <v/>
      </c>
      <c r="H27" s="162" t="n"/>
      <c r="I27" s="48" t="n"/>
      <c r="J27" s="162">
        <f>M27+N27+O27</f>
        <v/>
      </c>
      <c r="K27" s="210">
        <f>E27+'26.11'!K27</f>
        <v/>
      </c>
      <c r="L27" s="210">
        <f>F27+'26.11'!L27</f>
        <v/>
      </c>
      <c r="M27" s="162">
        <f>SUM(K27:L27)</f>
        <v/>
      </c>
      <c r="N27" s="210">
        <f>H27+'26.11'!N27</f>
        <v/>
      </c>
      <c r="O27" s="210">
        <f>I27+'26.11'!O27</f>
        <v/>
      </c>
      <c r="P27" s="164" t="n"/>
    </row>
    <row r="28" ht="13.9" customFormat="1" customHeight="1" s="159">
      <c r="A28" s="160" t="inlineStr">
        <is>
          <t>耗杀菌剂量</t>
        </is>
      </c>
      <c r="B28" s="161" t="inlineStr">
        <is>
          <t>吨</t>
        </is>
      </c>
      <c r="C28" s="19" t="inlineStr">
        <is>
          <t>023</t>
        </is>
      </c>
      <c r="D28" s="162">
        <f>G28+H28+I28</f>
        <v/>
      </c>
      <c r="E28" s="163" t="n"/>
      <c r="F28" s="162" t="n"/>
      <c r="G28" s="162">
        <f>SUM(E28:F28)</f>
        <v/>
      </c>
      <c r="H28" s="162" t="n"/>
      <c r="I28" s="165" t="n"/>
      <c r="J28" s="162">
        <f>M28+N28+O28</f>
        <v/>
      </c>
      <c r="K28" s="210">
        <f>E28+'26.11'!K28</f>
        <v/>
      </c>
      <c r="L28" s="210">
        <f>F28+'26.11'!L28</f>
        <v/>
      </c>
      <c r="M28" s="162">
        <f>SUM(K28:L28)</f>
        <v/>
      </c>
      <c r="N28" s="210">
        <f>H28+'26.11'!N28</f>
        <v/>
      </c>
      <c r="O28" s="210">
        <f>I28+'26.11'!O28</f>
        <v/>
      </c>
      <c r="P28" s="164" t="n"/>
    </row>
    <row r="29" ht="13.9" customFormat="1" customHeight="1" s="159">
      <c r="A29" s="160" t="inlineStr">
        <is>
          <t>耗钢球量</t>
        </is>
      </c>
      <c r="B29" s="161" t="inlineStr">
        <is>
          <t>吨</t>
        </is>
      </c>
      <c r="C29" s="19" t="inlineStr">
        <is>
          <t>024</t>
        </is>
      </c>
      <c r="D29" s="147">
        <f>G29+H29+I29</f>
        <v/>
      </c>
      <c r="E29" s="157" t="n"/>
      <c r="F29" s="147" t="n"/>
      <c r="G29" s="147">
        <f>SUM(E29:F29)</f>
        <v/>
      </c>
      <c r="H29" s="147" t="n"/>
      <c r="I29" s="149" t="n"/>
      <c r="J29" s="147">
        <f>M29+N29+O29</f>
        <v/>
      </c>
      <c r="K29" s="210">
        <f>E29+'26.11'!K29</f>
        <v/>
      </c>
      <c r="L29" s="210">
        <f>F29+'26.11'!L29</f>
        <v/>
      </c>
      <c r="M29" s="147">
        <f>SUM(K29:L29)</f>
        <v/>
      </c>
      <c r="N29" s="210">
        <f>H29+'26.11'!N29</f>
        <v/>
      </c>
      <c r="O29" s="210">
        <f>I29+'26.11'!O29</f>
        <v/>
      </c>
      <c r="P29" s="164" t="n"/>
    </row>
    <row r="30" ht="13.9" customFormat="1" customHeight="1" s="2">
      <c r="A30" s="17" t="inlineStr">
        <is>
          <t>综合厂用电量</t>
        </is>
      </c>
      <c r="B30" s="18" t="inlineStr">
        <is>
          <t>千瓦时</t>
        </is>
      </c>
      <c r="C30" s="19" t="inlineStr">
        <is>
          <t>025</t>
        </is>
      </c>
      <c r="D30" s="147">
        <f>G30+H30+I30</f>
        <v/>
      </c>
      <c r="E30" s="147">
        <f>E7-E8</f>
        <v/>
      </c>
      <c r="F30" s="147">
        <f>F7-F8</f>
        <v/>
      </c>
      <c r="G30" s="147">
        <f>G7-G8</f>
        <v/>
      </c>
      <c r="H30" s="147">
        <f>H7-H8</f>
        <v/>
      </c>
      <c r="I30" s="149">
        <f>I7-I8</f>
        <v/>
      </c>
      <c r="J30" s="147">
        <f>M30+N30+O30</f>
        <v/>
      </c>
      <c r="K30" s="210">
        <f>E30+'26.11'!K30</f>
        <v/>
      </c>
      <c r="L30" s="210">
        <f>F30+'26.11'!L30</f>
        <v/>
      </c>
      <c r="M30" s="147">
        <f>M7-M8</f>
        <v/>
      </c>
      <c r="N30" s="210">
        <f>H30+'26.11'!N30</f>
        <v/>
      </c>
      <c r="O30" s="210">
        <f>I30+'26.11'!O30</f>
        <v/>
      </c>
      <c r="P30" s="12" t="n"/>
    </row>
    <row r="31" ht="13.9" customFormat="1" customHeight="1" s="2">
      <c r="A31" s="17" t="inlineStr">
        <is>
          <t>非生产厂用电量</t>
        </is>
      </c>
      <c r="B31" s="18" t="inlineStr">
        <is>
          <t>千瓦时</t>
        </is>
      </c>
      <c r="C31" s="19" t="inlineStr">
        <is>
          <t>026</t>
        </is>
      </c>
      <c r="D31" s="147">
        <f>G31+H31+I31</f>
        <v/>
      </c>
      <c r="E31" s="147" t="n"/>
      <c r="F31" s="147" t="n"/>
      <c r="G31" s="147">
        <f>SUM(E31:F31)</f>
        <v/>
      </c>
      <c r="H31" s="147" t="n"/>
      <c r="I31" s="149" t="n"/>
      <c r="J31" s="147">
        <f>M31+N31+O31</f>
        <v/>
      </c>
      <c r="K31" s="210">
        <f>E31+'26.11'!K31</f>
        <v/>
      </c>
      <c r="L31" s="210">
        <f>F31+'26.11'!L31</f>
        <v/>
      </c>
      <c r="M31" s="147">
        <f>SUM(K31:L31)</f>
        <v/>
      </c>
      <c r="N31" s="210">
        <f>H31+'26.11'!N31</f>
        <v/>
      </c>
      <c r="O31" s="210">
        <f>I31+'26.11'!O31</f>
        <v/>
      </c>
      <c r="P31" s="12" t="n"/>
    </row>
    <row r="32" ht="13.9" customFormat="1" customHeight="1" s="2">
      <c r="A32" s="17" t="inlineStr">
        <is>
          <t>生产厂用电量</t>
        </is>
      </c>
      <c r="B32" s="18" t="inlineStr">
        <is>
          <t>千瓦时</t>
        </is>
      </c>
      <c r="C32" s="19" t="inlineStr">
        <is>
          <t>027</t>
        </is>
      </c>
      <c r="D32" s="147">
        <f>D33+D34</f>
        <v/>
      </c>
      <c r="E32" s="147">
        <f>E33+E34</f>
        <v/>
      </c>
      <c r="F32" s="147">
        <f>F33+F34</f>
        <v/>
      </c>
      <c r="G32" s="147">
        <f>G33+G34</f>
        <v/>
      </c>
      <c r="H32" s="147">
        <f>H33+H34</f>
        <v/>
      </c>
      <c r="I32" s="149">
        <f>I33+I34</f>
        <v/>
      </c>
      <c r="J32" s="147">
        <f>J33+J34</f>
        <v/>
      </c>
      <c r="K32" s="147">
        <f>K33+K34</f>
        <v/>
      </c>
      <c r="L32" s="147">
        <f>L33+L34</f>
        <v/>
      </c>
      <c r="M32" s="147">
        <f>M33+M34</f>
        <v/>
      </c>
      <c r="N32" s="147">
        <f>N33+N34</f>
        <v/>
      </c>
      <c r="O32" s="147">
        <f>O33+O34</f>
        <v/>
      </c>
      <c r="P32" s="12" t="n"/>
    </row>
    <row r="33" ht="13.9" customFormat="1" customHeight="1" s="2">
      <c r="A33" s="17" t="inlineStr">
        <is>
          <t>其中：发电厂用电量</t>
        </is>
      </c>
      <c r="B33" s="18" t="inlineStr">
        <is>
          <t>千瓦时</t>
        </is>
      </c>
      <c r="C33" s="19" t="inlineStr">
        <is>
          <t>028</t>
        </is>
      </c>
      <c r="D33" s="147">
        <f>G33+H33+I33</f>
        <v/>
      </c>
      <c r="E33" s="147" t="n"/>
      <c r="F33" s="147" t="n"/>
      <c r="G33" s="147">
        <f>SUM(E33:F33)</f>
        <v/>
      </c>
      <c r="H33" s="147" t="n"/>
      <c r="I33" s="149" t="n"/>
      <c r="J33" s="147">
        <f>M33+N33+O33</f>
        <v/>
      </c>
      <c r="K33" s="210">
        <f>E33+'26.11'!K33</f>
        <v/>
      </c>
      <c r="L33" s="213">
        <f>F33+'26.11'!L33</f>
        <v/>
      </c>
      <c r="M33" s="147">
        <f>SUM(K33:L33)</f>
        <v/>
      </c>
      <c r="N33" s="210">
        <f>H33+'26.11'!N33</f>
        <v/>
      </c>
      <c r="O33" s="210">
        <f>I33+'26.11'!O33</f>
        <v/>
      </c>
      <c r="P33" s="12" t="n"/>
    </row>
    <row r="34" ht="13.9" customFormat="1" customHeight="1" s="2">
      <c r="A34" s="52" t="inlineStr">
        <is>
          <t xml:space="preserve">            供热厂用电量</t>
        </is>
      </c>
      <c r="B34" s="18" t="inlineStr">
        <is>
          <t>千瓦时</t>
        </is>
      </c>
      <c r="C34" s="19" t="inlineStr">
        <is>
          <t>029</t>
        </is>
      </c>
      <c r="D34" s="147">
        <f>G34+H34+I34</f>
        <v/>
      </c>
      <c r="E34" s="147" t="n"/>
      <c r="F34" s="147" t="n"/>
      <c r="G34" s="147">
        <f>SUM(E34:F34)</f>
        <v/>
      </c>
      <c r="H34" s="147" t="n"/>
      <c r="I34" s="149" t="n"/>
      <c r="J34" s="147">
        <f>M34+N34+O34</f>
        <v/>
      </c>
      <c r="K34" s="210">
        <f>E34+'26.11'!K34</f>
        <v/>
      </c>
      <c r="L34" s="213">
        <f>F34+'26.11'!L34</f>
        <v/>
      </c>
      <c r="M34" s="147">
        <f>SUM(K34:L34)</f>
        <v/>
      </c>
      <c r="N34" s="210">
        <f>H34+'26.11'!N34</f>
        <v/>
      </c>
      <c r="O34" s="210">
        <f>I34+'26.11'!O34</f>
        <v/>
      </c>
      <c r="P34" s="12" t="n"/>
    </row>
    <row r="35" ht="13.9" customFormat="1" customHeight="1" s="2">
      <c r="A35" s="17" t="inlineStr">
        <is>
          <t>综合厂用电率</t>
        </is>
      </c>
      <c r="B35" s="53" t="inlineStr">
        <is>
          <t>%</t>
        </is>
      </c>
      <c r="C35" s="19" t="inlineStr">
        <is>
          <t>030</t>
        </is>
      </c>
      <c r="D35" s="167">
        <f>D30*100/D7</f>
        <v/>
      </c>
      <c r="E35" s="167">
        <f>E30*100/E7</f>
        <v/>
      </c>
      <c r="F35" s="167">
        <f>F30*100/F7</f>
        <v/>
      </c>
      <c r="G35" s="167">
        <f>G30*100/G7</f>
        <v/>
      </c>
      <c r="H35" s="167">
        <f>H30*100/H7</f>
        <v/>
      </c>
      <c r="I35" s="168">
        <f>I30*100/I7</f>
        <v/>
      </c>
      <c r="J35" s="167">
        <f>J30*100/J7</f>
        <v/>
      </c>
      <c r="K35" s="167">
        <f>K30*100/K7</f>
        <v/>
      </c>
      <c r="L35" s="167">
        <f>L30*100/L7</f>
        <v/>
      </c>
      <c r="M35" s="167">
        <f>M30*100/M7</f>
        <v/>
      </c>
      <c r="N35" s="167">
        <f>N30*100/N7</f>
        <v/>
      </c>
      <c r="O35" s="168">
        <f>O30*100/O7</f>
        <v/>
      </c>
      <c r="P35" s="12" t="n"/>
    </row>
    <row r="36" ht="13.9" customFormat="1" customHeight="1" s="2">
      <c r="A36" s="17" t="inlineStr">
        <is>
          <t>发电厂用电率</t>
        </is>
      </c>
      <c r="B36" s="53" t="inlineStr">
        <is>
          <t>%</t>
        </is>
      </c>
      <c r="C36" s="19" t="inlineStr">
        <is>
          <t>031</t>
        </is>
      </c>
      <c r="D36" s="167">
        <f>D33*100/D7</f>
        <v/>
      </c>
      <c r="E36" s="167">
        <f>E33*100/E7</f>
        <v/>
      </c>
      <c r="F36" s="167">
        <f>F33*100/F7</f>
        <v/>
      </c>
      <c r="G36" s="167">
        <f>G33*100/G7</f>
        <v/>
      </c>
      <c r="H36" s="167">
        <f>H33*100/H7</f>
        <v/>
      </c>
      <c r="I36" s="168">
        <f>I33*100/I7</f>
        <v/>
      </c>
      <c r="J36" s="167">
        <f>J33*100/J7</f>
        <v/>
      </c>
      <c r="K36" s="167">
        <f>K33*100/K7</f>
        <v/>
      </c>
      <c r="L36" s="167">
        <f>L33*100/L7</f>
        <v/>
      </c>
      <c r="M36" s="167">
        <f>M33*100/M7</f>
        <v/>
      </c>
      <c r="N36" s="167">
        <f>N33*100/N7</f>
        <v/>
      </c>
      <c r="O36" s="168">
        <f>O33*100/O7</f>
        <v/>
      </c>
      <c r="P36" s="12" t="n"/>
    </row>
    <row r="37" ht="13.9" customFormat="1" customHeight="1" s="2">
      <c r="A37" s="17" t="inlineStr">
        <is>
          <t>供热厂用电率</t>
        </is>
      </c>
      <c r="B37" s="18" t="inlineStr">
        <is>
          <t>千瓦时/吉焦</t>
        </is>
      </c>
      <c r="C37" s="19" t="inlineStr">
        <is>
          <t>032</t>
        </is>
      </c>
      <c r="D37" s="167">
        <f>D34/D9</f>
        <v/>
      </c>
      <c r="E37" s="167">
        <f>E34/E9</f>
        <v/>
      </c>
      <c r="F37" s="167">
        <f>F34/F9</f>
        <v/>
      </c>
      <c r="G37" s="167">
        <f>G34/G9</f>
        <v/>
      </c>
      <c r="H37" s="167">
        <f>H34/H9</f>
        <v/>
      </c>
      <c r="I37" s="168">
        <f>I34/I9</f>
        <v/>
      </c>
      <c r="J37" s="167">
        <f>J34/J9</f>
        <v/>
      </c>
      <c r="K37" s="167">
        <f>K34/K9</f>
        <v/>
      </c>
      <c r="L37" s="167">
        <f>L34/L9</f>
        <v/>
      </c>
      <c r="M37" s="167">
        <f>M34/M9</f>
        <v/>
      </c>
      <c r="N37" s="167">
        <f>N34/N9</f>
        <v/>
      </c>
      <c r="O37" s="168">
        <f>O34/O9</f>
        <v/>
      </c>
      <c r="P37" s="12" t="n"/>
    </row>
    <row r="38" ht="13.9" customFormat="1" customHeight="1" s="2">
      <c r="A38" s="17" t="inlineStr">
        <is>
          <t>耗标煤总量</t>
        </is>
      </c>
      <c r="B38" s="18" t="inlineStr">
        <is>
          <t>吨</t>
        </is>
      </c>
      <c r="C38" s="19" t="inlineStr">
        <is>
          <t>033</t>
        </is>
      </c>
      <c r="D38" s="147">
        <f>D39+D42</f>
        <v/>
      </c>
      <c r="E38" s="147">
        <f>E39+E42</f>
        <v/>
      </c>
      <c r="F38" s="147">
        <f>F39+F42</f>
        <v/>
      </c>
      <c r="G38" s="147">
        <f>G39+G42</f>
        <v/>
      </c>
      <c r="H38" s="147">
        <f>H39+H42</f>
        <v/>
      </c>
      <c r="I38" s="149">
        <f>I39+I42</f>
        <v/>
      </c>
      <c r="J38" s="147">
        <f>J39+J42</f>
        <v/>
      </c>
      <c r="K38" s="147">
        <f>K39+K42</f>
        <v/>
      </c>
      <c r="L38" s="147">
        <f>L39+L42</f>
        <v/>
      </c>
      <c r="M38" s="147">
        <f>M39+M42</f>
        <v/>
      </c>
      <c r="N38" s="147">
        <f>N39+N42</f>
        <v/>
      </c>
      <c r="O38" s="149">
        <f>O39+O42</f>
        <v/>
      </c>
      <c r="P38" s="12" t="n"/>
    </row>
    <row r="39" ht="13.9" customFormat="1" customHeight="1" s="2">
      <c r="A39" s="17" t="inlineStr">
        <is>
          <t>发电标准煤耗量</t>
        </is>
      </c>
      <c r="B39" s="18" t="inlineStr">
        <is>
          <t>吨</t>
        </is>
      </c>
      <c r="C39" s="19" t="inlineStr">
        <is>
          <t>034</t>
        </is>
      </c>
      <c r="D39" s="147">
        <f>D40+D41</f>
        <v/>
      </c>
      <c r="E39" s="147">
        <f>E40+E41</f>
        <v/>
      </c>
      <c r="F39" s="147">
        <f>F40+F41</f>
        <v/>
      </c>
      <c r="G39" s="147">
        <f>G40+G41</f>
        <v/>
      </c>
      <c r="H39" s="147">
        <f>H40+H41</f>
        <v/>
      </c>
      <c r="I39" s="149">
        <f>I40+I41</f>
        <v/>
      </c>
      <c r="J39" s="147">
        <f>J40+J41</f>
        <v/>
      </c>
      <c r="K39" s="147">
        <f>K40+K41</f>
        <v/>
      </c>
      <c r="L39" s="147">
        <f>L40+L41</f>
        <v/>
      </c>
      <c r="M39" s="147">
        <f>M40+M41</f>
        <v/>
      </c>
      <c r="N39" s="147">
        <f>N40+N41</f>
        <v/>
      </c>
      <c r="O39" s="149">
        <f>O40+O41</f>
        <v/>
      </c>
      <c r="P39" s="12" t="n"/>
    </row>
    <row r="40" ht="13.9" customFormat="1" customHeight="1" s="2">
      <c r="A40" s="17" t="inlineStr">
        <is>
          <t>其中：煤折标准煤量</t>
        </is>
      </c>
      <c r="B40" s="18" t="inlineStr">
        <is>
          <t>吨</t>
        </is>
      </c>
      <c r="C40" s="19" t="inlineStr">
        <is>
          <t>035</t>
        </is>
      </c>
      <c r="D40" s="147">
        <f>G40+H40+I40</f>
        <v/>
      </c>
      <c r="E40" s="147" t="n"/>
      <c r="F40" s="147" t="n"/>
      <c r="G40" s="147">
        <f>SUM(E40:F40)</f>
        <v/>
      </c>
      <c r="H40" s="129" t="n"/>
      <c r="I40" s="149" t="n"/>
      <c r="J40" s="147">
        <f>M40+N40+O40</f>
        <v/>
      </c>
      <c r="K40" s="210">
        <f>E40+'26.11'!K40</f>
        <v/>
      </c>
      <c r="L40" s="210">
        <f>F40+'26.11'!L40</f>
        <v/>
      </c>
      <c r="M40" s="147">
        <f>SUM(K40:L40)</f>
        <v/>
      </c>
      <c r="N40" s="210">
        <f>H40+'26.11'!N40</f>
        <v/>
      </c>
      <c r="O40" s="210">
        <f>I40+'26.11'!O40</f>
        <v/>
      </c>
      <c r="P40" s="12" t="n"/>
    </row>
    <row r="41" ht="13.9" customFormat="1" customHeight="1" s="2">
      <c r="A41" s="52" t="inlineStr">
        <is>
          <t xml:space="preserve">             油折标准煤量</t>
        </is>
      </c>
      <c r="B41" s="18" t="inlineStr">
        <is>
          <t>吨</t>
        </is>
      </c>
      <c r="C41" s="19" t="inlineStr">
        <is>
          <t>036</t>
        </is>
      </c>
      <c r="D41" s="147">
        <f>G41+H41+I41</f>
        <v/>
      </c>
      <c r="E41" s="147" t="n"/>
      <c r="F41" s="147" t="n"/>
      <c r="G41" s="147">
        <f>SUM(E41:F41)</f>
        <v/>
      </c>
      <c r="H41" s="129" t="n"/>
      <c r="I41" s="149" t="n"/>
      <c r="J41" s="147">
        <f>M41+N41+O41</f>
        <v/>
      </c>
      <c r="K41" s="210">
        <f>E41+'26.11'!K41</f>
        <v/>
      </c>
      <c r="L41" s="210">
        <f>F41+'26.11'!L41</f>
        <v/>
      </c>
      <c r="M41" s="147">
        <f>SUM(K41:L41)</f>
        <v/>
      </c>
      <c r="N41" s="210">
        <f>H41+'26.11'!N41</f>
        <v/>
      </c>
      <c r="O41" s="210">
        <f>I41+'26.11'!O41</f>
        <v/>
      </c>
      <c r="P41" s="12" t="n"/>
    </row>
    <row r="42" ht="13.9" customFormat="1" customHeight="1" s="2">
      <c r="A42" s="17" t="inlineStr">
        <is>
          <t>供热标准煤耗量</t>
        </is>
      </c>
      <c r="B42" s="18" t="inlineStr">
        <is>
          <t>吨</t>
        </is>
      </c>
      <c r="C42" s="19" t="inlineStr">
        <is>
          <t>037</t>
        </is>
      </c>
      <c r="D42" s="147">
        <f>D43+D44</f>
        <v/>
      </c>
      <c r="E42" s="147">
        <f>E43+E44</f>
        <v/>
      </c>
      <c r="F42" s="147">
        <f>F43+F44</f>
        <v/>
      </c>
      <c r="G42" s="147">
        <f>G43+G44</f>
        <v/>
      </c>
      <c r="H42" s="147">
        <f>H43+H44</f>
        <v/>
      </c>
      <c r="I42" s="149">
        <f>I43+I44</f>
        <v/>
      </c>
      <c r="J42" s="147">
        <f>J43+J44</f>
        <v/>
      </c>
      <c r="K42" s="147">
        <f>K43+K44</f>
        <v/>
      </c>
      <c r="L42" s="147">
        <f>L43+L44</f>
        <v/>
      </c>
      <c r="M42" s="147">
        <f>M43+M44</f>
        <v/>
      </c>
      <c r="N42" s="147">
        <f>N43+N44</f>
        <v/>
      </c>
      <c r="O42" s="149">
        <f>O43+O44</f>
        <v/>
      </c>
      <c r="P42" s="12" t="n"/>
    </row>
    <row r="43" ht="13.9" customFormat="1" customHeight="1" s="2">
      <c r="A43" s="17" t="inlineStr">
        <is>
          <t>其中：煤折标准煤量</t>
        </is>
      </c>
      <c r="B43" s="18" t="inlineStr">
        <is>
          <t>吨</t>
        </is>
      </c>
      <c r="C43" s="19" t="inlineStr">
        <is>
          <t>038</t>
        </is>
      </c>
      <c r="D43" s="147">
        <f>G43+H43+I43</f>
        <v/>
      </c>
      <c r="E43" s="147" t="n"/>
      <c r="F43" s="147" t="n"/>
      <c r="G43" s="147">
        <f>SUM(E43:F43)</f>
        <v/>
      </c>
      <c r="H43" s="147" t="n"/>
      <c r="I43" s="149" t="n"/>
      <c r="J43" s="147">
        <f>M43+N43+O43</f>
        <v/>
      </c>
      <c r="K43" s="210">
        <f>E43+'26.11'!K43</f>
        <v/>
      </c>
      <c r="L43" s="210">
        <f>F43+'26.11'!L43</f>
        <v/>
      </c>
      <c r="M43" s="147">
        <f>SUM(K43:L43)</f>
        <v/>
      </c>
      <c r="N43" s="210">
        <f>H43+'26.11'!N43</f>
        <v/>
      </c>
      <c r="O43" s="210">
        <f>I43+'26.11'!O43</f>
        <v/>
      </c>
      <c r="P43" s="12" t="n"/>
    </row>
    <row r="44" ht="13.9" customFormat="1" customHeight="1" s="2">
      <c r="A44" s="52" t="inlineStr">
        <is>
          <t xml:space="preserve">             油折标准煤量</t>
        </is>
      </c>
      <c r="B44" s="18" t="inlineStr">
        <is>
          <t>吨</t>
        </is>
      </c>
      <c r="C44" s="19" t="inlineStr">
        <is>
          <t>039</t>
        </is>
      </c>
      <c r="D44" s="147">
        <f>G44+H44+I44</f>
        <v/>
      </c>
      <c r="E44" s="147" t="n"/>
      <c r="F44" s="147" t="n"/>
      <c r="G44" s="147">
        <f>SUM(E44:F44)</f>
        <v/>
      </c>
      <c r="H44" s="147" t="n"/>
      <c r="I44" s="149" t="n"/>
      <c r="J44" s="147">
        <f>M44+N44+O44</f>
        <v/>
      </c>
      <c r="K44" s="210">
        <f>E44+'26.11'!K44</f>
        <v/>
      </c>
      <c r="L44" s="213">
        <f>F44+'26.11'!L44</f>
        <v/>
      </c>
      <c r="M44" s="147">
        <f>SUM(K44:L44)</f>
        <v/>
      </c>
      <c r="N44" s="210">
        <f>H44+'26.11'!N44</f>
        <v/>
      </c>
      <c r="O44" s="210">
        <f>I44+'26.11'!O44</f>
        <v/>
      </c>
      <c r="P44" s="12" t="n"/>
    </row>
    <row r="45" ht="13.9" customFormat="1" customHeight="1" s="2">
      <c r="A45" s="17" t="inlineStr">
        <is>
          <t>发电标准煤耗率</t>
        </is>
      </c>
      <c r="B45" s="18" t="inlineStr">
        <is>
          <t>克/千瓦时</t>
        </is>
      </c>
      <c r="C45" s="19" t="inlineStr">
        <is>
          <t>040</t>
        </is>
      </c>
      <c r="D45" s="147">
        <f>D39*1000000/D7</f>
        <v/>
      </c>
      <c r="E45" s="147">
        <f>E39*1000000/E7</f>
        <v/>
      </c>
      <c r="F45" s="147">
        <f>F39*1000000/F7</f>
        <v/>
      </c>
      <c r="G45" s="147">
        <f>G39*1000000/G7</f>
        <v/>
      </c>
      <c r="H45" s="147">
        <f>H39*1000000/H7</f>
        <v/>
      </c>
      <c r="I45" s="149">
        <f>I39*1000000/I7</f>
        <v/>
      </c>
      <c r="J45" s="147">
        <f>J39*1000000/J7</f>
        <v/>
      </c>
      <c r="K45" s="147">
        <f>K39*1000000/K7</f>
        <v/>
      </c>
      <c r="L45" s="147">
        <f>L39*1000000/L7</f>
        <v/>
      </c>
      <c r="M45" s="147">
        <f>M39*1000000/M7</f>
        <v/>
      </c>
      <c r="N45" s="147">
        <f>N39*1000000/N7</f>
        <v/>
      </c>
      <c r="O45" s="149">
        <f>O39*1000000/O7</f>
        <v/>
      </c>
      <c r="P45" s="12" t="n"/>
    </row>
    <row r="46" ht="13.9" customFormat="1" customHeight="1" s="2">
      <c r="A46" s="17" t="inlineStr">
        <is>
          <t>供电标准煤耗率</t>
        </is>
      </c>
      <c r="B46" s="18" t="inlineStr">
        <is>
          <t>克/千瓦时</t>
        </is>
      </c>
      <c r="C46" s="19" t="inlineStr">
        <is>
          <t>041</t>
        </is>
      </c>
      <c r="D46" s="147">
        <f>D39*1000000/(D7-D33)</f>
        <v/>
      </c>
      <c r="E46" s="147">
        <f>E39*1000000/(E7-E33)</f>
        <v/>
      </c>
      <c r="F46" s="147">
        <f>F39*1000000/(F7-F33)</f>
        <v/>
      </c>
      <c r="G46" s="147">
        <f>G39*1000000/(G7-G33)</f>
        <v/>
      </c>
      <c r="H46" s="147">
        <f>H39*1000000/(H7-H33)</f>
        <v/>
      </c>
      <c r="I46" s="149">
        <f>I39*1000000/(I7-I33)</f>
        <v/>
      </c>
      <c r="J46" s="147">
        <f>J39*1000000/(J7-J33)</f>
        <v/>
      </c>
      <c r="K46" s="147">
        <f>K39*1000000/(K7-K33)</f>
        <v/>
      </c>
      <c r="L46" s="147">
        <f>L39*1000000/(L7-L33)</f>
        <v/>
      </c>
      <c r="M46" s="147">
        <f>M39*1000000/(M7-M33)</f>
        <v/>
      </c>
      <c r="N46" s="147">
        <f>N39*1000000/(N7-N33)</f>
        <v/>
      </c>
      <c r="O46" s="149">
        <f>O39*1000000/(O7-O33)</f>
        <v/>
      </c>
      <c r="P46" s="12" t="n"/>
    </row>
    <row r="47" ht="13.9" customFormat="1" customHeight="1" s="2">
      <c r="A47" s="57" t="inlineStr">
        <is>
          <t>供热标准煤耗率</t>
        </is>
      </c>
      <c r="B47" s="58" t="inlineStr">
        <is>
          <t>千克/吉焦</t>
        </is>
      </c>
      <c r="C47" s="59" t="inlineStr">
        <is>
          <t>042</t>
        </is>
      </c>
      <c r="D47" s="169">
        <f>D42*1000/D9</f>
        <v/>
      </c>
      <c r="E47" s="169">
        <f>E42*1000/E9</f>
        <v/>
      </c>
      <c r="F47" s="169">
        <f>F42*1000/F9</f>
        <v/>
      </c>
      <c r="G47" s="169">
        <f>G42*1000/G9</f>
        <v/>
      </c>
      <c r="H47" s="169">
        <f>H42*1000/H9</f>
        <v/>
      </c>
      <c r="I47" s="206">
        <f>I42*1000/I9</f>
        <v/>
      </c>
      <c r="J47" s="170">
        <f>J42*1000/J9</f>
        <v/>
      </c>
      <c r="K47" s="170">
        <f>K42*1000/K9</f>
        <v/>
      </c>
      <c r="L47" s="170">
        <f>L42*1000/L9</f>
        <v/>
      </c>
      <c r="M47" s="170">
        <f>M42*1000/M9</f>
        <v/>
      </c>
      <c r="N47" s="170">
        <f>N42*1000/N9</f>
        <v/>
      </c>
      <c r="O47" s="171">
        <f>O42*1000/O9</f>
        <v/>
      </c>
      <c r="P47" s="12" t="n"/>
    </row>
    <row r="48" ht="13.9" customFormat="1" customHeight="1" s="2">
      <c r="A48" s="64" t="inlineStr">
        <is>
          <t>入炉煤低位发热量</t>
        </is>
      </c>
      <c r="B48" s="65" t="inlineStr">
        <is>
          <t>千焦/千克</t>
        </is>
      </c>
      <c r="C48" s="66" t="inlineStr">
        <is>
          <t>043</t>
        </is>
      </c>
      <c r="D48" s="172">
        <f>(D40+D43)*29308/D14</f>
        <v/>
      </c>
      <c r="E48" s="172">
        <f>(E40+E43)*29308/E14</f>
        <v/>
      </c>
      <c r="F48" s="172">
        <f>(F40+F43)*29308/F14</f>
        <v/>
      </c>
      <c r="G48" s="172">
        <f>(G40+G43)*29308/G14</f>
        <v/>
      </c>
      <c r="H48" s="173">
        <f>(H40+H43)*29308/H14</f>
        <v/>
      </c>
      <c r="I48" s="173">
        <f>(I40+I43)*29308/I14</f>
        <v/>
      </c>
      <c r="J48" s="155">
        <f>(J40+J43)*29308/J14</f>
        <v/>
      </c>
      <c r="K48" s="155">
        <f>(K40+K43)*29308/K14</f>
        <v/>
      </c>
      <c r="L48" s="155">
        <f>(L40+L43)*29308/L14</f>
        <v/>
      </c>
      <c r="M48" s="155">
        <f>(M40+M43)*29308/M14</f>
        <v/>
      </c>
      <c r="N48" s="155">
        <f>(N40+N43)*29308/N14</f>
        <v/>
      </c>
      <c r="O48" s="173">
        <f>(O40+O43)*29308/O14</f>
        <v/>
      </c>
      <c r="P48" s="12" t="n"/>
    </row>
    <row r="49" ht="13.9" customFormat="1" customHeight="1" s="2">
      <c r="A49" s="17" t="inlineStr">
        <is>
          <t>入厂煤低位发热量</t>
        </is>
      </c>
      <c r="B49" s="18" t="inlineStr">
        <is>
          <t>千焦/千克</t>
        </is>
      </c>
      <c r="C49" s="19" t="inlineStr">
        <is>
          <t>044</t>
        </is>
      </c>
      <c r="D49" s="157" t="n"/>
      <c r="E49" s="147" t="n"/>
      <c r="F49" s="147" t="n"/>
      <c r="G49" s="157" t="n"/>
      <c r="H49" s="147" t="n"/>
      <c r="I49" s="149" t="n"/>
      <c r="J49" s="157" t="n"/>
      <c r="K49" s="147" t="n">
        <v>20519.038871412</v>
      </c>
      <c r="L49" s="147" t="n">
        <v>19906.4616929631</v>
      </c>
      <c r="M49" s="157" t="n">
        <v>0</v>
      </c>
      <c r="N49" s="147" t="n">
        <v>20257.78</v>
      </c>
      <c r="O49" s="149" t="n">
        <v>20773</v>
      </c>
      <c r="P49" s="12" t="n"/>
    </row>
    <row r="50" ht="13.9" customFormat="1" customHeight="1" s="2">
      <c r="A50" s="17" t="inlineStr">
        <is>
          <t>发电最高负荷</t>
        </is>
      </c>
      <c r="B50" s="18" t="inlineStr">
        <is>
          <t>千瓦</t>
        </is>
      </c>
      <c r="C50" s="19" t="inlineStr">
        <is>
          <t>045</t>
        </is>
      </c>
      <c r="D50" s="147">
        <f>G50+H50+I50</f>
        <v/>
      </c>
      <c r="E50" s="147" t="n"/>
      <c r="F50" s="147" t="n"/>
      <c r="G50" s="147">
        <f>SUM(E50:F50)</f>
        <v/>
      </c>
      <c r="H50" s="147" t="n"/>
      <c r="I50" s="149" t="n"/>
      <c r="J50" s="147">
        <f>M50+N50+O50</f>
        <v/>
      </c>
      <c r="K50" s="147" t="n">
        <v>103680</v>
      </c>
      <c r="L50" s="147" t="n">
        <v>89280</v>
      </c>
      <c r="M50" s="147">
        <f>SUM(K50:L50)</f>
        <v/>
      </c>
      <c r="N50" s="147" t="n">
        <v>37920</v>
      </c>
      <c r="O50" s="149" t="n">
        <v>14500</v>
      </c>
      <c r="P50" s="12" t="n"/>
    </row>
    <row r="51" ht="13.9" customFormat="1" customHeight="1" s="2">
      <c r="A51" s="17" t="inlineStr">
        <is>
          <t>供热最高负荷</t>
        </is>
      </c>
      <c r="B51" s="18" t="inlineStr">
        <is>
          <t>吨/时</t>
        </is>
      </c>
      <c r="C51" s="19" t="inlineStr">
        <is>
          <t>046</t>
        </is>
      </c>
      <c r="D51" s="147">
        <f>G51+H51+I51</f>
        <v/>
      </c>
      <c r="E51" s="147" t="n"/>
      <c r="F51" s="147" t="n"/>
      <c r="G51" s="147">
        <f>SUM(E51:F51)</f>
        <v/>
      </c>
      <c r="H51" s="147" t="n"/>
      <c r="I51" s="149" t="n"/>
      <c r="J51" s="147">
        <f>M51+N51+O51</f>
        <v/>
      </c>
      <c r="K51" s="147" t="n">
        <v>48</v>
      </c>
      <c r="L51" s="147" t="n">
        <v>117</v>
      </c>
      <c r="M51" s="147">
        <f>SUM(K51:L51)</f>
        <v/>
      </c>
      <c r="N51" s="147" t="n">
        <v>350</v>
      </c>
      <c r="O51" s="149" t="n">
        <v>150</v>
      </c>
      <c r="P51" s="12" t="n"/>
    </row>
    <row r="52" ht="13.9" customFormat="1" customHeight="1" s="2">
      <c r="A52" s="174" t="inlineStr">
        <is>
          <t>发电设备利用率</t>
        </is>
      </c>
      <c r="B52" s="175" t="inlineStr">
        <is>
          <t>%</t>
        </is>
      </c>
      <c r="C52" s="19" t="inlineStr">
        <is>
          <t>047</t>
        </is>
      </c>
      <c r="D52" s="176">
        <f>D7/10000/D6/(DAY(DATE(2027,1,0))*24)</f>
        <v/>
      </c>
      <c r="E52" s="176">
        <f>E7/10000/E6/(DAY(DATE(2027,1,0))*24)</f>
        <v/>
      </c>
      <c r="F52" s="176">
        <f>F7/10000/F6/(DAY(DATE(2027,1,0))*24)</f>
        <v/>
      </c>
      <c r="G52" s="176">
        <f>G7/10000/G6/(DAY(DATE(2027,1,0))*24)</f>
        <v/>
      </c>
      <c r="H52" s="176">
        <f>H7/10000/H6/(DAY(DATE(2027,1,0))*24)</f>
        <v/>
      </c>
      <c r="I52" s="177">
        <f>I7/10000/I6/(DAY(DATE(2027,1,0))*24)</f>
        <v/>
      </c>
      <c r="J52" s="176">
        <f>J7/10000/J6/(DATEDIF(DATE(2026,1,1),DATE(2027,1,1),"D")*24)</f>
        <v/>
      </c>
      <c r="K52" s="176">
        <f>K7/10000/K6/(DATEDIF(DATE(2026,1,1),DATE(2027,1,1),"D")*24)</f>
        <v/>
      </c>
      <c r="L52" s="176">
        <f>L7/10000/L6/(DATEDIF(DATE(2026,1,1),DATE(2027,1,1),"D")*24)</f>
        <v/>
      </c>
      <c r="M52" s="176">
        <f>M7/10000/M6/(DATEDIF(DATE(2026,1,1),DATE(2027,1,1),"D")*24)</f>
        <v/>
      </c>
      <c r="N52" s="176">
        <f>N7/10000/N6/(DATEDIF(DATE(2026,1,1),DATE(2027,1,1),"D")*24)</f>
        <v/>
      </c>
      <c r="O52" s="177">
        <f>O7/10000/O6/(DATEDIF(DATE(2026,1,1),DATE(2027,1,1),"D")*24)</f>
        <v/>
      </c>
      <c r="P52" s="12" t="n"/>
    </row>
    <row r="53" ht="13.9" customFormat="1" customHeight="1" s="2">
      <c r="A53" s="178" t="inlineStr">
        <is>
          <t>供热设备利用率</t>
        </is>
      </c>
      <c r="B53" s="179" t="inlineStr">
        <is>
          <t>%</t>
        </is>
      </c>
      <c r="C53" s="19" t="inlineStr">
        <is>
          <t>048</t>
        </is>
      </c>
      <c r="D53" s="180">
        <f>D9*1000/1986/((DAY(DATE(2027,1,0))*24)*3600)</f>
        <v/>
      </c>
      <c r="E53" s="180">
        <f>E9*1000/577/((DAY(DATE(2027,1,0))*24)*3600)</f>
        <v/>
      </c>
      <c r="F53" s="177">
        <f>F9*1000/528/((DAY(DATE(2027,1,0))*24)*3600)</f>
        <v/>
      </c>
      <c r="G53" s="180">
        <f>G9*1000/1442/((DAY(DATE(2027,1,0))*24)*3600)</f>
        <v/>
      </c>
      <c r="H53" s="177">
        <f>H9*1000/414/((DAY(DATE(2027,1,0))*24)*3600)</f>
        <v/>
      </c>
      <c r="I53" s="177">
        <f>I9*1000/130/((DAY(DATE(2027,1,0))*24)*3600)</f>
        <v/>
      </c>
      <c r="J53" s="176">
        <f>J9*1000/1986/((DATEDIF(DATE(2026,1,1),DATE(2027,1,1),"D")*24)*3600)</f>
        <v/>
      </c>
      <c r="K53" s="180">
        <f>K9*1000/577/((DATEDIF(DATE(2026,1,1),DATE(2027,1,1),"D")*24)*3600)</f>
        <v/>
      </c>
      <c r="L53" s="177">
        <f>L9*1000/528/((DATEDIF(DATE(2026,1,1),DATE(2027,1,1),"D")*24)*3600)</f>
        <v/>
      </c>
      <c r="M53" s="180">
        <f>M9*1000/1442/((DATEDIF(DATE(2026,1,1),DATE(2027,1,1),"D")*24)*3600)</f>
        <v/>
      </c>
      <c r="N53" s="177">
        <f>N9*1000/414/((DATEDIF(DATE(2026,1,1),DATE(2027,1,1),"D")*24)*3600)</f>
        <v/>
      </c>
      <c r="O53" s="177">
        <f>O9*1000/130/((DATEDIF(DATE(2026,1,1),DATE(2027,1,1),"D")*24)*3600)</f>
        <v/>
      </c>
      <c r="P53" s="12" t="n"/>
    </row>
    <row r="54" ht="13.9" customFormat="1" customHeight="1" s="2">
      <c r="A54" s="178" t="inlineStr">
        <is>
          <t>热分摊比</t>
        </is>
      </c>
      <c r="B54" s="179" t="inlineStr">
        <is>
          <t>%</t>
        </is>
      </c>
      <c r="C54" s="19" t="inlineStr">
        <is>
          <t>049</t>
        </is>
      </c>
      <c r="D54" s="76">
        <f>D42/D38</f>
        <v/>
      </c>
      <c r="E54" s="76">
        <f>E42/E38</f>
        <v/>
      </c>
      <c r="F54" s="76">
        <f>F42/F38</f>
        <v/>
      </c>
      <c r="G54" s="76">
        <f>G42/G38</f>
        <v/>
      </c>
      <c r="H54" s="76">
        <f>H42/H38</f>
        <v/>
      </c>
      <c r="I54" s="77">
        <f>I42/I38</f>
        <v/>
      </c>
      <c r="J54" s="78">
        <f>J42/J38</f>
        <v/>
      </c>
      <c r="K54" s="78">
        <f>K42/K38</f>
        <v/>
      </c>
      <c r="L54" s="78">
        <f>L42/L38</f>
        <v/>
      </c>
      <c r="M54" s="78">
        <f>M42/M38</f>
        <v/>
      </c>
      <c r="N54" s="78">
        <f>N42/N38</f>
        <v/>
      </c>
      <c r="O54" s="79">
        <f>O42/O38</f>
        <v/>
      </c>
      <c r="P54" s="12" t="n"/>
    </row>
    <row r="55" ht="13.9" customFormat="1" customHeight="1" s="2">
      <c r="A55" s="178" t="inlineStr">
        <is>
          <t>热电比</t>
        </is>
      </c>
      <c r="B55" s="179" t="inlineStr">
        <is>
          <t>%</t>
        </is>
      </c>
      <c r="C55" s="19" t="inlineStr">
        <is>
          <t>050</t>
        </is>
      </c>
      <c r="D55" s="181">
        <f>D9*1000000/(D8*3600)</f>
        <v/>
      </c>
      <c r="E55" s="181">
        <f>E9*1000000/(E8*3600)</f>
        <v/>
      </c>
      <c r="F55" s="181">
        <f>F9*1000000/(F8*3600)</f>
        <v/>
      </c>
      <c r="G55" s="181">
        <f>G9*1000000/(G8*3600)</f>
        <v/>
      </c>
      <c r="H55" s="181">
        <f>H9*1000000/(H8*3600)</f>
        <v/>
      </c>
      <c r="I55" s="182">
        <f>I9*1000000/(I8*3600)</f>
        <v/>
      </c>
      <c r="J55" s="183">
        <f>J9*1000000/(J8*3600)</f>
        <v/>
      </c>
      <c r="K55" s="183">
        <f>K9*1000000/(K8*3600)</f>
        <v/>
      </c>
      <c r="L55" s="183">
        <f>L9*1000000/(L8*3600)</f>
        <v/>
      </c>
      <c r="M55" s="183">
        <f>M9*1000000/(M8*3600)</f>
        <v/>
      </c>
      <c r="N55" s="183">
        <f>N9*1000000/(N8*3600)</f>
        <v/>
      </c>
      <c r="O55" s="184">
        <f>O9*1000000/(O8*3600)</f>
        <v/>
      </c>
      <c r="P55" s="12" t="n"/>
    </row>
    <row r="56" ht="13.9" customFormat="1" customHeight="1" s="2">
      <c r="A56" s="185" t="inlineStr">
        <is>
          <t>全厂热效率</t>
        </is>
      </c>
      <c r="B56" s="186" t="inlineStr">
        <is>
          <t>%</t>
        </is>
      </c>
      <c r="C56" s="59" t="inlineStr">
        <is>
          <t>051</t>
        </is>
      </c>
      <c r="D56" s="76">
        <f>(D9*1000+D8*3600/1000)/(D38*7000*4.1868)</f>
        <v/>
      </c>
      <c r="E56" s="76">
        <f>(E9*1000+E8*3600/1000)/(E38*7000*4.1868)</f>
        <v/>
      </c>
      <c r="F56" s="76">
        <f>(F9*1000+F8*3600/1000)/(F38*7000*4.1868)</f>
        <v/>
      </c>
      <c r="G56" s="76">
        <f>(G9*1000+G8*3600/1000)/(G38*7000*4.1868)</f>
        <v/>
      </c>
      <c r="H56" s="76">
        <f>(H9*1000+H8*3600/1000)/(H38*7000*4.1868)</f>
        <v/>
      </c>
      <c r="I56" s="77">
        <f>(I9*1000+I8*3600/1000)/(I38*7000*4.1868)</f>
        <v/>
      </c>
      <c r="J56" s="86">
        <f>(J9*1000+J8*3600/1000)/(J38*7000*4.1868)</f>
        <v/>
      </c>
      <c r="K56" s="86">
        <f>(K9*1000+K8*3600/1000)/(K38*7000*4.1868)</f>
        <v/>
      </c>
      <c r="L56" s="86">
        <f>(L9*1000+L8*3600/1000)/(L38*7000*4.1868)</f>
        <v/>
      </c>
      <c r="M56" s="86">
        <f>(M9*1000+M8*3600/1000)/(M38*7000*4.1868)</f>
        <v/>
      </c>
      <c r="N56" s="86">
        <f>(N9*1000+N8*3600/1000)/(N38*7000*4.1868)</f>
        <v/>
      </c>
      <c r="O56" s="87">
        <f>(O9*1000+O8*3600/1000)/(O38*7000*4.1868)</f>
        <v/>
      </c>
      <c r="P56" s="12" t="n"/>
    </row>
    <row r="57" ht="13.9" customFormat="1" customHeight="1" s="2">
      <c r="A57" s="64" t="inlineStr">
        <is>
          <t>入厂煤量</t>
        </is>
      </c>
      <c r="B57" s="65" t="inlineStr">
        <is>
          <t>吨</t>
        </is>
      </c>
      <c r="C57" s="66" t="inlineStr">
        <is>
          <t>052</t>
        </is>
      </c>
      <c r="D57" s="172">
        <f>G57+H57+I57</f>
        <v/>
      </c>
      <c r="E57" s="172" t="n"/>
      <c r="F57" s="172" t="n"/>
      <c r="G57" s="172" t="n"/>
      <c r="H57" s="172" t="n"/>
      <c r="I57" s="173" t="n"/>
      <c r="J57" s="155">
        <f>M57+N57+O57</f>
        <v/>
      </c>
      <c r="K57" s="210">
        <f>E57+'26.11'!K57</f>
        <v/>
      </c>
      <c r="L57" s="210">
        <f>F57+'26.11'!L57</f>
        <v/>
      </c>
      <c r="M57" s="147">
        <f>SUM(K57:L57)</f>
        <v/>
      </c>
      <c r="N57" s="210">
        <f>H57+'26.11'!N57</f>
        <v/>
      </c>
      <c r="O57" s="210">
        <f>I57+'26.11'!O57</f>
        <v/>
      </c>
      <c r="P57" s="12" t="n"/>
    </row>
    <row r="58" ht="13.9" customFormat="1" customHeight="1" s="2">
      <c r="A58" s="17" t="inlineStr">
        <is>
          <t>非生产耗煤量</t>
        </is>
      </c>
      <c r="B58" s="18" t="inlineStr">
        <is>
          <t>吨</t>
        </is>
      </c>
      <c r="C58" s="19" t="inlineStr">
        <is>
          <t>053</t>
        </is>
      </c>
      <c r="D58" s="147">
        <f>SUM(G58:I58)</f>
        <v/>
      </c>
      <c r="E58" s="147" t="n"/>
      <c r="F58" s="147" t="n"/>
      <c r="G58" s="147">
        <f>SUM(E58:F58)</f>
        <v/>
      </c>
      <c r="H58" s="157" t="n"/>
      <c r="I58" s="149" t="n"/>
      <c r="J58" s="147">
        <f>SUM(M58:O58)</f>
        <v/>
      </c>
      <c r="K58" s="210">
        <f>E58+'26.11'!K58</f>
        <v/>
      </c>
      <c r="L58" s="210">
        <f>F58+'26.11'!L58</f>
        <v/>
      </c>
      <c r="M58" s="147">
        <f>SUM(K58:L58)</f>
        <v/>
      </c>
      <c r="N58" s="210">
        <f>H58+'26.11'!N58</f>
        <v/>
      </c>
      <c r="O58" s="210">
        <f>I58+'26.11'!O58</f>
        <v/>
      </c>
      <c r="P58" s="12" t="n"/>
    </row>
    <row r="59" ht="13.9" customFormat="1" customHeight="1" s="2">
      <c r="A59" s="88" t="inlineStr">
        <is>
          <t>期末库存煤量</t>
        </is>
      </c>
      <c r="B59" s="89" t="inlineStr">
        <is>
          <t>吨</t>
        </is>
      </c>
      <c r="C59" s="31" t="inlineStr">
        <is>
          <t>054</t>
        </is>
      </c>
      <c r="D59" s="153">
        <f>SUM(G59:I59)</f>
        <v/>
      </c>
      <c r="E59" s="207">
        <f>K59</f>
        <v/>
      </c>
      <c r="F59" s="207">
        <f>L59</f>
        <v/>
      </c>
      <c r="G59" s="153">
        <f>SUM(E59:F59)</f>
        <v/>
      </c>
      <c r="H59" s="207">
        <f>N59</f>
        <v/>
      </c>
      <c r="I59" s="207">
        <f>O59</f>
        <v/>
      </c>
      <c r="J59" s="153">
        <f>M59+N59+O59</f>
        <v/>
      </c>
      <c r="K59" s="211">
        <f>'26.11'!K59+E57-E14-E58</f>
        <v/>
      </c>
      <c r="L59" s="211">
        <f>'26.11'!L59+F57-F14-F58</f>
        <v/>
      </c>
      <c r="M59" s="152">
        <f>SUM(K59:L59)</f>
        <v/>
      </c>
      <c r="N59" s="211">
        <f>'26.11'!N59+H57-H14-H58</f>
        <v/>
      </c>
      <c r="O59" s="211">
        <f>'26.11'!O59+I57-I14-I58</f>
        <v/>
      </c>
      <c r="P59" s="12" t="n"/>
      <c r="Q59" s="2" t="n">
        <v>161066</v>
      </c>
      <c r="R59" s="2">
        <f>K59-Q59</f>
        <v/>
      </c>
    </row>
    <row r="60" ht="12.75" customFormat="1" customHeight="1" s="5">
      <c r="A60" s="93" t="inlineStr">
        <is>
          <t>外购电量</t>
        </is>
      </c>
      <c r="B60" s="94" t="inlineStr">
        <is>
          <t>千瓦时</t>
        </is>
      </c>
      <c r="C60" s="95" t="inlineStr">
        <is>
          <t>055</t>
        </is>
      </c>
      <c r="D60" s="172">
        <f>SUM(G60:I60)</f>
        <v/>
      </c>
      <c r="E60" s="189" t="n"/>
      <c r="F60" s="189" t="n"/>
      <c r="G60" s="172" t="n"/>
      <c r="H60" s="189" t="n"/>
      <c r="I60" s="190" t="n"/>
      <c r="J60" s="172">
        <f>M60+N60+O60</f>
        <v/>
      </c>
      <c r="K60" s="210">
        <f>E60+'26.11'!K60</f>
        <v/>
      </c>
      <c r="L60" s="210">
        <f>F60+'26.11'!L60</f>
        <v/>
      </c>
      <c r="M60" s="172">
        <f>SUM(K60:L60)</f>
        <v/>
      </c>
      <c r="N60" s="210">
        <f>H60+'26.11'!N60</f>
        <v/>
      </c>
      <c r="O60" s="210">
        <f>I60+'26.11'!O60</f>
        <v/>
      </c>
      <c r="P60" s="98" t="n"/>
    </row>
    <row r="61" ht="12.75" customFormat="1" customHeight="1" s="5">
      <c r="A61" s="99" t="inlineStr">
        <is>
          <t>其中：热网耗电量</t>
        </is>
      </c>
      <c r="B61" s="100" t="inlineStr">
        <is>
          <t>千瓦时</t>
        </is>
      </c>
      <c r="C61" s="101" t="inlineStr">
        <is>
          <t>056</t>
        </is>
      </c>
      <c r="D61" s="147">
        <f>SUM(G61:I61)</f>
        <v/>
      </c>
      <c r="E61" s="102" t="n"/>
      <c r="F61" s="102" t="n"/>
      <c r="G61" s="147">
        <f>SUM(E61:F61)</f>
        <v/>
      </c>
      <c r="H61" s="191" t="n"/>
      <c r="I61" s="192" t="n"/>
      <c r="J61" s="147">
        <f>M61+N61+O61</f>
        <v/>
      </c>
      <c r="K61" s="210">
        <f>E61+'26.11'!K61</f>
        <v/>
      </c>
      <c r="L61" s="210">
        <f>F61+'26.11'!L61</f>
        <v/>
      </c>
      <c r="M61" s="147">
        <f>SUM(K61:L61)</f>
        <v/>
      </c>
      <c r="N61" s="210">
        <f>H61+'26.11'!N61</f>
        <v/>
      </c>
      <c r="O61" s="210">
        <f>I61+'26.11'!O61</f>
        <v/>
      </c>
      <c r="P61" s="98" t="n"/>
    </row>
    <row r="62" ht="12.75" customFormat="1" customHeight="1" s="5">
      <c r="A62" s="99" t="inlineStr">
        <is>
          <t>热网耗水量</t>
        </is>
      </c>
      <c r="B62" s="18" t="inlineStr">
        <is>
          <t>吨</t>
        </is>
      </c>
      <c r="C62" s="101" t="inlineStr">
        <is>
          <t>057</t>
        </is>
      </c>
      <c r="D62" s="147">
        <f>SUM(G62:I62)</f>
        <v/>
      </c>
      <c r="E62" s="102" t="n"/>
      <c r="F62" s="102" t="n"/>
      <c r="G62" s="147">
        <f>SUM(E62:F62)</f>
        <v/>
      </c>
      <c r="H62" s="191" t="n"/>
      <c r="I62" s="192" t="n"/>
      <c r="J62" s="147">
        <f>M62+N62+O62</f>
        <v/>
      </c>
      <c r="K62" s="210">
        <f>E62+'26.11'!K62</f>
        <v/>
      </c>
      <c r="L62" s="210">
        <f>F62+'26.11'!L62</f>
        <v/>
      </c>
      <c r="M62" s="147">
        <f>SUM(K62:L62)</f>
        <v/>
      </c>
      <c r="N62" s="210">
        <f>H62+'26.11'!N62</f>
        <v/>
      </c>
      <c r="O62" s="210">
        <f>I62+'26.11'!O62</f>
        <v/>
      </c>
      <c r="P62" s="98" t="n"/>
    </row>
    <row r="63" ht="12.75" customFormat="1" customHeight="1" s="5">
      <c r="A63" s="99" t="inlineStr">
        <is>
          <t>主城区电厂低温水网补水量</t>
        </is>
      </c>
      <c r="B63" s="18" t="inlineStr">
        <is>
          <t>吨</t>
        </is>
      </c>
      <c r="C63" s="101" t="inlineStr">
        <is>
          <t>058</t>
        </is>
      </c>
      <c r="D63" s="147">
        <f>SUM(G63:I63)</f>
        <v/>
      </c>
      <c r="E63" s="191" t="n"/>
      <c r="F63" s="191" t="n"/>
      <c r="G63" s="147">
        <f>SUM(E63:F63)</f>
        <v/>
      </c>
      <c r="H63" s="191" t="n"/>
      <c r="I63" s="192" t="n"/>
      <c r="J63" s="147">
        <f>M63+N63+O63</f>
        <v/>
      </c>
      <c r="K63" s="210">
        <f>E63+'26.11'!K63</f>
        <v/>
      </c>
      <c r="L63" s="210">
        <f>F63+'26.11'!L63</f>
        <v/>
      </c>
      <c r="M63" s="147">
        <f>SUM(K63:L63)</f>
        <v/>
      </c>
      <c r="N63" s="210">
        <f>H63+'26.11'!N63</f>
        <v/>
      </c>
      <c r="O63" s="210">
        <f>I63+'26.11'!O63</f>
        <v/>
      </c>
      <c r="P63" s="98" t="n"/>
    </row>
    <row r="64" ht="12.75" customFormat="1" customHeight="1" s="5">
      <c r="A64" s="99" t="inlineStr">
        <is>
          <t>高温水网补水量</t>
        </is>
      </c>
      <c r="B64" s="18" t="inlineStr">
        <is>
          <t>吨</t>
        </is>
      </c>
      <c r="C64" s="101" t="inlineStr">
        <is>
          <t>059</t>
        </is>
      </c>
      <c r="D64" s="147">
        <f>SUM(G64:I64)</f>
        <v/>
      </c>
      <c r="E64" s="191" t="n"/>
      <c r="F64" s="191" t="n"/>
      <c r="G64" s="147">
        <f>SUM(E64:F64)</f>
        <v/>
      </c>
      <c r="H64" s="191" t="n"/>
      <c r="I64" s="192" t="n"/>
      <c r="J64" s="147">
        <f>M64+N64+O64</f>
        <v/>
      </c>
      <c r="K64" s="210">
        <f>E64+'26.11'!K64</f>
        <v/>
      </c>
      <c r="L64" s="210">
        <f>F64+'26.11'!L64</f>
        <v/>
      </c>
      <c r="M64" s="147">
        <f>SUM(K64:L64)</f>
        <v/>
      </c>
      <c r="N64" s="210">
        <f>H64+'26.11'!N64</f>
        <v/>
      </c>
      <c r="O64" s="210">
        <f>I64+'26.11'!O64</f>
        <v/>
      </c>
      <c r="P64" s="98" t="n"/>
    </row>
    <row r="65" customFormat="1" s="5">
      <c r="A65" s="99" t="inlineStr">
        <is>
          <t>脱硫脱硝耗水量</t>
        </is>
      </c>
      <c r="B65" s="100" t="inlineStr">
        <is>
          <t>吨</t>
        </is>
      </c>
      <c r="C65" s="101" t="inlineStr">
        <is>
          <t>060</t>
        </is>
      </c>
      <c r="D65" s="147">
        <f>SUM(G65:I65)</f>
        <v/>
      </c>
      <c r="E65" s="191" t="n"/>
      <c r="F65" s="191" t="n"/>
      <c r="G65" s="191">
        <f>SUM(E65:F65)</f>
        <v/>
      </c>
      <c r="H65" s="191" t="n"/>
      <c r="I65" s="192" t="n"/>
      <c r="J65" s="191">
        <f>M65+N65+O65</f>
        <v/>
      </c>
      <c r="K65" s="210">
        <f>E65+'26.11'!K65</f>
        <v/>
      </c>
      <c r="L65" s="210">
        <f>F65+'26.11'!L65</f>
        <v/>
      </c>
      <c r="M65" s="191">
        <f>SUM(K65:L65)</f>
        <v/>
      </c>
      <c r="N65" s="210">
        <f>H65+'26.11'!N65</f>
        <v/>
      </c>
      <c r="O65" s="210">
        <f>I65+'26.11'!O65</f>
        <v/>
      </c>
      <c r="P65" s="105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29" t="inlineStr">
        <is>
          <t>脱硫脱硝耗电量</t>
        </is>
      </c>
      <c r="B66" s="30" t="inlineStr">
        <is>
          <t>千瓦时</t>
        </is>
      </c>
      <c r="C66" s="106" t="inlineStr">
        <is>
          <t>061</t>
        </is>
      </c>
      <c r="D66" s="153">
        <f>SUM(G66:I66)</f>
        <v/>
      </c>
      <c r="E66" s="194" t="n"/>
      <c r="F66" s="194" t="n"/>
      <c r="G66" s="194">
        <f>SUM(E66:F66)</f>
        <v/>
      </c>
      <c r="H66" s="194" t="n"/>
      <c r="I66" s="195" t="n"/>
      <c r="J66" s="194">
        <f>M66+N66+O66</f>
        <v/>
      </c>
      <c r="K66" s="210">
        <f>E66+'26.11'!K66</f>
        <v/>
      </c>
      <c r="L66" s="210">
        <f>F66+'26.11'!L66</f>
        <v/>
      </c>
      <c r="M66" s="194">
        <f>SUM(K66:L66)</f>
        <v/>
      </c>
      <c r="N66" s="210">
        <f>H66+'26.11'!N66</f>
        <v/>
      </c>
      <c r="O66" s="210">
        <f>I66+'26.11'!O66</f>
        <v/>
      </c>
      <c r="P66" s="98" t="n"/>
    </row>
    <row r="67" ht="13" customFormat="1" customHeight="1" s="5">
      <c r="A67" s="93" t="inlineStr">
        <is>
          <t>发电耗水量</t>
        </is>
      </c>
      <c r="B67" s="94" t="inlineStr">
        <is>
          <t>吨</t>
        </is>
      </c>
      <c r="C67" s="95" t="inlineStr">
        <is>
          <t>062</t>
        </is>
      </c>
      <c r="D67" s="172">
        <f>SUM(G67:I67)</f>
        <v/>
      </c>
      <c r="E67" s="189">
        <f>(E20-E63-E64-E12)*(1-E54)</f>
        <v/>
      </c>
      <c r="F67" s="189">
        <f>(F20-F63-F64-F12)*(1-F54)</f>
        <v/>
      </c>
      <c r="G67" s="189">
        <f>(G20-G63-G12)*(1-G54)</f>
        <v/>
      </c>
      <c r="H67" s="189">
        <f>(H20-H62-H12)*(1-H54)</f>
        <v/>
      </c>
      <c r="I67" s="189">
        <f>(I20-I62-I12)*(1-I54)</f>
        <v/>
      </c>
      <c r="J67" s="189">
        <f>M67+N67+O67</f>
        <v/>
      </c>
      <c r="K67" s="189">
        <f>(K20-K63-K64-K12)*(1-K54)</f>
        <v/>
      </c>
      <c r="L67" s="189">
        <f>(L20-L63-L64-L12)*(1-L54)</f>
        <v/>
      </c>
      <c r="M67" s="189">
        <f>SUM(K67:L67)</f>
        <v/>
      </c>
      <c r="N67" s="189">
        <f>(N20-N62-N12)*(1-N54)</f>
        <v/>
      </c>
      <c r="O67" s="189">
        <f>(O20-O62-O12)*(1-O54)</f>
        <v/>
      </c>
      <c r="P67" s="98" t="n"/>
    </row>
    <row r="68" ht="13" customFormat="1" customHeight="1" s="5">
      <c r="A68" s="99" t="inlineStr">
        <is>
          <t>供热耗水量</t>
        </is>
      </c>
      <c r="B68" s="100" t="inlineStr">
        <is>
          <t>吨</t>
        </is>
      </c>
      <c r="C68" s="101" t="inlineStr">
        <is>
          <t>063</t>
        </is>
      </c>
      <c r="D68" s="147">
        <f>SUM(G68:I68)</f>
        <v/>
      </c>
      <c r="E68" s="191">
        <f>(E20-E63-E64-E12)*E54+E12</f>
        <v/>
      </c>
      <c r="F68" s="191">
        <f>(F20-F63-F64-F12)*F54+F12</f>
        <v/>
      </c>
      <c r="G68" s="191">
        <f>(G20-G63-G12)*G54+G12</f>
        <v/>
      </c>
      <c r="H68" s="191">
        <f>(H20-H62-H12)*H54+H12+H62</f>
        <v/>
      </c>
      <c r="I68" s="191">
        <f>(I20-I62-I12)*I54+I12+I62</f>
        <v/>
      </c>
      <c r="J68" s="191">
        <f>M68+N68+O68</f>
        <v/>
      </c>
      <c r="K68" s="191">
        <f>(K20-K63-K64-K12)*K54+K12</f>
        <v/>
      </c>
      <c r="L68" s="191">
        <f>(L20-L63-L64-L12)*L54+L12</f>
        <v/>
      </c>
      <c r="M68" s="191">
        <f>SUM(K68:L68)</f>
        <v/>
      </c>
      <c r="N68" s="191">
        <f>(N20-N62-N12)*N54+N12+N62</f>
        <v/>
      </c>
      <c r="O68" s="191">
        <f>(O20-O62-O12)*O54+O12+O62</f>
        <v/>
      </c>
      <c r="P68" s="98" t="n"/>
    </row>
    <row r="69" ht="13" customFormat="1" customHeight="1" s="5">
      <c r="A69" s="99" t="inlineStr">
        <is>
          <t>发电水耗率</t>
        </is>
      </c>
      <c r="B69" s="100" t="inlineStr">
        <is>
          <t>吨/万千瓦时</t>
        </is>
      </c>
      <c r="C69" s="101" t="inlineStr">
        <is>
          <t>064</t>
        </is>
      </c>
      <c r="D69" s="145">
        <f>D67/(D7/10000)</f>
        <v/>
      </c>
      <c r="E69" s="145">
        <f>E67/(E7/10000)</f>
        <v/>
      </c>
      <c r="F69" s="145">
        <f>F67/(F7/10000)</f>
        <v/>
      </c>
      <c r="G69" s="145">
        <f>G67/(G7/10000)</f>
        <v/>
      </c>
      <c r="H69" s="145">
        <f>H67/(H7/10000)</f>
        <v/>
      </c>
      <c r="I69" s="145">
        <f>I67/(I7/10000)</f>
        <v/>
      </c>
      <c r="J69" s="145">
        <f>J67/(J7/10000)</f>
        <v/>
      </c>
      <c r="K69" s="145">
        <f>K67/(K7/10000)</f>
        <v/>
      </c>
      <c r="L69" s="145">
        <f>L67/(L7/10000)</f>
        <v/>
      </c>
      <c r="M69" s="145">
        <f>M67/(M7/10000)</f>
        <v/>
      </c>
      <c r="N69" s="145">
        <f>N67/(N7/10000)</f>
        <v/>
      </c>
      <c r="O69" s="145">
        <f>O67/(O7/10000)</f>
        <v/>
      </c>
      <c r="P69" s="98" t="n"/>
    </row>
    <row r="70" ht="13.75" customFormat="1" customHeight="1" s="5">
      <c r="A70" s="29" t="inlineStr">
        <is>
          <t>供热水耗率</t>
        </is>
      </c>
      <c r="B70" s="30" t="inlineStr">
        <is>
          <t>吨/吉焦</t>
        </is>
      </c>
      <c r="C70" s="106" t="inlineStr">
        <is>
          <t>065</t>
        </is>
      </c>
      <c r="D70" s="170">
        <f>D68/D9</f>
        <v/>
      </c>
      <c r="E70" s="170">
        <f>E68/E9</f>
        <v/>
      </c>
      <c r="F70" s="170">
        <f>F68/F9</f>
        <v/>
      </c>
      <c r="G70" s="170">
        <f>G68/G9</f>
        <v/>
      </c>
      <c r="H70" s="170">
        <f>H68/H9</f>
        <v/>
      </c>
      <c r="I70" s="170">
        <f>I68/I9</f>
        <v/>
      </c>
      <c r="J70" s="170">
        <f>J68/J9</f>
        <v/>
      </c>
      <c r="K70" s="170">
        <f>K68/K9</f>
        <v/>
      </c>
      <c r="L70" s="170">
        <f>L68/L9</f>
        <v/>
      </c>
      <c r="M70" s="170">
        <f>M68/M9</f>
        <v/>
      </c>
      <c r="N70" s="170">
        <f>N68/N9</f>
        <v/>
      </c>
      <c r="O70" s="170">
        <f>O68/O9</f>
        <v/>
      </c>
      <c r="P70" s="98" t="n"/>
    </row>
    <row r="71" ht="18.75" customFormat="1" customHeight="1" s="5">
      <c r="A71" s="111" t="n"/>
      <c r="B71" s="112" t="n"/>
      <c r="C71" s="113" t="n"/>
      <c r="D71" s="199" t="n"/>
      <c r="E71" s="200" t="n"/>
      <c r="F71" s="200" t="n"/>
      <c r="G71" s="200" t="n"/>
      <c r="H71" s="201" t="n"/>
      <c r="I71" s="200" t="n"/>
      <c r="J71" s="200" t="n"/>
      <c r="K71" s="200" t="n"/>
      <c r="L71" s="200" t="n"/>
      <c r="M71" s="200" t="n"/>
      <c r="N71" s="200" t="n"/>
      <c r="O71" s="200" t="n"/>
    </row>
    <row r="72" ht="13" customFormat="1" customHeight="1" s="5">
      <c r="A72" s="111" t="n"/>
      <c r="B72" s="112" t="n"/>
      <c r="C72" s="113" t="n"/>
      <c r="D72" s="202" t="inlineStr">
        <is>
          <t>低真空补水量</t>
        </is>
      </c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</row>
    <row r="73" customFormat="1" s="5">
      <c r="A73" s="1" t="n"/>
      <c r="B73" s="1" t="n"/>
      <c r="C73" s="200" t="n"/>
      <c r="D73" s="203" t="inlineStr">
        <is>
          <t>首站电量</t>
        </is>
      </c>
      <c r="E73" s="1" t="n"/>
      <c r="F73" s="1" t="n"/>
      <c r="G73" s="120" t="n"/>
      <c r="H73" s="1" t="n"/>
      <c r="J73" s="200" t="n"/>
      <c r="K73" s="200" t="n"/>
      <c r="L73" s="204" t="n"/>
      <c r="M73" s="200" t="n"/>
      <c r="N73" s="200" t="n"/>
      <c r="O73" s="200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203" t="inlineStr">
        <is>
          <t>首站补水量</t>
        </is>
      </c>
      <c r="E74" s="1" t="n"/>
      <c r="F74" s="1" t="n"/>
      <c r="G74" s="205" t="n"/>
      <c r="H74" s="1" t="n"/>
      <c r="J74" s="1" t="n"/>
      <c r="K74" s="1" t="n"/>
      <c r="L74" s="204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205" t="n"/>
      <c r="G75" s="205" t="n"/>
    </row>
    <row r="76" customFormat="1" s="1">
      <c r="F76" s="123" t="n"/>
      <c r="G76" s="123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0" t="n"/>
      <c r="G78" s="120" t="n"/>
    </row>
    <row r="79" customFormat="1" s="1">
      <c r="F79" s="205" t="n"/>
      <c r="G79" s="205" t="n"/>
    </row>
    <row r="80" customFormat="1" s="1">
      <c r="F80" s="205" t="n"/>
      <c r="G80" s="205" t="n"/>
    </row>
    <row r="81" customFormat="1" s="1">
      <c r="F81" s="123" t="n"/>
      <c r="G81" s="123" t="n"/>
    </row>
    <row r="83" customFormat="1" s="1">
      <c r="F83" s="120" t="n"/>
      <c r="G83" s="120" t="n"/>
    </row>
    <row r="84" customFormat="1" s="1">
      <c r="F84" s="205" t="n"/>
      <c r="G84" s="205" t="n"/>
    </row>
    <row r="85" customFormat="1" s="1">
      <c r="F85" s="205" t="n"/>
      <c r="G85" s="205" t="n"/>
    </row>
    <row r="86" customFormat="1" s="1">
      <c r="F86" s="123" t="n"/>
      <c r="G86" s="123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2026-02-28T11:40:56Z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