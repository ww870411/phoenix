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59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 t="n">
        <v>348</v>
      </c>
      <c r="J3" s="245" t="n">
        <v>162</v>
      </c>
      <c r="K3" s="245">
        <f>F3</f>
        <v/>
      </c>
      <c r="L3" s="250" t="n">
        <v>14</v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2309228.93</v>
      </c>
      <c r="H4" s="256">
        <f>E4+F4+G4</f>
        <v/>
      </c>
      <c r="I4" s="257" t="n"/>
      <c r="J4" s="253" t="n">
        <v>1769458.54</v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 t="n">
        <v>55000</v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7">
        <f>E8</f>
        <v/>
      </c>
      <c r="K8" s="267">
        <f>F8</f>
        <v/>
      </c>
      <c r="L8" s="267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 t="n">
        <v>4030</v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7">
        <f>E10</f>
        <v/>
      </c>
      <c r="K10" s="267">
        <f>F10</f>
        <v/>
      </c>
      <c r="L10" s="267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7">
        <f>E11</f>
        <v/>
      </c>
      <c r="K11" s="267">
        <f>F11</f>
        <v/>
      </c>
      <c r="L11" s="267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7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7">
        <f>E15</f>
        <v/>
      </c>
      <c r="K15" s="265">
        <f>F15</f>
        <v/>
      </c>
      <c r="L15" s="267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7">
        <f>E17</f>
        <v/>
      </c>
      <c r="K17" s="265" t="n"/>
      <c r="L17" s="267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 t="n">
        <v>43.975</v>
      </c>
      <c r="K22" s="275">
        <f>F22</f>
        <v/>
      </c>
      <c r="L22" s="267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 t="n">
        <v>28.64</v>
      </c>
      <c r="K23" s="275">
        <f>F23</f>
        <v/>
      </c>
      <c r="L23" s="267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7">
        <f>D26</f>
        <v/>
      </c>
      <c r="J26" s="267">
        <f>E26</f>
        <v/>
      </c>
      <c r="K26" s="285">
        <f>F26</f>
        <v/>
      </c>
      <c r="L26" s="267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 t="n">
        <v>9506</v>
      </c>
      <c r="F27" s="286">
        <f>K27</f>
        <v/>
      </c>
      <c r="G27" s="286" t="n">
        <v>714.5</v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7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300">
        <f>E8/3.6/E3/(DAY(DATE(2026,2,0))*24)</f>
        <v/>
      </c>
      <c r="F31" s="299">
        <f>F8/3.6/F3/(DAY(DATE(2026,2,0))*24)</f>
        <v/>
      </c>
      <c r="G31" s="300">
        <f>G8/3.6/G3/(DAY(DATE(2026,2,0))*24)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8">
        <f>F12*1000/F6</f>
        <v/>
      </c>
      <c r="G33" s="307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8">
        <f>F17/F6</f>
        <v/>
      </c>
      <c r="G34" s="307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5">
        <f>F15*1000/F6</f>
        <v/>
      </c>
      <c r="G35" s="314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67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 t="n">
        <v>6</v>
      </c>
      <c r="H55" s="341" t="n">
        <v>6.4</v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 t="n">
        <v>28895.6</v>
      </c>
      <c r="H56" s="324" t="n">
        <v>26350.3</v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 t="n">
        <v>28895.6</v>
      </c>
      <c r="H57" s="324" t="n">
        <v>26350.3</v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 t="n">
        <v>2295.5</v>
      </c>
      <c r="H58" s="324" t="n">
        <v>3880.60000000001</v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 t="n">
        <v>235</v>
      </c>
      <c r="H59" s="324" t="n">
        <v>158.01</v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 t="n">
        <v>706680</v>
      </c>
      <c r="H60" s="324" t="n">
        <v>1137840</v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>
        <f>D60</f>
        <v/>
      </c>
      <c r="E61" s="293">
        <f>E60</f>
        <v/>
      </c>
      <c r="F61" s="323">
        <f>SUM(D61:E61)</f>
        <v/>
      </c>
      <c r="G61" s="324" t="n">
        <v>706680</v>
      </c>
      <c r="H61" s="324" t="n">
        <v>1137840</v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27">
        <f>D60/D58</f>
        <v/>
      </c>
      <c r="E62" s="327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29">
        <f>D58/3.6/D55/(DAY(DATE(2026,2,0))*24)</f>
        <v/>
      </c>
      <c r="E63" s="329">
        <f>E58/3.6/E55/(DAY(DATE(2026,2,0))*24)</f>
        <v/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5">
        <f>D58/D57</f>
        <v/>
      </c>
      <c r="E64" s="305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</f>
        <v/>
      </c>
      <c r="G73" s="349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49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49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</f>
        <v/>
      </c>
      <c r="G76" s="352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</f>
        <v/>
      </c>
      <c r="G77" s="352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D73/3.6/D71/(DAY(DATE(2026,2,0))*24)</f>
        <v/>
      </c>
      <c r="E82" s="365">
        <f>E73/3.6/E71/(DAY(DATE(2026,2,0))*24)</f>
        <v/>
      </c>
      <c r="F82" s="366">
        <f>F73/3.6/F71/(DATEDIF(DATE(2026,1,1),DATE(2026,2,1),"D")*24)</f>
        <v/>
      </c>
      <c r="G82" s="367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 t="n">
        <v>0.7887999999999999</v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>
        <v>20723.53</v>
      </c>
      <c r="E88" s="372" t="n">
        <v>20723.53</v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>
        <v>20723.53</v>
      </c>
      <c r="E89" s="372" t="n">
        <v>20723.53</v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>
        <v>3609.56501600001</v>
      </c>
      <c r="E90" s="372" t="n">
        <v>3609.56501600001</v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>
        <v>49</v>
      </c>
      <c r="E91" s="369" t="n">
        <v>49</v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>
        <v>462809.08</v>
      </c>
      <c r="E92" s="372" t="n">
        <v>462809.08</v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69">
        <f>D93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00">
        <f>D90/3.6/D87/(DATEDIF(DATE(2026,1,1),DATE(2026,2,1),"D")*24)</f>
        <v/>
      </c>
      <c r="E95" s="300">
        <f>E90/3.6/E87/(DATEDIF(DATE(2026,1,1),DATE(2026,2,1),"D")*24)</f>
        <v/>
      </c>
      <c r="F95" s="375">
        <f>F90/3.6/F87/(DAY(DATE(2026,2,0))*24)</f>
        <v/>
      </c>
      <c r="G95" s="300">
        <f>G90/3.6/G87/(DATEDIF(DATE(2026,1,1),DATE(2026,2,1),"D")*24)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 t="n">
        <v>10</v>
      </c>
      <c r="F6" s="255" t="n">
        <v>10</v>
      </c>
      <c r="G6" s="255">
        <f>G4</f>
        <v/>
      </c>
      <c r="H6" s="256" t="n">
        <v>3.6</v>
      </c>
      <c r="I6" s="379" t="n">
        <v>3.28</v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>
        <v>3.6</v>
      </c>
      <c r="O6" t="n">
        <v>3.28</v>
      </c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 t="n">
        <v>22641600</v>
      </c>
      <c r="I7" s="380" t="n">
        <v>15352900</v>
      </c>
      <c r="J7" s="380">
        <f>E7+'26.1'!J7</f>
        <v/>
      </c>
      <c r="K7" s="380">
        <f>F7+'26.1'!K7</f>
        <v/>
      </c>
      <c r="L7" s="380">
        <f>G7+'26.1'!L7</f>
        <v/>
      </c>
      <c r="M7" s="256">
        <f>J7+K7+L7</f>
        <v/>
      </c>
      <c r="N7" s="45" t="n">
        <v>22641600</v>
      </c>
      <c r="O7" t="n">
        <v>15352900</v>
      </c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>
        <v>15642792</v>
      </c>
      <c r="I8" s="380" t="n">
        <v>11150964</v>
      </c>
      <c r="J8" s="380">
        <f>E8+'26.1'!J8</f>
        <v/>
      </c>
      <c r="K8" s="380">
        <f>F8+'26.1'!K8</f>
        <v/>
      </c>
      <c r="L8" s="380">
        <f>G8+'26.1'!L8</f>
        <v/>
      </c>
      <c r="M8" s="256">
        <f>J8+K8+L8</f>
        <v/>
      </c>
      <c r="N8" s="47" t="n">
        <v>15642792</v>
      </c>
      <c r="O8" t="n">
        <v>11150964</v>
      </c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 t="n">
        <v>570124</v>
      </c>
      <c r="I9" s="380" t="n">
        <v>292094.32</v>
      </c>
      <c r="J9" s="380">
        <f>E9+'26.1'!J9</f>
        <v/>
      </c>
      <c r="K9" s="380">
        <f>F9+'26.1'!K9</f>
        <v/>
      </c>
      <c r="L9" s="380">
        <f>G9+'26.1'!L9</f>
        <v/>
      </c>
      <c r="M9" s="256">
        <f>J9+K9+L9</f>
        <v/>
      </c>
      <c r="N9" s="45" t="n">
        <v>570124</v>
      </c>
      <c r="O9" t="n">
        <v>292094.32</v>
      </c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 t="n">
        <v>113115</v>
      </c>
      <c r="I10" s="380">
        <f>D10+'26.1'!I10</f>
        <v/>
      </c>
      <c r="J10" s="380">
        <f>E10+'26.1'!J10</f>
        <v/>
      </c>
      <c r="K10" s="380">
        <f>F10+'26.1'!K10</f>
        <v/>
      </c>
      <c r="L10" s="380">
        <f>G10+'26.1'!L10</f>
        <v/>
      </c>
      <c r="M10" s="256">
        <f>J10+K10+L10</f>
        <v/>
      </c>
      <c r="N10" s="45" t="n">
        <v>113115</v>
      </c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 t="n">
        <v>292094.32</v>
      </c>
      <c r="J11" s="380">
        <f>E11+'26.1'!J11</f>
        <v/>
      </c>
      <c r="K11" s="380">
        <f>F11+'26.1'!K11</f>
        <v/>
      </c>
      <c r="L11" s="380">
        <f>G11+'26.1'!L11</f>
        <v/>
      </c>
      <c r="M11" s="256">
        <f>J11+K11+L11</f>
        <v/>
      </c>
      <c r="N11" s="45" t="n"/>
      <c r="O11" t="n">
        <v>292094.32</v>
      </c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 t="n">
        <v>0</v>
      </c>
      <c r="J12" s="380">
        <f>E12+'26.1'!J12</f>
        <v/>
      </c>
      <c r="K12" s="380">
        <f>F12+'26.1'!K12</f>
        <v/>
      </c>
      <c r="L12" s="380">
        <f>G12+'26.1'!L12</f>
        <v/>
      </c>
      <c r="M12" s="256">
        <f>J12+K12+L12</f>
        <v/>
      </c>
      <c r="N12" s="45" t="n"/>
      <c r="O12" t="n">
        <v>0</v>
      </c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>
        <v>6337791.65</v>
      </c>
      <c r="I13" s="380" t="n">
        <v>3019870.33</v>
      </c>
      <c r="J13" s="380">
        <f>E13+'26.1'!J13</f>
        <v/>
      </c>
      <c r="K13" s="380">
        <f>F13+'26.1'!K13</f>
        <v/>
      </c>
      <c r="L13" s="380">
        <f>G13+'26.1'!L13</f>
        <v/>
      </c>
      <c r="M13" s="270" t="n"/>
      <c r="N13" s="45" t="n">
        <v>6337791.65</v>
      </c>
      <c r="O13" t="n">
        <v>3019870.33</v>
      </c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D14+'26.1'!I14</f>
        <v/>
      </c>
      <c r="J14" s="380">
        <f>E14+'26.1'!J14</f>
        <v/>
      </c>
      <c r="K14" s="380">
        <f>F14+'26.1'!K14</f>
        <v/>
      </c>
      <c r="L14" s="380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>
        <v>14337.393088</v>
      </c>
      <c r="F15" s="260" t="n">
        <v>13051.1898</v>
      </c>
      <c r="G15" s="255" t="n"/>
      <c r="H15" s="256" t="n">
        <v>7865</v>
      </c>
      <c r="I15" s="380" t="n">
        <v>4953.18904627418</v>
      </c>
      <c r="J15" s="380">
        <f>E15+'26.1'!J15</f>
        <v/>
      </c>
      <c r="K15" s="380">
        <f>F15+'26.1'!K15</f>
        <v/>
      </c>
      <c r="L15" s="380">
        <f>G15+'26.1'!L15</f>
        <v/>
      </c>
      <c r="M15" s="256">
        <f>J15+K15+L15</f>
        <v/>
      </c>
      <c r="N15" s="45" t="n">
        <v>7865</v>
      </c>
      <c r="O15" t="n">
        <v>4953.18904627418</v>
      </c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>
        <v>53934.606912</v>
      </c>
      <c r="F16" s="260" t="n">
        <v>60187.8102</v>
      </c>
      <c r="G16" s="260" t="n"/>
      <c r="H16" s="256" t="n">
        <v>31436</v>
      </c>
      <c r="I16" s="380" t="n">
        <v>15701.0009537258</v>
      </c>
      <c r="J16" s="380">
        <f>E16+'26.1'!J16</f>
        <v/>
      </c>
      <c r="K16" s="380">
        <f>F16+'26.1'!K16</f>
        <v/>
      </c>
      <c r="L16" s="380">
        <f>G16+'26.1'!L16</f>
        <v/>
      </c>
      <c r="M16" s="256">
        <f>J16+K16+L16</f>
        <v/>
      </c>
      <c r="N16" s="45" t="n">
        <v>31436</v>
      </c>
      <c r="O16" t="n">
        <v>15701.0009537258</v>
      </c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0">
        <f>D17+'26.1'!I17</f>
        <v/>
      </c>
      <c r="J17" s="380">
        <f>E17+'26.1'!J17</f>
        <v/>
      </c>
      <c r="K17" s="380" t="n"/>
      <c r="L17" s="380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>
        <v>14.5532772</v>
      </c>
      <c r="F18" s="260" t="n">
        <v>4.455</v>
      </c>
      <c r="G18" s="260" t="n"/>
      <c r="H18" s="270" t="n">
        <v>3</v>
      </c>
      <c r="I18" s="380" t="n">
        <v>0.0479630432979863</v>
      </c>
      <c r="J18" s="380">
        <f>E18+'26.1'!J18</f>
        <v/>
      </c>
      <c r="K18" s="380">
        <f>F18+'26.1'!K18</f>
        <v/>
      </c>
      <c r="L18" s="380">
        <f>G18+'26.1'!L18</f>
        <v/>
      </c>
      <c r="M18" s="270" t="n"/>
      <c r="N18" s="45" t="n">
        <v>3</v>
      </c>
      <c r="O18" t="n">
        <v>0.0479630432979863</v>
      </c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>
        <v>54.7467228</v>
      </c>
      <c r="F19" s="255" t="n">
        <v>20.545</v>
      </c>
      <c r="G19" s="255">
        <f>G17</f>
        <v/>
      </c>
      <c r="H19" s="270" t="n">
        <v>11</v>
      </c>
      <c r="I19" s="380" t="n">
        <v>0.152036956702014</v>
      </c>
      <c r="J19" s="380">
        <f>E19+'26.1'!J19</f>
        <v/>
      </c>
      <c r="K19" s="380">
        <f>F19+'26.1'!K19</f>
        <v/>
      </c>
      <c r="L19" s="380">
        <f>G19+'26.1'!L19</f>
        <v/>
      </c>
      <c r="M19" s="270" t="n"/>
      <c r="N19" s="45" t="n">
        <v>11</v>
      </c>
      <c r="O19" t="n">
        <v>0.152036956702014</v>
      </c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>
        <v>177610</v>
      </c>
      <c r="F20" s="260" t="n">
        <v>194774</v>
      </c>
      <c r="G20" s="260" t="n"/>
      <c r="H20" s="270" t="n">
        <v>94794</v>
      </c>
      <c r="I20" s="380" t="n">
        <v>34653</v>
      </c>
      <c r="J20" s="380">
        <f>E20+'26.1'!J20</f>
        <v/>
      </c>
      <c r="K20" s="380">
        <f>F20+'26.1'!K20</f>
        <v/>
      </c>
      <c r="L20" s="380">
        <f>G20+'26.1'!L20</f>
        <v/>
      </c>
      <c r="M20" s="270" t="n"/>
      <c r="N20" s="45" t="n">
        <v>94794</v>
      </c>
      <c r="O20" t="n">
        <v>34653</v>
      </c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>
        <v>121213</v>
      </c>
      <c r="F21" s="260" t="n"/>
      <c r="G21" s="260" t="n"/>
      <c r="H21" s="270" t="n"/>
      <c r="I21" s="380" t="n">
        <v>11538</v>
      </c>
      <c r="J21" s="380">
        <f>E21+'26.1'!J21</f>
        <v/>
      </c>
      <c r="K21" s="380">
        <f>F21+'26.1'!K21</f>
        <v/>
      </c>
      <c r="L21" s="380">
        <f>G21+'26.1'!L21</f>
        <v/>
      </c>
      <c r="M21" s="270" t="n"/>
      <c r="N21" s="45" t="n"/>
      <c r="O21" t="n">
        <v>11538</v>
      </c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>
        <v>6.4</v>
      </c>
      <c r="F22" s="273" t="n">
        <v>40</v>
      </c>
      <c r="G22" s="273" t="n"/>
      <c r="H22" s="274" t="n">
        <v>15</v>
      </c>
      <c r="I22" s="380" t="n">
        <v>2.31</v>
      </c>
      <c r="J22" s="380">
        <f>E22+'26.1'!J22</f>
        <v/>
      </c>
      <c r="K22" s="380">
        <f>F22+'26.1'!K22</f>
        <v/>
      </c>
      <c r="L22" s="380">
        <f>G22+'26.1'!L22</f>
        <v/>
      </c>
      <c r="M22" s="276">
        <f>J22+K22+L22</f>
        <v/>
      </c>
      <c r="N22" s="12" t="n">
        <v>15</v>
      </c>
      <c r="O22" t="n">
        <v>2.31</v>
      </c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>
        <v>9.699999999999999</v>
      </c>
      <c r="F23" s="273" t="n">
        <v>32</v>
      </c>
      <c r="G23" s="273" t="n"/>
      <c r="H23" s="274" t="n">
        <v>10</v>
      </c>
      <c r="I23" s="380" t="n">
        <v>2.3</v>
      </c>
      <c r="J23" s="380">
        <f>E23+'26.1'!J23</f>
        <v/>
      </c>
      <c r="K23" s="380">
        <f>F23+'26.1'!K23</f>
        <v/>
      </c>
      <c r="L23" s="380">
        <f>G23+'26.1'!L23</f>
        <v/>
      </c>
      <c r="M23" s="276">
        <f>J23+K23+L23</f>
        <v/>
      </c>
      <c r="N23" s="12" t="n">
        <v>10</v>
      </c>
      <c r="O23" t="n">
        <v>2.3</v>
      </c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 t="n">
        <v>601.88</v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  <c r="O24" t="n">
        <v>601.88</v>
      </c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 t="n">
        <v>2045</v>
      </c>
      <c r="F25" s="277" t="n">
        <v>854</v>
      </c>
      <c r="G25" s="277">
        <f>G12*1000/G8</f>
        <v/>
      </c>
      <c r="H25" s="278" t="n">
        <v>702</v>
      </c>
      <c r="I25" s="279" t="n">
        <v>364.38</v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>
        <v>702</v>
      </c>
      <c r="O25" t="n">
        <v>364.38</v>
      </c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>
        <v>377.74</v>
      </c>
      <c r="F26" s="283" t="n">
        <v>201</v>
      </c>
      <c r="G26" s="255" t="n"/>
      <c r="H26" s="284" t="n">
        <v>319</v>
      </c>
      <c r="I26" s="380" t="n">
        <v>74.273</v>
      </c>
      <c r="J26" s="380">
        <f>E26+'26.1'!J26</f>
        <v/>
      </c>
      <c r="K26" s="380">
        <f>F26+'26.1'!K26</f>
        <v/>
      </c>
      <c r="L26" s="380">
        <f>G26+'26.1'!L26</f>
        <v/>
      </c>
      <c r="M26" s="284">
        <f>J26+K26+L26</f>
        <v/>
      </c>
      <c r="N26" s="280" t="n">
        <v>319</v>
      </c>
      <c r="O26" t="n">
        <v>74.273</v>
      </c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 t="n">
        <v>1.075</v>
      </c>
      <c r="F27" s="286" t="n">
        <v>1</v>
      </c>
      <c r="G27" s="286">
        <f>L27</f>
        <v/>
      </c>
      <c r="H27" s="287" t="n">
        <v>1</v>
      </c>
      <c r="I27" s="264" t="n">
        <v>0.05</v>
      </c>
      <c r="J27" s="381">
        <f>'26.1'!J27+E26-E10</f>
        <v/>
      </c>
      <c r="K27" s="381">
        <f>'26.1'!K27+F26-F10</f>
        <v/>
      </c>
      <c r="L27" s="381">
        <f>'26.1'!L27+G26-G10</f>
        <v/>
      </c>
      <c r="M27" s="289">
        <f>J27+K27+L27</f>
        <v/>
      </c>
      <c r="N27" s="280" t="n">
        <v>1</v>
      </c>
      <c r="O27" t="n">
        <v>0.05</v>
      </c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 t="n">
        <v>0</v>
      </c>
      <c r="F28" s="290" t="n">
        <v>0</v>
      </c>
      <c r="G28" s="290">
        <f>G12*29308/G10</f>
        <v/>
      </c>
      <c r="H28" s="290" t="n">
        <v>0</v>
      </c>
      <c r="I28" s="291" t="n">
        <v>0</v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>
        <v>0</v>
      </c>
      <c r="O28" t="n">
        <v>0</v>
      </c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28</v>
      </c>
      <c r="F29" s="261" t="n"/>
      <c r="G29" s="293" t="n"/>
      <c r="H29" s="294" t="n"/>
      <c r="I29" s="295" t="n"/>
      <c r="J29" s="261" t="n"/>
      <c r="K29" s="261" t="n">
        <v>28</v>
      </c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 t="n">
        <v>6593264.5</v>
      </c>
      <c r="F31" s="299" t="n">
        <v>573928</v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 t="n">
        <v>3573096.00147514</v>
      </c>
      <c r="F33" s="308" t="n">
        <v>2844984.384</v>
      </c>
      <c r="G33" s="308">
        <f>G12*1000/G6</f>
        <v/>
      </c>
      <c r="H33" s="307" t="n">
        <v>1400555</v>
      </c>
      <c r="I33" s="309" t="n">
        <v>1007688.19151684</v>
      </c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>
        <v>1400555</v>
      </c>
      <c r="O33" t="n">
        <v>1007688.19151684</v>
      </c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 t="n">
        <v>13441322.778525</v>
      </c>
      <c r="F34" s="308" t="n">
        <v>13120135.616</v>
      </c>
      <c r="G34" s="308">
        <f>G17/G6</f>
        <v/>
      </c>
      <c r="H34" s="307" t="n">
        <v>5598253</v>
      </c>
      <c r="I34" s="311" t="n">
        <v>3194247.80848316</v>
      </c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>
        <v>5598253</v>
      </c>
      <c r="O34" t="n">
        <v>3194247.80848316</v>
      </c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 t="n">
        <v>9817.246900174699</v>
      </c>
      <c r="F40" s="45" t="n">
        <v>8544.63729638324</v>
      </c>
      <c r="G40" s="45" t="n"/>
      <c r="H40" s="45" t="n">
        <v>5641</v>
      </c>
      <c r="I40" t="n">
        <v>3561.75043843677</v>
      </c>
      <c r="K40" t="n">
        <v>9817.246900174699</v>
      </c>
      <c r="L40" t="n">
        <v>8544.63729638324</v>
      </c>
      <c r="N40" t="n">
        <v>5641</v>
      </c>
      <c r="O40" t="n">
        <v>3561.75043843677</v>
      </c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21.20558020812</v>
      </c>
      <c r="F41" s="45" t="n">
        <v>6.4913805</v>
      </c>
      <c r="G41" s="45" t="n"/>
      <c r="H41" s="45" t="n">
        <v>4</v>
      </c>
      <c r="I41" t="n">
        <v>0.0685186332828376</v>
      </c>
      <c r="K41" t="n">
        <v>21.20558020812</v>
      </c>
      <c r="L41" t="n">
        <v>6.4913805</v>
      </c>
      <c r="N41" t="n">
        <v>4</v>
      </c>
      <c r="O41" t="n">
        <v>0.0685186332828376</v>
      </c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 t="n">
        <v>36930.6550800009</v>
      </c>
      <c r="F43" s="45" t="n">
        <v>39405.0669481916</v>
      </c>
      <c r="G43" s="45" t="n"/>
      <c r="H43" s="45" t="n">
        <v>22549</v>
      </c>
      <c r="I43" t="n">
        <v>11290.3114555853</v>
      </c>
      <c r="K43" t="n">
        <v>36930.6550800009</v>
      </c>
      <c r="L43" t="n">
        <v>39405.0669481916</v>
      </c>
      <c r="N43" t="n">
        <v>22549</v>
      </c>
      <c r="O43" t="n">
        <v>11290.3114555853</v>
      </c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 t="n">
        <v>79.77379608</v>
      </c>
      <c r="F44" s="45" t="n">
        <v>29.9361195</v>
      </c>
      <c r="G44" s="45" t="n"/>
      <c r="H44" s="45" t="n">
        <v>16</v>
      </c>
      <c r="I44" t="n">
        <v>0.217195652431448</v>
      </c>
      <c r="K44" t="n">
        <v>79.77379608</v>
      </c>
      <c r="L44" t="n">
        <v>29.9361195</v>
      </c>
      <c r="N44" t="n">
        <v>16</v>
      </c>
      <c r="O44" t="n">
        <v>0.217195652431448</v>
      </c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 t="n">
        <v>20159.4936</v>
      </c>
      <c r="F49" s="45" t="n">
        <v>19277</v>
      </c>
      <c r="G49" s="45" t="n"/>
      <c r="H49" s="45" t="n">
        <v>20991.6</v>
      </c>
      <c r="I49" t="n">
        <v>20480</v>
      </c>
      <c r="K49" t="n">
        <v>20159.4936</v>
      </c>
      <c r="L49" t="n">
        <v>19277</v>
      </c>
      <c r="N49" t="n">
        <v>20991.6</v>
      </c>
      <c r="O49" t="n">
        <v>20480</v>
      </c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 t="n">
        <v>99360</v>
      </c>
      <c r="F50" s="45" t="n">
        <v>99840</v>
      </c>
      <c r="G50" s="45" t="n"/>
      <c r="H50" s="45" t="n">
        <v>36720</v>
      </c>
      <c r="I50" t="n">
        <v>23000</v>
      </c>
      <c r="K50" t="n">
        <v>99360</v>
      </c>
      <c r="L50" t="n">
        <v>99840</v>
      </c>
      <c r="N50" t="n">
        <v>36720</v>
      </c>
      <c r="O50" t="n">
        <v>23000</v>
      </c>
    </row>
    <row r="51" ht="18" customFormat="1" customHeight="1" s="12">
      <c r="C51" s="4" t="n"/>
      <c r="D51" s="5" t="n"/>
      <c r="E51" t="n">
        <v>58.8333333333333</v>
      </c>
      <c r="F51" t="n">
        <v>120</v>
      </c>
      <c r="H51" t="n">
        <v>350</v>
      </c>
      <c r="I51" t="n">
        <v>140</v>
      </c>
      <c r="K51" t="n">
        <v>58.8333333333333</v>
      </c>
      <c r="L51" t="n">
        <v>120</v>
      </c>
      <c r="N51" t="n">
        <v>350</v>
      </c>
      <c r="O51" t="n">
        <v>140</v>
      </c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>
        <v>26761</v>
      </c>
      <c r="F57" s="323" t="n">
        <v>66608</v>
      </c>
      <c r="G57" s="324">
        <f>D57</f>
        <v/>
      </c>
      <c r="H57" s="324" t="n">
        <v>4890.18</v>
      </c>
      <c r="I57" s="289" t="n">
        <v>0</v>
      </c>
      <c r="K57" t="n">
        <v>26761</v>
      </c>
      <c r="L57" t="n">
        <v>66608</v>
      </c>
      <c r="N57" t="n">
        <v>4890.18</v>
      </c>
      <c r="O57" t="n">
        <v>17015.74</v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>
        <v>42844</v>
      </c>
      <c r="F58" s="323">
        <f>SUM(D58:E58)</f>
        <v/>
      </c>
      <c r="G58" s="383">
        <f>D58+'26.1'!G58</f>
        <v/>
      </c>
      <c r="H58" s="383">
        <f>E58+'26.1'!H58</f>
        <v/>
      </c>
      <c r="I58" s="289">
        <f>SUM(G58:H58)</f>
        <v/>
      </c>
      <c r="K58" t="n">
        <v>42844</v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D59+'26.1'!G59</f>
        <v/>
      </c>
      <c r="H59" s="383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>
        <v>0</v>
      </c>
      <c r="F60" s="323" t="n">
        <v>0</v>
      </c>
      <c r="G60" s="383">
        <f>D60+'26.1'!G60</f>
        <v/>
      </c>
      <c r="H60" s="383" t="n">
        <v>1828619</v>
      </c>
      <c r="I60" s="289" t="n">
        <v>1027192</v>
      </c>
      <c r="K60" t="n">
        <v>0</v>
      </c>
      <c r="L60" t="n">
        <v>0</v>
      </c>
      <c r="N60" t="n">
        <v>1828619</v>
      </c>
      <c r="O60" t="n">
        <v>1027192</v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D61+'26.1'!G61</f>
        <v/>
      </c>
      <c r="H61" s="383" t="n">
        <v>1828619</v>
      </c>
      <c r="I61" s="289" t="n">
        <v>1027192</v>
      </c>
      <c r="N61" t="n">
        <v>1828619</v>
      </c>
      <c r="O61" t="n">
        <v>1027192</v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 t="n">
        <v>40661</v>
      </c>
      <c r="I62" s="278" t="n">
        <v>22885</v>
      </c>
      <c r="N62" t="n">
        <v>40661</v>
      </c>
      <c r="O62" t="n">
        <v>22885</v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 t="n">
        <v>25920</v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  <c r="L63" t="n">
        <v>25920</v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 t="n">
        <v>73699</v>
      </c>
      <c r="F64" s="305" t="n">
        <v>0</v>
      </c>
      <c r="G64" s="344">
        <f>G58/G57</f>
        <v/>
      </c>
      <c r="H64" s="303">
        <f>H58/H57</f>
        <v/>
      </c>
      <c r="I64" s="305">
        <f>I58/I57</f>
        <v/>
      </c>
      <c r="K64" t="n">
        <v>73699</v>
      </c>
      <c r="L64" t="n">
        <v>0</v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 t="n">
        <v>6302</v>
      </c>
      <c r="F65" s="307" t="n">
        <v>32849</v>
      </c>
      <c r="G65" s="345">
        <f>G60/G57</f>
        <v/>
      </c>
      <c r="H65" s="308" t="n">
        <v>23814</v>
      </c>
      <c r="I65" s="307" t="n">
        <v>7404</v>
      </c>
      <c r="K65" t="n">
        <v>6302</v>
      </c>
      <c r="L65" t="n">
        <v>32849</v>
      </c>
      <c r="N65" t="n">
        <v>23814</v>
      </c>
      <c r="O65" t="n">
        <v>7404</v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 t="n">
        <v>1072980</v>
      </c>
      <c r="F66" s="314" t="n">
        <v>1283190</v>
      </c>
      <c r="G66" s="346">
        <f>G59*1000/G57</f>
        <v/>
      </c>
      <c r="H66" s="315" t="n">
        <v>754606</v>
      </c>
      <c r="I66" s="314" t="n">
        <v>619963</v>
      </c>
      <c r="K66" t="n">
        <v>1072980</v>
      </c>
      <c r="L66" t="n">
        <v>1283190</v>
      </c>
      <c r="N66" t="n">
        <v>754606</v>
      </c>
      <c r="O66" t="n">
        <v>619963</v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D73+'26.1'!F73</f>
        <v/>
      </c>
      <c r="G73" s="382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D74+'26.1'!F74</f>
        <v/>
      </c>
      <c r="G74" s="382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D75+'26.1'!F75</f>
        <v/>
      </c>
      <c r="G75" s="382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D76+'26.1'!F76</f>
        <v/>
      </c>
      <c r="G76" s="382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D77+'26.1'!F77</f>
        <v/>
      </c>
      <c r="G77" s="382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D73/3.6/D71/(DAY(DATE(2026,3,0))*24)</f>
        <v/>
      </c>
      <c r="E82" s="365">
        <f>E73/3.6/E71/(DAY(DATE(2026,3,0))*24)</f>
        <v/>
      </c>
      <c r="F82" s="366">
        <f>F73/3.6/F71/(DATEDIF(DATE(2026,1,1),DATE(2026,3,1),"D")*24)</f>
        <v/>
      </c>
      <c r="G82" s="367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85">
        <f>D93+'26.1'!E93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D90/3.6/D87/(DAY(DATE(2026,3,0))*24)</f>
        <v/>
      </c>
      <c r="E95" s="300">
        <f>E90/3.6/E87/(DATEDIF(DATE(2026,1,1),DATE(2026,3,1),"D")*24)</f>
        <v/>
      </c>
      <c r="F95" s="375">
        <f>F90/3.6/F87/(DAY(DATE(2026,3,0))*24)</f>
        <v/>
      </c>
      <c r="G95" s="300">
        <f>G90/3.6/G87/(DATEDIF(DATE(2026,1,1),DATE(2026,3,1),"D")*24)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0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D73/3.6/D71/(DAY(DATE(2026,4,0))*24)</f>
        <v/>
      </c>
      <c r="E82" s="365">
        <f>E73/3.6/E71/(DAY(DATE(2026,4,0))*24)</f>
        <v/>
      </c>
      <c r="F82" s="366">
        <f>F73/3.6/F71/(DATEDIF(DATE(2026,1,1),DATE(2026,4,1),"D")*24)</f>
        <v/>
      </c>
      <c r="G82" s="367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9">
        <f>D90+'26.2'!E90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9">
        <f>D91+'26.2'!E91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9">
        <f>D92+'26.2'!E92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9">
        <f>D93+'26.2'!E93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D90/3.6/D87/(DAY(DATE(2026,4,0))*24)</f>
        <v/>
      </c>
      <c r="E95" s="300">
        <f>E90/3.6/E87/(DATEDIF(DATE(2026,1,1),DATE(2026,4,1),"D")*24)</f>
        <v/>
      </c>
      <c r="F95" s="375">
        <f>F90/3.6/F87/(DAY(DATE(2026,4,0))*24)</f>
        <v/>
      </c>
      <c r="G95" s="300">
        <f>G90/3.6/G87/(DATEDIF(DATE(2026,1,1),DATE(2026,4,1),"D")*24)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0">
        <f>D7+'26.3'!I7</f>
        <v/>
      </c>
      <c r="J7" s="380">
        <f>E7+'26.3'!J7</f>
        <v/>
      </c>
      <c r="K7" s="380">
        <f>F7+'26.3'!K7</f>
        <v/>
      </c>
      <c r="L7" s="380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0">
        <f>D8+'26.3'!I8</f>
        <v/>
      </c>
      <c r="J8" s="380">
        <f>E8+'26.3'!J8</f>
        <v/>
      </c>
      <c r="K8" s="380">
        <f>F8+'26.3'!K8</f>
        <v/>
      </c>
      <c r="L8" s="380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0">
        <f>D9+'26.3'!I9</f>
        <v/>
      </c>
      <c r="J9" s="380">
        <f>E9+'26.3'!J9</f>
        <v/>
      </c>
      <c r="K9" s="380">
        <f>F9+'26.3'!K9</f>
        <v/>
      </c>
      <c r="L9" s="380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D10+'26.3'!I10</f>
        <v/>
      </c>
      <c r="J10" s="380">
        <f>E10+'26.3'!J10</f>
        <v/>
      </c>
      <c r="K10" s="380">
        <f>F10+'26.3'!K10</f>
        <v/>
      </c>
      <c r="L10" s="380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D11+'26.3'!I11</f>
        <v/>
      </c>
      <c r="J11" s="380">
        <f>E11+'26.3'!J11</f>
        <v/>
      </c>
      <c r="K11" s="380">
        <f>F11+'26.3'!K11</f>
        <v/>
      </c>
      <c r="L11" s="380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D12+'26.3'!I12</f>
        <v/>
      </c>
      <c r="J12" s="380">
        <f>E12+'26.3'!J12</f>
        <v/>
      </c>
      <c r="K12" s="380">
        <f>F12+'26.3'!K12</f>
        <v/>
      </c>
      <c r="L12" s="380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D13+'26.3'!I13</f>
        <v/>
      </c>
      <c r="J13" s="380">
        <f>E13+'26.3'!J13</f>
        <v/>
      </c>
      <c r="K13" s="380">
        <f>F13+'26.3'!K13</f>
        <v/>
      </c>
      <c r="L13" s="380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D14+'26.3'!I14</f>
        <v/>
      </c>
      <c r="J14" s="380">
        <f>E14+'26.3'!J14</f>
        <v/>
      </c>
      <c r="K14" s="380">
        <f>F14+'26.3'!K14</f>
        <v/>
      </c>
      <c r="L14" s="380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D15+'26.3'!I15</f>
        <v/>
      </c>
      <c r="J15" s="380">
        <f>E15+'26.3'!J15</f>
        <v/>
      </c>
      <c r="K15" s="380">
        <f>F15+'26.3'!K15</f>
        <v/>
      </c>
      <c r="L15" s="380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D16+'26.3'!I16</f>
        <v/>
      </c>
      <c r="J16" s="380">
        <f>E16+'26.3'!J16</f>
        <v/>
      </c>
      <c r="K16" s="380">
        <f>F16+'26.3'!K16</f>
        <v/>
      </c>
      <c r="L16" s="380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0">
        <f>D17+'26.3'!I17</f>
        <v/>
      </c>
      <c r="J17" s="380">
        <f>E17+'26.3'!J17</f>
        <v/>
      </c>
      <c r="K17" s="380" t="n"/>
      <c r="L17" s="380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D18+'26.3'!I18</f>
        <v/>
      </c>
      <c r="J18" s="380">
        <f>E18+'26.3'!J18</f>
        <v/>
      </c>
      <c r="K18" s="380">
        <f>F18+'26.3'!K18</f>
        <v/>
      </c>
      <c r="L18" s="380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0">
        <f>D19+'26.3'!I19</f>
        <v/>
      </c>
      <c r="J19" s="386" t="n"/>
      <c r="K19" s="380">
        <f>F19+'26.3'!K19</f>
        <v/>
      </c>
      <c r="L19" s="380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D20+'26.3'!I20</f>
        <v/>
      </c>
      <c r="J20" s="380">
        <f>E20+'26.3'!J20</f>
        <v/>
      </c>
      <c r="K20" s="380">
        <f>F20+'26.3'!K20</f>
        <v/>
      </c>
      <c r="L20" s="380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D21+'26.3'!I21</f>
        <v/>
      </c>
      <c r="J21" s="380">
        <f>E21+'26.3'!J21</f>
        <v/>
      </c>
      <c r="K21" s="380">
        <f>F21+'26.3'!K21</f>
        <v/>
      </c>
      <c r="L21" s="380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D22+'26.3'!I22</f>
        <v/>
      </c>
      <c r="J22" s="380">
        <f>E22+'26.3'!J22</f>
        <v/>
      </c>
      <c r="K22" s="380">
        <f>F22+'26.3'!K22</f>
        <v/>
      </c>
      <c r="L22" s="380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D23+'26.3'!I23</f>
        <v/>
      </c>
      <c r="J23" s="380">
        <f>E23+'26.3'!J23</f>
        <v/>
      </c>
      <c r="K23" s="380">
        <f>F23+'26.3'!K23</f>
        <v/>
      </c>
      <c r="L23" s="380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D26+'26.3'!I26</f>
        <v/>
      </c>
      <c r="J26" s="380">
        <f>E26+'26.3'!J26</f>
        <v/>
      </c>
      <c r="K26" s="380">
        <f>F26+'26.3'!K26</f>
        <v/>
      </c>
      <c r="L26" s="380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1">
        <f>'26.3'!J27+E26-E10</f>
        <v/>
      </c>
      <c r="K27" s="381">
        <f>'26.3'!K27+F26-F10</f>
        <v/>
      </c>
      <c r="L27" s="381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0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D58+'26.3'!G58</f>
        <v/>
      </c>
      <c r="H58" s="383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D59+'26.3'!G59</f>
        <v/>
      </c>
      <c r="H59" s="383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D60+'26.3'!G60</f>
        <v/>
      </c>
      <c r="H60" s="383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D61+'26.3'!G61</f>
        <v/>
      </c>
      <c r="H61" s="383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D73+'26.3'!F73</f>
        <v/>
      </c>
      <c r="G73" s="382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D74+'26.3'!F74</f>
        <v/>
      </c>
      <c r="G74" s="382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D75+'26.3'!F75</f>
        <v/>
      </c>
      <c r="G75" s="382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D76+'26.3'!F76</f>
        <v/>
      </c>
      <c r="G76" s="382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D77+'26.3'!F77</f>
        <v/>
      </c>
      <c r="G77" s="382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D90+'26.3'!E90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D91+'26.3'!E91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D92+'26.3'!E92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5">
        <f>D93+'26.3'!E93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0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D90+'26.4'!E90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D91+'26.4'!E91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D92+'26.4'!E92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D93+'26.4'!E93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0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D90+'26.5'!E90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D91+'26.5'!E91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D92+'26.5'!E92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D93+'26.5'!E93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0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D90+'26.6'!E90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D91+'26.6'!E91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D92+'26.6'!E92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D93+'26.6'!E93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0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D90+'26.7'!E90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D91+'26.7'!E91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D92+'26.7'!E92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D93+'26.7'!E93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0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D90+'26.8'!E90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D91+'26.8'!E91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D92+'26.8'!E92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D93+'26.8'!E93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0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D90+'26.9'!E90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D91+'26.9'!E91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D92+'26.9'!E92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D93+'26.9'!E93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0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D90+'26.10'!E90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D91+'26.10'!E91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D92+'26.10'!E92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D93+'26.10'!E93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0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D90+'26.11'!E90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D91+'26.11'!E91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D92+'26.11'!E92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D93+'26.11'!E93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2026-02-28T11:36:12Z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