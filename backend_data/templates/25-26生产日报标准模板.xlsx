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展示表1.集团全口径汇总表" sheetId="13" r:id="rId1"/>
    <sheet name="展示表2.分析简报" sheetId="14" r:id="rId2"/>
    <sheet name="展示表3.主城区汇总表" sheetId="15" r:id="rId3"/>
    <sheet name="1.北海热电厂（热电联产）表" sheetId="1" state="hidden" r:id="rId4"/>
    <sheet name="2.北海热电厂（水炉）表" sheetId="2" state="hidden" r:id="rId5"/>
    <sheet name="3.北海热电厂（天然气炉）表" sheetId="3" state="hidden" r:id="rId6"/>
    <sheet name="4.香海热电厂表" sheetId="4" state="hidden" r:id="rId7"/>
    <sheet name="5.供热公司表" sheetId="5" state="hidden" r:id="rId8"/>
    <sheet name="6.供热公司分中心明细表" sheetId="6" state="hidden" r:id="rId9"/>
    <sheet name="7.金州热电表" sheetId="7" state="hidden" r:id="rId10"/>
    <sheet name="8.北方热电表" sheetId="8" state="hidden" r:id="rId11"/>
    <sheet name="9.金普热电表" sheetId="9" state="hidden" r:id="rId12"/>
    <sheet name="10.庄河环海表" sheetId="10" state="hidden" r:id="rId13"/>
    <sheet name="11.研究院表" sheetId="11" state="hidden" r:id="rId14"/>
    <sheet name="12.售电公司表" sheetId="12" state="hidden" r:id="rId15"/>
  </sheets>
  <externalReferences>
    <externalReference r:id="rId16"/>
  </externalReferences>
  <definedNames>
    <definedName name="新">#REF!</definedName>
    <definedName name="引用">#REF!</definedName>
    <definedName name="标煤本期累计">OFFSET([1]※数据中间表!XEV1048562,1,1,1,[1]※数据中间表!XET1048576)</definedName>
    <definedName name="原煤同期累计">OFFSET([1]※数据中间表!XFD1048564,3,1,1,[1]※数据中间表!XFB1048572)</definedName>
    <definedName name="原煤日期">OFFSET([1]※数据中间表!XFD1048565,0,1,1,[1]※数据中间表!XFB1048573)</definedName>
    <definedName name="_2003年9月热用户销售量查询">#REF!</definedName>
    <definedName name="S20191126">#REF!</definedName>
    <definedName name="全部热用户销售量查询">#REF!</definedName>
    <definedName name="热用户表">#REF!</definedName>
    <definedName name="热用户表_查询">#REF!</definedName>
    <definedName name="热用户表阿嗄">#REF!</definedName>
    <definedName name="热用户销售量查询">#REF!</definedName>
    <definedName name="标煤计划累计">OFFSET([1]※数据中间表!XEV1048562,2,1,1,[1]※数据中间表!XET1048576)</definedName>
    <definedName name="原煤本期累计">OFFSET([1]※数据中间表!XFD1048564,1,1,1,[1]※数据中间表!XFB1048572)</definedName>
    <definedName name="标煤日期">OFFSET([1]※数据中间表!XFD1048564,0,1,1,7)</definedName>
    <definedName name="标煤同期累计">OFFSET([1]※数据中间表!XEV1048562,3,1,1,[1]※数据中间表!XET1048576)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<sst xmlns="http://schemas.openxmlformats.org/spreadsheetml/2006/main" count="1216" uniqueCount="160">
  <si>
    <t>日期</t>
  </si>
  <si>
    <t>汇总生产日报</t>
  </si>
  <si>
    <t>经营单位</t>
  </si>
  <si>
    <t>项目</t>
  </si>
  <si>
    <t>计量单位</t>
  </si>
  <si>
    <t>本期</t>
  </si>
  <si>
    <t>同期</t>
  </si>
  <si>
    <t>日差异率</t>
  </si>
  <si>
    <t>本月累计</t>
  </si>
  <si>
    <t>同期月累计</t>
  </si>
  <si>
    <t>月累计差异率</t>
  </si>
  <si>
    <t>25-26供暖期
累计</t>
  </si>
  <si>
    <t>24-25供暖期
累计</t>
  </si>
  <si>
    <t>供暖期
累计差异率</t>
  </si>
  <si>
    <t>集团汇总</t>
  </si>
  <si>
    <t>直接收入</t>
  </si>
  <si>
    <t>万元</t>
  </si>
  <si>
    <t>原煤耗量</t>
  </si>
  <si>
    <t>吨</t>
  </si>
  <si>
    <t>标煤耗量</t>
  </si>
  <si>
    <t>煤成本</t>
  </si>
  <si>
    <t>外购热成本</t>
  </si>
  <si>
    <t>水、电、辅材成本</t>
  </si>
  <si>
    <t>边际利润</t>
  </si>
  <si>
    <t>可比煤价边际利润</t>
  </si>
  <si>
    <t>省市平台服务投诉量</t>
  </si>
  <si>
    <t>件</t>
  </si>
  <si>
    <t>省市平台净投诉量</t>
  </si>
  <si>
    <t>万平方米省市净投诉量</t>
  </si>
  <si>
    <t>件/万㎡</t>
  </si>
  <si>
    <t>主城区</t>
  </si>
  <si>
    <t>金州热电</t>
  </si>
  <si>
    <t>北方热电</t>
  </si>
  <si>
    <t>金普</t>
  </si>
  <si>
    <t>庄河环海</t>
  </si>
  <si>
    <t>研究院</t>
  </si>
  <si>
    <t>外购电量</t>
  </si>
  <si>
    <t>万kWh</t>
  </si>
  <si>
    <t>水、辅材成本</t>
  </si>
  <si>
    <t>生产日报分析简报</t>
  </si>
  <si>
    <t>本日</t>
  </si>
  <si>
    <t>同期日</t>
  </si>
  <si>
    <t>差异率</t>
  </si>
  <si>
    <t>日最高气温</t>
  </si>
  <si>
    <t>℃</t>
  </si>
  <si>
    <t>日最低气温</t>
  </si>
  <si>
    <t>暖收入</t>
  </si>
  <si>
    <t>售电收入</t>
  </si>
  <si>
    <t>售汽收入</t>
  </si>
  <si>
    <t>售高温水收入</t>
  </si>
  <si>
    <t>外购热量</t>
  </si>
  <si>
    <t>GJ</t>
  </si>
  <si>
    <t>购水成本</t>
  </si>
  <si>
    <t>耗水量</t>
  </si>
  <si>
    <t>外购电成本</t>
  </si>
  <si>
    <t>可计量辅材成本</t>
  </si>
  <si>
    <t>其中：省平台净投诉量</t>
  </si>
  <si>
    <t>库存煤量（含港口、在途）</t>
  </si>
  <si>
    <t>供热标煤单耗（燃煤锅炉房）</t>
  </si>
  <si>
    <t>吨/万㎡</t>
  </si>
  <si>
    <t>供暖热单耗</t>
  </si>
  <si>
    <t>GJ/万㎡</t>
  </si>
  <si>
    <t>供暖电单耗</t>
  </si>
  <si>
    <t>kWh/万㎡</t>
  </si>
  <si>
    <t>供暖水单耗</t>
  </si>
  <si>
    <t>运行汽炉数</t>
  </si>
  <si>
    <t>台</t>
  </si>
  <si>
    <t>运行水炉数</t>
  </si>
  <si>
    <t>运行汽轮机数</t>
  </si>
  <si>
    <t>运行燃煤锅炉房锅炉数</t>
  </si>
  <si>
    <t>运行电锅炉数</t>
  </si>
  <si>
    <t>运行热泵数</t>
  </si>
  <si>
    <t>运行简报</t>
  </si>
  <si>
    <t>-</t>
  </si>
  <si>
    <t>主城区生产日报简表</t>
  </si>
  <si>
    <t>供暖期累计
差异率</t>
  </si>
  <si>
    <t>一、主城区汇总</t>
  </si>
  <si>
    <t>二、热源厂</t>
  </si>
  <si>
    <t>供热收入</t>
  </si>
  <si>
    <t>售电量</t>
  </si>
  <si>
    <t>三、供热公司</t>
  </si>
  <si>
    <t>高温水销售量</t>
  </si>
  <si>
    <t>售汽量</t>
  </si>
  <si>
    <t>供暖收费面积</t>
  </si>
  <si>
    <t>万㎡</t>
  </si>
  <si>
    <t>热成本</t>
  </si>
  <si>
    <t>解释说明</t>
  </si>
  <si>
    <t>发电量</t>
  </si>
  <si>
    <t>供热量</t>
  </si>
  <si>
    <t>供汽量</t>
  </si>
  <si>
    <t>其中：电厂耗水量</t>
  </si>
  <si>
    <t>←同“耗水量”指标，不含一次网补水</t>
  </si>
  <si>
    <t>其中：电厂外购电量</t>
  </si>
  <si>
    <t>←同“外购电量”指标</t>
  </si>
  <si>
    <t>耗酸量</t>
  </si>
  <si>
    <t>耗碱量</t>
  </si>
  <si>
    <t>耗油量</t>
  </si>
  <si>
    <t>耗氨水量</t>
  </si>
  <si>
    <t>耗石灰石粉量</t>
  </si>
  <si>
    <t>主设备启停情况</t>
  </si>
  <si>
    <t>0:58#1炉点炉，14:35#1机冲转，18:47并电网；20:35#1机、炉紧急停运，与电网解列；22:40#1炉点炉。</t>
  </si>
  <si>
    <t>←今日及同期的设备启停情况</t>
  </si>
  <si>
    <t>突发情况说明</t>
  </si>
  <si>
    <t>20:35#1机强励动作跳闸；</t>
  </si>
  <si>
    <t>←如有异常状况导致生产波动，请填在本行的解释说明栏中</t>
  </si>
  <si>
    <t>耗天然气量</t>
  </si>
  <si>
    <t>m³</t>
  </si>
  <si>
    <t>运行天然气炉数</t>
  </si>
  <si>
    <t>网口供热量</t>
  </si>
  <si>
    <t>其中：电厂一次网补水量</t>
  </si>
  <si>
    <t>其中：换热站补水量</t>
  </si>
  <si>
    <t>←同“换热站外购电量”指标，不考虑电厂首站耗电</t>
  </si>
  <si>
    <t>其中：换热站外购电量</t>
  </si>
  <si>
    <t>站内耗热量</t>
  </si>
  <si>
    <t>其中：售高温水收入</t>
  </si>
  <si>
    <t>其中：售汽收入</t>
  </si>
  <si>
    <t>当日省市平台服务投诉量</t>
  </si>
  <si>
    <t>当日撤件后净投诉量</t>
  </si>
  <si>
    <t>其中：1.省平台净投诉量</t>
  </si>
  <si>
    <t>其中：2.市平台净投诉量</t>
  </si>
  <si>
    <t>本月累计净投诉量</t>
  </si>
  <si>
    <t>本供暖期累计净投诉量</t>
  </si>
  <si>
    <r>
      <rPr>
        <b/>
        <sz val="12"/>
        <color theme="1"/>
        <rFont val="宋体"/>
        <charset val="134"/>
        <scheme val="minor"/>
      </rPr>
      <t>关于投诉量的指标说明：</t>
    </r>
    <r>
      <rPr>
        <sz val="11"/>
        <color theme="1"/>
        <rFont val="宋体"/>
        <charset val="134"/>
        <scheme val="minor"/>
      </rPr>
      <t xml:space="preserve">
指标名称：投诉量与净投诉量
定义与说明：
</t>
    </r>
    <r>
      <rPr>
        <b/>
        <sz val="11"/>
        <color rgb="FFFF0000"/>
        <rFont val="宋体"/>
        <charset val="134"/>
        <scheme val="minor"/>
      </rPr>
      <t>关注“当期的投诉是否在当期内处理利索”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投诉量：</t>
    </r>
    <r>
      <rPr>
        <sz val="11"/>
        <color theme="1"/>
        <rFont val="宋体"/>
        <charset val="134"/>
        <scheme val="minor"/>
      </rPr>
      <t xml:space="preserve">指在统计期内（当日、当月或整个供暖期），企业在省、市两级投诉平台上收到的投诉总件数，不论是否已撤销。
</t>
    </r>
    <r>
      <rPr>
        <b/>
        <sz val="11"/>
        <color theme="1"/>
        <rFont val="宋体"/>
        <charset val="134"/>
        <scheme val="minor"/>
      </rPr>
      <t>撤件量：</t>
    </r>
    <r>
      <rPr>
        <sz val="11"/>
        <color theme="1"/>
        <rFont val="宋体"/>
        <charset val="134"/>
        <scheme val="minor"/>
      </rPr>
      <t xml:space="preserve">指在统计期内，经有效处置后，被平台正式撤销的投诉件数。
</t>
    </r>
    <r>
      <rPr>
        <b/>
        <sz val="11"/>
        <color theme="1"/>
        <rFont val="宋体"/>
        <charset val="134"/>
        <scheme val="minor"/>
      </rPr>
      <t>净投诉量：</t>
    </r>
    <r>
      <rPr>
        <sz val="11"/>
        <color theme="1"/>
        <rFont val="宋体"/>
        <charset val="134"/>
        <scheme val="minor"/>
      </rPr>
      <t xml:space="preserve">指在统计期内的实际有效投诉量，计算时仅剔除“投诉与撤销发生在同一统计期内”的部分。
计算口径如下：
</t>
    </r>
    <r>
      <rPr>
        <b/>
        <sz val="11"/>
        <color theme="1"/>
        <rFont val="宋体"/>
        <charset val="134"/>
        <scheme val="minor"/>
      </rPr>
      <t>当日净投诉量</t>
    </r>
    <r>
      <rPr>
        <sz val="11"/>
        <color theme="1"/>
        <rFont val="宋体"/>
        <charset val="134"/>
        <scheme val="minor"/>
      </rPr>
      <t xml:space="preserve"> = 当日收到投诉量 − 当日撤销的当日投诉量
</t>
    </r>
    <r>
      <rPr>
        <b/>
        <sz val="11"/>
        <color theme="1"/>
        <rFont val="宋体"/>
        <charset val="134"/>
        <scheme val="minor"/>
      </rPr>
      <t>当月净投诉量</t>
    </r>
    <r>
      <rPr>
        <sz val="11"/>
        <color theme="1"/>
        <rFont val="宋体"/>
        <charset val="134"/>
        <scheme val="minor"/>
      </rPr>
      <t xml:space="preserve"> = 当月收到投诉量 − 当月撤销的当月投诉量
</t>
    </r>
    <r>
      <rPr>
        <b/>
        <sz val="11"/>
        <color theme="1"/>
        <rFont val="宋体"/>
        <charset val="134"/>
        <scheme val="minor"/>
      </rPr>
      <t>供暖期累计净投诉量</t>
    </r>
    <r>
      <rPr>
        <sz val="11"/>
        <color theme="1"/>
        <rFont val="宋体"/>
        <charset val="134"/>
        <scheme val="minor"/>
      </rPr>
      <t xml:space="preserve"> = 供暖期累计投诉量 − 供暖期累计撤件量（不区分投诉发生时间与撤件时间）
</t>
    </r>
    <r>
      <rPr>
        <b/>
        <u/>
        <sz val="11"/>
        <color theme="1"/>
        <rFont val="宋体"/>
        <charset val="134"/>
        <scheme val="minor"/>
      </rPr>
      <t>举例说明</t>
    </r>
    <r>
      <rPr>
        <sz val="11"/>
        <color theme="1"/>
        <rFont val="宋体"/>
        <charset val="134"/>
        <scheme val="minor"/>
      </rPr>
      <t xml:space="preserve">
12月20日收到投诉50件（市平台40、省平台10），当日撤件35件（其中25件为当日投诉、10件为前期投诉）。12月累计投诉300件，当月累计撤件200件，其中180件为撤当月投诉，20件为撤上月投诉。供暖期累计投诉400件，累计撤件240件，则：
当日投诉量 = 50件
当日净投诉量 = 50 − 25 = 25件
市平台净投诉量 = 40 − 25 = 15件
省平台净投诉量 = 10件
本月累计净投诉量 = 300 − 180 = 120件
本供暖期累计净投诉量 = 400 − 240 = 160件（无论撤销的投诉属于哪个月，只要在期内就要剔除）
备注：
除“供暖期累计净投诉量”外，其余各层级净投诉量的计算均须保证“投诉与撤件在同一统计周期内”，否则不得在当期剔除。</t>
    </r>
  </si>
  <si>
    <t>中心</t>
  </si>
  <si>
    <t>华乐中心</t>
  </si>
  <si>
    <t>东港中心</t>
  </si>
  <si>
    <t>春海中心</t>
  </si>
  <si>
    <t>中山中心</t>
  </si>
  <si>
    <t>北岗中心</t>
  </si>
  <si>
    <t>双兴中心</t>
  </si>
  <si>
    <t>香炉礁中心</t>
  </si>
  <si>
    <t>兴工中心</t>
  </si>
  <si>
    <t>大纺中心</t>
  </si>
  <si>
    <t>管网中心</t>
  </si>
  <si>
    <t>比同期少一台汽炉</t>
  </si>
  <si>
    <t>空煤仓上煤</t>
  </si>
  <si>
    <t>←等于下方两子项之和</t>
  </si>
  <si>
    <t>其中：热网补水量</t>
  </si>
  <si>
    <t>14点1号机并列</t>
  </si>
  <si>
    <t>耗石灰石量</t>
  </si>
  <si>
    <t>←同“耗水量”指标</t>
  </si>
  <si>
    <t>耗氧化镁量</t>
  </si>
  <si>
    <t>耗脱硝剂量</t>
  </si>
  <si>
    <t>裕景、一方、北乐、七顶山各启动1台炉，景致启动2台炉</t>
  </si>
  <si>
    <t>运行7台炉</t>
  </si>
  <si>
    <t>14点启19点停</t>
  </si>
  <si>
    <t>——</t>
  </si>
  <si>
    <t>煤种</t>
  </si>
  <si>
    <t>在途煤炭</t>
  </si>
  <si>
    <t>港口存煤</t>
  </si>
  <si>
    <t>厂内存煤</t>
  </si>
  <si>
    <t>备注</t>
  </si>
  <si>
    <t>北海热电厂</t>
  </si>
  <si>
    <t>烟煤</t>
  </si>
  <si>
    <t>厂内国能烟煤：国电32/2522香海424吨借北海电厂场地晾晒(计北海账）</t>
  </si>
  <si>
    <t>褐煤</t>
  </si>
  <si>
    <t>印尼煤</t>
  </si>
  <si>
    <t>香海热电厂</t>
  </si>
  <si>
    <t>港口国能烟煤：国电32/2522：25697.78吨；万航长盛/2506：3048.56吨</t>
  </si>
  <si>
    <t>金普热电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</si>
</sst>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#,##0.0_ "/>
    <numFmt numFmtId="179" formatCode="#,##0_ "/>
    <numFmt numFmtId="180" formatCode="#,##0.00_ "/>
    <numFmt numFmtId="181" formatCode="0.0%"/>
    <numFmt numFmtId="182" formatCode="#,##0.0000_ "/>
  </numFmts>
  <fonts count="3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4"/>
      <color theme="1"/>
      <name val="宋体"/>
      <charset val="134"/>
    </font>
    <font>
      <b/>
      <sz val="11"/>
      <color theme="1"/>
      <name val="宋体"/>
      <charset val="134"/>
    </font>
    <font>
      <b/>
      <sz val="14"/>
      <color rgb="FF000000"/>
      <name val="宋体"/>
      <charset val="134"/>
    </font>
    <font>
      <b/>
      <sz val="16"/>
      <color rgb="FF000000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b/>
      <u/>
      <sz val="11"/>
      <color theme="1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20" applyNumberFormat="0" applyAlignment="0" applyProtection="0">
      <alignment vertical="center"/>
    </xf>
    <xf numFmtId="0" fontId="22" fillId="8" borderId="21" applyNumberFormat="0" applyAlignment="0" applyProtection="0">
      <alignment vertical="center"/>
    </xf>
    <xf numFmtId="0" fontId="23" fillId="8" borderId="20" applyNumberFormat="0" applyAlignment="0" applyProtection="0">
      <alignment vertical="center"/>
    </xf>
    <xf numFmtId="0" fontId="24" fillId="9" borderId="22" applyNumberFormat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center" vertical="center"/>
    </xf>
    <xf numFmtId="180" fontId="3" fillId="0" borderId="1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81" fontId="0" fillId="0" borderId="1" xfId="0" applyNumberFormat="1" applyFill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182" fontId="0" fillId="0" borderId="1" xfId="0" applyNumberForma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left" vertical="top" wrapText="1"/>
    </xf>
    <xf numFmtId="0" fontId="10" fillId="0" borderId="4" xfId="0" applyFont="1" applyFill="1" applyBorder="1" applyAlignment="1">
      <alignment horizontal="left" vertical="top" wrapText="1"/>
    </xf>
    <xf numFmtId="0" fontId="10" fillId="0" borderId="5" xfId="0" applyFont="1" applyFill="1" applyBorder="1" applyAlignment="1">
      <alignment horizontal="left" vertical="top" wrapText="1"/>
    </xf>
    <xf numFmtId="0" fontId="0" fillId="0" borderId="0" xfId="0" applyFill="1" applyAlignment="1">
      <alignment vertical="top"/>
    </xf>
    <xf numFmtId="179" fontId="0" fillId="0" borderId="0" xfId="0" applyNumberFormat="1" applyFill="1" applyBorder="1" applyAlignment="1">
      <alignment horizontal="center" vertical="center"/>
    </xf>
    <xf numFmtId="0" fontId="7" fillId="0" borderId="0" xfId="0" applyFont="1" applyFill="1" applyAlignment="1" applyProtection="1">
      <alignment vertical="center"/>
    </xf>
    <xf numFmtId="0" fontId="7" fillId="0" borderId="0" xfId="0" applyFont="1" applyFill="1" applyAlignment="1" applyProtection="1">
      <alignment horizontal="center" vertical="center"/>
    </xf>
    <xf numFmtId="0" fontId="11" fillId="5" borderId="6" xfId="0" applyFont="1" applyFill="1" applyBorder="1" applyAlignment="1" applyProtection="1">
      <alignment horizontal="center" vertical="center"/>
    </xf>
    <xf numFmtId="0" fontId="11" fillId="5" borderId="7" xfId="0" applyFont="1" applyFill="1" applyBorder="1" applyAlignment="1" applyProtection="1">
      <alignment horizontal="center" vertical="center"/>
    </xf>
    <xf numFmtId="0" fontId="11" fillId="5" borderId="7" xfId="0" applyFont="1" applyFill="1" applyBorder="1" applyAlignment="1" applyProtection="1">
      <alignment horizontal="center" vertical="center" wrapText="1"/>
    </xf>
    <xf numFmtId="0" fontId="11" fillId="5" borderId="8" xfId="0" applyFont="1" applyFill="1" applyBorder="1" applyAlignment="1" applyProtection="1">
      <alignment horizontal="center" vertical="center" wrapText="1"/>
    </xf>
    <xf numFmtId="0" fontId="12" fillId="0" borderId="9" xfId="0" applyFont="1" applyFill="1" applyBorder="1" applyAlignment="1" applyProtection="1">
      <alignment horizontal="center" vertical="center"/>
    </xf>
    <xf numFmtId="0" fontId="12" fillId="0" borderId="2" xfId="0" applyFont="1" applyFill="1" applyBorder="1" applyAlignment="1" applyProtection="1">
      <alignment horizontal="center" vertical="center"/>
    </xf>
    <xf numFmtId="179" fontId="12" fillId="0" borderId="2" xfId="0" applyNumberFormat="1" applyFont="1" applyFill="1" applyBorder="1" applyAlignment="1" applyProtection="1">
      <alignment horizontal="center" vertical="center"/>
    </xf>
    <xf numFmtId="181" fontId="12" fillId="0" borderId="2" xfId="0" applyNumberFormat="1" applyFont="1" applyFill="1" applyBorder="1" applyAlignment="1" applyProtection="1">
      <alignment horizontal="center" vertical="center"/>
    </xf>
    <xf numFmtId="181" fontId="12" fillId="0" borderId="10" xfId="0" applyNumberFormat="1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179" fontId="12" fillId="0" borderId="1" xfId="0" applyNumberFormat="1" applyFont="1" applyFill="1" applyBorder="1" applyAlignment="1" applyProtection="1">
      <alignment horizontal="center" vertical="center"/>
    </xf>
    <xf numFmtId="181" fontId="12" fillId="0" borderId="1" xfId="0" applyNumberFormat="1" applyFont="1" applyFill="1" applyBorder="1" applyAlignment="1" applyProtection="1">
      <alignment horizontal="center" vertical="center"/>
    </xf>
    <xf numFmtId="181" fontId="12" fillId="0" borderId="11" xfId="0" applyNumberFormat="1" applyFont="1" applyFill="1" applyBorder="1" applyAlignment="1" applyProtection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</xf>
    <xf numFmtId="0" fontId="12" fillId="0" borderId="3" xfId="0" applyFont="1" applyFill="1" applyBorder="1" applyAlignment="1" applyProtection="1">
      <alignment horizontal="center" vertical="center"/>
    </xf>
    <xf numFmtId="181" fontId="12" fillId="0" borderId="13" xfId="0" applyNumberFormat="1" applyFont="1" applyFill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</xf>
    <xf numFmtId="182" fontId="12" fillId="0" borderId="15" xfId="0" applyNumberFormat="1" applyFont="1" applyFill="1" applyBorder="1" applyAlignment="1" applyProtection="1">
      <alignment horizontal="center" vertical="center"/>
    </xf>
    <xf numFmtId="181" fontId="12" fillId="0" borderId="15" xfId="0" applyNumberFormat="1" applyFont="1" applyFill="1" applyBorder="1" applyAlignment="1" applyProtection="1">
      <alignment horizontal="center" vertical="center"/>
    </xf>
    <xf numFmtId="181" fontId="12" fillId="0" borderId="16" xfId="0" applyNumberFormat="1" applyFont="1" applyFill="1" applyBorder="1" applyAlignment="1" applyProtection="1">
      <alignment horizontal="center" vertical="center"/>
    </xf>
    <xf numFmtId="180" fontId="12" fillId="0" borderId="2" xfId="0" applyNumberFormat="1" applyFont="1" applyFill="1" applyBorder="1" applyAlignment="1" applyProtection="1">
      <alignment horizontal="center" vertical="center"/>
    </xf>
    <xf numFmtId="180" fontId="12" fillId="0" borderId="1" xfId="0" applyNumberFormat="1" applyFont="1" applyFill="1" applyBorder="1" applyAlignment="1" applyProtection="1">
      <alignment horizontal="center"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w\WPS%20Cloud%20Files\.318532066\cachedata\1C37AE73A4F5412AAFB05FEA0E7DCA0C\2025.3.31%20&#33021;&#28304;&#38598;&#22242;&#29983;&#20135;&#26085;&#2525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仪表盘"/>
      <sheetName val="集团汇总"/>
      <sheetName val="分析简报"/>
      <sheetName val="主城区日报"/>
      <sheetName val="主城区电厂日报"/>
      <sheetName val="※检校表"/>
      <sheetName val="主城区"/>
      <sheetName val="供热中心生产日报"/>
      <sheetName val="金州"/>
      <sheetName val="北方"/>
      <sheetName val="金普"/>
      <sheetName val="临海"/>
      <sheetName val="庄河"/>
      <sheetName val="研究院"/>
      <sheetName val="※数据中间表"/>
      <sheetName val="※数据缓存表"/>
      <sheetName val="※煤炭专项"/>
      <sheetName val="※煤炭日报"/>
      <sheetName val="※其他成本分摊专项"/>
      <sheetName val="历史-天气数据"/>
      <sheetName val="历史-主城区"/>
      <sheetName val="历史-北海汇总"/>
      <sheetName val="历史-北海热电联产"/>
      <sheetName val="历史-北海水炉"/>
      <sheetName val="历史-香海"/>
      <sheetName val="历史-金州"/>
      <sheetName val="历史-北方"/>
      <sheetName val="历史-金普"/>
      <sheetName val="历史-临海"/>
      <sheetName val="历史-庄河"/>
      <sheetName val="本期计划"/>
      <sheetName val="煤量计划"/>
      <sheetName val="历史缓存2024年11月1日"/>
      <sheetName val="历史缓存2024年11月2日"/>
      <sheetName val="历史缓存2024年11月3日"/>
      <sheetName val="历史缓存2024年11月4日"/>
      <sheetName val="历史缓存2024年11月5日"/>
      <sheetName val="历史缓存2024年11月6日"/>
      <sheetName val="历史缓存2024年11月7日"/>
      <sheetName val="历史缓存2024年11月8日"/>
      <sheetName val="历史缓存2024年11月9日"/>
      <sheetName val="历史缓存2024年11月10日"/>
      <sheetName val="历史缓存2024年11月11日"/>
      <sheetName val="历史缓存2024年11月12日"/>
      <sheetName val="历史缓存2024年11月13日"/>
      <sheetName val="历史缓存2024年11月14日"/>
      <sheetName val="历史缓存2024年11月15日"/>
      <sheetName val="历史缓存2024年11月16日"/>
      <sheetName val="历史缓存2024年11月17日"/>
      <sheetName val="历史缓存2024年11月18日"/>
      <sheetName val="历史缓存2024年11月19日"/>
      <sheetName val="历史缓存2024年11月20日"/>
      <sheetName val="历史缓存2024年11月21日"/>
      <sheetName val="历史缓存2024年11月22日"/>
      <sheetName val="历史缓存2024年11月23日"/>
      <sheetName val="历史缓存2024年11月24日"/>
      <sheetName val="历史缓存2024年11月25日"/>
      <sheetName val="历史缓存2024年11月26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75"/>
  <sheetViews>
    <sheetView tabSelected="1" workbookViewId="0">
      <selection activeCell="A1" sqref="A1"/>
    </sheetView>
  </sheetViews>
  <sheetFormatPr defaultColWidth="8.72727272727273" defaultRowHeight="14"/>
  <cols>
    <col min="1" max="1" width="9.90909090909091" customWidth="1"/>
    <col min="2" max="2" width="22.4636363636364" customWidth="1"/>
    <col min="3" max="3" width="10.3909090909091" customWidth="1"/>
    <col min="4" max="12" width="15.0545454545455" customWidth="1"/>
  </cols>
  <sheetData>
    <row r="1" ht="18.25" spans="1:12">
      <c r="A1" s="15" t="s">
        <v>0</v>
      </c>
      <c r="B1" s="52"/>
      <c r="C1" s="52"/>
      <c r="D1" s="52"/>
      <c r="E1" s="52"/>
      <c r="F1" s="53" t="s">
        <v>1</v>
      </c>
      <c r="G1" s="53"/>
      <c r="H1" s="52"/>
      <c r="I1" s="52"/>
      <c r="J1" s="52"/>
      <c r="K1" s="52"/>
      <c r="L1" s="52"/>
    </row>
    <row r="2" ht="32" customHeight="1" spans="1:12">
      <c r="A2" s="54" t="s">
        <v>2</v>
      </c>
      <c r="B2" s="55" t="s">
        <v>3</v>
      </c>
      <c r="C2" s="55" t="s">
        <v>4</v>
      </c>
      <c r="D2" s="55" t="s">
        <v>5</v>
      </c>
      <c r="E2" s="55" t="s">
        <v>6</v>
      </c>
      <c r="F2" s="55" t="s">
        <v>7</v>
      </c>
      <c r="G2" s="55" t="s">
        <v>8</v>
      </c>
      <c r="H2" s="55" t="s">
        <v>9</v>
      </c>
      <c r="I2" s="55" t="s">
        <v>10</v>
      </c>
      <c r="J2" s="56" t="s">
        <v>11</v>
      </c>
      <c r="K2" s="56" t="s">
        <v>12</v>
      </c>
      <c r="L2" s="57" t="s">
        <v>13</v>
      </c>
    </row>
    <row r="3" ht="22.5" customHeight="1" spans="1:12">
      <c r="A3" s="58" t="s">
        <v>14</v>
      </c>
      <c r="B3" s="59" t="s">
        <v>15</v>
      </c>
      <c r="C3" s="59" t="s">
        <v>16</v>
      </c>
      <c r="D3" s="60"/>
      <c r="E3" s="60"/>
      <c r="F3" s="61"/>
      <c r="G3" s="60"/>
      <c r="H3" s="60"/>
      <c r="I3" s="61"/>
      <c r="J3" s="60"/>
      <c r="K3" s="60"/>
      <c r="L3" s="62"/>
    </row>
    <row r="4" ht="22.5" customHeight="1" spans="1:12">
      <c r="A4" s="58"/>
      <c r="B4" s="63" t="s">
        <v>17</v>
      </c>
      <c r="C4" s="63" t="s">
        <v>18</v>
      </c>
      <c r="D4" s="64"/>
      <c r="E4" s="64"/>
      <c r="F4" s="65"/>
      <c r="G4" s="64"/>
      <c r="H4" s="64"/>
      <c r="I4" s="65"/>
      <c r="J4" s="64"/>
      <c r="K4" s="64"/>
      <c r="L4" s="66"/>
    </row>
    <row r="5" ht="22.5" customHeight="1" spans="1:12">
      <c r="A5" s="58"/>
      <c r="B5" s="63" t="s">
        <v>19</v>
      </c>
      <c r="C5" s="63" t="s">
        <v>18</v>
      </c>
      <c r="D5" s="64"/>
      <c r="E5" s="64"/>
      <c r="F5" s="65"/>
      <c r="G5" s="64"/>
      <c r="H5" s="64"/>
      <c r="I5" s="65"/>
      <c r="J5" s="64"/>
      <c r="K5" s="64"/>
      <c r="L5" s="66"/>
    </row>
    <row r="6" ht="22.5" customHeight="1" spans="1:12">
      <c r="A6" s="67"/>
      <c r="B6" s="63" t="s">
        <v>20</v>
      </c>
      <c r="C6" s="68" t="s">
        <v>16</v>
      </c>
      <c r="D6" s="64"/>
      <c r="E6" s="64"/>
      <c r="F6" s="65"/>
      <c r="G6" s="64"/>
      <c r="H6" s="64"/>
      <c r="I6" s="65"/>
      <c r="J6" s="64"/>
      <c r="K6" s="64"/>
      <c r="L6" s="69"/>
    </row>
    <row r="7" ht="22.5" customHeight="1" spans="1:12">
      <c r="A7" s="67"/>
      <c r="B7" s="63" t="s">
        <v>21</v>
      </c>
      <c r="C7" s="68" t="s">
        <v>16</v>
      </c>
      <c r="D7" s="60"/>
      <c r="E7" s="60"/>
      <c r="F7" s="61"/>
      <c r="G7" s="60"/>
      <c r="H7" s="60"/>
      <c r="I7" s="61"/>
      <c r="J7" s="60"/>
      <c r="K7" s="60"/>
      <c r="L7" s="69"/>
    </row>
    <row r="8" ht="22.5" customHeight="1" spans="1:12">
      <c r="A8" s="67"/>
      <c r="B8" s="63" t="s">
        <v>22</v>
      </c>
      <c r="C8" s="63" t="s">
        <v>16</v>
      </c>
      <c r="D8" s="64"/>
      <c r="E8" s="64"/>
      <c r="F8" s="65"/>
      <c r="G8" s="64"/>
      <c r="H8" s="64"/>
      <c r="I8" s="65"/>
      <c r="J8" s="64"/>
      <c r="K8" s="64"/>
      <c r="L8" s="66"/>
    </row>
    <row r="9" ht="22.5" customHeight="1" spans="1:12">
      <c r="A9" s="67"/>
      <c r="B9" s="63" t="s">
        <v>23</v>
      </c>
      <c r="C9" s="63" t="s">
        <v>16</v>
      </c>
      <c r="D9" s="64"/>
      <c r="E9" s="64"/>
      <c r="F9" s="65"/>
      <c r="G9" s="64"/>
      <c r="H9" s="64"/>
      <c r="I9" s="65"/>
      <c r="J9" s="64"/>
      <c r="K9" s="64"/>
      <c r="L9" s="66"/>
    </row>
    <row r="10" ht="22.5" customHeight="1" spans="1:12">
      <c r="A10" s="67"/>
      <c r="B10" s="63" t="s">
        <v>24</v>
      </c>
      <c r="C10" s="63" t="s">
        <v>16</v>
      </c>
      <c r="D10" s="64"/>
      <c r="E10" s="64"/>
      <c r="F10" s="65"/>
      <c r="G10" s="64"/>
      <c r="H10" s="64"/>
      <c r="I10" s="65"/>
      <c r="J10" s="64"/>
      <c r="K10" s="64"/>
      <c r="L10" s="66"/>
    </row>
    <row r="11" ht="22.5" customHeight="1" spans="1:12">
      <c r="A11" s="67"/>
      <c r="B11" s="63" t="s">
        <v>25</v>
      </c>
      <c r="C11" s="63" t="s">
        <v>26</v>
      </c>
      <c r="D11" s="64"/>
      <c r="E11" s="64"/>
      <c r="F11" s="65"/>
      <c r="G11" s="64"/>
      <c r="H11" s="64"/>
      <c r="I11" s="65"/>
      <c r="J11" s="64"/>
      <c r="K11" s="64"/>
      <c r="L11" s="66"/>
    </row>
    <row r="12" ht="22.5" customHeight="1" spans="1:12">
      <c r="A12" s="67"/>
      <c r="B12" s="63" t="s">
        <v>27</v>
      </c>
      <c r="C12" s="63" t="s">
        <v>26</v>
      </c>
      <c r="D12" s="64"/>
      <c r="E12" s="64"/>
      <c r="F12" s="65"/>
      <c r="G12" s="64"/>
      <c r="H12" s="64"/>
      <c r="I12" s="65"/>
      <c r="J12" s="64"/>
      <c r="K12" s="64"/>
      <c r="L12" s="66"/>
    </row>
    <row r="13" ht="22.5" customHeight="1" spans="1:12">
      <c r="A13" s="70"/>
      <c r="B13" s="71" t="s">
        <v>28</v>
      </c>
      <c r="C13" s="71" t="s">
        <v>29</v>
      </c>
      <c r="D13" s="72"/>
      <c r="E13" s="72"/>
      <c r="F13" s="73"/>
      <c r="G13" s="72"/>
      <c r="H13" s="72"/>
      <c r="I13" s="73"/>
      <c r="J13" s="72"/>
      <c r="K13" s="72"/>
      <c r="L13" s="74"/>
    </row>
    <row r="14" ht="22.5" customHeight="1" spans="1:12">
      <c r="A14" s="58" t="s">
        <v>30</v>
      </c>
      <c r="B14" s="59" t="s">
        <v>15</v>
      </c>
      <c r="C14" s="59" t="s">
        <v>16</v>
      </c>
      <c r="D14" s="60"/>
      <c r="E14" s="60"/>
      <c r="F14" s="61"/>
      <c r="G14" s="60"/>
      <c r="H14" s="60"/>
      <c r="I14" s="61"/>
      <c r="J14" s="60"/>
      <c r="K14" s="60"/>
      <c r="L14" s="62"/>
    </row>
    <row r="15" ht="22.5" customHeight="1" spans="1:12">
      <c r="A15" s="58"/>
      <c r="B15" s="63" t="s">
        <v>17</v>
      </c>
      <c r="C15" s="63" t="s">
        <v>18</v>
      </c>
      <c r="D15" s="60"/>
      <c r="E15" s="60"/>
      <c r="F15" s="61"/>
      <c r="G15" s="60"/>
      <c r="H15" s="60"/>
      <c r="I15" s="61"/>
      <c r="J15" s="60"/>
      <c r="K15" s="60"/>
      <c r="L15" s="62"/>
    </row>
    <row r="16" ht="22.5" customHeight="1" spans="1:12">
      <c r="A16" s="58"/>
      <c r="B16" s="63" t="s">
        <v>19</v>
      </c>
      <c r="C16" s="63" t="s">
        <v>18</v>
      </c>
      <c r="D16" s="60"/>
      <c r="E16" s="60"/>
      <c r="F16" s="61"/>
      <c r="G16" s="60"/>
      <c r="H16" s="60"/>
      <c r="I16" s="61"/>
      <c r="J16" s="60"/>
      <c r="K16" s="60"/>
      <c r="L16" s="62"/>
    </row>
    <row r="17" ht="22.5" customHeight="1" spans="1:12">
      <c r="A17" s="67"/>
      <c r="B17" s="63" t="s">
        <v>20</v>
      </c>
      <c r="C17" s="63" t="s">
        <v>16</v>
      </c>
      <c r="D17" s="64"/>
      <c r="E17" s="64"/>
      <c r="F17" s="65"/>
      <c r="G17" s="60"/>
      <c r="H17" s="60"/>
      <c r="I17" s="65"/>
      <c r="J17" s="60"/>
      <c r="K17" s="60"/>
      <c r="L17" s="66"/>
    </row>
    <row r="18" ht="22.5" customHeight="1" spans="1:12">
      <c r="A18" s="67"/>
      <c r="B18" s="63" t="s">
        <v>22</v>
      </c>
      <c r="C18" s="63" t="s">
        <v>16</v>
      </c>
      <c r="D18" s="64"/>
      <c r="E18" s="64"/>
      <c r="F18" s="65"/>
      <c r="G18" s="64"/>
      <c r="H18" s="64"/>
      <c r="I18" s="65"/>
      <c r="J18" s="64"/>
      <c r="K18" s="64"/>
      <c r="L18" s="66"/>
    </row>
    <row r="19" ht="22.5" customHeight="1" spans="1:12">
      <c r="A19" s="67"/>
      <c r="B19" s="63" t="s">
        <v>23</v>
      </c>
      <c r="C19" s="63" t="s">
        <v>16</v>
      </c>
      <c r="D19" s="64"/>
      <c r="E19" s="64"/>
      <c r="F19" s="65"/>
      <c r="G19" s="64"/>
      <c r="H19" s="64"/>
      <c r="I19" s="65"/>
      <c r="J19" s="64"/>
      <c r="K19" s="64"/>
      <c r="L19" s="66"/>
    </row>
    <row r="20" ht="22.5" customHeight="1" spans="1:12">
      <c r="A20" s="67"/>
      <c r="B20" s="63" t="s">
        <v>24</v>
      </c>
      <c r="C20" s="63" t="s">
        <v>16</v>
      </c>
      <c r="D20" s="64"/>
      <c r="E20" s="64"/>
      <c r="F20" s="65"/>
      <c r="G20" s="64"/>
      <c r="H20" s="64"/>
      <c r="I20" s="65"/>
      <c r="J20" s="64"/>
      <c r="K20" s="64"/>
      <c r="L20" s="66"/>
    </row>
    <row r="21" ht="22.5" customHeight="1" spans="1:12">
      <c r="A21" s="67"/>
      <c r="B21" s="63" t="s">
        <v>25</v>
      </c>
      <c r="C21" s="63" t="s">
        <v>26</v>
      </c>
      <c r="D21" s="64"/>
      <c r="E21" s="64"/>
      <c r="F21" s="65"/>
      <c r="G21" s="64"/>
      <c r="H21" s="64"/>
      <c r="I21" s="65"/>
      <c r="J21" s="64"/>
      <c r="K21" s="64"/>
      <c r="L21" s="66"/>
    </row>
    <row r="22" ht="22.5" customHeight="1" spans="1:12">
      <c r="A22" s="67"/>
      <c r="B22" s="63" t="s">
        <v>27</v>
      </c>
      <c r="C22" s="63" t="s">
        <v>26</v>
      </c>
      <c r="D22" s="64"/>
      <c r="E22" s="64"/>
      <c r="F22" s="65"/>
      <c r="G22" s="64"/>
      <c r="H22" s="64"/>
      <c r="I22" s="65"/>
      <c r="J22" s="64"/>
      <c r="K22" s="64"/>
      <c r="L22" s="66"/>
    </row>
    <row r="23" ht="22.5" customHeight="1" spans="1:12">
      <c r="A23" s="70"/>
      <c r="B23" s="71" t="s">
        <v>28</v>
      </c>
      <c r="C23" s="71" t="s">
        <v>29</v>
      </c>
      <c r="D23" s="72"/>
      <c r="E23" s="72"/>
      <c r="F23" s="73"/>
      <c r="G23" s="72"/>
      <c r="H23" s="72"/>
      <c r="I23" s="73"/>
      <c r="J23" s="72"/>
      <c r="K23" s="72"/>
      <c r="L23" s="74"/>
    </row>
    <row r="24" ht="22.5" customHeight="1" spans="1:12">
      <c r="A24" s="58" t="s">
        <v>31</v>
      </c>
      <c r="B24" s="59" t="s">
        <v>15</v>
      </c>
      <c r="C24" s="59" t="s">
        <v>16</v>
      </c>
      <c r="D24" s="60"/>
      <c r="E24" s="60"/>
      <c r="F24" s="61"/>
      <c r="G24" s="60"/>
      <c r="H24" s="60"/>
      <c r="I24" s="61"/>
      <c r="J24" s="60"/>
      <c r="K24" s="60"/>
      <c r="L24" s="62"/>
    </row>
    <row r="25" ht="22.5" customHeight="1" spans="1:12">
      <c r="A25" s="58"/>
      <c r="B25" s="63" t="s">
        <v>17</v>
      </c>
      <c r="C25" s="63" t="s">
        <v>18</v>
      </c>
      <c r="D25" s="60"/>
      <c r="E25" s="60"/>
      <c r="F25" s="61"/>
      <c r="G25" s="60"/>
      <c r="H25" s="60"/>
      <c r="I25" s="61"/>
      <c r="J25" s="60"/>
      <c r="K25" s="60"/>
      <c r="L25" s="62"/>
    </row>
    <row r="26" ht="22.5" customHeight="1" spans="1:12">
      <c r="A26" s="58"/>
      <c r="B26" s="63" t="s">
        <v>19</v>
      </c>
      <c r="C26" s="63" t="s">
        <v>18</v>
      </c>
      <c r="D26" s="60"/>
      <c r="E26" s="60"/>
      <c r="F26" s="61"/>
      <c r="G26" s="60"/>
      <c r="H26" s="60"/>
      <c r="I26" s="61"/>
      <c r="J26" s="60"/>
      <c r="K26" s="60"/>
      <c r="L26" s="62"/>
    </row>
    <row r="27" ht="22.5" customHeight="1" spans="1:12">
      <c r="A27" s="67"/>
      <c r="B27" s="63" t="s">
        <v>20</v>
      </c>
      <c r="C27" s="63" t="s">
        <v>16</v>
      </c>
      <c r="D27" s="64"/>
      <c r="E27" s="64"/>
      <c r="F27" s="65"/>
      <c r="G27" s="64"/>
      <c r="H27" s="64"/>
      <c r="I27" s="65"/>
      <c r="J27" s="64"/>
      <c r="K27" s="64"/>
      <c r="L27" s="66"/>
    </row>
    <row r="28" ht="22.5" customHeight="1" spans="1:12">
      <c r="A28" s="67"/>
      <c r="B28" s="63" t="s">
        <v>22</v>
      </c>
      <c r="C28" s="63" t="s">
        <v>16</v>
      </c>
      <c r="D28" s="64"/>
      <c r="E28" s="64"/>
      <c r="F28" s="65"/>
      <c r="G28" s="64"/>
      <c r="H28" s="64"/>
      <c r="I28" s="65"/>
      <c r="J28" s="64"/>
      <c r="K28" s="64"/>
      <c r="L28" s="66"/>
    </row>
    <row r="29" ht="22.5" customHeight="1" spans="1:12">
      <c r="A29" s="67"/>
      <c r="B29" s="63" t="s">
        <v>23</v>
      </c>
      <c r="C29" s="63" t="s">
        <v>16</v>
      </c>
      <c r="D29" s="64"/>
      <c r="E29" s="64"/>
      <c r="F29" s="65"/>
      <c r="G29" s="64"/>
      <c r="H29" s="64"/>
      <c r="I29" s="65"/>
      <c r="J29" s="64"/>
      <c r="K29" s="64"/>
      <c r="L29" s="66"/>
    </row>
    <row r="30" ht="22.5" customHeight="1" spans="1:12">
      <c r="A30" s="67"/>
      <c r="B30" s="63" t="s">
        <v>24</v>
      </c>
      <c r="C30" s="63" t="s">
        <v>16</v>
      </c>
      <c r="D30" s="64"/>
      <c r="E30" s="64"/>
      <c r="F30" s="65"/>
      <c r="G30" s="64"/>
      <c r="H30" s="64"/>
      <c r="I30" s="65"/>
      <c r="J30" s="64"/>
      <c r="K30" s="64"/>
      <c r="L30" s="66"/>
    </row>
    <row r="31" ht="22.5" customHeight="1" spans="1:12">
      <c r="A31" s="67"/>
      <c r="B31" s="63" t="s">
        <v>25</v>
      </c>
      <c r="C31" s="63" t="s">
        <v>26</v>
      </c>
      <c r="D31" s="64"/>
      <c r="E31" s="64"/>
      <c r="F31" s="65"/>
      <c r="G31" s="64"/>
      <c r="H31" s="64"/>
      <c r="I31" s="65"/>
      <c r="J31" s="64"/>
      <c r="K31" s="64"/>
      <c r="L31" s="66"/>
    </row>
    <row r="32" ht="22.5" customHeight="1" spans="1:12">
      <c r="A32" s="67"/>
      <c r="B32" s="63" t="s">
        <v>27</v>
      </c>
      <c r="C32" s="63" t="s">
        <v>26</v>
      </c>
      <c r="D32" s="64"/>
      <c r="E32" s="64"/>
      <c r="F32" s="65"/>
      <c r="G32" s="64"/>
      <c r="H32" s="64"/>
      <c r="I32" s="65"/>
      <c r="J32" s="64"/>
      <c r="K32" s="64"/>
      <c r="L32" s="66"/>
    </row>
    <row r="33" ht="22.5" customHeight="1" spans="1:12">
      <c r="A33" s="70"/>
      <c r="B33" s="71" t="s">
        <v>28</v>
      </c>
      <c r="C33" s="71" t="s">
        <v>29</v>
      </c>
      <c r="D33" s="72"/>
      <c r="E33" s="72"/>
      <c r="F33" s="73"/>
      <c r="G33" s="72"/>
      <c r="H33" s="72"/>
      <c r="I33" s="73"/>
      <c r="J33" s="72"/>
      <c r="K33" s="72"/>
      <c r="L33" s="74"/>
    </row>
    <row r="34" ht="22.5" customHeight="1" spans="1:12">
      <c r="A34" s="58" t="s">
        <v>32</v>
      </c>
      <c r="B34" s="59" t="s">
        <v>15</v>
      </c>
      <c r="C34" s="59" t="s">
        <v>16</v>
      </c>
      <c r="D34" s="60"/>
      <c r="E34" s="60"/>
      <c r="F34" s="61"/>
      <c r="G34" s="60"/>
      <c r="H34" s="60"/>
      <c r="I34" s="61"/>
      <c r="J34" s="60"/>
      <c r="K34" s="60"/>
      <c r="L34" s="62"/>
    </row>
    <row r="35" ht="22.5" customHeight="1" spans="1:12">
      <c r="A35" s="58"/>
      <c r="B35" s="63" t="s">
        <v>17</v>
      </c>
      <c r="C35" s="63" t="s">
        <v>18</v>
      </c>
      <c r="D35" s="60"/>
      <c r="E35" s="60"/>
      <c r="F35" s="61"/>
      <c r="G35" s="60"/>
      <c r="H35" s="60"/>
      <c r="I35" s="61"/>
      <c r="J35" s="60"/>
      <c r="K35" s="60"/>
      <c r="L35" s="62"/>
    </row>
    <row r="36" ht="22.5" customHeight="1" spans="1:12">
      <c r="A36" s="58"/>
      <c r="B36" s="63" t="s">
        <v>19</v>
      </c>
      <c r="C36" s="63" t="s">
        <v>18</v>
      </c>
      <c r="D36" s="60"/>
      <c r="E36" s="60"/>
      <c r="F36" s="61"/>
      <c r="G36" s="60"/>
      <c r="H36" s="60"/>
      <c r="I36" s="61"/>
      <c r="J36" s="60"/>
      <c r="K36" s="60"/>
      <c r="L36" s="62"/>
    </row>
    <row r="37" ht="22.5" customHeight="1" spans="1:12">
      <c r="A37" s="67"/>
      <c r="B37" s="63" t="s">
        <v>20</v>
      </c>
      <c r="C37" s="63" t="s">
        <v>16</v>
      </c>
      <c r="D37" s="64"/>
      <c r="E37" s="64"/>
      <c r="F37" s="65"/>
      <c r="G37" s="64"/>
      <c r="H37" s="64"/>
      <c r="I37" s="65"/>
      <c r="J37" s="64"/>
      <c r="K37" s="64"/>
      <c r="L37" s="66"/>
    </row>
    <row r="38" ht="22.5" customHeight="1" spans="1:12">
      <c r="A38" s="67"/>
      <c r="B38" s="63" t="s">
        <v>22</v>
      </c>
      <c r="C38" s="63" t="s">
        <v>16</v>
      </c>
      <c r="D38" s="64"/>
      <c r="E38" s="64"/>
      <c r="F38" s="65"/>
      <c r="G38" s="64"/>
      <c r="H38" s="64"/>
      <c r="I38" s="65"/>
      <c r="J38" s="64"/>
      <c r="K38" s="64"/>
      <c r="L38" s="66"/>
    </row>
    <row r="39" ht="22.5" customHeight="1" spans="1:12">
      <c r="A39" s="67"/>
      <c r="B39" s="63" t="s">
        <v>23</v>
      </c>
      <c r="C39" s="63" t="s">
        <v>16</v>
      </c>
      <c r="D39" s="64"/>
      <c r="E39" s="64"/>
      <c r="F39" s="65"/>
      <c r="G39" s="64"/>
      <c r="H39" s="64"/>
      <c r="I39" s="65"/>
      <c r="J39" s="64"/>
      <c r="K39" s="64"/>
      <c r="L39" s="66"/>
    </row>
    <row r="40" ht="22.5" customHeight="1" spans="1:12">
      <c r="A40" s="67"/>
      <c r="B40" s="63" t="s">
        <v>24</v>
      </c>
      <c r="C40" s="63" t="s">
        <v>16</v>
      </c>
      <c r="D40" s="64"/>
      <c r="E40" s="64"/>
      <c r="F40" s="65"/>
      <c r="G40" s="64"/>
      <c r="H40" s="64"/>
      <c r="I40" s="65"/>
      <c r="J40" s="64"/>
      <c r="K40" s="64"/>
      <c r="L40" s="66"/>
    </row>
    <row r="41" ht="22.5" customHeight="1" spans="1:12">
      <c r="A41" s="67"/>
      <c r="B41" s="63" t="s">
        <v>25</v>
      </c>
      <c r="C41" s="63" t="s">
        <v>26</v>
      </c>
      <c r="D41" s="64"/>
      <c r="E41" s="64"/>
      <c r="F41" s="65"/>
      <c r="G41" s="64"/>
      <c r="H41" s="64"/>
      <c r="I41" s="65"/>
      <c r="J41" s="64"/>
      <c r="K41" s="64"/>
      <c r="L41" s="66"/>
    </row>
    <row r="42" ht="22.5" customHeight="1" spans="1:12">
      <c r="A42" s="67"/>
      <c r="B42" s="63" t="s">
        <v>27</v>
      </c>
      <c r="C42" s="63" t="s">
        <v>26</v>
      </c>
      <c r="D42" s="64"/>
      <c r="E42" s="64"/>
      <c r="F42" s="65"/>
      <c r="G42" s="64"/>
      <c r="H42" s="64"/>
      <c r="I42" s="65"/>
      <c r="J42" s="64"/>
      <c r="K42" s="64"/>
      <c r="L42" s="66"/>
    </row>
    <row r="43" ht="22.5" customHeight="1" spans="1:12">
      <c r="A43" s="70"/>
      <c r="B43" s="71" t="s">
        <v>28</v>
      </c>
      <c r="C43" s="71" t="s">
        <v>29</v>
      </c>
      <c r="D43" s="72"/>
      <c r="E43" s="72"/>
      <c r="F43" s="73"/>
      <c r="G43" s="72"/>
      <c r="H43" s="72"/>
      <c r="I43" s="73"/>
      <c r="J43" s="72"/>
      <c r="K43" s="72"/>
      <c r="L43" s="74"/>
    </row>
    <row r="44" ht="22.5" customHeight="1" spans="1:12">
      <c r="A44" s="58" t="s">
        <v>33</v>
      </c>
      <c r="B44" s="59" t="s">
        <v>15</v>
      </c>
      <c r="C44" s="59" t="s">
        <v>16</v>
      </c>
      <c r="D44" s="60"/>
      <c r="E44" s="60"/>
      <c r="F44" s="61"/>
      <c r="G44" s="60"/>
      <c r="H44" s="60"/>
      <c r="I44" s="61"/>
      <c r="J44" s="60"/>
      <c r="K44" s="60"/>
      <c r="L44" s="62"/>
    </row>
    <row r="45" ht="22.5" customHeight="1" spans="1:12">
      <c r="A45" s="58"/>
      <c r="B45" s="63" t="s">
        <v>17</v>
      </c>
      <c r="C45" s="63" t="s">
        <v>18</v>
      </c>
      <c r="D45" s="60"/>
      <c r="E45" s="60"/>
      <c r="F45" s="61"/>
      <c r="G45" s="60"/>
      <c r="H45" s="60"/>
      <c r="I45" s="61"/>
      <c r="J45" s="60"/>
      <c r="K45" s="60"/>
      <c r="L45" s="62"/>
    </row>
    <row r="46" ht="22.5" customHeight="1" spans="1:12">
      <c r="A46" s="58"/>
      <c r="B46" s="63" t="s">
        <v>19</v>
      </c>
      <c r="C46" s="63" t="s">
        <v>18</v>
      </c>
      <c r="D46" s="60"/>
      <c r="E46" s="60"/>
      <c r="F46" s="61"/>
      <c r="G46" s="60"/>
      <c r="H46" s="60"/>
      <c r="I46" s="61"/>
      <c r="J46" s="60"/>
      <c r="K46" s="60"/>
      <c r="L46" s="62"/>
    </row>
    <row r="47" ht="22.5" customHeight="1" spans="1:12">
      <c r="A47" s="67"/>
      <c r="B47" s="63" t="s">
        <v>20</v>
      </c>
      <c r="C47" s="63" t="s">
        <v>16</v>
      </c>
      <c r="D47" s="64"/>
      <c r="E47" s="64"/>
      <c r="F47" s="65"/>
      <c r="G47" s="64"/>
      <c r="H47" s="64"/>
      <c r="I47" s="65"/>
      <c r="J47" s="64"/>
      <c r="K47" s="64"/>
      <c r="L47" s="66"/>
    </row>
    <row r="48" ht="22.5" customHeight="1" spans="1:12">
      <c r="A48" s="67"/>
      <c r="B48" s="63" t="s">
        <v>22</v>
      </c>
      <c r="C48" s="63" t="s">
        <v>16</v>
      </c>
      <c r="D48" s="64"/>
      <c r="E48" s="64"/>
      <c r="F48" s="65"/>
      <c r="G48" s="64"/>
      <c r="H48" s="64"/>
      <c r="I48" s="65"/>
      <c r="J48" s="64"/>
      <c r="K48" s="64"/>
      <c r="L48" s="66"/>
    </row>
    <row r="49" ht="22.5" customHeight="1" spans="1:12">
      <c r="A49" s="67"/>
      <c r="B49" s="63" t="s">
        <v>23</v>
      </c>
      <c r="C49" s="63" t="s">
        <v>16</v>
      </c>
      <c r="D49" s="64"/>
      <c r="E49" s="64"/>
      <c r="F49" s="65"/>
      <c r="G49" s="64"/>
      <c r="H49" s="64"/>
      <c r="I49" s="65"/>
      <c r="J49" s="64"/>
      <c r="K49" s="64"/>
      <c r="L49" s="66"/>
    </row>
    <row r="50" ht="22.5" customHeight="1" spans="1:12">
      <c r="A50" s="67"/>
      <c r="B50" s="63" t="s">
        <v>24</v>
      </c>
      <c r="C50" s="63" t="s">
        <v>16</v>
      </c>
      <c r="D50" s="64"/>
      <c r="E50" s="64"/>
      <c r="F50" s="65"/>
      <c r="G50" s="64"/>
      <c r="H50" s="64"/>
      <c r="I50" s="65"/>
      <c r="J50" s="64"/>
      <c r="K50" s="64"/>
      <c r="L50" s="66"/>
    </row>
    <row r="51" ht="22.5" customHeight="1" spans="1:12">
      <c r="A51" s="67"/>
      <c r="B51" s="63" t="s">
        <v>25</v>
      </c>
      <c r="C51" s="63" t="s">
        <v>26</v>
      </c>
      <c r="D51" s="64"/>
      <c r="E51" s="64"/>
      <c r="F51" s="65"/>
      <c r="G51" s="64"/>
      <c r="H51" s="64"/>
      <c r="I51" s="65"/>
      <c r="J51" s="64"/>
      <c r="K51" s="64"/>
      <c r="L51" s="66"/>
    </row>
    <row r="52" ht="22.5" customHeight="1" spans="1:12">
      <c r="A52" s="67"/>
      <c r="B52" s="63" t="s">
        <v>27</v>
      </c>
      <c r="C52" s="63" t="s">
        <v>26</v>
      </c>
      <c r="D52" s="64"/>
      <c r="E52" s="64"/>
      <c r="F52" s="65"/>
      <c r="G52" s="64"/>
      <c r="H52" s="64"/>
      <c r="I52" s="65"/>
      <c r="J52" s="64"/>
      <c r="K52" s="64"/>
      <c r="L52" s="66"/>
    </row>
    <row r="53" ht="22.5" customHeight="1" spans="1:12">
      <c r="A53" s="70"/>
      <c r="B53" s="71" t="s">
        <v>28</v>
      </c>
      <c r="C53" s="71" t="s">
        <v>29</v>
      </c>
      <c r="D53" s="72"/>
      <c r="E53" s="72"/>
      <c r="F53" s="73"/>
      <c r="G53" s="72"/>
      <c r="H53" s="72"/>
      <c r="I53" s="73"/>
      <c r="J53" s="72"/>
      <c r="K53" s="72"/>
      <c r="L53" s="74"/>
    </row>
    <row r="54" ht="22.5" customHeight="1" spans="1:12">
      <c r="A54" s="58" t="s">
        <v>34</v>
      </c>
      <c r="B54" s="59" t="s">
        <v>15</v>
      </c>
      <c r="C54" s="59" t="s">
        <v>16</v>
      </c>
      <c r="D54" s="60"/>
      <c r="E54" s="60"/>
      <c r="F54" s="61"/>
      <c r="G54" s="60"/>
      <c r="H54" s="60"/>
      <c r="I54" s="61"/>
      <c r="J54" s="60"/>
      <c r="K54" s="60"/>
      <c r="L54" s="62"/>
    </row>
    <row r="55" ht="22.5" customHeight="1" spans="1:12">
      <c r="A55" s="58"/>
      <c r="B55" s="63" t="s">
        <v>17</v>
      </c>
      <c r="C55" s="63" t="s">
        <v>18</v>
      </c>
      <c r="D55" s="60"/>
      <c r="E55" s="60"/>
      <c r="F55" s="61"/>
      <c r="G55" s="60"/>
      <c r="H55" s="60"/>
      <c r="I55" s="61"/>
      <c r="J55" s="60"/>
      <c r="K55" s="60"/>
      <c r="L55" s="62"/>
    </row>
    <row r="56" ht="22.5" customHeight="1" spans="1:12">
      <c r="A56" s="58"/>
      <c r="B56" s="63" t="s">
        <v>19</v>
      </c>
      <c r="C56" s="63" t="s">
        <v>18</v>
      </c>
      <c r="D56" s="60"/>
      <c r="E56" s="60"/>
      <c r="F56" s="61"/>
      <c r="G56" s="60"/>
      <c r="H56" s="60"/>
      <c r="I56" s="61"/>
      <c r="J56" s="60"/>
      <c r="K56" s="60"/>
      <c r="L56" s="62"/>
    </row>
    <row r="57" ht="22.5" customHeight="1" spans="1:12">
      <c r="A57" s="67"/>
      <c r="B57" s="63" t="s">
        <v>20</v>
      </c>
      <c r="C57" s="63" t="s">
        <v>16</v>
      </c>
      <c r="D57" s="64"/>
      <c r="E57" s="64"/>
      <c r="F57" s="65"/>
      <c r="G57" s="64"/>
      <c r="H57" s="64"/>
      <c r="I57" s="65"/>
      <c r="J57" s="64"/>
      <c r="K57" s="64"/>
      <c r="L57" s="66"/>
    </row>
    <row r="58" ht="22.5" customHeight="1" spans="1:12">
      <c r="A58" s="67"/>
      <c r="B58" s="63" t="s">
        <v>21</v>
      </c>
      <c r="C58" s="68" t="s">
        <v>16</v>
      </c>
      <c r="D58" s="60"/>
      <c r="E58" s="60"/>
      <c r="F58" s="61"/>
      <c r="G58" s="60"/>
      <c r="H58" s="60"/>
      <c r="I58" s="61"/>
      <c r="J58" s="60"/>
      <c r="K58" s="60"/>
      <c r="L58" s="69"/>
    </row>
    <row r="59" ht="22.5" customHeight="1" spans="1:12">
      <c r="A59" s="67"/>
      <c r="B59" s="63" t="s">
        <v>22</v>
      </c>
      <c r="C59" s="63" t="s">
        <v>16</v>
      </c>
      <c r="D59" s="64"/>
      <c r="E59" s="64"/>
      <c r="F59" s="65"/>
      <c r="G59" s="64"/>
      <c r="H59" s="64"/>
      <c r="I59" s="65"/>
      <c r="J59" s="64"/>
      <c r="K59" s="64"/>
      <c r="L59" s="66"/>
    </row>
    <row r="60" ht="22.5" customHeight="1" spans="1:12">
      <c r="A60" s="67"/>
      <c r="B60" s="63" t="s">
        <v>23</v>
      </c>
      <c r="C60" s="63" t="s">
        <v>16</v>
      </c>
      <c r="D60" s="64"/>
      <c r="E60" s="64"/>
      <c r="F60" s="65"/>
      <c r="G60" s="64"/>
      <c r="H60" s="64"/>
      <c r="I60" s="65"/>
      <c r="J60" s="64"/>
      <c r="K60" s="64"/>
      <c r="L60" s="66"/>
    </row>
    <row r="61" ht="22.5" customHeight="1" spans="1:12">
      <c r="A61" s="67"/>
      <c r="B61" s="63" t="s">
        <v>24</v>
      </c>
      <c r="C61" s="63" t="s">
        <v>16</v>
      </c>
      <c r="D61" s="64"/>
      <c r="E61" s="64"/>
      <c r="F61" s="65"/>
      <c r="G61" s="64"/>
      <c r="H61" s="64"/>
      <c r="I61" s="65"/>
      <c r="J61" s="64"/>
      <c r="K61" s="64"/>
      <c r="L61" s="66"/>
    </row>
    <row r="62" ht="22.5" customHeight="1" spans="1:12">
      <c r="A62" s="67"/>
      <c r="B62" s="63" t="s">
        <v>25</v>
      </c>
      <c r="C62" s="63" t="s">
        <v>26</v>
      </c>
      <c r="D62" s="64"/>
      <c r="E62" s="64"/>
      <c r="F62" s="65"/>
      <c r="G62" s="64"/>
      <c r="H62" s="64"/>
      <c r="I62" s="65"/>
      <c r="J62" s="64"/>
      <c r="K62" s="64"/>
      <c r="L62" s="66"/>
    </row>
    <row r="63" ht="22.5" customHeight="1" spans="1:12">
      <c r="A63" s="67"/>
      <c r="B63" s="63" t="s">
        <v>27</v>
      </c>
      <c r="C63" s="63" t="s">
        <v>26</v>
      </c>
      <c r="D63" s="64"/>
      <c r="E63" s="64"/>
      <c r="F63" s="65"/>
      <c r="G63" s="64"/>
      <c r="H63" s="64"/>
      <c r="I63" s="65"/>
      <c r="J63" s="64"/>
      <c r="K63" s="64"/>
      <c r="L63" s="66"/>
    </row>
    <row r="64" ht="22.5" customHeight="1" spans="1:12">
      <c r="A64" s="70"/>
      <c r="B64" s="71" t="s">
        <v>28</v>
      </c>
      <c r="C64" s="71" t="s">
        <v>29</v>
      </c>
      <c r="D64" s="72"/>
      <c r="E64" s="72"/>
      <c r="F64" s="73"/>
      <c r="G64" s="72"/>
      <c r="H64" s="72"/>
      <c r="I64" s="73"/>
      <c r="J64" s="72"/>
      <c r="K64" s="72"/>
      <c r="L64" s="74"/>
    </row>
    <row r="65" ht="22.5" customHeight="1" spans="1:12">
      <c r="A65" s="58" t="s">
        <v>35</v>
      </c>
      <c r="B65" s="59" t="s">
        <v>15</v>
      </c>
      <c r="C65" s="59" t="s">
        <v>16</v>
      </c>
      <c r="D65" s="75"/>
      <c r="E65" s="75"/>
      <c r="F65" s="61"/>
      <c r="G65" s="75"/>
      <c r="H65" s="75"/>
      <c r="I65" s="61"/>
      <c r="J65" s="75"/>
      <c r="K65" s="75"/>
      <c r="L65" s="62"/>
    </row>
    <row r="66" ht="22.5" customHeight="1" spans="1:12">
      <c r="A66" s="58"/>
      <c r="B66" s="63" t="s">
        <v>36</v>
      </c>
      <c r="C66" s="63" t="s">
        <v>37</v>
      </c>
      <c r="D66" s="75"/>
      <c r="E66" s="75"/>
      <c r="F66" s="61"/>
      <c r="G66" s="75"/>
      <c r="H66" s="75"/>
      <c r="I66" s="61"/>
      <c r="J66" s="75"/>
      <c r="K66" s="75"/>
      <c r="L66" s="62"/>
    </row>
    <row r="67" ht="22.5" customHeight="1" spans="1:12">
      <c r="A67" s="67"/>
      <c r="B67" s="63" t="s">
        <v>38</v>
      </c>
      <c r="C67" s="63" t="s">
        <v>16</v>
      </c>
      <c r="D67" s="76"/>
      <c r="E67" s="76"/>
      <c r="F67" s="65"/>
      <c r="G67" s="76"/>
      <c r="H67" s="76"/>
      <c r="I67" s="65"/>
      <c r="J67" s="76"/>
      <c r="K67" s="76"/>
      <c r="L67" s="66"/>
    </row>
    <row r="68" ht="22.5" customHeight="1" spans="1:12">
      <c r="A68" s="67"/>
      <c r="B68" s="63" t="s">
        <v>23</v>
      </c>
      <c r="C68" s="63" t="s">
        <v>16</v>
      </c>
      <c r="D68" s="76"/>
      <c r="E68" s="76"/>
      <c r="F68" s="65"/>
      <c r="G68" s="76"/>
      <c r="H68" s="76"/>
      <c r="I68" s="65"/>
      <c r="J68" s="76"/>
      <c r="K68" s="76"/>
      <c r="L68" s="66"/>
    </row>
    <row r="69" ht="22.5" customHeight="1" spans="1:12">
      <c r="A69" s="67"/>
      <c r="B69" s="63" t="s">
        <v>25</v>
      </c>
      <c r="C69" s="63" t="s">
        <v>26</v>
      </c>
      <c r="D69" s="64"/>
      <c r="E69" s="64"/>
      <c r="F69" s="65"/>
      <c r="G69" s="64"/>
      <c r="H69" s="64"/>
      <c r="I69" s="65"/>
      <c r="J69" s="64"/>
      <c r="K69" s="64"/>
      <c r="L69" s="66"/>
    </row>
    <row r="70" ht="22.5" customHeight="1" spans="1:12">
      <c r="A70" s="67"/>
      <c r="B70" s="63" t="s">
        <v>27</v>
      </c>
      <c r="C70" s="63" t="s">
        <v>26</v>
      </c>
      <c r="D70" s="64"/>
      <c r="E70" s="64"/>
      <c r="F70" s="65"/>
      <c r="G70" s="64"/>
      <c r="H70" s="64"/>
      <c r="I70" s="65"/>
      <c r="J70" s="64"/>
      <c r="K70" s="64"/>
      <c r="L70" s="66"/>
    </row>
    <row r="71" ht="22.5" customHeight="1" spans="1:12">
      <c r="A71" s="70"/>
      <c r="B71" s="71" t="s">
        <v>28</v>
      </c>
      <c r="C71" s="71" t="s">
        <v>29</v>
      </c>
      <c r="D71" s="72"/>
      <c r="E71" s="72"/>
      <c r="F71" s="73"/>
      <c r="G71" s="72"/>
      <c r="H71" s="72"/>
      <c r="I71" s="73"/>
      <c r="J71" s="72"/>
      <c r="K71" s="72"/>
      <c r="L71" s="74"/>
    </row>
    <row r="74" spans="1:12">
      <c r="F74" s="77"/>
      <c r="I74" s="77"/>
      <c r="L74" s="77"/>
    </row>
    <row r="75" spans="1:12">
      <c r="F75" s="77"/>
      <c r="I75" s="77"/>
      <c r="L75" s="77"/>
    </row>
  </sheetData>
  <mergeCells count="8">
    <mergeCell ref="F1:G1"/>
    <mergeCell ref="A3:A13"/>
    <mergeCell ref="A14:A23"/>
    <mergeCell ref="A24:A33"/>
    <mergeCell ref="A34:A43"/>
    <mergeCell ref="A44:A53"/>
    <mergeCell ref="A54:A64"/>
    <mergeCell ref="A65:A71"/>
  </mergeCells>
  <pageMargins left="0.511805555555556" right="0.511805555555556" top="0.747916666666667" bottom="0.590277777777778" header="0.5" footer="0.5"/>
  <pageSetup paperSize="8" scale="77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44"/>
  <sheetViews>
    <sheetView zoomScale="85" zoomScaleNormal="85" workbookViewId="0">
      <selection activeCell="A1" sqref="A1"/>
    </sheetView>
  </sheetViews>
  <sheetFormatPr defaultColWidth="8.16363636363636" defaultRowHeight="14"/>
  <cols>
    <col min="1" max="1" width="32.2727272727273" style="32" customWidth="1"/>
    <col min="2" max="2" width="10.2545454545455" style="32" customWidth="1"/>
    <col min="3" max="23" width="11.8363636363636" style="32" customWidth="1"/>
    <col min="24" max="16384" width="8.16363636363636" style="32"/>
  </cols>
  <sheetData>
    <row r="1" s="32" customFormat="1" ht="28" customHeight="1" spans="1:23">
      <c r="A1" s="15" t="s">
        <v>0</v>
      </c>
      <c r="B1" s="33"/>
      <c r="C1" s="33"/>
      <c r="D1" s="33"/>
      <c r="E1" s="33"/>
      <c r="F1" s="33"/>
      <c r="G1" s="33"/>
      <c r="H1" s="33"/>
      <c r="I1" s="34"/>
      <c r="J1" s="35" t="s">
        <v>39</v>
      </c>
      <c r="K1" s="35"/>
      <c r="L1" s="35"/>
      <c r="M1" s="35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="32" customFormat="1" ht="25" customHeight="1" spans="1:23">
      <c r="A2" s="36" t="s">
        <v>3</v>
      </c>
      <c r="B2" s="36" t="s">
        <v>4</v>
      </c>
      <c r="C2" s="36" t="s">
        <v>14</v>
      </c>
      <c r="D2" s="36"/>
      <c r="E2" s="36"/>
      <c r="F2" s="36" t="s">
        <v>30</v>
      </c>
      <c r="G2" s="36"/>
      <c r="H2" s="36"/>
      <c r="I2" s="36" t="s">
        <v>31</v>
      </c>
      <c r="J2" s="36"/>
      <c r="K2" s="36"/>
      <c r="L2" s="36" t="s">
        <v>32</v>
      </c>
      <c r="M2" s="36"/>
      <c r="N2" s="36"/>
      <c r="O2" s="36" t="s">
        <v>33</v>
      </c>
      <c r="P2" s="36"/>
      <c r="Q2" s="36"/>
      <c r="R2" s="36" t="s">
        <v>34</v>
      </c>
      <c r="S2" s="36"/>
      <c r="T2" s="36"/>
      <c r="U2" s="36" t="s">
        <v>35</v>
      </c>
      <c r="V2" s="36"/>
      <c r="W2" s="36"/>
    </row>
    <row r="3" s="32" customFormat="1" ht="25" customHeight="1" spans="1:23">
      <c r="A3" s="36"/>
      <c r="B3" s="36"/>
      <c r="C3" s="36" t="s">
        <v>40</v>
      </c>
      <c r="D3" s="36" t="s">
        <v>41</v>
      </c>
      <c r="E3" s="36" t="s">
        <v>42</v>
      </c>
      <c r="F3" s="36" t="s">
        <v>40</v>
      </c>
      <c r="G3" s="36" t="s">
        <v>41</v>
      </c>
      <c r="H3" s="36" t="s">
        <v>42</v>
      </c>
      <c r="I3" s="36" t="s">
        <v>40</v>
      </c>
      <c r="J3" s="36" t="s">
        <v>41</v>
      </c>
      <c r="K3" s="36" t="s">
        <v>42</v>
      </c>
      <c r="L3" s="36" t="s">
        <v>40</v>
      </c>
      <c r="M3" s="36" t="s">
        <v>41</v>
      </c>
      <c r="N3" s="36" t="s">
        <v>42</v>
      </c>
      <c r="O3" s="36" t="s">
        <v>40</v>
      </c>
      <c r="P3" s="36" t="s">
        <v>41</v>
      </c>
      <c r="Q3" s="36" t="s">
        <v>42</v>
      </c>
      <c r="R3" s="36" t="s">
        <v>40</v>
      </c>
      <c r="S3" s="36" t="s">
        <v>41</v>
      </c>
      <c r="T3" s="36" t="s">
        <v>42</v>
      </c>
      <c r="U3" s="36" t="s">
        <v>40</v>
      </c>
      <c r="V3" s="36" t="s">
        <v>41</v>
      </c>
      <c r="W3" s="36" t="s">
        <v>42</v>
      </c>
    </row>
    <row r="4" s="32" customFormat="1" ht="25" customHeight="1" spans="1:23">
      <c r="A4" s="37" t="s">
        <v>43</v>
      </c>
      <c r="B4" s="37" t="s">
        <v>44</v>
      </c>
      <c r="C4" s="38"/>
      <c r="D4" s="38"/>
      <c r="E4" s="39"/>
      <c r="F4" s="38"/>
      <c r="G4" s="38"/>
      <c r="H4" s="39"/>
      <c r="I4" s="40"/>
      <c r="J4" s="40"/>
      <c r="K4" s="39"/>
      <c r="L4" s="40"/>
      <c r="M4" s="40"/>
      <c r="N4" s="39"/>
      <c r="O4" s="40"/>
      <c r="P4" s="40"/>
      <c r="Q4" s="39"/>
      <c r="R4" s="40"/>
      <c r="S4" s="40"/>
      <c r="T4" s="39"/>
      <c r="U4" s="40"/>
      <c r="V4" s="40"/>
      <c r="W4" s="39"/>
    </row>
    <row r="5" s="32" customFormat="1" ht="25" customHeight="1" spans="1:23">
      <c r="A5" s="37" t="s">
        <v>45</v>
      </c>
      <c r="B5" s="37" t="s">
        <v>44</v>
      </c>
      <c r="C5" s="38"/>
      <c r="D5" s="38"/>
      <c r="E5" s="39"/>
      <c r="F5" s="38"/>
      <c r="G5" s="38"/>
      <c r="H5" s="39"/>
      <c r="I5" s="40"/>
      <c r="J5" s="40"/>
      <c r="K5" s="39"/>
      <c r="L5" s="40"/>
      <c r="M5" s="40"/>
      <c r="N5" s="39"/>
      <c r="O5" s="40"/>
      <c r="P5" s="40"/>
      <c r="Q5" s="39"/>
      <c r="R5" s="40"/>
      <c r="S5" s="40"/>
      <c r="T5" s="39"/>
      <c r="U5" s="40"/>
      <c r="V5" s="40"/>
      <c r="W5" s="39"/>
    </row>
    <row r="6" s="32" customFormat="1" ht="25" customHeight="1" spans="1:23">
      <c r="A6" s="13" t="s">
        <v>15</v>
      </c>
      <c r="B6" s="13" t="s">
        <v>16</v>
      </c>
      <c r="C6" s="41"/>
      <c r="D6" s="41"/>
      <c r="E6" s="39"/>
      <c r="F6" s="41"/>
      <c r="G6" s="41"/>
      <c r="H6" s="39"/>
      <c r="I6" s="41"/>
      <c r="J6" s="41"/>
      <c r="K6" s="39"/>
      <c r="L6" s="41"/>
      <c r="M6" s="41"/>
      <c r="N6" s="39"/>
      <c r="O6" s="41"/>
      <c r="P6" s="41"/>
      <c r="Q6" s="39"/>
      <c r="R6" s="41"/>
      <c r="S6" s="41"/>
      <c r="T6" s="39"/>
      <c r="U6" s="40"/>
      <c r="V6" s="40"/>
      <c r="W6" s="39"/>
    </row>
    <row r="7" s="32" customFormat="1" ht="25" customHeight="1" spans="1:23">
      <c r="A7" s="42" t="s">
        <v>46</v>
      </c>
      <c r="B7" s="13" t="s">
        <v>16</v>
      </c>
      <c r="C7" s="41"/>
      <c r="D7" s="41"/>
      <c r="E7" s="39"/>
      <c r="F7" s="41"/>
      <c r="G7" s="41"/>
      <c r="H7" s="39"/>
      <c r="I7" s="41"/>
      <c r="J7" s="41"/>
      <c r="K7" s="39"/>
      <c r="L7" s="41"/>
      <c r="M7" s="41"/>
      <c r="N7" s="39"/>
      <c r="O7" s="41"/>
      <c r="P7" s="41"/>
      <c r="Q7" s="39"/>
      <c r="R7" s="41"/>
      <c r="S7" s="41"/>
      <c r="T7" s="39"/>
      <c r="U7" s="40"/>
      <c r="V7" s="40"/>
      <c r="W7" s="39"/>
    </row>
    <row r="8" s="32" customFormat="1" ht="25" customHeight="1" spans="1:23">
      <c r="A8" s="42" t="s">
        <v>47</v>
      </c>
      <c r="B8" s="13" t="s">
        <v>16</v>
      </c>
      <c r="C8" s="41"/>
      <c r="D8" s="41"/>
      <c r="E8" s="39"/>
      <c r="F8" s="41"/>
      <c r="G8" s="41"/>
      <c r="H8" s="39"/>
      <c r="I8" s="41"/>
      <c r="J8" s="41"/>
      <c r="K8" s="39"/>
      <c r="L8" s="41"/>
      <c r="M8" s="41"/>
      <c r="N8" s="39"/>
      <c r="O8" s="41"/>
      <c r="P8" s="41"/>
      <c r="Q8" s="39"/>
      <c r="R8" s="41"/>
      <c r="S8" s="41"/>
      <c r="T8" s="39"/>
      <c r="U8" s="41"/>
      <c r="V8" s="41"/>
      <c r="W8" s="39"/>
    </row>
    <row r="9" s="32" customFormat="1" ht="25" customHeight="1" spans="1:23">
      <c r="A9" s="42" t="s">
        <v>48</v>
      </c>
      <c r="B9" s="13" t="s">
        <v>16</v>
      </c>
      <c r="C9" s="41"/>
      <c r="D9" s="41"/>
      <c r="E9" s="39"/>
      <c r="F9" s="41"/>
      <c r="G9" s="41"/>
      <c r="H9" s="39"/>
      <c r="I9" s="41"/>
      <c r="J9" s="41"/>
      <c r="K9" s="39"/>
      <c r="L9" s="41"/>
      <c r="M9" s="41"/>
      <c r="N9" s="39"/>
      <c r="O9" s="41"/>
      <c r="P9" s="41"/>
      <c r="Q9" s="39"/>
      <c r="R9" s="41"/>
      <c r="S9" s="41"/>
      <c r="T9" s="39"/>
      <c r="U9" s="41"/>
      <c r="V9" s="41"/>
      <c r="W9" s="39"/>
    </row>
    <row r="10" s="32" customFormat="1" ht="25" customHeight="1" spans="1:23">
      <c r="A10" s="42" t="s">
        <v>49</v>
      </c>
      <c r="B10" s="13" t="s">
        <v>16</v>
      </c>
      <c r="C10" s="41"/>
      <c r="D10" s="41"/>
      <c r="E10" s="39"/>
      <c r="F10" s="41"/>
      <c r="G10" s="41"/>
      <c r="H10" s="39"/>
      <c r="I10" s="41"/>
      <c r="J10" s="41"/>
      <c r="K10" s="39"/>
      <c r="L10" s="41"/>
      <c r="M10" s="41"/>
      <c r="N10" s="39"/>
      <c r="O10" s="41"/>
      <c r="P10" s="41"/>
      <c r="Q10" s="39"/>
      <c r="R10" s="41"/>
      <c r="S10" s="41"/>
      <c r="T10" s="39"/>
      <c r="U10" s="41"/>
      <c r="V10" s="41"/>
      <c r="W10" s="39"/>
    </row>
    <row r="11" s="32" customFormat="1" ht="25" customHeight="1" spans="1:23">
      <c r="A11" s="43" t="s">
        <v>20</v>
      </c>
      <c r="B11" s="13" t="s">
        <v>16</v>
      </c>
      <c r="C11" s="41"/>
      <c r="D11" s="41"/>
      <c r="E11" s="39"/>
      <c r="F11" s="41"/>
      <c r="G11" s="41"/>
      <c r="H11" s="39"/>
      <c r="I11" s="41"/>
      <c r="J11" s="41"/>
      <c r="K11" s="39"/>
      <c r="L11" s="41"/>
      <c r="M11" s="41"/>
      <c r="N11" s="39"/>
      <c r="O11" s="41"/>
      <c r="P11" s="41"/>
      <c r="Q11" s="39"/>
      <c r="R11" s="41"/>
      <c r="S11" s="41"/>
      <c r="T11" s="39"/>
      <c r="U11" s="40"/>
      <c r="V11" s="40"/>
      <c r="W11" s="39"/>
    </row>
    <row r="12" s="32" customFormat="1" ht="25" customHeight="1" spans="1:23">
      <c r="A12" s="42" t="s">
        <v>17</v>
      </c>
      <c r="B12" s="13" t="s">
        <v>18</v>
      </c>
      <c r="C12" s="41"/>
      <c r="D12" s="41"/>
      <c r="E12" s="39"/>
      <c r="F12" s="41"/>
      <c r="G12" s="41"/>
      <c r="H12" s="39"/>
      <c r="I12" s="41"/>
      <c r="J12" s="41"/>
      <c r="K12" s="39"/>
      <c r="L12" s="41"/>
      <c r="M12" s="41"/>
      <c r="N12" s="39"/>
      <c r="O12" s="41"/>
      <c r="P12" s="41"/>
      <c r="Q12" s="39"/>
      <c r="R12" s="41"/>
      <c r="S12" s="41"/>
      <c r="T12" s="39"/>
      <c r="U12" s="41"/>
      <c r="V12" s="41"/>
      <c r="W12" s="39"/>
    </row>
    <row r="13" s="32" customFormat="1" ht="25" customHeight="1" spans="1:23">
      <c r="A13" s="42" t="s">
        <v>19</v>
      </c>
      <c r="B13" s="13" t="s">
        <v>18</v>
      </c>
      <c r="C13" s="41"/>
      <c r="D13" s="41"/>
      <c r="E13" s="39"/>
      <c r="F13" s="41"/>
      <c r="G13" s="41"/>
      <c r="H13" s="39"/>
      <c r="I13" s="41"/>
      <c r="J13" s="41"/>
      <c r="K13" s="39"/>
      <c r="L13" s="41"/>
      <c r="M13" s="41"/>
      <c r="N13" s="39"/>
      <c r="O13" s="41"/>
      <c r="P13" s="41"/>
      <c r="Q13" s="39"/>
      <c r="R13" s="41"/>
      <c r="S13" s="41"/>
      <c r="T13" s="39"/>
      <c r="U13" s="41"/>
      <c r="V13" s="41"/>
      <c r="W13" s="39"/>
    </row>
    <row r="14" s="32" customFormat="1" ht="25" customHeight="1" spans="1:23">
      <c r="A14" s="13" t="s">
        <v>21</v>
      </c>
      <c r="B14" s="13" t="s">
        <v>16</v>
      </c>
      <c r="C14" s="41"/>
      <c r="D14" s="41"/>
      <c r="E14" s="39"/>
      <c r="F14" s="41"/>
      <c r="G14" s="41"/>
      <c r="H14" s="39"/>
      <c r="I14" s="41"/>
      <c r="J14" s="41"/>
      <c r="K14" s="39"/>
      <c r="L14" s="41"/>
      <c r="M14" s="41"/>
      <c r="N14" s="39"/>
      <c r="O14" s="41"/>
      <c r="P14" s="41"/>
      <c r="Q14" s="39"/>
      <c r="R14" s="41"/>
      <c r="S14" s="41"/>
      <c r="T14" s="39"/>
      <c r="U14" s="41"/>
      <c r="V14" s="41"/>
      <c r="W14" s="39"/>
    </row>
    <row r="15" s="32" customFormat="1" ht="25" customHeight="1" spans="1:23">
      <c r="A15" s="42" t="s">
        <v>50</v>
      </c>
      <c r="B15" s="13" t="s">
        <v>51</v>
      </c>
      <c r="C15" s="41"/>
      <c r="D15" s="41"/>
      <c r="E15" s="39"/>
      <c r="F15" s="41"/>
      <c r="G15" s="41"/>
      <c r="H15" s="39"/>
      <c r="I15" s="41"/>
      <c r="J15" s="41"/>
      <c r="K15" s="39"/>
      <c r="L15" s="41"/>
      <c r="M15" s="41"/>
      <c r="N15" s="39"/>
      <c r="O15" s="41"/>
      <c r="P15" s="41"/>
      <c r="Q15" s="39"/>
      <c r="R15" s="41"/>
      <c r="S15" s="41"/>
      <c r="T15" s="39"/>
      <c r="U15" s="41"/>
      <c r="V15" s="41"/>
      <c r="W15" s="39"/>
    </row>
    <row r="16" s="32" customFormat="1" ht="25" customHeight="1" spans="1:23">
      <c r="A16" s="13" t="s">
        <v>52</v>
      </c>
      <c r="B16" s="13" t="s">
        <v>16</v>
      </c>
      <c r="C16" s="41"/>
      <c r="D16" s="41"/>
      <c r="E16" s="39"/>
      <c r="F16" s="41"/>
      <c r="G16" s="41"/>
      <c r="H16" s="39"/>
      <c r="I16" s="41"/>
      <c r="J16" s="41"/>
      <c r="K16" s="39"/>
      <c r="L16" s="41"/>
      <c r="M16" s="41"/>
      <c r="N16" s="39"/>
      <c r="O16" s="41"/>
      <c r="P16" s="41"/>
      <c r="Q16" s="39"/>
      <c r="R16" s="41"/>
      <c r="S16" s="41"/>
      <c r="T16" s="39"/>
      <c r="U16" s="41"/>
      <c r="V16" s="41"/>
      <c r="W16" s="39"/>
    </row>
    <row r="17" s="32" customFormat="1" ht="25" customHeight="1" spans="1:23">
      <c r="A17" s="42" t="s">
        <v>53</v>
      </c>
      <c r="B17" s="13" t="s">
        <v>18</v>
      </c>
      <c r="C17" s="41"/>
      <c r="D17" s="41"/>
      <c r="E17" s="39"/>
      <c r="F17" s="41"/>
      <c r="G17" s="41"/>
      <c r="H17" s="39"/>
      <c r="I17" s="41"/>
      <c r="J17" s="41"/>
      <c r="K17" s="39"/>
      <c r="L17" s="41"/>
      <c r="M17" s="41"/>
      <c r="N17" s="39"/>
      <c r="O17" s="41"/>
      <c r="P17" s="41"/>
      <c r="Q17" s="39"/>
      <c r="R17" s="41"/>
      <c r="S17" s="41"/>
      <c r="T17" s="39"/>
      <c r="U17" s="41"/>
      <c r="V17" s="41"/>
      <c r="W17" s="39"/>
    </row>
    <row r="18" s="32" customFormat="1" ht="25" customHeight="1" spans="1:23">
      <c r="A18" s="13" t="s">
        <v>54</v>
      </c>
      <c r="B18" s="13" t="s">
        <v>16</v>
      </c>
      <c r="C18" s="41"/>
      <c r="D18" s="41"/>
      <c r="E18" s="39"/>
      <c r="F18" s="41"/>
      <c r="G18" s="41"/>
      <c r="H18" s="39"/>
      <c r="I18" s="41"/>
      <c r="J18" s="41"/>
      <c r="K18" s="39"/>
      <c r="L18" s="41"/>
      <c r="M18" s="41"/>
      <c r="N18" s="39"/>
      <c r="O18" s="41"/>
      <c r="P18" s="41"/>
      <c r="Q18" s="39"/>
      <c r="R18" s="41"/>
      <c r="S18" s="41"/>
      <c r="T18" s="39"/>
      <c r="U18" s="41"/>
      <c r="V18" s="41"/>
      <c r="W18" s="39"/>
    </row>
    <row r="19" s="32" customFormat="1" ht="25" customHeight="1" spans="1:23">
      <c r="A19" s="42" t="s">
        <v>36</v>
      </c>
      <c r="B19" s="13" t="s">
        <v>37</v>
      </c>
      <c r="C19" s="41"/>
      <c r="D19" s="41"/>
      <c r="E19" s="39"/>
      <c r="F19" s="41"/>
      <c r="G19" s="41"/>
      <c r="H19" s="39"/>
      <c r="I19" s="41"/>
      <c r="J19" s="41"/>
      <c r="K19" s="39"/>
      <c r="L19" s="41"/>
      <c r="M19" s="41"/>
      <c r="N19" s="39"/>
      <c r="O19" s="41"/>
      <c r="P19" s="41"/>
      <c r="Q19" s="39"/>
      <c r="R19" s="41"/>
      <c r="S19" s="41"/>
      <c r="T19" s="39"/>
      <c r="U19" s="41"/>
      <c r="V19" s="41"/>
      <c r="W19" s="39"/>
    </row>
    <row r="20" s="32" customFormat="1" ht="25" customHeight="1" spans="1:23">
      <c r="A20" s="13" t="s">
        <v>55</v>
      </c>
      <c r="B20" s="13" t="s">
        <v>16</v>
      </c>
      <c r="C20" s="41"/>
      <c r="D20" s="41"/>
      <c r="E20" s="39"/>
      <c r="F20" s="41"/>
      <c r="G20" s="41"/>
      <c r="H20" s="39"/>
      <c r="I20" s="41"/>
      <c r="J20" s="41"/>
      <c r="K20" s="39"/>
      <c r="L20" s="41"/>
      <c r="M20" s="41"/>
      <c r="N20" s="39"/>
      <c r="O20" s="41"/>
      <c r="P20" s="41"/>
      <c r="Q20" s="39"/>
      <c r="R20" s="41"/>
      <c r="S20" s="41"/>
      <c r="T20" s="39"/>
      <c r="U20" s="40"/>
      <c r="V20" s="40"/>
      <c r="W20" s="39"/>
    </row>
    <row r="21" s="32" customFormat="1" ht="25" customHeight="1" spans="1:23">
      <c r="A21" s="13" t="s">
        <v>23</v>
      </c>
      <c r="B21" s="13" t="s">
        <v>16</v>
      </c>
      <c r="C21" s="41"/>
      <c r="D21" s="41"/>
      <c r="E21" s="39"/>
      <c r="F21" s="41"/>
      <c r="G21" s="41"/>
      <c r="H21" s="39"/>
      <c r="I21" s="41"/>
      <c r="J21" s="41"/>
      <c r="K21" s="39"/>
      <c r="L21" s="41"/>
      <c r="M21" s="41"/>
      <c r="N21" s="39"/>
      <c r="O21" s="41"/>
      <c r="P21" s="41"/>
      <c r="Q21" s="39"/>
      <c r="R21" s="41"/>
      <c r="S21" s="41"/>
      <c r="T21" s="39"/>
      <c r="U21" s="40"/>
      <c r="V21" s="40"/>
      <c r="W21" s="39"/>
    </row>
    <row r="22" s="32" customFormat="1" ht="25" customHeight="1" spans="1:23">
      <c r="A22" s="13" t="s">
        <v>24</v>
      </c>
      <c r="B22" s="13" t="s">
        <v>16</v>
      </c>
      <c r="C22" s="41"/>
      <c r="D22" s="41"/>
      <c r="E22" s="39"/>
      <c r="F22" s="41"/>
      <c r="G22" s="41"/>
      <c r="H22" s="39"/>
      <c r="I22" s="41"/>
      <c r="J22" s="41"/>
      <c r="K22" s="39"/>
      <c r="L22" s="41"/>
      <c r="M22" s="41"/>
      <c r="N22" s="39"/>
      <c r="O22" s="41"/>
      <c r="P22" s="41"/>
      <c r="Q22" s="39"/>
      <c r="R22" s="41"/>
      <c r="S22" s="41"/>
      <c r="T22" s="39"/>
      <c r="U22" s="40"/>
      <c r="V22" s="40"/>
      <c r="W22" s="39"/>
    </row>
    <row r="23" s="32" customFormat="1" ht="25" customHeight="1" spans="1:23">
      <c r="A23" s="13" t="s">
        <v>27</v>
      </c>
      <c r="B23" s="13" t="s">
        <v>26</v>
      </c>
      <c r="C23" s="41"/>
      <c r="D23" s="41"/>
      <c r="E23" s="39"/>
      <c r="F23" s="41"/>
      <c r="G23" s="41"/>
      <c r="H23" s="39"/>
      <c r="I23" s="41"/>
      <c r="J23" s="41"/>
      <c r="K23" s="39"/>
      <c r="L23" s="41"/>
      <c r="M23" s="41"/>
      <c r="N23" s="39"/>
      <c r="O23" s="41"/>
      <c r="P23" s="41"/>
      <c r="Q23" s="39"/>
      <c r="R23" s="41"/>
      <c r="S23" s="41"/>
      <c r="T23" s="39"/>
      <c r="U23" s="41"/>
      <c r="V23" s="41"/>
      <c r="W23" s="39"/>
    </row>
    <row r="24" s="32" customFormat="1" ht="25" customHeight="1" spans="1:23">
      <c r="A24" s="42" t="s">
        <v>56</v>
      </c>
      <c r="B24" s="13" t="s">
        <v>26</v>
      </c>
      <c r="C24" s="41"/>
      <c r="D24" s="41"/>
      <c r="E24" s="39"/>
      <c r="F24" s="41"/>
      <c r="G24" s="41"/>
      <c r="H24" s="39"/>
      <c r="I24" s="41"/>
      <c r="J24" s="41"/>
      <c r="K24" s="39"/>
      <c r="L24" s="41"/>
      <c r="M24" s="41"/>
      <c r="N24" s="39"/>
      <c r="O24" s="41"/>
      <c r="P24" s="41"/>
      <c r="Q24" s="39"/>
      <c r="R24" s="41"/>
      <c r="S24" s="41"/>
      <c r="T24" s="39"/>
      <c r="U24" s="41"/>
      <c r="V24" s="41"/>
      <c r="W24" s="39"/>
    </row>
    <row r="25" s="32" customFormat="1" ht="25" customHeight="1" spans="1:23">
      <c r="A25" s="13" t="s">
        <v>28</v>
      </c>
      <c r="B25" s="13" t="s">
        <v>29</v>
      </c>
      <c r="C25" s="44"/>
      <c r="D25" s="44"/>
      <c r="E25" s="39"/>
      <c r="F25" s="41"/>
      <c r="G25" s="41"/>
      <c r="H25" s="39"/>
      <c r="I25" s="41"/>
      <c r="J25" s="41"/>
      <c r="K25" s="39"/>
      <c r="L25" s="41"/>
      <c r="M25" s="41"/>
      <c r="N25" s="39"/>
      <c r="O25" s="41"/>
      <c r="P25" s="41"/>
      <c r="Q25" s="39"/>
      <c r="R25" s="41"/>
      <c r="S25" s="41"/>
      <c r="T25" s="39"/>
      <c r="U25" s="41"/>
      <c r="V25" s="41"/>
      <c r="W25" s="39"/>
    </row>
    <row r="26" s="32" customFormat="1" ht="25" customHeight="1" spans="1:23">
      <c r="A26" s="13" t="s">
        <v>57</v>
      </c>
      <c r="B26" s="13" t="s">
        <v>18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="32" customFormat="1" ht="25" customHeight="1" spans="1:23">
      <c r="A27" s="13" t="s">
        <v>58</v>
      </c>
      <c r="B27" s="13" t="s">
        <v>59</v>
      </c>
      <c r="C27" s="40"/>
      <c r="D27" s="40"/>
      <c r="E27" s="39"/>
      <c r="F27" s="41"/>
      <c r="G27" s="41"/>
      <c r="H27" s="39"/>
      <c r="I27" s="41"/>
      <c r="J27" s="41"/>
      <c r="K27" s="39"/>
      <c r="L27" s="41"/>
      <c r="M27" s="41"/>
      <c r="N27" s="39"/>
      <c r="O27" s="40"/>
      <c r="P27" s="40"/>
      <c r="Q27" s="39"/>
      <c r="R27" s="40"/>
      <c r="S27" s="40"/>
      <c r="T27" s="39"/>
      <c r="U27" s="41"/>
      <c r="V27" s="41"/>
      <c r="W27" s="41"/>
    </row>
    <row r="28" s="32" customFormat="1" ht="25" customHeight="1" spans="1:23">
      <c r="A28" s="13" t="s">
        <v>60</v>
      </c>
      <c r="B28" s="13" t="s">
        <v>61</v>
      </c>
      <c r="C28" s="40"/>
      <c r="D28" s="40"/>
      <c r="E28" s="39"/>
      <c r="F28" s="40"/>
      <c r="G28" s="40"/>
      <c r="H28" s="39"/>
      <c r="I28" s="40"/>
      <c r="J28" s="40"/>
      <c r="K28" s="39"/>
      <c r="L28" s="40"/>
      <c r="M28" s="40"/>
      <c r="N28" s="39"/>
      <c r="O28" s="39"/>
      <c r="P28" s="39"/>
      <c r="Q28" s="39"/>
      <c r="R28" s="40"/>
      <c r="S28" s="40"/>
      <c r="T28" s="39"/>
      <c r="U28" s="40"/>
      <c r="V28" s="40"/>
      <c r="W28" s="39"/>
    </row>
    <row r="29" s="32" customFormat="1" ht="25" customHeight="1" spans="1:23">
      <c r="A29" s="13" t="s">
        <v>62</v>
      </c>
      <c r="B29" s="13" t="s">
        <v>63</v>
      </c>
      <c r="C29" s="40"/>
      <c r="D29" s="40"/>
      <c r="E29" s="39"/>
      <c r="F29" s="40"/>
      <c r="G29" s="40"/>
      <c r="H29" s="39"/>
      <c r="I29" s="40"/>
      <c r="J29" s="40"/>
      <c r="K29" s="39"/>
      <c r="L29" s="40"/>
      <c r="M29" s="40"/>
      <c r="N29" s="39"/>
      <c r="O29" s="40"/>
      <c r="P29" s="40"/>
      <c r="Q29" s="39"/>
      <c r="R29" s="40"/>
      <c r="S29" s="40"/>
      <c r="T29" s="39"/>
      <c r="U29" s="40"/>
      <c r="V29" s="40"/>
      <c r="W29" s="39"/>
    </row>
    <row r="30" s="32" customFormat="1" ht="25" customHeight="1" spans="1:23">
      <c r="A30" s="13" t="s">
        <v>64</v>
      </c>
      <c r="B30" s="13" t="s">
        <v>59</v>
      </c>
      <c r="C30" s="40"/>
      <c r="D30" s="40"/>
      <c r="E30" s="39"/>
      <c r="F30" s="40"/>
      <c r="G30" s="40"/>
      <c r="H30" s="39"/>
      <c r="I30" s="40"/>
      <c r="J30" s="40"/>
      <c r="K30" s="39"/>
      <c r="L30" s="40"/>
      <c r="M30" s="40"/>
      <c r="N30" s="39"/>
      <c r="O30" s="40"/>
      <c r="P30" s="40"/>
      <c r="Q30" s="39"/>
      <c r="R30" s="40"/>
      <c r="S30" s="40"/>
      <c r="T30" s="39"/>
      <c r="U30" s="40"/>
      <c r="V30" s="40"/>
      <c r="W30" s="39"/>
    </row>
    <row r="31" s="32" customFormat="1" ht="25" customHeight="1" spans="1:23">
      <c r="A31" s="37" t="s">
        <v>65</v>
      </c>
      <c r="B31" s="37" t="s">
        <v>66</v>
      </c>
      <c r="C31" s="41"/>
      <c r="D31" s="41"/>
      <c r="E31" s="39"/>
      <c r="F31" s="41"/>
      <c r="G31" s="41"/>
      <c r="H31" s="39"/>
      <c r="I31" s="41"/>
      <c r="J31" s="41"/>
      <c r="K31" s="39"/>
      <c r="L31" s="41"/>
      <c r="M31" s="41"/>
      <c r="N31" s="39"/>
      <c r="O31" s="41"/>
      <c r="P31" s="41"/>
      <c r="Q31" s="39"/>
      <c r="R31" s="41"/>
      <c r="S31" s="41"/>
      <c r="T31" s="39"/>
      <c r="U31" s="41"/>
      <c r="V31" s="41"/>
      <c r="W31" s="39"/>
    </row>
    <row r="32" s="32" customFormat="1" ht="25" customHeight="1" spans="1:23">
      <c r="A32" s="37" t="s">
        <v>67</v>
      </c>
      <c r="B32" s="37" t="s">
        <v>66</v>
      </c>
      <c r="C32" s="41"/>
      <c r="D32" s="41"/>
      <c r="E32" s="39"/>
      <c r="F32" s="41"/>
      <c r="G32" s="41"/>
      <c r="H32" s="39"/>
      <c r="I32" s="41"/>
      <c r="J32" s="41"/>
      <c r="K32" s="39"/>
      <c r="L32" s="41"/>
      <c r="M32" s="41"/>
      <c r="N32" s="39"/>
      <c r="O32" s="41"/>
      <c r="P32" s="41"/>
      <c r="Q32" s="39"/>
      <c r="R32" s="41"/>
      <c r="S32" s="41"/>
      <c r="T32" s="39"/>
      <c r="U32" s="41"/>
      <c r="V32" s="41"/>
      <c r="W32" s="39"/>
    </row>
    <row r="33" s="32" customFormat="1" ht="25" customHeight="1" spans="1:23">
      <c r="A33" s="37" t="s">
        <v>68</v>
      </c>
      <c r="B33" s="37" t="s">
        <v>66</v>
      </c>
      <c r="C33" s="41"/>
      <c r="D33" s="41"/>
      <c r="E33" s="39"/>
      <c r="F33" s="41"/>
      <c r="G33" s="41"/>
      <c r="H33" s="39"/>
      <c r="I33" s="41"/>
      <c r="J33" s="41"/>
      <c r="K33" s="39"/>
      <c r="L33" s="41"/>
      <c r="M33" s="41"/>
      <c r="N33" s="39"/>
      <c r="O33" s="41"/>
      <c r="P33" s="41"/>
      <c r="Q33" s="39"/>
      <c r="R33" s="41"/>
      <c r="S33" s="41"/>
      <c r="T33" s="39"/>
      <c r="U33" s="41"/>
      <c r="V33" s="41"/>
      <c r="W33" s="39"/>
    </row>
    <row r="34" s="32" customFormat="1" ht="25" customHeight="1" spans="1:23">
      <c r="A34" s="37" t="s">
        <v>69</v>
      </c>
      <c r="B34" s="37" t="s">
        <v>66</v>
      </c>
      <c r="C34" s="41"/>
      <c r="D34" s="41"/>
      <c r="E34" s="39"/>
      <c r="F34" s="41"/>
      <c r="G34" s="41"/>
      <c r="H34" s="39"/>
      <c r="I34" s="41"/>
      <c r="J34" s="41"/>
      <c r="K34" s="39"/>
      <c r="L34" s="41"/>
      <c r="M34" s="41"/>
      <c r="N34" s="39"/>
      <c r="O34" s="41"/>
      <c r="P34" s="41"/>
      <c r="Q34" s="39"/>
      <c r="R34" s="41"/>
      <c r="S34" s="41"/>
      <c r="T34" s="39"/>
      <c r="U34" s="41"/>
      <c r="V34" s="41"/>
      <c r="W34" s="39"/>
    </row>
    <row r="35" s="32" customFormat="1" ht="25" customHeight="1" spans="1:23">
      <c r="A35" s="37" t="s">
        <v>70</v>
      </c>
      <c r="B35" s="37" t="s">
        <v>66</v>
      </c>
      <c r="C35" s="41"/>
      <c r="D35" s="41"/>
      <c r="E35" s="39"/>
      <c r="F35" s="41"/>
      <c r="G35" s="41"/>
      <c r="H35" s="39"/>
      <c r="I35" s="41"/>
      <c r="J35" s="41"/>
      <c r="K35" s="39"/>
      <c r="L35" s="41"/>
      <c r="M35" s="41"/>
      <c r="N35" s="39"/>
      <c r="O35" s="41"/>
      <c r="P35" s="41"/>
      <c r="Q35" s="39"/>
      <c r="R35" s="41"/>
      <c r="S35" s="41"/>
      <c r="T35" s="39"/>
      <c r="U35" s="41"/>
      <c r="V35" s="41"/>
      <c r="W35" s="39"/>
    </row>
    <row r="36" s="32" customFormat="1" ht="25" customHeight="1" spans="1:23">
      <c r="A36" s="37" t="s">
        <v>71</v>
      </c>
      <c r="B36" s="37" t="s">
        <v>66</v>
      </c>
      <c r="C36" s="41"/>
      <c r="D36" s="41"/>
      <c r="E36" s="39"/>
      <c r="F36" s="41"/>
      <c r="G36" s="41"/>
      <c r="H36" s="39"/>
      <c r="I36" s="41"/>
      <c r="J36" s="41"/>
      <c r="K36" s="39"/>
      <c r="L36" s="41"/>
      <c r="M36" s="41"/>
      <c r="N36" s="39"/>
      <c r="O36" s="41"/>
      <c r="P36" s="41"/>
      <c r="Q36" s="39"/>
      <c r="R36" s="41"/>
      <c r="S36" s="41"/>
      <c r="T36" s="39"/>
      <c r="U36" s="41"/>
      <c r="V36" s="41"/>
      <c r="W36" s="39"/>
    </row>
    <row r="37" s="32" customFormat="1" ht="236" hidden="1" customHeight="1" spans="1:23">
      <c r="A37" s="45" t="s">
        <v>72</v>
      </c>
      <c r="B37" s="46"/>
      <c r="C37" s="47">
        <v>0</v>
      </c>
      <c r="D37" s="48">
        <v>0</v>
      </c>
      <c r="E37" s="49" t="s">
        <v>73</v>
      </c>
      <c r="F37" s="47">
        <v>0</v>
      </c>
      <c r="G37" s="48">
        <v>0</v>
      </c>
      <c r="H37" s="49" t="s">
        <v>73</v>
      </c>
      <c r="I37" s="47">
        <v>0</v>
      </c>
      <c r="J37" s="48">
        <v>0</v>
      </c>
      <c r="K37" s="49" t="s">
        <v>73</v>
      </c>
      <c r="L37" s="47">
        <v>0</v>
      </c>
      <c r="M37" s="48">
        <v>0</v>
      </c>
      <c r="N37" s="49" t="s">
        <v>73</v>
      </c>
      <c r="O37" s="47">
        <v>0</v>
      </c>
      <c r="P37" s="48">
        <v>0</v>
      </c>
      <c r="Q37" s="49" t="s">
        <v>73</v>
      </c>
      <c r="R37" s="47">
        <v>0</v>
      </c>
      <c r="S37" s="48">
        <v>0</v>
      </c>
      <c r="T37" s="49" t="s">
        <v>73</v>
      </c>
      <c r="U37" s="47">
        <v>0</v>
      </c>
      <c r="V37" s="48">
        <v>0</v>
      </c>
      <c r="W37" s="49" t="s">
        <v>73</v>
      </c>
    </row>
    <row r="38" s="32" customFormat="1" spans="1:23">
      <c r="A38" s="50"/>
      <c r="B38" s="50"/>
      <c r="C38" s="50"/>
      <c r="D38" s="50"/>
      <c r="E38" s="50"/>
      <c r="F38" s="50"/>
      <c r="G38" s="50"/>
      <c r="H38" s="50"/>
    </row>
    <row r="39" s="32" customFormat="1" spans="1:23">
      <c r="A39" s="50"/>
      <c r="B39" s="50"/>
      <c r="C39" s="50"/>
      <c r="D39" s="50"/>
      <c r="E39" s="50"/>
      <c r="F39" s="50"/>
      <c r="G39" s="50"/>
      <c r="H39" s="50"/>
    </row>
    <row r="40" s="32" customFormat="1" spans="1:23">
      <c r="A40" s="50"/>
      <c r="B40" s="50"/>
      <c r="C40" s="50"/>
      <c r="D40" s="50"/>
      <c r="E40" s="50"/>
      <c r="F40" s="50"/>
      <c r="G40" s="50"/>
      <c r="H40" s="50"/>
      <c r="I40" s="50"/>
      <c r="J40" s="50"/>
      <c r="L40" s="50"/>
      <c r="M40" s="50"/>
      <c r="O40" s="50"/>
      <c r="P40" s="50"/>
      <c r="R40" s="50"/>
      <c r="S40" s="50"/>
      <c r="U40" s="50"/>
      <c r="V40" s="50"/>
    </row>
    <row r="41" s="32" customFormat="1" ht="7" customHeight="1" spans="1:23">
      <c r="A41" s="50"/>
      <c r="B41" s="50"/>
      <c r="C41" s="50"/>
      <c r="D41" s="50"/>
      <c r="E41" s="50"/>
      <c r="F41" s="50"/>
      <c r="G41" s="50"/>
      <c r="H41" s="50"/>
    </row>
    <row r="42" s="32" customFormat="1" ht="16" customHeight="1" spans="1:23">
      <c r="A42" s="50"/>
      <c r="B42" s="50"/>
      <c r="C42" s="50"/>
      <c r="D42" s="50"/>
      <c r="E42" s="50"/>
      <c r="F42" s="50"/>
      <c r="G42" s="50"/>
      <c r="H42" s="50"/>
    </row>
    <row r="43" s="32" customFormat="1" spans="1:23">
      <c r="C43" s="51"/>
      <c r="D43" s="51"/>
    </row>
    <row r="44" s="32" customFormat="1" spans="1:23">
      <c r="C44" s="51"/>
      <c r="D44" s="51"/>
    </row>
  </sheetData>
  <mergeCells count="11">
    <mergeCell ref="J1:M1"/>
    <mergeCell ref="C2:E2"/>
    <mergeCell ref="F2:H2"/>
    <mergeCell ref="I2:K2"/>
    <mergeCell ref="L2:N2"/>
    <mergeCell ref="O2:Q2"/>
    <mergeCell ref="R2:T2"/>
    <mergeCell ref="U2:W2"/>
    <mergeCell ref="A37:B37"/>
    <mergeCell ref="A2:A3"/>
    <mergeCell ref="B2:B3"/>
  </mergeCells>
  <pageMargins left="0.118055555555556" right="0.0784722222222222" top="0.550694444444444" bottom="0.354166666666667" header="0.275" footer="0.156944444444444"/>
  <pageSetup paperSize="8" scale="73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5"/>
  <sheetViews>
    <sheetView workbookViewId="0">
      <selection activeCell="A1" sqref="A1"/>
    </sheetView>
  </sheetViews>
  <sheetFormatPr defaultColWidth="8.16363636363636" defaultRowHeight="14"/>
  <cols>
    <col min="1" max="1" width="27.5454545454545" style="14" customWidth="1"/>
    <col min="2" max="2" width="11" style="14" customWidth="1"/>
    <col min="3" max="11" width="14.2272727272727" style="14" customWidth="1"/>
    <col min="12" max="12" width="9.54545454545454" style="14" customWidth="1"/>
    <col min="13" max="14" width="8.54545454545454" style="14" customWidth="1"/>
    <col min="15" max="16" width="9.54545454545454" style="14" customWidth="1"/>
    <col min="17" max="17" width="8.54545454545454" style="14" customWidth="1"/>
    <col min="18" max="16384" width="8.16363636363636" style="14"/>
  </cols>
  <sheetData>
    <row r="1" s="14" customFormat="1" ht="24" customHeight="1" spans="1:17">
      <c r="A1" s="15" t="s">
        <v>0</v>
      </c>
      <c r="B1" s="16"/>
      <c r="C1" s="16"/>
      <c r="D1" s="16"/>
      <c r="E1" s="17" t="s">
        <v>74</v>
      </c>
      <c r="F1" s="17"/>
      <c r="G1" s="17"/>
      <c r="H1" s="16"/>
      <c r="I1" s="16"/>
      <c r="J1" s="16"/>
      <c r="K1" s="16"/>
      <c r="L1"/>
      <c r="M1"/>
      <c r="N1"/>
      <c r="O1"/>
      <c r="P1"/>
      <c r="Q1"/>
    </row>
    <row r="2" s="14" customFormat="1" ht="28" spans="1:17">
      <c r="A2" s="18" t="s">
        <v>3</v>
      </c>
      <c r="B2" s="18" t="s">
        <v>4</v>
      </c>
      <c r="C2" s="18" t="s">
        <v>40</v>
      </c>
      <c r="D2" s="18" t="s">
        <v>41</v>
      </c>
      <c r="E2" s="18" t="s">
        <v>7</v>
      </c>
      <c r="F2" s="19" t="s">
        <v>8</v>
      </c>
      <c r="G2" s="19" t="s">
        <v>9</v>
      </c>
      <c r="H2" s="19" t="s">
        <v>10</v>
      </c>
      <c r="I2" s="19" t="s">
        <v>11</v>
      </c>
      <c r="J2" s="19" t="s">
        <v>12</v>
      </c>
      <c r="K2" s="19" t="s">
        <v>75</v>
      </c>
      <c r="L2"/>
      <c r="M2"/>
      <c r="N2"/>
      <c r="O2"/>
      <c r="P2"/>
      <c r="Q2"/>
    </row>
    <row r="3" s="14" customFormat="1" ht="22.5" customHeight="1" spans="1:17">
      <c r="A3" s="20" t="s">
        <v>43</v>
      </c>
      <c r="B3" s="20" t="s">
        <v>44</v>
      </c>
      <c r="C3" s="21"/>
      <c r="D3" s="21"/>
      <c r="E3" s="21"/>
      <c r="F3" s="21"/>
      <c r="G3" s="21"/>
      <c r="H3" s="21"/>
      <c r="I3" s="21"/>
      <c r="J3" s="21"/>
      <c r="K3" s="21"/>
      <c r="L3"/>
      <c r="M3"/>
      <c r="N3"/>
      <c r="O3"/>
      <c r="P3"/>
      <c r="Q3"/>
    </row>
    <row r="4" s="14" customFormat="1" ht="22.5" customHeight="1" spans="1:17">
      <c r="A4" s="22" t="s">
        <v>45</v>
      </c>
      <c r="B4" s="22" t="s">
        <v>44</v>
      </c>
      <c r="C4" s="23"/>
      <c r="D4" s="23"/>
      <c r="E4" s="21"/>
      <c r="F4" s="21"/>
      <c r="G4" s="21"/>
      <c r="H4" s="21"/>
      <c r="I4" s="21"/>
      <c r="J4" s="21"/>
      <c r="K4" s="21"/>
      <c r="L4"/>
      <c r="M4"/>
      <c r="N4"/>
      <c r="O4"/>
      <c r="P4"/>
      <c r="Q4"/>
    </row>
    <row r="5" s="14" customFormat="1" ht="22.5" customHeight="1" spans="1:17">
      <c r="A5" s="18" t="s">
        <v>76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/>
      <c r="M5"/>
      <c r="N5"/>
      <c r="O5"/>
      <c r="P5"/>
      <c r="Q5"/>
    </row>
    <row r="6" s="14" customFormat="1" ht="22.5" customHeight="1" spans="1:17">
      <c r="A6" s="20" t="s">
        <v>15</v>
      </c>
      <c r="B6" s="20" t="s">
        <v>16</v>
      </c>
      <c r="C6" s="24"/>
      <c r="D6" s="24"/>
      <c r="E6" s="25"/>
      <c r="F6" s="24"/>
      <c r="G6" s="24"/>
      <c r="H6" s="25"/>
      <c r="I6" s="24"/>
      <c r="J6" s="24"/>
      <c r="K6" s="25"/>
      <c r="L6"/>
      <c r="M6"/>
      <c r="N6"/>
      <c r="O6"/>
      <c r="P6"/>
      <c r="Q6"/>
    </row>
    <row r="7" s="14" customFormat="1" ht="22.5" customHeight="1" spans="1:17">
      <c r="A7" s="20" t="s">
        <v>20</v>
      </c>
      <c r="B7" s="20" t="s">
        <v>16</v>
      </c>
      <c r="C7" s="24"/>
      <c r="D7" s="24"/>
      <c r="E7" s="25"/>
      <c r="F7" s="24"/>
      <c r="G7" s="24"/>
      <c r="H7" s="25"/>
      <c r="I7" s="24"/>
      <c r="J7" s="24"/>
      <c r="K7" s="25"/>
      <c r="L7"/>
      <c r="M7"/>
      <c r="N7"/>
      <c r="O7"/>
      <c r="P7"/>
      <c r="Q7"/>
    </row>
    <row r="8" s="14" customFormat="1" ht="22.5" customHeight="1" spans="1:17">
      <c r="A8" s="20" t="s">
        <v>52</v>
      </c>
      <c r="B8" s="20" t="s">
        <v>16</v>
      </c>
      <c r="C8" s="24"/>
      <c r="D8" s="24"/>
      <c r="E8" s="25"/>
      <c r="F8" s="24"/>
      <c r="G8" s="24"/>
      <c r="H8" s="25"/>
      <c r="I8" s="24"/>
      <c r="J8" s="24"/>
      <c r="K8" s="25"/>
      <c r="L8"/>
      <c r="M8"/>
      <c r="N8"/>
      <c r="O8"/>
      <c r="P8"/>
      <c r="Q8"/>
    </row>
    <row r="9" s="14" customFormat="1" ht="22.5" customHeight="1" spans="1:17">
      <c r="A9" s="20" t="s">
        <v>54</v>
      </c>
      <c r="B9" s="20" t="s">
        <v>16</v>
      </c>
      <c r="C9" s="24"/>
      <c r="D9" s="24"/>
      <c r="E9" s="25"/>
      <c r="F9" s="24"/>
      <c r="G9" s="24"/>
      <c r="H9" s="25"/>
      <c r="I9" s="24"/>
      <c r="J9" s="24"/>
      <c r="K9" s="25"/>
      <c r="L9"/>
      <c r="M9"/>
      <c r="N9"/>
      <c r="O9"/>
      <c r="P9"/>
      <c r="Q9"/>
    </row>
    <row r="10" s="14" customFormat="1" ht="22.5" customHeight="1" spans="1:17">
      <c r="A10" s="20" t="s">
        <v>55</v>
      </c>
      <c r="B10" s="20" t="s">
        <v>16</v>
      </c>
      <c r="C10" s="24"/>
      <c r="D10" s="24"/>
      <c r="E10" s="25"/>
      <c r="F10" s="24"/>
      <c r="G10" s="24"/>
      <c r="H10" s="25"/>
      <c r="I10" s="24"/>
      <c r="J10" s="24"/>
      <c r="K10" s="25"/>
      <c r="L10"/>
      <c r="M10"/>
      <c r="N10"/>
      <c r="O10"/>
      <c r="P10"/>
      <c r="Q10"/>
    </row>
    <row r="11" s="14" customFormat="1" ht="22.5" customHeight="1" spans="1:17">
      <c r="A11" s="20" t="s">
        <v>23</v>
      </c>
      <c r="B11" s="20" t="s">
        <v>16</v>
      </c>
      <c r="C11" s="24"/>
      <c r="D11" s="24"/>
      <c r="E11" s="25"/>
      <c r="F11" s="24"/>
      <c r="G11" s="24"/>
      <c r="H11" s="25"/>
      <c r="I11" s="24"/>
      <c r="J11" s="24"/>
      <c r="K11" s="25"/>
      <c r="L11"/>
      <c r="M11"/>
      <c r="N11"/>
      <c r="O11"/>
      <c r="P11"/>
      <c r="Q11"/>
    </row>
    <row r="12" s="14" customFormat="1" ht="22.5" customHeight="1" spans="1:17">
      <c r="A12" s="20" t="s">
        <v>24</v>
      </c>
      <c r="B12" s="20" t="s">
        <v>16</v>
      </c>
      <c r="C12" s="24"/>
      <c r="D12" s="24"/>
      <c r="E12" s="25"/>
      <c r="F12" s="24"/>
      <c r="G12" s="24"/>
      <c r="H12" s="25"/>
      <c r="I12" s="24"/>
      <c r="J12" s="24"/>
      <c r="K12" s="25"/>
      <c r="L12"/>
      <c r="M12"/>
      <c r="N12"/>
      <c r="O12"/>
      <c r="P12"/>
      <c r="Q12"/>
    </row>
    <row r="13" s="14" customFormat="1" ht="22.5" customHeight="1" spans="1:17">
      <c r="A13" s="18" t="s">
        <v>77</v>
      </c>
      <c r="B13" s="18"/>
      <c r="C13" s="26"/>
      <c r="D13" s="26"/>
      <c r="E13" s="27"/>
      <c r="F13" s="26"/>
      <c r="G13" s="26"/>
      <c r="H13" s="27"/>
      <c r="I13" s="26"/>
      <c r="J13" s="26"/>
      <c r="K13" s="27"/>
      <c r="L13"/>
      <c r="M13"/>
      <c r="N13"/>
      <c r="O13"/>
      <c r="P13"/>
      <c r="Q13"/>
    </row>
    <row r="14" s="14" customFormat="1" ht="22.5" customHeight="1" spans="1:17">
      <c r="A14" s="20" t="s">
        <v>15</v>
      </c>
      <c r="B14" s="20" t="s">
        <v>16</v>
      </c>
      <c r="C14" s="24"/>
      <c r="D14" s="24"/>
      <c r="E14" s="25"/>
      <c r="F14" s="24"/>
      <c r="G14" s="24"/>
      <c r="H14" s="25"/>
      <c r="I14" s="24"/>
      <c r="J14" s="24"/>
      <c r="K14" s="25"/>
      <c r="L14"/>
      <c r="M14"/>
      <c r="N14"/>
      <c r="O14"/>
      <c r="P14"/>
      <c r="Q14"/>
    </row>
    <row r="15" s="14" customFormat="1" ht="22.5" customHeight="1" spans="1:17">
      <c r="A15" s="28" t="s">
        <v>47</v>
      </c>
      <c r="B15" s="20" t="s">
        <v>16</v>
      </c>
      <c r="C15" s="24"/>
      <c r="D15" s="24"/>
      <c r="E15" s="25"/>
      <c r="F15" s="24"/>
      <c r="G15" s="24"/>
      <c r="H15" s="25"/>
      <c r="I15" s="24"/>
      <c r="J15" s="24"/>
      <c r="K15" s="25"/>
      <c r="L15"/>
      <c r="M15"/>
      <c r="N15"/>
      <c r="O15"/>
      <c r="P15"/>
      <c r="Q15"/>
    </row>
    <row r="16" s="14" customFormat="1" ht="22.5" customHeight="1" spans="1:17">
      <c r="A16" s="28" t="s">
        <v>78</v>
      </c>
      <c r="B16" s="20" t="s">
        <v>16</v>
      </c>
      <c r="C16" s="24"/>
      <c r="D16" s="24"/>
      <c r="E16" s="25"/>
      <c r="F16" s="24"/>
      <c r="G16" s="24"/>
      <c r="H16" s="25"/>
      <c r="I16" s="24"/>
      <c r="J16" s="24"/>
      <c r="K16" s="25"/>
      <c r="L16"/>
      <c r="M16"/>
      <c r="N16"/>
      <c r="O16"/>
      <c r="P16"/>
      <c r="Q16"/>
    </row>
    <row r="17" s="14" customFormat="1" ht="22.5" customHeight="1" spans="1:17">
      <c r="A17" s="20" t="s">
        <v>79</v>
      </c>
      <c r="B17" s="20" t="s">
        <v>37</v>
      </c>
      <c r="C17" s="24"/>
      <c r="D17" s="24"/>
      <c r="E17" s="25"/>
      <c r="F17" s="24"/>
      <c r="G17" s="24"/>
      <c r="H17" s="25"/>
      <c r="I17" s="24"/>
      <c r="J17" s="24"/>
      <c r="K17" s="25"/>
      <c r="L17"/>
      <c r="M17"/>
      <c r="N17"/>
      <c r="O17"/>
      <c r="P17"/>
      <c r="Q17"/>
    </row>
    <row r="18" s="14" customFormat="1" ht="22.5" customHeight="1" spans="1:17">
      <c r="A18" s="20" t="s">
        <v>20</v>
      </c>
      <c r="B18" s="20" t="s">
        <v>16</v>
      </c>
      <c r="C18" s="24"/>
      <c r="D18" s="24"/>
      <c r="E18" s="25"/>
      <c r="F18" s="24"/>
      <c r="G18" s="24"/>
      <c r="H18" s="25"/>
      <c r="I18" s="24"/>
      <c r="J18" s="24"/>
      <c r="K18" s="25"/>
      <c r="L18"/>
      <c r="M18"/>
      <c r="N18"/>
      <c r="O18"/>
      <c r="P18"/>
      <c r="Q18"/>
    </row>
    <row r="19" s="14" customFormat="1" ht="22.5" customHeight="1" spans="1:17">
      <c r="A19" s="28" t="s">
        <v>17</v>
      </c>
      <c r="B19" s="20" t="s">
        <v>18</v>
      </c>
      <c r="C19" s="24"/>
      <c r="D19" s="24"/>
      <c r="E19" s="25"/>
      <c r="F19" s="24"/>
      <c r="G19" s="24"/>
      <c r="H19" s="25"/>
      <c r="I19" s="24"/>
      <c r="J19" s="24"/>
      <c r="K19" s="25"/>
      <c r="L19"/>
      <c r="M19"/>
      <c r="N19"/>
      <c r="O19"/>
      <c r="P19"/>
      <c r="Q19"/>
    </row>
    <row r="20" s="14" customFormat="1" ht="22.5" customHeight="1" spans="1:17">
      <c r="A20" s="28" t="s">
        <v>19</v>
      </c>
      <c r="B20" s="20" t="s">
        <v>18</v>
      </c>
      <c r="C20" s="24"/>
      <c r="D20" s="24"/>
      <c r="E20" s="25"/>
      <c r="F20" s="24"/>
      <c r="G20" s="24"/>
      <c r="H20" s="25"/>
      <c r="I20" s="24"/>
      <c r="J20" s="24"/>
      <c r="K20" s="25"/>
      <c r="L20"/>
      <c r="M20"/>
      <c r="N20"/>
      <c r="O20"/>
      <c r="P20"/>
      <c r="Q20"/>
    </row>
    <row r="21" s="14" customFormat="1" ht="22.5" customHeight="1" spans="1:17">
      <c r="A21" s="20" t="s">
        <v>52</v>
      </c>
      <c r="B21" s="20" t="s">
        <v>16</v>
      </c>
      <c r="C21" s="24"/>
      <c r="D21" s="24"/>
      <c r="E21" s="25"/>
      <c r="F21" s="24"/>
      <c r="G21" s="24"/>
      <c r="H21" s="25"/>
      <c r="I21" s="24"/>
      <c r="J21" s="24"/>
      <c r="K21" s="25"/>
      <c r="L21"/>
      <c r="M21"/>
      <c r="N21"/>
      <c r="O21"/>
      <c r="P21"/>
      <c r="Q21"/>
    </row>
    <row r="22" s="14" customFormat="1" ht="22.5" customHeight="1" spans="1:17">
      <c r="A22" s="20" t="s">
        <v>54</v>
      </c>
      <c r="B22" s="20" t="s">
        <v>16</v>
      </c>
      <c r="C22" s="24"/>
      <c r="D22" s="24"/>
      <c r="E22" s="25"/>
      <c r="F22" s="24"/>
      <c r="G22" s="24"/>
      <c r="H22" s="25"/>
      <c r="I22" s="24"/>
      <c r="J22" s="24"/>
      <c r="K22" s="25"/>
      <c r="L22"/>
      <c r="M22"/>
      <c r="N22"/>
      <c r="O22"/>
      <c r="P22"/>
      <c r="Q22"/>
    </row>
    <row r="23" s="14" customFormat="1" ht="22.5" customHeight="1" spans="1:17">
      <c r="A23" s="20" t="s">
        <v>55</v>
      </c>
      <c r="B23" s="20" t="s">
        <v>16</v>
      </c>
      <c r="C23" s="24"/>
      <c r="D23" s="24"/>
      <c r="E23" s="25"/>
      <c r="F23" s="24"/>
      <c r="G23" s="24"/>
      <c r="H23" s="25"/>
      <c r="I23" s="24"/>
      <c r="J23" s="24"/>
      <c r="K23" s="25"/>
      <c r="L23"/>
      <c r="M23"/>
      <c r="N23"/>
      <c r="O23"/>
      <c r="P23"/>
      <c r="Q23"/>
    </row>
    <row r="24" s="14" customFormat="1" ht="22.5" customHeight="1" spans="1:17">
      <c r="A24" s="20" t="s">
        <v>23</v>
      </c>
      <c r="B24" s="20" t="s">
        <v>16</v>
      </c>
      <c r="C24" s="24"/>
      <c r="D24" s="24"/>
      <c r="E24" s="25"/>
      <c r="F24" s="24"/>
      <c r="G24" s="24"/>
      <c r="H24" s="25"/>
      <c r="I24" s="24"/>
      <c r="J24" s="24"/>
      <c r="K24" s="25"/>
      <c r="L24"/>
      <c r="M24"/>
      <c r="N24"/>
      <c r="O24"/>
      <c r="P24"/>
      <c r="Q24"/>
    </row>
    <row r="25" s="14" customFormat="1" ht="22.5" customHeight="1" spans="1:17">
      <c r="A25" s="20" t="s">
        <v>24</v>
      </c>
      <c r="B25" s="20" t="s">
        <v>16</v>
      </c>
      <c r="C25" s="24"/>
      <c r="D25" s="24"/>
      <c r="E25" s="25"/>
      <c r="F25" s="24"/>
      <c r="G25" s="24"/>
      <c r="H25" s="25"/>
      <c r="I25" s="24"/>
      <c r="J25" s="24"/>
      <c r="K25" s="25"/>
      <c r="L25"/>
      <c r="M25"/>
      <c r="N25"/>
      <c r="O25"/>
      <c r="P25"/>
      <c r="Q25"/>
    </row>
    <row r="26" s="14" customFormat="1" ht="22.5" customHeight="1" spans="1:17">
      <c r="A26" s="20" t="s">
        <v>57</v>
      </c>
      <c r="B26" s="20" t="s">
        <v>18</v>
      </c>
      <c r="C26" s="24"/>
      <c r="D26" s="24"/>
      <c r="E26" s="24"/>
      <c r="F26" s="24"/>
      <c r="G26" s="24"/>
      <c r="H26" s="24"/>
      <c r="I26" s="24"/>
      <c r="J26" s="24"/>
      <c r="K26" s="24"/>
      <c r="L26"/>
      <c r="M26"/>
      <c r="N26"/>
      <c r="O26"/>
      <c r="P26"/>
      <c r="Q26"/>
    </row>
    <row r="27" s="14" customFormat="1" ht="22.5" customHeight="1" spans="1:17">
      <c r="A27" s="18" t="s">
        <v>80</v>
      </c>
      <c r="B27" s="20"/>
      <c r="C27" s="29"/>
      <c r="D27" s="20"/>
      <c r="E27" s="20"/>
      <c r="F27" s="20"/>
      <c r="G27" s="20"/>
      <c r="H27" s="20"/>
      <c r="I27" s="20"/>
      <c r="J27" s="20"/>
      <c r="K27" s="20"/>
      <c r="L27"/>
      <c r="M27"/>
      <c r="N27"/>
      <c r="O27"/>
      <c r="P27"/>
      <c r="Q27"/>
    </row>
    <row r="28" s="14" customFormat="1" ht="22.5" customHeight="1" spans="1:17">
      <c r="A28" s="20" t="s">
        <v>15</v>
      </c>
      <c r="B28" s="20" t="s">
        <v>16</v>
      </c>
      <c r="C28" s="24"/>
      <c r="D28" s="24"/>
      <c r="E28" s="25"/>
      <c r="F28" s="24"/>
      <c r="G28" s="24"/>
      <c r="H28" s="25"/>
      <c r="I28" s="24"/>
      <c r="J28" s="24"/>
      <c r="K28" s="25"/>
      <c r="L28"/>
      <c r="M28"/>
      <c r="N28"/>
      <c r="O28"/>
      <c r="P28"/>
      <c r="Q28"/>
    </row>
    <row r="29" s="14" customFormat="1" ht="22.5" customHeight="1" spans="1:17">
      <c r="A29" s="28" t="s">
        <v>48</v>
      </c>
      <c r="B29" s="20" t="s">
        <v>16</v>
      </c>
      <c r="C29" s="24"/>
      <c r="D29" s="24"/>
      <c r="E29" s="25"/>
      <c r="F29" s="24"/>
      <c r="G29" s="24"/>
      <c r="H29" s="25"/>
      <c r="I29" s="24"/>
      <c r="J29" s="24"/>
      <c r="K29" s="25"/>
      <c r="L29"/>
      <c r="M29"/>
      <c r="N29"/>
      <c r="O29"/>
      <c r="P29"/>
      <c r="Q29"/>
    </row>
    <row r="30" s="14" customFormat="1" ht="22.5" customHeight="1" spans="1:17">
      <c r="A30" s="28" t="s">
        <v>49</v>
      </c>
      <c r="B30" s="20" t="s">
        <v>16</v>
      </c>
      <c r="C30" s="24"/>
      <c r="D30" s="24"/>
      <c r="E30" s="25"/>
      <c r="F30" s="24"/>
      <c r="G30" s="24"/>
      <c r="H30" s="25"/>
      <c r="I30" s="24"/>
      <c r="J30" s="24"/>
      <c r="K30" s="25"/>
      <c r="L30"/>
      <c r="M30"/>
      <c r="N30"/>
      <c r="O30"/>
      <c r="P30"/>
      <c r="Q30"/>
    </row>
    <row r="31" s="14" customFormat="1" ht="22.5" customHeight="1" spans="1:17">
      <c r="A31" s="20" t="s">
        <v>81</v>
      </c>
      <c r="B31" s="20" t="s">
        <v>51</v>
      </c>
      <c r="C31" s="24"/>
      <c r="D31" s="24"/>
      <c r="E31" s="25"/>
      <c r="F31" s="24"/>
      <c r="G31" s="24"/>
      <c r="H31" s="25"/>
      <c r="I31" s="24"/>
      <c r="J31" s="24"/>
      <c r="K31" s="25"/>
      <c r="L31"/>
      <c r="M31"/>
      <c r="N31"/>
      <c r="O31"/>
      <c r="P31"/>
      <c r="Q31"/>
    </row>
    <row r="32" s="14" customFormat="1" ht="22.5" customHeight="1" spans="1:17">
      <c r="A32" s="20" t="s">
        <v>82</v>
      </c>
      <c r="B32" s="20" t="s">
        <v>18</v>
      </c>
      <c r="C32" s="24"/>
      <c r="D32" s="24"/>
      <c r="E32" s="25"/>
      <c r="F32" s="24"/>
      <c r="G32" s="24"/>
      <c r="H32" s="25"/>
      <c r="I32" s="24"/>
      <c r="J32" s="24"/>
      <c r="K32" s="25"/>
      <c r="L32"/>
      <c r="M32"/>
      <c r="N32"/>
      <c r="O32"/>
      <c r="P32"/>
      <c r="Q32"/>
    </row>
    <row r="33" s="14" customFormat="1" ht="22.5" customHeight="1" spans="1:17">
      <c r="A33" s="20" t="s">
        <v>83</v>
      </c>
      <c r="B33" s="20" t="s">
        <v>84</v>
      </c>
      <c r="C33" s="24"/>
      <c r="D33" s="24"/>
      <c r="E33" s="25"/>
      <c r="F33" s="24"/>
      <c r="G33" s="24"/>
      <c r="H33" s="25"/>
      <c r="I33" s="24"/>
      <c r="J33" s="24"/>
      <c r="K33" s="25"/>
      <c r="L33"/>
      <c r="M33"/>
      <c r="N33"/>
      <c r="O33"/>
      <c r="P33"/>
      <c r="Q33"/>
    </row>
    <row r="34" s="14" customFormat="1" ht="22.5" customHeight="1" spans="1:17">
      <c r="A34" s="20" t="s">
        <v>85</v>
      </c>
      <c r="B34" s="20" t="s">
        <v>16</v>
      </c>
      <c r="C34" s="24"/>
      <c r="D34" s="24"/>
      <c r="E34" s="25"/>
      <c r="F34" s="24"/>
      <c r="G34" s="24"/>
      <c r="H34" s="25"/>
      <c r="I34" s="24"/>
      <c r="J34" s="24"/>
      <c r="K34" s="25"/>
      <c r="L34"/>
      <c r="M34"/>
      <c r="N34"/>
      <c r="O34"/>
      <c r="P34"/>
      <c r="Q34"/>
    </row>
    <row r="35" s="14" customFormat="1" ht="22.5" customHeight="1" spans="1:17">
      <c r="A35" s="20" t="s">
        <v>52</v>
      </c>
      <c r="B35" s="20" t="s">
        <v>16</v>
      </c>
      <c r="C35" s="24"/>
      <c r="D35" s="24"/>
      <c r="E35" s="25"/>
      <c r="F35" s="24"/>
      <c r="G35" s="24"/>
      <c r="H35" s="25"/>
      <c r="I35" s="24"/>
      <c r="J35" s="24"/>
      <c r="K35" s="25"/>
      <c r="L35"/>
      <c r="M35"/>
      <c r="N35"/>
      <c r="O35"/>
      <c r="P35"/>
      <c r="Q35"/>
    </row>
    <row r="36" s="14" customFormat="1" ht="22.5" customHeight="1" spans="1:17">
      <c r="A36" s="20" t="s">
        <v>54</v>
      </c>
      <c r="B36" s="20" t="s">
        <v>16</v>
      </c>
      <c r="C36" s="24"/>
      <c r="D36" s="24"/>
      <c r="E36" s="25"/>
      <c r="F36" s="24"/>
      <c r="G36" s="24"/>
      <c r="H36" s="25"/>
      <c r="I36" s="24"/>
      <c r="J36" s="24"/>
      <c r="K36" s="25"/>
      <c r="L36"/>
      <c r="M36"/>
      <c r="N36"/>
      <c r="O36"/>
      <c r="P36"/>
      <c r="Q36"/>
    </row>
    <row r="37" s="14" customFormat="1" ht="22.5" customHeight="1" spans="1:17">
      <c r="A37" s="20" t="s">
        <v>23</v>
      </c>
      <c r="B37" s="20" t="s">
        <v>16</v>
      </c>
      <c r="C37" s="24"/>
      <c r="D37" s="24"/>
      <c r="E37" s="25"/>
      <c r="F37" s="24"/>
      <c r="G37" s="24"/>
      <c r="H37" s="25"/>
      <c r="I37" s="24"/>
      <c r="J37" s="24"/>
      <c r="K37" s="25"/>
      <c r="L37"/>
      <c r="M37"/>
      <c r="N37"/>
      <c r="O37"/>
      <c r="P37"/>
      <c r="Q37"/>
    </row>
    <row r="38" s="14" customFormat="1" ht="22.5" customHeight="1" spans="1:17">
      <c r="A38" s="20" t="s">
        <v>60</v>
      </c>
      <c r="B38" s="20" t="s">
        <v>61</v>
      </c>
      <c r="C38" s="24"/>
      <c r="D38" s="24"/>
      <c r="E38" s="25"/>
      <c r="F38" s="24"/>
      <c r="G38" s="24"/>
      <c r="H38" s="25"/>
      <c r="I38" s="24"/>
      <c r="J38" s="24"/>
      <c r="K38" s="25"/>
      <c r="L38"/>
      <c r="M38"/>
      <c r="N38"/>
      <c r="O38"/>
      <c r="P38"/>
      <c r="Q38"/>
    </row>
    <row r="39" s="14" customFormat="1" ht="22.5" customHeight="1" spans="1:17">
      <c r="A39" s="20" t="s">
        <v>62</v>
      </c>
      <c r="B39" s="20" t="s">
        <v>63</v>
      </c>
      <c r="C39" s="24"/>
      <c r="D39" s="24"/>
      <c r="E39" s="25"/>
      <c r="F39" s="24"/>
      <c r="G39" s="24"/>
      <c r="H39" s="25"/>
      <c r="I39" s="24"/>
      <c r="J39" s="24"/>
      <c r="K39" s="25"/>
      <c r="L39"/>
      <c r="M39"/>
      <c r="N39"/>
      <c r="O39"/>
      <c r="P39"/>
      <c r="Q39"/>
    </row>
    <row r="40" s="14" customFormat="1" ht="22.5" customHeight="1" spans="1:17">
      <c r="A40" s="20" t="s">
        <v>64</v>
      </c>
      <c r="B40" s="20" t="s">
        <v>59</v>
      </c>
      <c r="C40" s="24"/>
      <c r="D40" s="24"/>
      <c r="E40" s="25"/>
      <c r="F40" s="24"/>
      <c r="G40" s="24"/>
      <c r="H40" s="25"/>
      <c r="I40" s="24"/>
      <c r="J40" s="24"/>
      <c r="K40" s="25"/>
      <c r="L40"/>
      <c r="M40"/>
      <c r="N40"/>
      <c r="O40"/>
      <c r="P40"/>
      <c r="Q40"/>
    </row>
    <row r="41" s="14" customFormat="1" ht="22.5" customHeight="1" spans="1:17">
      <c r="A41" s="20" t="s">
        <v>27</v>
      </c>
      <c r="B41" s="20" t="s">
        <v>26</v>
      </c>
      <c r="C41" s="20"/>
      <c r="D41" s="20"/>
      <c r="E41" s="25"/>
      <c r="F41" s="20"/>
      <c r="G41" s="20"/>
      <c r="H41" s="25"/>
      <c r="I41" s="20"/>
      <c r="J41" s="20"/>
      <c r="K41" s="25"/>
      <c r="L41"/>
      <c r="M41"/>
      <c r="N41"/>
      <c r="O41"/>
      <c r="P41"/>
      <c r="Q41"/>
    </row>
    <row r="42" s="14" customFormat="1" ht="22.5" customHeight="1" spans="1:17">
      <c r="A42" s="20" t="s">
        <v>28</v>
      </c>
      <c r="B42" s="20" t="s">
        <v>29</v>
      </c>
      <c r="C42" s="20"/>
      <c r="D42" s="30"/>
      <c r="E42" s="25"/>
      <c r="F42" s="20"/>
      <c r="G42" s="20"/>
      <c r="H42" s="25"/>
      <c r="I42" s="20"/>
      <c r="J42" s="20"/>
      <c r="K42" s="25"/>
      <c r="L42"/>
      <c r="M42"/>
      <c r="N42"/>
      <c r="O42"/>
      <c r="P42"/>
      <c r="Q42"/>
    </row>
    <row r="43" spans="1:17">
      <c r="E43" s="31"/>
      <c r="H43" s="31"/>
      <c r="K43" s="31"/>
    </row>
    <row r="44" spans="1:17">
      <c r="E44" s="31"/>
      <c r="H44" s="31"/>
      <c r="K44" s="31"/>
    </row>
    <row r="45" spans="1:17">
      <c r="E45" s="31"/>
      <c r="H45" s="31"/>
      <c r="K45" s="31"/>
    </row>
  </sheetData>
  <mergeCells count="1">
    <mergeCell ref="E1:G1"/>
  </mergeCells>
  <pageMargins left="0.314583333333333" right="0.314583333333333" top="0.708333333333333" bottom="0.66875" header="0.5" footer="0.5"/>
  <pageSetup paperSize="8" scale="86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E20" sqref="E20"/>
    </sheetView>
  </sheetViews>
  <sheetFormatPr defaultColWidth="8.72727272727273" defaultRowHeight="14" outlineLevelCol="5"/>
  <cols>
    <col min="1" max="5" width="22.6363636363636" customWidth="1"/>
    <col min="6" max="6" width="59" customWidth="1"/>
  </cols>
  <sheetData>
    <row r="1" ht="25" customHeight="1" spans="1:6">
      <c r="A1" s="1" t="s">
        <v>3</v>
      </c>
      <c r="B1" s="1" t="s">
        <v>4</v>
      </c>
      <c r="C1" s="2">
        <v>45962</v>
      </c>
      <c r="D1" s="2">
        <v>45597</v>
      </c>
      <c r="E1" s="1" t="s">
        <v>86</v>
      </c>
    </row>
    <row r="2" ht="25" customHeight="1" spans="1:6">
      <c r="A2" s="3" t="s">
        <v>87</v>
      </c>
      <c r="B2" s="3" t="s">
        <v>37</v>
      </c>
      <c r="C2" s="3">
        <v>1.776</v>
      </c>
      <c r="D2" s="3">
        <v>12.672</v>
      </c>
      <c r="E2" s="3"/>
    </row>
    <row r="3" ht="25" customHeight="1" spans="1:6">
      <c r="A3" s="3" t="s">
        <v>88</v>
      </c>
      <c r="B3" s="3" t="s">
        <v>51</v>
      </c>
      <c r="C3" s="3">
        <v>2166.6</v>
      </c>
      <c r="D3" s="3">
        <v>2793</v>
      </c>
    </row>
    <row r="4" ht="25" customHeight="1" spans="1:6">
      <c r="A4" s="3" t="s">
        <v>89</v>
      </c>
      <c r="B4" s="3" t="s">
        <v>18</v>
      </c>
      <c r="C4" s="3">
        <v>0</v>
      </c>
      <c r="D4" s="3">
        <v>0</v>
      </c>
      <c r="E4" s="3"/>
    </row>
    <row r="5" ht="25" customHeight="1" spans="1:6">
      <c r="A5" s="3" t="s">
        <v>79</v>
      </c>
      <c r="B5" s="3" t="s">
        <v>37</v>
      </c>
      <c r="C5" s="3">
        <v>1.6632</v>
      </c>
      <c r="D5" s="3">
        <v>10.1376</v>
      </c>
      <c r="E5" s="3"/>
    </row>
    <row r="6" ht="25" customHeight="1" spans="1:6">
      <c r="A6" s="3" t="s">
        <v>17</v>
      </c>
      <c r="B6" s="3" t="s">
        <v>18</v>
      </c>
      <c r="C6" s="3">
        <v>292</v>
      </c>
      <c r="D6" s="3">
        <v>732</v>
      </c>
      <c r="E6" s="3"/>
    </row>
    <row r="7" ht="25" customHeight="1" spans="1:6">
      <c r="A7" s="3" t="s">
        <v>19</v>
      </c>
      <c r="B7" s="3" t="s">
        <v>18</v>
      </c>
      <c r="C7" s="3">
        <v>213.809198853555</v>
      </c>
      <c r="D7" s="3">
        <v>523.49938583322</v>
      </c>
      <c r="E7" s="3"/>
    </row>
    <row r="8" ht="25" customHeight="1" spans="1:6">
      <c r="A8" s="3" t="s">
        <v>53</v>
      </c>
      <c r="B8" s="3" t="s">
        <v>18</v>
      </c>
      <c r="C8" s="3">
        <v>3233</v>
      </c>
      <c r="D8" s="3">
        <v>3404</v>
      </c>
      <c r="E8" s="3"/>
    </row>
    <row r="9" ht="25" customHeight="1" spans="1:6">
      <c r="A9" s="3" t="s">
        <v>90</v>
      </c>
      <c r="B9" s="3" t="s">
        <v>18</v>
      </c>
      <c r="C9" s="3">
        <v>3233</v>
      </c>
      <c r="D9" s="3">
        <v>3404</v>
      </c>
      <c r="E9" s="3"/>
      <c r="F9" t="s">
        <v>91</v>
      </c>
    </row>
    <row r="10" ht="25" customHeight="1" spans="1:6">
      <c r="A10" s="3" t="s">
        <v>36</v>
      </c>
      <c r="B10" s="3" t="s">
        <v>37</v>
      </c>
      <c r="C10" s="3">
        <v>19.4333</v>
      </c>
      <c r="D10" s="3">
        <v>18.3649</v>
      </c>
      <c r="E10" s="3"/>
    </row>
    <row r="11" ht="25" customHeight="1" spans="1:6">
      <c r="A11" s="3" t="s">
        <v>92</v>
      </c>
      <c r="B11" s="3" t="s">
        <v>37</v>
      </c>
      <c r="C11" s="3">
        <v>0</v>
      </c>
      <c r="D11" s="3">
        <v>0</v>
      </c>
      <c r="E11" s="3"/>
      <c r="F11" t="s">
        <v>93</v>
      </c>
    </row>
    <row r="12" ht="25" customHeight="1" spans="1:6">
      <c r="A12" s="3" t="s">
        <v>94</v>
      </c>
      <c r="B12" s="3" t="s">
        <v>18</v>
      </c>
      <c r="C12" s="3">
        <v>0</v>
      </c>
      <c r="D12" s="3">
        <v>0</v>
      </c>
      <c r="E12" s="3"/>
    </row>
    <row r="13" ht="25" customHeight="1" spans="1:6">
      <c r="A13" s="3" t="s">
        <v>95</v>
      </c>
      <c r="B13" s="3" t="s">
        <v>18</v>
      </c>
      <c r="C13" s="3">
        <v>0</v>
      </c>
      <c r="D13" s="3">
        <v>2.8</v>
      </c>
      <c r="E13" s="3"/>
    </row>
    <row r="14" ht="25" customHeight="1" spans="1:6">
      <c r="A14" s="3" t="s">
        <v>96</v>
      </c>
      <c r="B14" s="3" t="s">
        <v>18</v>
      </c>
      <c r="C14" s="3">
        <v>42.3</v>
      </c>
      <c r="D14" s="3">
        <v>10.1376</v>
      </c>
      <c r="E14" s="3"/>
    </row>
    <row r="15" ht="25" customHeight="1" spans="1:6">
      <c r="A15" s="3" t="s">
        <v>97</v>
      </c>
      <c r="B15" s="3" t="s">
        <v>18</v>
      </c>
      <c r="C15" s="3">
        <v>0</v>
      </c>
      <c r="D15" s="3">
        <v>1.8</v>
      </c>
      <c r="E15" s="3"/>
    </row>
    <row r="16" ht="25" customHeight="1" spans="1:6">
      <c r="A16" s="3" t="s">
        <v>98</v>
      </c>
      <c r="B16" s="3" t="s">
        <v>18</v>
      </c>
      <c r="C16" s="3">
        <v>60</v>
      </c>
      <c r="D16" s="3">
        <v>11</v>
      </c>
      <c r="E16" s="3"/>
    </row>
    <row r="17" ht="25" customHeight="1" spans="1:6">
      <c r="A17" s="3" t="s">
        <v>65</v>
      </c>
      <c r="B17" s="3" t="s">
        <v>66</v>
      </c>
      <c r="C17" s="3">
        <v>1</v>
      </c>
      <c r="D17" s="3">
        <v>1</v>
      </c>
      <c r="E17" s="3"/>
    </row>
    <row r="18" ht="25" customHeight="1" spans="1:6">
      <c r="A18" s="3" t="s">
        <v>68</v>
      </c>
      <c r="B18" s="3" t="s">
        <v>66</v>
      </c>
      <c r="C18" s="3">
        <v>1</v>
      </c>
      <c r="D18" s="3">
        <v>1</v>
      </c>
      <c r="E18" s="3"/>
    </row>
    <row r="19" ht="25" customHeight="1" spans="1:6">
      <c r="A19" s="3" t="s">
        <v>99</v>
      </c>
      <c r="B19" s="3" t="s">
        <v>73</v>
      </c>
      <c r="C19" s="3" t="s">
        <v>100</v>
      </c>
      <c r="D19" s="3"/>
      <c r="E19" s="3"/>
      <c r="F19" t="s">
        <v>101</v>
      </c>
    </row>
    <row r="20" ht="25" customHeight="1" spans="1:6">
      <c r="A20" s="3" t="s">
        <v>102</v>
      </c>
      <c r="B20" s="3" t="s">
        <v>73</v>
      </c>
      <c r="C20" s="3"/>
      <c r="D20" s="3"/>
      <c r="E20" s="3" t="s">
        <v>103</v>
      </c>
      <c r="F20" t="s">
        <v>104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E20" sqref="E20"/>
    </sheetView>
  </sheetViews>
  <sheetFormatPr defaultColWidth="8.72727272727273" defaultRowHeight="14" outlineLevelCol="5"/>
  <cols>
    <col min="1" max="5" width="22.6363636363636" customWidth="1"/>
    <col min="6" max="6" width="59" customWidth="1"/>
  </cols>
  <sheetData>
    <row r="1" ht="25" customHeight="1" spans="1:6">
      <c r="A1" s="1" t="s">
        <v>3</v>
      </c>
      <c r="B1" s="1" t="s">
        <v>4</v>
      </c>
      <c r="C1" s="2">
        <v>45962</v>
      </c>
      <c r="D1" s="2">
        <v>45597</v>
      </c>
      <c r="E1" s="1" t="s">
        <v>86</v>
      </c>
    </row>
    <row r="2" ht="25" customHeight="1" spans="1:6">
      <c r="A2" s="3" t="s">
        <v>88</v>
      </c>
      <c r="B2" s="3" t="s">
        <v>51</v>
      </c>
      <c r="C2" s="3">
        <v>7235</v>
      </c>
      <c r="D2" s="3">
        <v>5818</v>
      </c>
      <c r="E2" s="3"/>
    </row>
    <row r="3" ht="25" customHeight="1" spans="1:6">
      <c r="A3" s="3" t="s">
        <v>17</v>
      </c>
      <c r="B3" s="3" t="s">
        <v>18</v>
      </c>
      <c r="C3" s="3">
        <v>358</v>
      </c>
      <c r="D3" s="3">
        <v>345</v>
      </c>
      <c r="E3" s="3"/>
    </row>
    <row r="4" ht="25" customHeight="1" spans="1:6">
      <c r="A4" s="3" t="s">
        <v>19</v>
      </c>
      <c r="B4" s="3" t="s">
        <v>18</v>
      </c>
      <c r="C4" s="3">
        <v>273.984577589737</v>
      </c>
      <c r="D4" s="3">
        <v>209.768663846049</v>
      </c>
      <c r="E4" s="3"/>
    </row>
    <row r="5" ht="25" customHeight="1" spans="1:6">
      <c r="A5" s="3" t="s">
        <v>53</v>
      </c>
      <c r="B5" s="3" t="s">
        <v>18</v>
      </c>
      <c r="C5" s="3">
        <v>106</v>
      </c>
      <c r="D5" s="3">
        <v>20</v>
      </c>
      <c r="E5" s="3"/>
    </row>
    <row r="6" ht="25" customHeight="1" spans="1:6">
      <c r="A6" s="3" t="s">
        <v>90</v>
      </c>
      <c r="B6" s="3" t="s">
        <v>18</v>
      </c>
      <c r="C6" s="3">
        <v>106</v>
      </c>
      <c r="D6" s="3">
        <v>20</v>
      </c>
      <c r="E6" s="3"/>
      <c r="F6" t="s">
        <v>91</v>
      </c>
    </row>
    <row r="7" ht="25" customHeight="1" spans="1:6">
      <c r="A7" s="3" t="s">
        <v>36</v>
      </c>
      <c r="B7" s="3" t="s">
        <v>37</v>
      </c>
      <c r="C7" s="3">
        <v>4.98614</v>
      </c>
      <c r="D7" s="3">
        <v>8.20835</v>
      </c>
      <c r="E7" s="3"/>
    </row>
    <row r="8" ht="25" customHeight="1" spans="1:6">
      <c r="A8" s="3" t="s">
        <v>92</v>
      </c>
      <c r="B8" s="3" t="s">
        <v>37</v>
      </c>
      <c r="C8" s="3">
        <v>4.98614</v>
      </c>
      <c r="D8" s="3">
        <v>8.20835</v>
      </c>
      <c r="E8" s="3"/>
      <c r="F8" t="s">
        <v>93</v>
      </c>
    </row>
    <row r="9" ht="25" customHeight="1" spans="1:6">
      <c r="A9" s="3" t="s">
        <v>94</v>
      </c>
      <c r="B9" s="3" t="s">
        <v>18</v>
      </c>
      <c r="C9" s="3">
        <v>0</v>
      </c>
      <c r="D9" s="3">
        <v>0</v>
      </c>
      <c r="E9" s="3"/>
    </row>
    <row r="10" ht="25" customHeight="1" spans="1:6">
      <c r="A10" s="3" t="s">
        <v>95</v>
      </c>
      <c r="B10" s="3" t="s">
        <v>18</v>
      </c>
      <c r="C10" s="3">
        <v>0</v>
      </c>
      <c r="D10" s="3">
        <v>0</v>
      </c>
      <c r="E10" s="3"/>
    </row>
    <row r="11" ht="25" customHeight="1" spans="1:6">
      <c r="A11" s="3" t="s">
        <v>96</v>
      </c>
      <c r="B11" s="3" t="s">
        <v>18</v>
      </c>
      <c r="C11" s="3">
        <v>0</v>
      </c>
      <c r="D11" s="3">
        <v>0</v>
      </c>
      <c r="E11" s="3"/>
    </row>
    <row r="12" ht="25" customHeight="1" spans="1:6">
      <c r="A12" s="3" t="s">
        <v>97</v>
      </c>
      <c r="B12" s="3" t="s">
        <v>18</v>
      </c>
      <c r="C12" s="3">
        <v>1.73</v>
      </c>
      <c r="D12" s="3">
        <v>2.02</v>
      </c>
      <c r="E12" s="3"/>
    </row>
    <row r="13" ht="25" customHeight="1" spans="1:6">
      <c r="A13" s="3" t="s">
        <v>98</v>
      </c>
      <c r="B13" s="3" t="s">
        <v>18</v>
      </c>
      <c r="C13" s="3">
        <v>9.57</v>
      </c>
      <c r="D13" s="3">
        <v>2.74</v>
      </c>
      <c r="E13" s="3"/>
    </row>
    <row r="14" ht="25" customHeight="1" spans="1:6">
      <c r="A14" s="3" t="s">
        <v>67</v>
      </c>
      <c r="B14" s="3" t="s">
        <v>66</v>
      </c>
      <c r="C14" s="3">
        <v>1</v>
      </c>
      <c r="D14" s="3">
        <v>1</v>
      </c>
      <c r="E14" s="3"/>
    </row>
    <row r="15" ht="25" customHeight="1" spans="1:6">
      <c r="A15" s="3" t="s">
        <v>99</v>
      </c>
      <c r="B15" s="3" t="s">
        <v>73</v>
      </c>
      <c r="C15" s="3"/>
      <c r="D15" s="3"/>
      <c r="E15" s="3"/>
      <c r="F15" t="s">
        <v>101</v>
      </c>
    </row>
    <row r="16" ht="25" customHeight="1" spans="1:6">
      <c r="A16" s="3" t="s">
        <v>102</v>
      </c>
      <c r="B16" s="3" t="s">
        <v>73</v>
      </c>
      <c r="C16" s="3"/>
      <c r="D16" s="3"/>
      <c r="E16" s="3"/>
      <c r="F16" t="s">
        <v>104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E20" sqref="E20"/>
    </sheetView>
  </sheetViews>
  <sheetFormatPr defaultColWidth="8.72727272727273" defaultRowHeight="14" outlineLevelCol="5"/>
  <cols>
    <col min="1" max="5" width="22.6363636363636" customWidth="1"/>
    <col min="6" max="6" width="59" customWidth="1"/>
  </cols>
  <sheetData>
    <row r="1" ht="25" customHeight="1" spans="1:6">
      <c r="A1" s="1" t="s">
        <v>3</v>
      </c>
      <c r="B1" s="1" t="s">
        <v>4</v>
      </c>
      <c r="C1" s="2">
        <v>45962</v>
      </c>
      <c r="D1" s="2">
        <v>45597</v>
      </c>
      <c r="E1" s="1" t="s">
        <v>86</v>
      </c>
    </row>
    <row r="2" ht="25" customHeight="1" spans="1:6">
      <c r="A2" s="3" t="s">
        <v>88</v>
      </c>
      <c r="B2" s="3" t="s">
        <v>51</v>
      </c>
      <c r="C2" s="3"/>
      <c r="D2" s="3"/>
      <c r="E2" s="3"/>
    </row>
    <row r="3" ht="25" customHeight="1" spans="1:6">
      <c r="A3" s="3" t="s">
        <v>89</v>
      </c>
      <c r="B3" s="3" t="s">
        <v>18</v>
      </c>
      <c r="C3" s="3"/>
      <c r="D3" s="3"/>
      <c r="E3" s="3"/>
    </row>
    <row r="4" ht="25" customHeight="1" spans="1:6">
      <c r="A4" s="3" t="s">
        <v>105</v>
      </c>
      <c r="B4" s="3" t="s">
        <v>106</v>
      </c>
      <c r="C4" s="3"/>
      <c r="D4" s="3"/>
      <c r="E4" s="3"/>
    </row>
    <row r="5" ht="25" customHeight="1" spans="1:6">
      <c r="A5" s="3" t="s">
        <v>53</v>
      </c>
      <c r="B5" s="3" t="s">
        <v>18</v>
      </c>
      <c r="C5" s="3"/>
      <c r="D5" s="3"/>
      <c r="E5" s="3"/>
    </row>
    <row r="6" ht="25" customHeight="1" spans="1:6">
      <c r="A6" s="3" t="s">
        <v>90</v>
      </c>
      <c r="B6" s="3" t="s">
        <v>18</v>
      </c>
      <c r="C6" s="3"/>
      <c r="D6" s="3"/>
      <c r="E6" s="3"/>
      <c r="F6" t="s">
        <v>91</v>
      </c>
    </row>
    <row r="7" ht="25" customHeight="1" spans="1:6">
      <c r="A7" s="3" t="s">
        <v>36</v>
      </c>
      <c r="B7" s="3" t="s">
        <v>37</v>
      </c>
      <c r="C7" s="3"/>
      <c r="D7" s="3"/>
      <c r="E7" s="3"/>
    </row>
    <row r="8" ht="25" customHeight="1" spans="1:6">
      <c r="A8" s="3" t="s">
        <v>92</v>
      </c>
      <c r="B8" s="3" t="s">
        <v>37</v>
      </c>
      <c r="C8" s="3"/>
      <c r="D8" s="3"/>
      <c r="E8" s="3"/>
      <c r="F8" t="s">
        <v>93</v>
      </c>
    </row>
    <row r="9" ht="25" customHeight="1" spans="1:6">
      <c r="A9" s="3" t="s">
        <v>107</v>
      </c>
      <c r="B9" s="3" t="s">
        <v>66</v>
      </c>
      <c r="C9" s="3"/>
      <c r="D9" s="3"/>
      <c r="E9" s="3"/>
    </row>
    <row r="10" ht="25" customHeight="1" spans="1:6">
      <c r="A10" s="3" t="s">
        <v>99</v>
      </c>
      <c r="B10" s="3" t="s">
        <v>73</v>
      </c>
      <c r="C10" s="3"/>
      <c r="D10" s="3"/>
      <c r="E10" s="3"/>
      <c r="F10" t="s">
        <v>101</v>
      </c>
    </row>
    <row r="11" ht="25" customHeight="1" spans="1:6">
      <c r="A11" s="3" t="s">
        <v>102</v>
      </c>
      <c r="B11" s="3" t="s">
        <v>73</v>
      </c>
      <c r="C11" s="3"/>
      <c r="D11" s="3"/>
      <c r="E11" s="3"/>
      <c r="F11" t="s">
        <v>104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E20" sqref="E20"/>
    </sheetView>
  </sheetViews>
  <sheetFormatPr defaultColWidth="8.72727272727273" defaultRowHeight="14" outlineLevelCol="5"/>
  <cols>
    <col min="1" max="5" width="22.6363636363636" customWidth="1"/>
    <col min="6" max="6" width="59" customWidth="1"/>
  </cols>
  <sheetData>
    <row r="1" ht="25" customHeight="1" spans="1:6">
      <c r="A1" s="1" t="s">
        <v>3</v>
      </c>
      <c r="B1" s="1" t="s">
        <v>4</v>
      </c>
      <c r="C1" s="2">
        <v>45962</v>
      </c>
      <c r="D1" s="2">
        <v>45597</v>
      </c>
      <c r="E1" s="1" t="s">
        <v>86</v>
      </c>
    </row>
    <row r="2" ht="25" customHeight="1" spans="1:6">
      <c r="A2" s="3" t="s">
        <v>87</v>
      </c>
      <c r="B2" s="3" t="s">
        <v>37</v>
      </c>
      <c r="C2" s="13">
        <v>6.336</v>
      </c>
      <c r="D2" s="13">
        <v>0.816</v>
      </c>
      <c r="E2" s="3"/>
    </row>
    <row r="3" ht="25" customHeight="1" spans="1:6">
      <c r="A3" s="3" t="s">
        <v>88</v>
      </c>
      <c r="B3" s="3" t="s">
        <v>51</v>
      </c>
      <c r="C3" s="13">
        <v>5754</v>
      </c>
      <c r="D3" s="13">
        <v>5348</v>
      </c>
      <c r="E3" s="3"/>
    </row>
    <row r="4" ht="25" customHeight="1" spans="1:6">
      <c r="A4" s="3" t="s">
        <v>89</v>
      </c>
      <c r="B4" s="3" t="s">
        <v>18</v>
      </c>
      <c r="C4" s="13">
        <v>360</v>
      </c>
      <c r="D4" s="13">
        <v>867</v>
      </c>
      <c r="E4" s="3"/>
    </row>
    <row r="5" ht="25" customHeight="1" spans="1:6">
      <c r="A5" s="3" t="s">
        <v>79</v>
      </c>
      <c r="B5" s="3" t="s">
        <v>37</v>
      </c>
      <c r="C5" s="13">
        <v>3.0096</v>
      </c>
      <c r="D5" s="13">
        <v>0.4752</v>
      </c>
      <c r="E5" s="3"/>
    </row>
    <row r="6" ht="25" customHeight="1" spans="1:6">
      <c r="A6" s="3" t="s">
        <v>17</v>
      </c>
      <c r="B6" s="3" t="s">
        <v>18</v>
      </c>
      <c r="C6" s="13">
        <v>692</v>
      </c>
      <c r="D6" s="13">
        <v>359</v>
      </c>
      <c r="E6" s="3"/>
    </row>
    <row r="7" ht="25" customHeight="1" spans="1:6">
      <c r="A7" s="3" t="s">
        <v>19</v>
      </c>
      <c r="B7" s="3" t="s">
        <v>18</v>
      </c>
      <c r="C7" s="13">
        <v>506</v>
      </c>
      <c r="D7" s="13">
        <v>284</v>
      </c>
      <c r="E7" s="3"/>
    </row>
    <row r="8" ht="25" customHeight="1" spans="1:6">
      <c r="A8" s="3" t="s">
        <v>53</v>
      </c>
      <c r="B8" s="3" t="s">
        <v>18</v>
      </c>
      <c r="C8" s="13">
        <v>6810</v>
      </c>
      <c r="D8" s="13">
        <v>3778</v>
      </c>
      <c r="E8" s="3"/>
    </row>
    <row r="9" ht="25" customHeight="1" spans="1:6">
      <c r="A9" s="3" t="s">
        <v>90</v>
      </c>
      <c r="B9" s="3" t="s">
        <v>18</v>
      </c>
      <c r="C9" s="13">
        <v>3907</v>
      </c>
      <c r="D9" s="13">
        <v>2629</v>
      </c>
      <c r="E9" s="3"/>
      <c r="F9" t="s">
        <v>91</v>
      </c>
    </row>
    <row r="10" ht="25" customHeight="1" spans="1:6">
      <c r="A10" s="3" t="s">
        <v>36</v>
      </c>
      <c r="B10" s="3" t="s">
        <v>37</v>
      </c>
      <c r="C10" s="13">
        <v>14.8104</v>
      </c>
      <c r="D10" s="13">
        <v>17.54</v>
      </c>
      <c r="E10" s="3"/>
    </row>
    <row r="11" ht="25" customHeight="1" spans="1:6">
      <c r="A11" s="3" t="s">
        <v>92</v>
      </c>
      <c r="B11" s="3" t="s">
        <v>37</v>
      </c>
      <c r="C11" s="13">
        <v>14.8104</v>
      </c>
      <c r="D11" s="13">
        <v>17.54</v>
      </c>
      <c r="E11" s="3"/>
      <c r="F11" t="s">
        <v>93</v>
      </c>
    </row>
    <row r="12" ht="25" customHeight="1" spans="1:6">
      <c r="A12" s="3" t="s">
        <v>94</v>
      </c>
      <c r="B12" s="3" t="s">
        <v>18</v>
      </c>
      <c r="C12" s="13">
        <v>2</v>
      </c>
      <c r="D12" s="13">
        <v>0</v>
      </c>
      <c r="E12" s="3"/>
    </row>
    <row r="13" ht="25" customHeight="1" spans="1:6">
      <c r="A13" s="3" t="s">
        <v>95</v>
      </c>
      <c r="B13" s="3" t="s">
        <v>18</v>
      </c>
      <c r="C13" s="13">
        <v>1.2</v>
      </c>
      <c r="D13" s="13">
        <v>1.2</v>
      </c>
      <c r="E13" s="3"/>
    </row>
    <row r="14" ht="25" customHeight="1" spans="1:6">
      <c r="A14" s="3" t="s">
        <v>96</v>
      </c>
      <c r="B14" s="3" t="s">
        <v>18</v>
      </c>
      <c r="C14" s="13">
        <v>10</v>
      </c>
      <c r="D14" s="13">
        <v>17</v>
      </c>
      <c r="E14" s="3"/>
    </row>
    <row r="15" ht="25" customHeight="1" spans="1:6">
      <c r="A15" s="3" t="s">
        <v>97</v>
      </c>
      <c r="B15" s="3" t="s">
        <v>18</v>
      </c>
      <c r="C15" s="13">
        <v>0.5</v>
      </c>
      <c r="D15" s="13">
        <v>5</v>
      </c>
      <c r="E15" s="3"/>
    </row>
    <row r="16" ht="25" customHeight="1" spans="1:6">
      <c r="A16" s="3" t="s">
        <v>98</v>
      </c>
      <c r="B16" s="3" t="s">
        <v>18</v>
      </c>
      <c r="C16" s="13">
        <v>10</v>
      </c>
      <c r="D16" s="13">
        <v>10</v>
      </c>
      <c r="E16" s="3"/>
    </row>
    <row r="17" ht="25" customHeight="1" spans="1:6">
      <c r="A17" s="3" t="s">
        <v>65</v>
      </c>
      <c r="B17" s="3" t="s">
        <v>66</v>
      </c>
      <c r="C17" s="13">
        <v>1</v>
      </c>
      <c r="D17" s="13">
        <v>1</v>
      </c>
      <c r="E17" s="3"/>
    </row>
    <row r="18" ht="25" customHeight="1" spans="1:6">
      <c r="A18" s="3" t="s">
        <v>68</v>
      </c>
      <c r="B18" s="3" t="s">
        <v>66</v>
      </c>
      <c r="C18" s="13">
        <v>1</v>
      </c>
      <c r="D18" s="13">
        <v>1</v>
      </c>
      <c r="E18" s="3"/>
    </row>
    <row r="19" ht="25" customHeight="1" spans="1:6">
      <c r="A19" s="3" t="s">
        <v>99</v>
      </c>
      <c r="B19" s="3" t="s">
        <v>73</v>
      </c>
      <c r="C19" s="3"/>
      <c r="D19" s="3"/>
      <c r="E19" s="3"/>
      <c r="F19" t="s">
        <v>101</v>
      </c>
    </row>
    <row r="20" ht="25" customHeight="1" spans="1:6">
      <c r="A20" s="3" t="s">
        <v>102</v>
      </c>
      <c r="B20" s="3" t="s">
        <v>73</v>
      </c>
      <c r="C20" s="3" t="s">
        <v>73</v>
      </c>
      <c r="D20" s="3" t="s">
        <v>73</v>
      </c>
      <c r="E20" s="3"/>
      <c r="F20" t="s">
        <v>104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E20" sqref="E20"/>
    </sheetView>
  </sheetViews>
  <sheetFormatPr defaultColWidth="8.72727272727273" defaultRowHeight="14" outlineLevelCol="5"/>
  <cols>
    <col min="1" max="5" width="22.6363636363636" customWidth="1"/>
    <col min="6" max="6" width="59" customWidth="1"/>
  </cols>
  <sheetData>
    <row r="1" ht="25" customHeight="1" spans="1:6">
      <c r="A1" s="1" t="s">
        <v>3</v>
      </c>
      <c r="B1" s="1" t="s">
        <v>4</v>
      </c>
      <c r="C1" s="2">
        <v>45962</v>
      </c>
      <c r="D1" s="2">
        <v>45597</v>
      </c>
      <c r="E1" s="1" t="s">
        <v>86</v>
      </c>
    </row>
    <row r="2" ht="25" customHeight="1" spans="1:6">
      <c r="A2" s="3" t="s">
        <v>108</v>
      </c>
      <c r="B2" s="3" t="s">
        <v>51</v>
      </c>
      <c r="C2" s="3">
        <v>15155.60984</v>
      </c>
      <c r="D2" s="3">
        <v>13959</v>
      </c>
      <c r="E2" s="3"/>
    </row>
    <row r="3" ht="25" customHeight="1" spans="1:6">
      <c r="A3" s="3" t="s">
        <v>81</v>
      </c>
      <c r="B3" s="3" t="s">
        <v>51</v>
      </c>
      <c r="C3" s="3"/>
      <c r="D3" s="3"/>
      <c r="E3" s="3"/>
    </row>
    <row r="4" ht="25" customHeight="1" spans="1:6">
      <c r="A4" s="3" t="s">
        <v>82</v>
      </c>
      <c r="B4" s="3" t="s">
        <v>18</v>
      </c>
      <c r="C4" s="3"/>
      <c r="D4" s="3"/>
      <c r="E4" s="3"/>
    </row>
    <row r="5" ht="25" customHeight="1" spans="1:6">
      <c r="A5" s="3" t="s">
        <v>53</v>
      </c>
      <c r="B5" s="3" t="s">
        <v>18</v>
      </c>
      <c r="C5" s="3">
        <v>11688.2</v>
      </c>
      <c r="D5" s="3">
        <v>9840</v>
      </c>
      <c r="E5" s="3"/>
    </row>
    <row r="6" ht="25" customHeight="1" spans="1:6">
      <c r="A6" s="3" t="s">
        <v>109</v>
      </c>
      <c r="B6" s="3" t="s">
        <v>18</v>
      </c>
      <c r="C6" s="3">
        <v>6643</v>
      </c>
      <c r="D6" s="3">
        <v>4842</v>
      </c>
      <c r="E6" s="3"/>
    </row>
    <row r="7" ht="25" customHeight="1" spans="1:6">
      <c r="A7" s="3" t="s">
        <v>110</v>
      </c>
      <c r="B7" s="3" t="s">
        <v>18</v>
      </c>
      <c r="C7" s="3">
        <v>5045.19999999998</v>
      </c>
      <c r="D7" s="3">
        <v>4998</v>
      </c>
      <c r="E7" s="3"/>
    </row>
    <row r="8" ht="25" customHeight="1" spans="1:6">
      <c r="A8" s="3" t="s">
        <v>36</v>
      </c>
      <c r="B8" s="3" t="s">
        <v>37</v>
      </c>
      <c r="C8" s="3">
        <v>124627.034000001</v>
      </c>
      <c r="D8" s="3">
        <v>118138</v>
      </c>
      <c r="E8" s="3"/>
      <c r="F8" t="s">
        <v>111</v>
      </c>
    </row>
    <row r="9" ht="25" customHeight="1" spans="1:6">
      <c r="A9" s="3" t="s">
        <v>112</v>
      </c>
      <c r="B9" s="3" t="s">
        <v>37</v>
      </c>
      <c r="C9" s="3">
        <v>124627.034000001</v>
      </c>
      <c r="D9" s="3">
        <v>118138</v>
      </c>
      <c r="E9" s="3"/>
    </row>
    <row r="10" ht="25" customHeight="1" spans="1:6">
      <c r="A10" s="3" t="s">
        <v>113</v>
      </c>
      <c r="B10" s="3" t="s">
        <v>51</v>
      </c>
      <c r="C10" s="3">
        <v>12247.1270723858</v>
      </c>
      <c r="D10" s="3">
        <v>7962.52</v>
      </c>
      <c r="E10" s="3"/>
    </row>
    <row r="11" ht="25" customHeight="1" spans="1:6">
      <c r="A11" s="3" t="s">
        <v>114</v>
      </c>
      <c r="B11" s="3" t="s">
        <v>16</v>
      </c>
      <c r="C11" s="3"/>
      <c r="D11" s="3"/>
      <c r="E11" s="3"/>
    </row>
    <row r="12" ht="25" customHeight="1" spans="1:6">
      <c r="A12" s="3" t="s">
        <v>115</v>
      </c>
      <c r="B12" s="3" t="s">
        <v>16</v>
      </c>
      <c r="C12" s="3"/>
      <c r="D12" s="3"/>
      <c r="E12" s="3"/>
    </row>
    <row r="13" ht="25" customHeight="1" spans="1:6">
      <c r="A13" s="3" t="s">
        <v>116</v>
      </c>
      <c r="B13" s="3" t="s">
        <v>26</v>
      </c>
      <c r="C13" s="11">
        <v>128</v>
      </c>
      <c r="D13" s="12"/>
      <c r="E13" s="3"/>
    </row>
    <row r="14" ht="25" customHeight="1" spans="1:6">
      <c r="A14" s="3" t="s">
        <v>117</v>
      </c>
      <c r="B14" s="3" t="s">
        <v>26</v>
      </c>
      <c r="C14" s="3">
        <v>49</v>
      </c>
      <c r="D14" s="12"/>
      <c r="E14" s="3"/>
    </row>
    <row r="15" ht="25" customHeight="1" spans="1:6">
      <c r="A15" s="3" t="s">
        <v>118</v>
      </c>
      <c r="B15" s="3" t="s">
        <v>26</v>
      </c>
      <c r="C15" s="3">
        <v>0</v>
      </c>
      <c r="D15" s="12"/>
      <c r="E15" s="3"/>
    </row>
    <row r="16" ht="25" customHeight="1" spans="1:6">
      <c r="A16" s="3" t="s">
        <v>119</v>
      </c>
      <c r="B16" s="3" t="s">
        <v>26</v>
      </c>
      <c r="C16" s="13">
        <v>49</v>
      </c>
      <c r="D16" s="12"/>
      <c r="E16" s="3"/>
    </row>
    <row r="17" ht="25" customHeight="1" spans="1:6">
      <c r="A17" s="3" t="s">
        <v>120</v>
      </c>
      <c r="B17" s="3" t="s">
        <v>26</v>
      </c>
      <c r="C17" s="3">
        <v>49</v>
      </c>
      <c r="D17" s="12"/>
      <c r="E17" s="3"/>
    </row>
    <row r="18" ht="25" customHeight="1" spans="1:6">
      <c r="A18" s="3" t="s">
        <v>121</v>
      </c>
      <c r="B18" s="3" t="s">
        <v>26</v>
      </c>
      <c r="C18" s="3">
        <v>49</v>
      </c>
      <c r="D18" s="12"/>
      <c r="E18" s="3"/>
    </row>
    <row r="19" ht="25" customHeight="1" spans="1:6">
      <c r="A19" s="3" t="s">
        <v>43</v>
      </c>
      <c r="B19" s="3" t="s">
        <v>44</v>
      </c>
      <c r="C19" s="3">
        <v>16</v>
      </c>
      <c r="D19" s="3">
        <v>19</v>
      </c>
      <c r="E19" s="3"/>
    </row>
    <row r="20" ht="25" customHeight="1" spans="1:6">
      <c r="A20" s="3" t="s">
        <v>45</v>
      </c>
      <c r="B20" s="3" t="s">
        <v>44</v>
      </c>
      <c r="C20" s="3">
        <v>4</v>
      </c>
      <c r="D20" s="3">
        <v>11</v>
      </c>
      <c r="E20" s="3"/>
    </row>
    <row r="21" customFormat="1" ht="25" customHeight="1" spans="1:6">
      <c r="A21" s="3" t="s">
        <v>102</v>
      </c>
      <c r="B21" s="3" t="s">
        <v>73</v>
      </c>
      <c r="C21" s="3" t="s">
        <v>73</v>
      </c>
      <c r="D21" s="3" t="s">
        <v>73</v>
      </c>
      <c r="E21" s="3"/>
      <c r="F21" t="s">
        <v>104</v>
      </c>
    </row>
    <row r="22" ht="21" customHeight="1"/>
    <row r="23" ht="330" customHeight="1" spans="1:6">
      <c r="A23" s="5" t="s">
        <v>122</v>
      </c>
      <c r="B23" s="6"/>
      <c r="C23" s="6"/>
      <c r="D23" s="6"/>
      <c r="E23" s="6"/>
    </row>
  </sheetData>
  <mergeCells count="1">
    <mergeCell ref="A23:E2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"/>
  <sheetViews>
    <sheetView topLeftCell="A82" workbookViewId="0">
      <selection activeCell="E20" sqref="E20"/>
    </sheetView>
  </sheetViews>
  <sheetFormatPr defaultColWidth="8.72727272727273" defaultRowHeight="14" outlineLevelCol="5"/>
  <cols>
    <col min="1" max="6" width="22.6363636363636" customWidth="1"/>
    <col min="7" max="7" width="59" customWidth="1"/>
  </cols>
  <sheetData>
    <row r="1" ht="25" customHeight="1" spans="1:6">
      <c r="A1" s="1" t="s">
        <v>3</v>
      </c>
      <c r="B1" s="1" t="s">
        <v>123</v>
      </c>
      <c r="C1" s="1" t="s">
        <v>4</v>
      </c>
      <c r="D1" s="2">
        <v>45962</v>
      </c>
      <c r="E1" s="2">
        <v>45597</v>
      </c>
      <c r="F1" s="1" t="s">
        <v>86</v>
      </c>
    </row>
    <row r="2" ht="25" customHeight="1" spans="1:6">
      <c r="A2" s="3" t="s">
        <v>113</v>
      </c>
      <c r="B2" s="3" t="s">
        <v>124</v>
      </c>
      <c r="C2" s="3" t="s">
        <v>51</v>
      </c>
      <c r="D2" s="3">
        <v>1255.98803901705</v>
      </c>
      <c r="E2" s="3">
        <v>764.20347632192</v>
      </c>
      <c r="F2" s="3"/>
    </row>
    <row r="3" ht="25" customHeight="1" spans="1:6">
      <c r="A3" s="3" t="s">
        <v>113</v>
      </c>
      <c r="B3" s="3" t="s">
        <v>125</v>
      </c>
      <c r="C3" s="3" t="s">
        <v>51</v>
      </c>
      <c r="D3" s="3">
        <v>1168.26865919569</v>
      </c>
      <c r="E3" s="3">
        <v>1463</v>
      </c>
      <c r="F3" s="3"/>
    </row>
    <row r="4" ht="25" customHeight="1" spans="1:6">
      <c r="A4" s="3" t="s">
        <v>113</v>
      </c>
      <c r="B4" s="3" t="s">
        <v>126</v>
      </c>
      <c r="C4" s="3" t="s">
        <v>51</v>
      </c>
      <c r="D4" s="3">
        <v>698.999911698322</v>
      </c>
      <c r="E4" s="3">
        <v>1498</v>
      </c>
      <c r="F4" s="3"/>
    </row>
    <row r="5" ht="25" customHeight="1" spans="1:6">
      <c r="A5" s="3" t="s">
        <v>113</v>
      </c>
      <c r="B5" s="3" t="s">
        <v>127</v>
      </c>
      <c r="C5" s="3" t="s">
        <v>51</v>
      </c>
      <c r="D5" s="3">
        <v>2029.9629454443</v>
      </c>
      <c r="E5" s="3">
        <v>634.467140001764</v>
      </c>
      <c r="F5" s="3"/>
    </row>
    <row r="6" ht="25" customHeight="1" spans="1:6">
      <c r="A6" s="3" t="s">
        <v>113</v>
      </c>
      <c r="B6" s="3" t="s">
        <v>128</v>
      </c>
      <c r="C6" s="3" t="s">
        <v>51</v>
      </c>
      <c r="D6" s="3">
        <v>709.307517030624</v>
      </c>
      <c r="E6" s="3">
        <v>910</v>
      </c>
      <c r="F6" s="3"/>
    </row>
    <row r="7" ht="25" customHeight="1" spans="1:6">
      <c r="A7" s="3" t="s">
        <v>113</v>
      </c>
      <c r="B7" s="3" t="s">
        <v>129</v>
      </c>
      <c r="C7" s="3" t="s">
        <v>51</v>
      </c>
      <c r="D7" s="3">
        <v>1287.29999999993</v>
      </c>
      <c r="E7" s="3">
        <v>841</v>
      </c>
      <c r="F7" s="3"/>
    </row>
    <row r="8" ht="25" customHeight="1" spans="1:6">
      <c r="A8" s="3" t="s">
        <v>113</v>
      </c>
      <c r="B8" s="3" t="s">
        <v>130</v>
      </c>
      <c r="C8" s="3" t="s">
        <v>51</v>
      </c>
      <c r="D8" s="3">
        <v>3252</v>
      </c>
      <c r="E8" s="3">
        <v>38</v>
      </c>
      <c r="F8" s="3"/>
    </row>
    <row r="9" ht="25" customHeight="1" spans="1:6">
      <c r="A9" s="3" t="s">
        <v>113</v>
      </c>
      <c r="B9" s="3" t="s">
        <v>131</v>
      </c>
      <c r="C9" s="3" t="s">
        <v>51</v>
      </c>
      <c r="D9" s="3">
        <v>637.299999999923</v>
      </c>
      <c r="E9" s="3">
        <v>645.85</v>
      </c>
      <c r="F9" s="3"/>
    </row>
    <row r="10" ht="25" customHeight="1" spans="1:6">
      <c r="A10" s="3" t="s">
        <v>113</v>
      </c>
      <c r="B10" s="3" t="s">
        <v>132</v>
      </c>
      <c r="C10" s="3" t="s">
        <v>51</v>
      </c>
      <c r="D10" s="3">
        <v>1208</v>
      </c>
      <c r="E10" s="3">
        <v>1168</v>
      </c>
      <c r="F10" s="3"/>
    </row>
    <row r="11" ht="25" customHeight="1" spans="1:6">
      <c r="A11" s="3" t="s">
        <v>113</v>
      </c>
      <c r="B11" s="3" t="s">
        <v>133</v>
      </c>
      <c r="C11" s="3" t="s">
        <v>51</v>
      </c>
      <c r="D11" s="3"/>
      <c r="E11" s="3">
        <v>302</v>
      </c>
      <c r="F11" s="3"/>
    </row>
    <row r="12" ht="25" customHeight="1" spans="1:6">
      <c r="A12" s="3" t="s">
        <v>53</v>
      </c>
      <c r="B12" s="3" t="s">
        <v>124</v>
      </c>
      <c r="C12" s="3" t="s">
        <v>18</v>
      </c>
      <c r="D12" s="3">
        <v>589</v>
      </c>
      <c r="E12" s="3">
        <v>699</v>
      </c>
      <c r="F12" s="3"/>
    </row>
    <row r="13" ht="25" customHeight="1" spans="1:6">
      <c r="A13" s="3" t="s">
        <v>53</v>
      </c>
      <c r="B13" s="3" t="s">
        <v>125</v>
      </c>
      <c r="C13" s="3" t="s">
        <v>18</v>
      </c>
      <c r="D13" s="3">
        <v>119.6</v>
      </c>
      <c r="E13" s="3">
        <v>274</v>
      </c>
      <c r="F13" s="3"/>
    </row>
    <row r="14" ht="25" customHeight="1" spans="1:6">
      <c r="A14" s="3" t="s">
        <v>53</v>
      </c>
      <c r="B14" s="3" t="s">
        <v>126</v>
      </c>
      <c r="C14" s="3" t="s">
        <v>18</v>
      </c>
      <c r="D14" s="3">
        <v>256</v>
      </c>
      <c r="E14" s="3">
        <v>279</v>
      </c>
      <c r="F14" s="3"/>
    </row>
    <row r="15" ht="25" customHeight="1" spans="1:6">
      <c r="A15" s="3" t="s">
        <v>53</v>
      </c>
      <c r="B15" s="3" t="s">
        <v>127</v>
      </c>
      <c r="C15" s="3" t="s">
        <v>18</v>
      </c>
      <c r="D15" s="3">
        <v>488</v>
      </c>
      <c r="E15" s="3">
        <v>517</v>
      </c>
      <c r="F15" s="3"/>
    </row>
    <row r="16" ht="25" customHeight="1" spans="1:6">
      <c r="A16" s="3" t="s">
        <v>53</v>
      </c>
      <c r="B16" s="3" t="s">
        <v>128</v>
      </c>
      <c r="C16" s="3" t="s">
        <v>18</v>
      </c>
      <c r="D16" s="3">
        <v>997</v>
      </c>
      <c r="E16" s="3">
        <v>583</v>
      </c>
      <c r="F16" s="3"/>
    </row>
    <row r="17" ht="25" customHeight="1" spans="1:6">
      <c r="A17" s="3" t="s">
        <v>53</v>
      </c>
      <c r="B17" s="3" t="s">
        <v>129</v>
      </c>
      <c r="C17" s="3" t="s">
        <v>18</v>
      </c>
      <c r="D17" s="3">
        <v>924.599999999977</v>
      </c>
      <c r="E17" s="3">
        <v>883</v>
      </c>
      <c r="F17" s="3"/>
    </row>
    <row r="18" ht="25" customHeight="1" spans="1:6">
      <c r="A18" s="3" t="s">
        <v>53</v>
      </c>
      <c r="B18" s="3" t="s">
        <v>130</v>
      </c>
      <c r="C18" s="3" t="s">
        <v>18</v>
      </c>
      <c r="D18" s="3">
        <v>44</v>
      </c>
      <c r="E18" s="3">
        <v>61</v>
      </c>
      <c r="F18" s="3"/>
    </row>
    <row r="19" ht="25" customHeight="1" spans="1:6">
      <c r="A19" s="3" t="s">
        <v>53</v>
      </c>
      <c r="B19" s="3" t="s">
        <v>131</v>
      </c>
      <c r="C19" s="3" t="s">
        <v>18</v>
      </c>
      <c r="D19" s="3">
        <v>781</v>
      </c>
      <c r="E19" s="3">
        <v>643</v>
      </c>
      <c r="F19" s="3"/>
    </row>
    <row r="20" ht="25" customHeight="1" spans="1:6">
      <c r="A20" s="3" t="s">
        <v>53</v>
      </c>
      <c r="B20" s="3" t="s">
        <v>132</v>
      </c>
      <c r="C20" s="3" t="s">
        <v>18</v>
      </c>
      <c r="D20" s="3">
        <v>866</v>
      </c>
      <c r="E20" s="3">
        <v>1059</v>
      </c>
      <c r="F20" s="3"/>
    </row>
    <row r="21" ht="25" customHeight="1" spans="1:6">
      <c r="A21" s="3" t="s">
        <v>53</v>
      </c>
      <c r="B21" s="3" t="s">
        <v>133</v>
      </c>
      <c r="C21" s="3" t="s">
        <v>18</v>
      </c>
      <c r="D21" s="3">
        <v>4853</v>
      </c>
      <c r="E21" s="3">
        <v>4357</v>
      </c>
      <c r="F21" s="3"/>
    </row>
    <row r="22" ht="25" customHeight="1" spans="1:6">
      <c r="A22" s="3" t="s">
        <v>36</v>
      </c>
      <c r="B22" s="3" t="s">
        <v>124</v>
      </c>
      <c r="C22" s="3" t="s">
        <v>37</v>
      </c>
      <c r="D22" s="3">
        <v>15428.7000000001</v>
      </c>
      <c r="E22" s="3">
        <v>12237.2</v>
      </c>
      <c r="F22" s="3"/>
    </row>
    <row r="23" ht="25" customHeight="1" spans="1:6">
      <c r="A23" s="3" t="s">
        <v>36</v>
      </c>
      <c r="B23" s="3" t="s">
        <v>125</v>
      </c>
      <c r="C23" s="3" t="s">
        <v>37</v>
      </c>
      <c r="D23" s="3">
        <v>19326</v>
      </c>
      <c r="E23" s="3">
        <v>14319</v>
      </c>
      <c r="F23" s="3"/>
    </row>
    <row r="24" ht="25" customHeight="1" spans="1:6">
      <c r="A24" s="3" t="s">
        <v>36</v>
      </c>
      <c r="B24" s="3" t="s">
        <v>126</v>
      </c>
      <c r="C24" s="3" t="s">
        <v>37</v>
      </c>
      <c r="D24" s="3">
        <v>12590</v>
      </c>
      <c r="E24" s="3">
        <v>17400</v>
      </c>
      <c r="F24" s="3"/>
    </row>
    <row r="25" ht="25" customHeight="1" spans="1:6">
      <c r="A25" s="3" t="s">
        <v>36</v>
      </c>
      <c r="B25" s="3" t="s">
        <v>127</v>
      </c>
      <c r="C25" s="3" t="s">
        <v>37</v>
      </c>
      <c r="D25" s="3">
        <v>17770.9999999999</v>
      </c>
      <c r="E25" s="3">
        <v>17409.349</v>
      </c>
      <c r="F25" s="3"/>
    </row>
    <row r="26" ht="25" customHeight="1" spans="1:6">
      <c r="A26" s="3" t="s">
        <v>36</v>
      </c>
      <c r="B26" s="3" t="s">
        <v>128</v>
      </c>
      <c r="C26" s="3" t="s">
        <v>37</v>
      </c>
      <c r="D26" s="3">
        <v>16267.2600000009</v>
      </c>
      <c r="E26" s="3">
        <v>15137.3000000007</v>
      </c>
      <c r="F26" s="3"/>
    </row>
    <row r="27" ht="25" customHeight="1" spans="1:6">
      <c r="A27" s="3" t="s">
        <v>36</v>
      </c>
      <c r="B27" s="3" t="s">
        <v>129</v>
      </c>
      <c r="C27" s="3" t="s">
        <v>37</v>
      </c>
      <c r="D27" s="3">
        <v>7498.00000000049</v>
      </c>
      <c r="E27" s="3">
        <v>7873.5</v>
      </c>
      <c r="F27" s="3"/>
    </row>
    <row r="28" ht="25" customHeight="1" spans="1:6">
      <c r="A28" s="3" t="s">
        <v>36</v>
      </c>
      <c r="B28" s="3" t="s">
        <v>130</v>
      </c>
      <c r="C28" s="3" t="s">
        <v>37</v>
      </c>
      <c r="D28" s="3">
        <v>18951</v>
      </c>
      <c r="E28" s="3">
        <v>18040</v>
      </c>
      <c r="F28" s="3"/>
    </row>
    <row r="29" ht="25" customHeight="1" spans="1:6">
      <c r="A29" s="3" t="s">
        <v>36</v>
      </c>
      <c r="B29" s="3" t="s">
        <v>131</v>
      </c>
      <c r="C29" s="3" t="s">
        <v>37</v>
      </c>
      <c r="D29" s="3">
        <v>4382.76999999988</v>
      </c>
      <c r="E29" s="3">
        <v>6394.39999999997</v>
      </c>
      <c r="F29" s="3"/>
    </row>
    <row r="30" ht="25" customHeight="1" spans="1:6">
      <c r="A30" s="3" t="s">
        <v>36</v>
      </c>
      <c r="B30" s="3" t="s">
        <v>132</v>
      </c>
      <c r="C30" s="3" t="s">
        <v>37</v>
      </c>
      <c r="D30" s="3">
        <v>12446.3039999999</v>
      </c>
      <c r="E30" s="3">
        <v>10518.0279999994</v>
      </c>
      <c r="F30" s="3"/>
    </row>
    <row r="31" ht="25" customHeight="1" spans="1:6">
      <c r="A31" s="3" t="s">
        <v>36</v>
      </c>
      <c r="B31" s="3" t="s">
        <v>133</v>
      </c>
      <c r="C31" s="3" t="s">
        <v>37</v>
      </c>
      <c r="D31" s="3"/>
      <c r="E31" s="3"/>
      <c r="F31" s="3"/>
    </row>
    <row r="32" ht="25" customHeight="1" spans="1:6">
      <c r="A32" s="3" t="s">
        <v>112</v>
      </c>
      <c r="B32" s="3" t="s">
        <v>124</v>
      </c>
      <c r="C32" s="3" t="s">
        <v>37</v>
      </c>
      <c r="D32" s="3">
        <v>15428.7000000001</v>
      </c>
      <c r="E32" s="3">
        <v>12237.2</v>
      </c>
      <c r="F32" s="3"/>
    </row>
    <row r="33" ht="25" customHeight="1" spans="1:6">
      <c r="A33" s="3" t="s">
        <v>112</v>
      </c>
      <c r="B33" s="3" t="s">
        <v>125</v>
      </c>
      <c r="C33" s="3" t="s">
        <v>37</v>
      </c>
      <c r="D33" s="3">
        <v>19326</v>
      </c>
      <c r="E33" s="3">
        <v>14319</v>
      </c>
      <c r="F33" s="3"/>
    </row>
    <row r="34" ht="25" customHeight="1" spans="1:6">
      <c r="A34" s="3" t="s">
        <v>112</v>
      </c>
      <c r="B34" s="3" t="s">
        <v>126</v>
      </c>
      <c r="C34" s="3" t="s">
        <v>37</v>
      </c>
      <c r="D34" s="3">
        <v>12590</v>
      </c>
      <c r="E34" s="3">
        <v>17400</v>
      </c>
      <c r="F34" s="3"/>
    </row>
    <row r="35" ht="25" customHeight="1" spans="1:6">
      <c r="A35" s="3" t="s">
        <v>112</v>
      </c>
      <c r="B35" s="3" t="s">
        <v>127</v>
      </c>
      <c r="C35" s="3" t="s">
        <v>37</v>
      </c>
      <c r="D35" s="3">
        <v>17770.9999999999</v>
      </c>
      <c r="E35" s="3">
        <v>17409.349</v>
      </c>
      <c r="F35" s="3"/>
    </row>
    <row r="36" ht="25" customHeight="1" spans="1:6">
      <c r="A36" s="3" t="s">
        <v>112</v>
      </c>
      <c r="B36" s="3" t="s">
        <v>128</v>
      </c>
      <c r="C36" s="3" t="s">
        <v>37</v>
      </c>
      <c r="D36" s="3">
        <v>16267.2600000009</v>
      </c>
      <c r="E36" s="3">
        <v>15137.3000000007</v>
      </c>
      <c r="F36" s="3"/>
    </row>
    <row r="37" ht="25" customHeight="1" spans="1:6">
      <c r="A37" s="3" t="s">
        <v>112</v>
      </c>
      <c r="B37" s="3" t="s">
        <v>129</v>
      </c>
      <c r="C37" s="3" t="s">
        <v>37</v>
      </c>
      <c r="D37" s="3">
        <v>7498.00000000049</v>
      </c>
      <c r="E37" s="3">
        <v>7873.5</v>
      </c>
      <c r="F37" s="3"/>
    </row>
    <row r="38" ht="25" customHeight="1" spans="1:6">
      <c r="A38" s="3" t="s">
        <v>112</v>
      </c>
      <c r="B38" s="3" t="s">
        <v>130</v>
      </c>
      <c r="C38" s="3" t="s">
        <v>37</v>
      </c>
      <c r="D38" s="3">
        <v>18951</v>
      </c>
      <c r="E38" s="3">
        <v>18040</v>
      </c>
      <c r="F38" s="3"/>
    </row>
    <row r="39" ht="25" customHeight="1" spans="1:6">
      <c r="A39" s="3" t="s">
        <v>112</v>
      </c>
      <c r="B39" s="3" t="s">
        <v>131</v>
      </c>
      <c r="C39" s="3" t="s">
        <v>37</v>
      </c>
      <c r="D39" s="3">
        <v>4382.76999999988</v>
      </c>
      <c r="E39" s="3">
        <v>6394.39999999997</v>
      </c>
      <c r="F39" s="3"/>
    </row>
    <row r="40" ht="25" customHeight="1" spans="1:6">
      <c r="A40" s="3" t="s">
        <v>112</v>
      </c>
      <c r="B40" s="3" t="s">
        <v>132</v>
      </c>
      <c r="C40" s="3" t="s">
        <v>37</v>
      </c>
      <c r="D40" s="3">
        <v>12446.3039999999</v>
      </c>
      <c r="E40" s="3">
        <v>10518.0279999994</v>
      </c>
      <c r="F40" s="3"/>
    </row>
    <row r="41" ht="25" customHeight="1" spans="1:6">
      <c r="A41" s="3" t="s">
        <v>112</v>
      </c>
      <c r="B41" s="3" t="s">
        <v>133</v>
      </c>
      <c r="C41" s="3" t="s">
        <v>37</v>
      </c>
      <c r="D41" s="3"/>
      <c r="E41" s="3"/>
      <c r="F41" s="3"/>
    </row>
    <row r="42" ht="25" customHeight="1" spans="1:6">
      <c r="A42" s="3" t="s">
        <v>116</v>
      </c>
      <c r="B42" s="3" t="s">
        <v>124</v>
      </c>
      <c r="C42" s="3" t="s">
        <v>26</v>
      </c>
      <c r="D42" s="3">
        <v>0</v>
      </c>
      <c r="E42" s="3"/>
      <c r="F42" s="3"/>
    </row>
    <row r="43" ht="25" customHeight="1" spans="1:6">
      <c r="A43" s="3" t="s">
        <v>116</v>
      </c>
      <c r="B43" s="3" t="s">
        <v>125</v>
      </c>
      <c r="C43" s="3" t="s">
        <v>26</v>
      </c>
      <c r="D43" s="3">
        <v>0</v>
      </c>
      <c r="E43" s="3"/>
      <c r="F43" s="3"/>
    </row>
    <row r="44" ht="25" customHeight="1" spans="1:6">
      <c r="A44" s="3" t="s">
        <v>116</v>
      </c>
      <c r="B44" s="3" t="s">
        <v>126</v>
      </c>
      <c r="C44" s="3" t="s">
        <v>26</v>
      </c>
      <c r="D44" s="3">
        <v>0</v>
      </c>
      <c r="E44" s="3"/>
      <c r="F44" s="3"/>
    </row>
    <row r="45" ht="25" customHeight="1" spans="1:6">
      <c r="A45" s="3" t="s">
        <v>116</v>
      </c>
      <c r="B45" s="3" t="s">
        <v>127</v>
      </c>
      <c r="C45" s="3" t="s">
        <v>26</v>
      </c>
      <c r="D45" s="3">
        <v>0</v>
      </c>
      <c r="E45" s="3"/>
      <c r="F45" s="3"/>
    </row>
    <row r="46" ht="25" customHeight="1" spans="1:6">
      <c r="A46" s="3" t="s">
        <v>116</v>
      </c>
      <c r="B46" s="3" t="s">
        <v>128</v>
      </c>
      <c r="C46" s="3" t="s">
        <v>26</v>
      </c>
      <c r="D46" s="3">
        <v>0</v>
      </c>
      <c r="E46" s="3"/>
      <c r="F46" s="3"/>
    </row>
    <row r="47" ht="25" customHeight="1" spans="1:6">
      <c r="A47" s="3" t="s">
        <v>116</v>
      </c>
      <c r="B47" s="3" t="s">
        <v>129</v>
      </c>
      <c r="C47" s="3" t="s">
        <v>26</v>
      </c>
      <c r="D47" s="3">
        <v>0</v>
      </c>
      <c r="E47" s="3"/>
      <c r="F47" s="3"/>
    </row>
    <row r="48" ht="25" customHeight="1" spans="1:6">
      <c r="A48" s="3" t="s">
        <v>116</v>
      </c>
      <c r="B48" s="3" t="s">
        <v>130</v>
      </c>
      <c r="C48" s="3" t="s">
        <v>26</v>
      </c>
      <c r="D48" s="3">
        <v>0</v>
      </c>
      <c r="E48" s="3"/>
      <c r="F48" s="3"/>
    </row>
    <row r="49" ht="25" customHeight="1" spans="1:6">
      <c r="A49" s="3" t="s">
        <v>116</v>
      </c>
      <c r="B49" s="3" t="s">
        <v>131</v>
      </c>
      <c r="C49" s="3" t="s">
        <v>26</v>
      </c>
      <c r="D49" s="3">
        <v>0</v>
      </c>
      <c r="E49" s="3"/>
      <c r="F49" s="3"/>
    </row>
    <row r="50" ht="25" customHeight="1" spans="1:6">
      <c r="A50" s="3" t="s">
        <v>116</v>
      </c>
      <c r="B50" s="3" t="s">
        <v>132</v>
      </c>
      <c r="C50" s="3" t="s">
        <v>26</v>
      </c>
      <c r="D50" s="3">
        <v>0</v>
      </c>
      <c r="E50" s="3"/>
      <c r="F50" s="3"/>
    </row>
    <row r="51" ht="25" customHeight="1" spans="1:6">
      <c r="A51" s="3" t="s">
        <v>116</v>
      </c>
      <c r="B51" s="3" t="s">
        <v>133</v>
      </c>
      <c r="C51" s="3" t="s">
        <v>26</v>
      </c>
      <c r="D51" s="3">
        <v>0</v>
      </c>
      <c r="E51" s="3"/>
      <c r="F51" s="3"/>
    </row>
    <row r="52" ht="25" customHeight="1" spans="1:6">
      <c r="A52" s="3" t="s">
        <v>117</v>
      </c>
      <c r="B52" s="3" t="s">
        <v>124</v>
      </c>
      <c r="C52" s="3" t="s">
        <v>26</v>
      </c>
      <c r="D52" s="3">
        <v>5</v>
      </c>
      <c r="E52" s="3"/>
      <c r="F52" s="3"/>
    </row>
    <row r="53" ht="25" customHeight="1" spans="1:6">
      <c r="A53" s="3" t="s">
        <v>117</v>
      </c>
      <c r="B53" s="3" t="s">
        <v>125</v>
      </c>
      <c r="C53" s="3" t="s">
        <v>26</v>
      </c>
      <c r="D53" s="3">
        <v>3</v>
      </c>
      <c r="E53" s="3"/>
      <c r="F53" s="3"/>
    </row>
    <row r="54" ht="25" customHeight="1" spans="1:6">
      <c r="A54" s="3" t="s">
        <v>117</v>
      </c>
      <c r="B54" s="3" t="s">
        <v>126</v>
      </c>
      <c r="C54" s="3" t="s">
        <v>26</v>
      </c>
      <c r="D54" s="3">
        <v>11</v>
      </c>
      <c r="E54" s="3"/>
      <c r="F54" s="3"/>
    </row>
    <row r="55" ht="25" customHeight="1" spans="1:6">
      <c r="A55" s="3" t="s">
        <v>117</v>
      </c>
      <c r="B55" s="3" t="s">
        <v>127</v>
      </c>
      <c r="C55" s="3" t="s">
        <v>26</v>
      </c>
      <c r="D55" s="3">
        <v>15</v>
      </c>
      <c r="E55" s="3"/>
      <c r="F55" s="3"/>
    </row>
    <row r="56" ht="25" customHeight="1" spans="1:6">
      <c r="A56" s="3" t="s">
        <v>117</v>
      </c>
      <c r="B56" s="3" t="s">
        <v>128</v>
      </c>
      <c r="C56" s="3" t="s">
        <v>26</v>
      </c>
      <c r="D56" s="3">
        <v>10</v>
      </c>
      <c r="E56" s="3"/>
      <c r="F56" s="3"/>
    </row>
    <row r="57" ht="25" customHeight="1" spans="1:6">
      <c r="A57" s="3" t="s">
        <v>117</v>
      </c>
      <c r="B57" s="3" t="s">
        <v>129</v>
      </c>
      <c r="C57" s="3" t="s">
        <v>26</v>
      </c>
      <c r="D57" s="3">
        <v>7</v>
      </c>
      <c r="E57" s="3"/>
      <c r="F57" s="3"/>
    </row>
    <row r="58" ht="25" customHeight="1" spans="1:6">
      <c r="A58" s="3" t="s">
        <v>117</v>
      </c>
      <c r="B58" s="3" t="s">
        <v>130</v>
      </c>
      <c r="C58" s="3" t="s">
        <v>26</v>
      </c>
      <c r="D58" s="3">
        <v>12</v>
      </c>
      <c r="E58" s="3"/>
      <c r="F58" s="3"/>
    </row>
    <row r="59" ht="25" customHeight="1" spans="1:6">
      <c r="A59" s="3" t="s">
        <v>117</v>
      </c>
      <c r="B59" s="3" t="s">
        <v>131</v>
      </c>
      <c r="C59" s="3" t="s">
        <v>26</v>
      </c>
      <c r="D59" s="3">
        <v>27</v>
      </c>
      <c r="E59" s="3"/>
      <c r="F59" s="3"/>
    </row>
    <row r="60" ht="25" customHeight="1" spans="1:6">
      <c r="A60" s="3" t="s">
        <v>117</v>
      </c>
      <c r="B60" s="3" t="s">
        <v>132</v>
      </c>
      <c r="C60" s="3" t="s">
        <v>26</v>
      </c>
      <c r="D60" s="3">
        <v>11</v>
      </c>
      <c r="E60" s="3"/>
      <c r="F60" s="3"/>
    </row>
    <row r="61" ht="25" customHeight="1" spans="1:6">
      <c r="A61" s="3" t="s">
        <v>117</v>
      </c>
      <c r="B61" s="3" t="s">
        <v>133</v>
      </c>
      <c r="C61" s="3" t="s">
        <v>26</v>
      </c>
      <c r="D61" s="3">
        <v>0</v>
      </c>
      <c r="E61" s="3"/>
      <c r="F61" s="3"/>
    </row>
    <row r="62" ht="25" customHeight="1" spans="1:6">
      <c r="A62" s="3" t="s">
        <v>118</v>
      </c>
      <c r="B62" s="3" t="s">
        <v>124</v>
      </c>
      <c r="C62" s="3" t="s">
        <v>26</v>
      </c>
      <c r="D62" s="3">
        <v>0</v>
      </c>
      <c r="E62" s="3"/>
      <c r="F62" s="3"/>
    </row>
    <row r="63" ht="25" customHeight="1" spans="1:6">
      <c r="A63" s="3" t="s">
        <v>118</v>
      </c>
      <c r="B63" s="3" t="s">
        <v>125</v>
      </c>
      <c r="C63" s="3" t="s">
        <v>26</v>
      </c>
      <c r="D63" s="3">
        <v>0</v>
      </c>
      <c r="E63" s="3"/>
      <c r="F63" s="3"/>
    </row>
    <row r="64" ht="25" customHeight="1" spans="1:6">
      <c r="A64" s="3" t="s">
        <v>118</v>
      </c>
      <c r="B64" s="3" t="s">
        <v>126</v>
      </c>
      <c r="C64" s="3" t="s">
        <v>26</v>
      </c>
      <c r="D64" s="3">
        <v>0</v>
      </c>
      <c r="E64" s="3"/>
      <c r="F64" s="3"/>
    </row>
    <row r="65" ht="25" customHeight="1" spans="1:6">
      <c r="A65" s="3" t="s">
        <v>118</v>
      </c>
      <c r="B65" s="3" t="s">
        <v>127</v>
      </c>
      <c r="C65" s="3" t="s">
        <v>26</v>
      </c>
      <c r="D65" s="3">
        <v>0</v>
      </c>
      <c r="E65" s="3"/>
      <c r="F65" s="3"/>
    </row>
    <row r="66" ht="25" customHeight="1" spans="1:6">
      <c r="A66" s="3" t="s">
        <v>118</v>
      </c>
      <c r="B66" s="3" t="s">
        <v>128</v>
      </c>
      <c r="C66" s="3" t="s">
        <v>26</v>
      </c>
      <c r="D66" s="3">
        <v>0</v>
      </c>
      <c r="E66" s="3"/>
      <c r="F66" s="3"/>
    </row>
    <row r="67" ht="25" customHeight="1" spans="1:6">
      <c r="A67" s="3" t="s">
        <v>118</v>
      </c>
      <c r="B67" s="3" t="s">
        <v>129</v>
      </c>
      <c r="C67" s="3" t="s">
        <v>26</v>
      </c>
      <c r="D67" s="3">
        <v>0</v>
      </c>
      <c r="E67" s="3"/>
      <c r="F67" s="3"/>
    </row>
    <row r="68" ht="25" customHeight="1" spans="1:6">
      <c r="A68" s="3" t="s">
        <v>118</v>
      </c>
      <c r="B68" s="3" t="s">
        <v>130</v>
      </c>
      <c r="C68" s="3" t="s">
        <v>26</v>
      </c>
      <c r="D68" s="3">
        <v>0</v>
      </c>
      <c r="E68" s="3"/>
      <c r="F68" s="3"/>
    </row>
    <row r="69" ht="25" customHeight="1" spans="1:6">
      <c r="A69" s="3" t="s">
        <v>118</v>
      </c>
      <c r="B69" s="3" t="s">
        <v>131</v>
      </c>
      <c r="C69" s="3" t="s">
        <v>26</v>
      </c>
      <c r="D69" s="3">
        <v>0</v>
      </c>
      <c r="E69" s="3"/>
      <c r="F69" s="3"/>
    </row>
    <row r="70" ht="25" customHeight="1" spans="1:6">
      <c r="A70" s="3" t="s">
        <v>118</v>
      </c>
      <c r="B70" s="3" t="s">
        <v>132</v>
      </c>
      <c r="C70" s="3" t="s">
        <v>26</v>
      </c>
      <c r="D70" s="3">
        <v>0</v>
      </c>
      <c r="E70" s="3"/>
      <c r="F70" s="3"/>
    </row>
    <row r="71" ht="25" customHeight="1" spans="1:6">
      <c r="A71" s="3" t="s">
        <v>118</v>
      </c>
      <c r="B71" s="3" t="s">
        <v>133</v>
      </c>
      <c r="C71" s="3" t="s">
        <v>26</v>
      </c>
      <c r="D71" s="3">
        <v>0</v>
      </c>
      <c r="E71" s="3"/>
      <c r="F71" s="3"/>
    </row>
    <row r="72" ht="25" customHeight="1" spans="1:6">
      <c r="A72" s="3" t="s">
        <v>119</v>
      </c>
      <c r="B72" s="3" t="s">
        <v>124</v>
      </c>
      <c r="C72" s="3" t="s">
        <v>26</v>
      </c>
      <c r="D72" s="3">
        <v>5</v>
      </c>
      <c r="E72" s="3"/>
      <c r="F72" s="3"/>
    </row>
    <row r="73" ht="25" customHeight="1" spans="1:6">
      <c r="A73" s="3" t="s">
        <v>119</v>
      </c>
      <c r="B73" s="3" t="s">
        <v>125</v>
      </c>
      <c r="C73" s="3" t="s">
        <v>26</v>
      </c>
      <c r="D73" s="3">
        <v>3</v>
      </c>
      <c r="E73" s="3"/>
      <c r="F73" s="3"/>
    </row>
    <row r="74" ht="25" customHeight="1" spans="1:6">
      <c r="A74" s="3" t="s">
        <v>119</v>
      </c>
      <c r="B74" s="3" t="s">
        <v>126</v>
      </c>
      <c r="C74" s="3" t="s">
        <v>26</v>
      </c>
      <c r="D74" s="3">
        <v>11</v>
      </c>
      <c r="E74" s="3"/>
      <c r="F74" s="3"/>
    </row>
    <row r="75" ht="25" customHeight="1" spans="1:6">
      <c r="A75" s="3" t="s">
        <v>119</v>
      </c>
      <c r="B75" s="3" t="s">
        <v>127</v>
      </c>
      <c r="C75" s="3" t="s">
        <v>26</v>
      </c>
      <c r="D75" s="3">
        <v>15</v>
      </c>
      <c r="E75" s="3"/>
      <c r="F75" s="3"/>
    </row>
    <row r="76" ht="25" customHeight="1" spans="1:6">
      <c r="A76" s="3" t="s">
        <v>119</v>
      </c>
      <c r="B76" s="3" t="s">
        <v>128</v>
      </c>
      <c r="C76" s="3" t="s">
        <v>26</v>
      </c>
      <c r="D76" s="3">
        <v>10</v>
      </c>
      <c r="E76" s="3"/>
      <c r="F76" s="3"/>
    </row>
    <row r="77" ht="25" customHeight="1" spans="1:6">
      <c r="A77" s="3" t="s">
        <v>119</v>
      </c>
      <c r="B77" s="3" t="s">
        <v>129</v>
      </c>
      <c r="C77" s="3" t="s">
        <v>26</v>
      </c>
      <c r="D77" s="3">
        <v>7</v>
      </c>
      <c r="E77" s="3"/>
      <c r="F77" s="3"/>
    </row>
    <row r="78" ht="25" customHeight="1" spans="1:6">
      <c r="A78" s="3" t="s">
        <v>119</v>
      </c>
      <c r="B78" s="3" t="s">
        <v>130</v>
      </c>
      <c r="C78" s="3" t="s">
        <v>26</v>
      </c>
      <c r="D78" s="3">
        <v>12</v>
      </c>
      <c r="E78" s="3"/>
      <c r="F78" s="3"/>
    </row>
    <row r="79" ht="25" customHeight="1" spans="1:6">
      <c r="A79" s="3" t="s">
        <v>119</v>
      </c>
      <c r="B79" s="3" t="s">
        <v>131</v>
      </c>
      <c r="C79" s="3" t="s">
        <v>26</v>
      </c>
      <c r="D79" s="3">
        <v>27</v>
      </c>
      <c r="E79" s="3"/>
      <c r="F79" s="3"/>
    </row>
    <row r="80" ht="25" customHeight="1" spans="1:6">
      <c r="A80" s="3" t="s">
        <v>119</v>
      </c>
      <c r="B80" s="3" t="s">
        <v>132</v>
      </c>
      <c r="C80" s="3" t="s">
        <v>26</v>
      </c>
      <c r="D80" s="3">
        <v>11</v>
      </c>
      <c r="E80" s="3"/>
      <c r="F80" s="3"/>
    </row>
    <row r="81" ht="25" customHeight="1" spans="1:6">
      <c r="A81" s="3" t="s">
        <v>119</v>
      </c>
      <c r="B81" s="3" t="s">
        <v>133</v>
      </c>
      <c r="C81" s="3" t="s">
        <v>26</v>
      </c>
      <c r="D81" s="3">
        <v>0</v>
      </c>
      <c r="E81" s="3"/>
      <c r="F81" s="3"/>
    </row>
    <row r="82" ht="25" customHeight="1" spans="1:6">
      <c r="A82" s="3" t="s">
        <v>120</v>
      </c>
      <c r="B82" s="3" t="s">
        <v>124</v>
      </c>
      <c r="C82" s="3" t="s">
        <v>26</v>
      </c>
      <c r="D82" s="3">
        <v>5</v>
      </c>
      <c r="E82" s="3"/>
      <c r="F82" s="3"/>
    </row>
    <row r="83" ht="25" customHeight="1" spans="1:6">
      <c r="A83" s="3" t="s">
        <v>120</v>
      </c>
      <c r="B83" s="3" t="s">
        <v>125</v>
      </c>
      <c r="C83" s="3" t="s">
        <v>26</v>
      </c>
      <c r="D83" s="3">
        <v>3</v>
      </c>
      <c r="E83" s="3"/>
      <c r="F83" s="3"/>
    </row>
    <row r="84" ht="25" customHeight="1" spans="1:6">
      <c r="A84" s="3" t="s">
        <v>120</v>
      </c>
      <c r="B84" s="3" t="s">
        <v>126</v>
      </c>
      <c r="C84" s="3" t="s">
        <v>26</v>
      </c>
      <c r="D84" s="3">
        <v>11</v>
      </c>
      <c r="E84" s="3"/>
      <c r="F84" s="3"/>
    </row>
    <row r="85" ht="25" customHeight="1" spans="1:6">
      <c r="A85" s="3" t="s">
        <v>120</v>
      </c>
      <c r="B85" s="3" t="s">
        <v>127</v>
      </c>
      <c r="C85" s="3" t="s">
        <v>26</v>
      </c>
      <c r="D85" s="3">
        <v>15</v>
      </c>
      <c r="E85" s="3"/>
      <c r="F85" s="3"/>
    </row>
    <row r="86" ht="25" customHeight="1" spans="1:6">
      <c r="A86" s="3" t="s">
        <v>120</v>
      </c>
      <c r="B86" s="3" t="s">
        <v>128</v>
      </c>
      <c r="C86" s="3" t="s">
        <v>26</v>
      </c>
      <c r="D86" s="3">
        <v>10</v>
      </c>
      <c r="E86" s="3"/>
      <c r="F86" s="3"/>
    </row>
    <row r="87" ht="25" customHeight="1" spans="1:6">
      <c r="A87" s="3" t="s">
        <v>120</v>
      </c>
      <c r="B87" s="3" t="s">
        <v>129</v>
      </c>
      <c r="C87" s="3" t="s">
        <v>26</v>
      </c>
      <c r="D87" s="3">
        <v>7</v>
      </c>
      <c r="E87" s="3"/>
      <c r="F87" s="3"/>
    </row>
    <row r="88" ht="25" customHeight="1" spans="1:6">
      <c r="A88" s="3" t="s">
        <v>120</v>
      </c>
      <c r="B88" s="3" t="s">
        <v>130</v>
      </c>
      <c r="C88" s="3" t="s">
        <v>26</v>
      </c>
      <c r="D88" s="3">
        <v>12</v>
      </c>
      <c r="E88" s="3"/>
      <c r="F88" s="3"/>
    </row>
    <row r="89" ht="25" customHeight="1" spans="1:6">
      <c r="A89" s="3" t="s">
        <v>120</v>
      </c>
      <c r="B89" s="3" t="s">
        <v>131</v>
      </c>
      <c r="C89" s="3" t="s">
        <v>26</v>
      </c>
      <c r="D89" s="3">
        <v>27</v>
      </c>
      <c r="E89" s="3"/>
      <c r="F89" s="3"/>
    </row>
    <row r="90" ht="25" customHeight="1" spans="1:6">
      <c r="A90" s="3" t="s">
        <v>120</v>
      </c>
      <c r="B90" s="3" t="s">
        <v>132</v>
      </c>
      <c r="C90" s="3" t="s">
        <v>26</v>
      </c>
      <c r="D90" s="3">
        <v>11</v>
      </c>
      <c r="E90" s="3"/>
      <c r="F90" s="3"/>
    </row>
    <row r="91" ht="25" customHeight="1" spans="1:6">
      <c r="A91" s="3" t="s">
        <v>120</v>
      </c>
      <c r="B91" s="3" t="s">
        <v>133</v>
      </c>
      <c r="C91" s="3" t="s">
        <v>26</v>
      </c>
      <c r="D91" s="3">
        <v>0</v>
      </c>
      <c r="E91" s="3"/>
      <c r="F91" s="3"/>
    </row>
    <row r="92" ht="25" customHeight="1" spans="1:6">
      <c r="A92" s="3" t="s">
        <v>121</v>
      </c>
      <c r="B92" s="3" t="s">
        <v>124</v>
      </c>
      <c r="C92" s="3" t="s">
        <v>26</v>
      </c>
      <c r="D92" s="3">
        <v>5</v>
      </c>
      <c r="E92" s="3"/>
      <c r="F92" s="3"/>
    </row>
    <row r="93" ht="25" customHeight="1" spans="1:6">
      <c r="A93" s="3" t="s">
        <v>121</v>
      </c>
      <c r="B93" s="3" t="s">
        <v>125</v>
      </c>
      <c r="C93" s="3" t="s">
        <v>26</v>
      </c>
      <c r="D93" s="3">
        <v>3</v>
      </c>
      <c r="E93" s="3"/>
      <c r="F93" s="3"/>
    </row>
    <row r="94" ht="25" customHeight="1" spans="1:6">
      <c r="A94" s="3" t="s">
        <v>121</v>
      </c>
      <c r="B94" s="3" t="s">
        <v>126</v>
      </c>
      <c r="C94" s="3" t="s">
        <v>26</v>
      </c>
      <c r="D94" s="3">
        <v>11</v>
      </c>
      <c r="E94" s="3"/>
      <c r="F94" s="3"/>
    </row>
    <row r="95" ht="25" customHeight="1" spans="1:6">
      <c r="A95" s="3" t="s">
        <v>121</v>
      </c>
      <c r="B95" s="3" t="s">
        <v>127</v>
      </c>
      <c r="C95" s="3" t="s">
        <v>26</v>
      </c>
      <c r="D95" s="3">
        <v>15</v>
      </c>
      <c r="E95" s="3"/>
      <c r="F95" s="3"/>
    </row>
    <row r="96" ht="25" customHeight="1" spans="1:6">
      <c r="A96" s="3" t="s">
        <v>121</v>
      </c>
      <c r="B96" s="3" t="s">
        <v>128</v>
      </c>
      <c r="C96" s="3" t="s">
        <v>26</v>
      </c>
      <c r="D96" s="3">
        <v>10</v>
      </c>
      <c r="E96" s="3"/>
      <c r="F96" s="3"/>
    </row>
    <row r="97" ht="25" customHeight="1" spans="1:6">
      <c r="A97" s="3" t="s">
        <v>121</v>
      </c>
      <c r="B97" s="3" t="s">
        <v>129</v>
      </c>
      <c r="C97" s="3" t="s">
        <v>26</v>
      </c>
      <c r="D97" s="3">
        <v>7</v>
      </c>
      <c r="E97" s="3"/>
      <c r="F97" s="3"/>
    </row>
    <row r="98" ht="25" customHeight="1" spans="1:6">
      <c r="A98" s="3" t="s">
        <v>121</v>
      </c>
      <c r="B98" s="3" t="s">
        <v>130</v>
      </c>
      <c r="C98" s="3" t="s">
        <v>26</v>
      </c>
      <c r="D98" s="3">
        <v>12</v>
      </c>
      <c r="E98" s="3"/>
      <c r="F98" s="3"/>
    </row>
    <row r="99" ht="25" customHeight="1" spans="1:6">
      <c r="A99" s="3" t="s">
        <v>121</v>
      </c>
      <c r="B99" s="3" t="s">
        <v>131</v>
      </c>
      <c r="C99" s="3" t="s">
        <v>26</v>
      </c>
      <c r="D99" s="3">
        <v>27</v>
      </c>
      <c r="E99" s="3"/>
      <c r="F99" s="3"/>
    </row>
    <row r="100" ht="25" customHeight="1" spans="1:6">
      <c r="A100" s="3" t="s">
        <v>121</v>
      </c>
      <c r="B100" s="3" t="s">
        <v>132</v>
      </c>
      <c r="C100" s="3" t="s">
        <v>26</v>
      </c>
      <c r="D100" s="3">
        <v>11</v>
      </c>
      <c r="E100" s="3"/>
      <c r="F100" s="3"/>
    </row>
    <row r="101" ht="25" customHeight="1" spans="1:6">
      <c r="A101" s="3" t="s">
        <v>121</v>
      </c>
      <c r="B101" s="3" t="s">
        <v>133</v>
      </c>
      <c r="C101" s="3" t="s">
        <v>26</v>
      </c>
      <c r="D101" s="3">
        <v>0</v>
      </c>
      <c r="E101" s="3"/>
      <c r="F101" s="3"/>
    </row>
    <row r="102" ht="21" customHeight="1"/>
    <row r="103" ht="330" customHeight="1" spans="1:6">
      <c r="A103" s="5" t="s">
        <v>122</v>
      </c>
      <c r="B103" s="5"/>
      <c r="C103" s="6"/>
      <c r="D103" s="6"/>
      <c r="E103" s="6"/>
      <c r="F103" s="6"/>
    </row>
  </sheetData>
  <mergeCells count="1">
    <mergeCell ref="A103:F10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opLeftCell="A11" workbookViewId="0">
      <selection activeCell="E20" sqref="E20"/>
    </sheetView>
  </sheetViews>
  <sheetFormatPr defaultColWidth="8.72727272727273" defaultRowHeight="14" outlineLevelCol="5"/>
  <cols>
    <col min="1" max="5" width="22.6363636363636" customWidth="1"/>
    <col min="6" max="6" width="59" customWidth="1"/>
  </cols>
  <sheetData>
    <row r="1" ht="25" customHeight="1" spans="1:6">
      <c r="A1" s="1" t="s">
        <v>3</v>
      </c>
      <c r="B1" s="1" t="s">
        <v>4</v>
      </c>
      <c r="C1" s="2">
        <v>45962</v>
      </c>
      <c r="D1" s="2">
        <v>45597</v>
      </c>
      <c r="E1" s="1" t="s">
        <v>86</v>
      </c>
    </row>
    <row r="2" ht="25" customHeight="1" spans="1:6">
      <c r="A2" s="3" t="s">
        <v>87</v>
      </c>
      <c r="B2" s="3" t="s">
        <v>37</v>
      </c>
      <c r="C2" s="3">
        <v>4.03</v>
      </c>
      <c r="D2" s="3">
        <v>10.7</v>
      </c>
      <c r="E2" s="10" t="s">
        <v>134</v>
      </c>
    </row>
    <row r="3" ht="25" customHeight="1" spans="1:6">
      <c r="A3" s="3" t="s">
        <v>88</v>
      </c>
      <c r="B3" s="3" t="s">
        <v>51</v>
      </c>
      <c r="C3" s="3">
        <v>2628</v>
      </c>
      <c r="D3" s="3">
        <v>1181</v>
      </c>
      <c r="E3" s="3"/>
    </row>
    <row r="4" ht="25" customHeight="1" spans="1:6">
      <c r="A4" s="3" t="s">
        <v>79</v>
      </c>
      <c r="B4" s="3" t="s">
        <v>37</v>
      </c>
      <c r="C4" s="3">
        <v>2.29</v>
      </c>
      <c r="D4" s="3">
        <v>3.4</v>
      </c>
      <c r="E4" s="10"/>
    </row>
    <row r="5" ht="25" customHeight="1" spans="1:6">
      <c r="A5" s="3" t="s">
        <v>81</v>
      </c>
      <c r="B5" s="3" t="s">
        <v>51</v>
      </c>
      <c r="C5" s="3">
        <v>44</v>
      </c>
      <c r="D5" s="3">
        <v>0</v>
      </c>
      <c r="E5" s="3"/>
    </row>
    <row r="6" ht="25" customHeight="1" spans="1:6">
      <c r="A6" s="3" t="s">
        <v>17</v>
      </c>
      <c r="B6" s="3" t="s">
        <v>18</v>
      </c>
      <c r="C6" s="3">
        <v>338</v>
      </c>
      <c r="D6" s="3">
        <v>296</v>
      </c>
      <c r="E6" s="10" t="s">
        <v>135</v>
      </c>
    </row>
    <row r="7" ht="25" customHeight="1" spans="1:6">
      <c r="A7" s="3" t="s">
        <v>19</v>
      </c>
      <c r="B7" s="3" t="s">
        <v>18</v>
      </c>
      <c r="C7" s="3">
        <v>228</v>
      </c>
      <c r="D7" s="3">
        <v>200</v>
      </c>
      <c r="E7" s="3"/>
    </row>
    <row r="8" ht="25" customHeight="1" spans="1:6">
      <c r="A8" s="3" t="s">
        <v>53</v>
      </c>
      <c r="B8" s="3" t="s">
        <v>18</v>
      </c>
      <c r="C8" s="3">
        <v>3700</v>
      </c>
      <c r="D8" s="3">
        <v>4600</v>
      </c>
      <c r="E8" s="3"/>
      <c r="F8" t="s">
        <v>136</v>
      </c>
    </row>
    <row r="9" ht="25" customHeight="1" spans="1:6">
      <c r="A9" s="3" t="s">
        <v>90</v>
      </c>
      <c r="B9" s="3" t="s">
        <v>18</v>
      </c>
      <c r="C9" s="3">
        <v>1563</v>
      </c>
      <c r="D9" s="3">
        <v>1652</v>
      </c>
      <c r="E9" s="3"/>
    </row>
    <row r="10" ht="25" customHeight="1" spans="1:6">
      <c r="A10" s="3" t="s">
        <v>137</v>
      </c>
      <c r="B10" s="3" t="s">
        <v>18</v>
      </c>
      <c r="C10" s="3">
        <f>C8-C9</f>
        <v>2137</v>
      </c>
      <c r="D10" s="3">
        <f>D8-D9</f>
        <v>2948</v>
      </c>
      <c r="E10" s="3"/>
    </row>
    <row r="11" ht="25" customHeight="1" spans="1:6">
      <c r="A11" s="3" t="s">
        <v>36</v>
      </c>
      <c r="B11" s="3" t="s">
        <v>37</v>
      </c>
      <c r="C11" s="3">
        <v>5000</v>
      </c>
      <c r="D11" s="3">
        <v>15000</v>
      </c>
      <c r="E11" s="3"/>
      <c r="F11" t="s">
        <v>136</v>
      </c>
    </row>
    <row r="12" ht="25" customHeight="1" spans="1:6">
      <c r="A12" s="3" t="s">
        <v>92</v>
      </c>
      <c r="B12" s="3" t="s">
        <v>37</v>
      </c>
      <c r="C12" s="3">
        <v>0</v>
      </c>
      <c r="D12" s="3">
        <v>0</v>
      </c>
      <c r="E12" s="3"/>
    </row>
    <row r="13" ht="25" customHeight="1" spans="1:6">
      <c r="A13" s="3" t="s">
        <v>112</v>
      </c>
      <c r="B13" s="3" t="s">
        <v>37</v>
      </c>
      <c r="C13" s="3">
        <v>5000</v>
      </c>
      <c r="D13" s="3">
        <v>15000</v>
      </c>
      <c r="E13" s="3"/>
    </row>
    <row r="14" ht="25" customHeight="1" spans="1:6">
      <c r="A14" s="3" t="s">
        <v>94</v>
      </c>
      <c r="B14" s="3" t="s">
        <v>18</v>
      </c>
      <c r="C14" s="3">
        <v>1.5</v>
      </c>
      <c r="D14" s="3">
        <v>2</v>
      </c>
      <c r="E14" s="3"/>
    </row>
    <row r="15" ht="25" customHeight="1" spans="1:6">
      <c r="A15" s="3" t="s">
        <v>95</v>
      </c>
      <c r="B15" s="3" t="s">
        <v>18</v>
      </c>
      <c r="C15" s="3">
        <v>1</v>
      </c>
      <c r="D15" s="3">
        <v>1.5</v>
      </c>
      <c r="E15" s="3"/>
    </row>
    <row r="16" ht="25" customHeight="1" spans="1:6">
      <c r="A16" s="3" t="s">
        <v>96</v>
      </c>
      <c r="B16" s="3" t="s">
        <v>18</v>
      </c>
      <c r="C16" s="3">
        <v>3.2</v>
      </c>
      <c r="D16" s="3">
        <v>1.8</v>
      </c>
      <c r="E16" s="3"/>
    </row>
    <row r="17" ht="25" customHeight="1" spans="1:6">
      <c r="A17" s="3" t="s">
        <v>97</v>
      </c>
      <c r="B17" s="3" t="s">
        <v>18</v>
      </c>
      <c r="C17" s="3">
        <v>0.2</v>
      </c>
      <c r="D17" s="3">
        <v>2.4</v>
      </c>
      <c r="E17" s="3"/>
    </row>
    <row r="18" ht="25" customHeight="1" spans="1:6">
      <c r="A18" s="3" t="s">
        <v>98</v>
      </c>
      <c r="B18" s="3" t="s">
        <v>18</v>
      </c>
      <c r="C18" s="3">
        <v>0.5</v>
      </c>
      <c r="D18" s="3">
        <v>4</v>
      </c>
      <c r="E18" s="3"/>
    </row>
    <row r="19" ht="25" customHeight="1" spans="1:6">
      <c r="A19" s="3" t="s">
        <v>116</v>
      </c>
      <c r="B19" s="3" t="s">
        <v>26</v>
      </c>
      <c r="C19" s="3">
        <v>6</v>
      </c>
      <c r="D19" s="3">
        <v>3</v>
      </c>
      <c r="E19" s="3"/>
    </row>
    <row r="20" ht="25" customHeight="1" spans="1:6">
      <c r="A20" s="3" t="s">
        <v>117</v>
      </c>
      <c r="B20" s="3" t="s">
        <v>26</v>
      </c>
      <c r="C20" s="3">
        <v>5</v>
      </c>
      <c r="D20" s="3">
        <v>3</v>
      </c>
      <c r="E20" s="3"/>
    </row>
    <row r="21" ht="25" customHeight="1" spans="1:6">
      <c r="A21" s="3" t="s">
        <v>118</v>
      </c>
      <c r="B21" s="3" t="s">
        <v>26</v>
      </c>
      <c r="C21" s="3">
        <v>0</v>
      </c>
      <c r="D21" s="3">
        <v>0</v>
      </c>
      <c r="E21" s="3"/>
    </row>
    <row r="22" ht="25" customHeight="1" spans="1:6">
      <c r="A22" s="3" t="s">
        <v>119</v>
      </c>
      <c r="B22" s="3" t="s">
        <v>26</v>
      </c>
      <c r="C22" s="3">
        <v>5</v>
      </c>
      <c r="D22" s="3">
        <v>3</v>
      </c>
      <c r="E22" s="3"/>
    </row>
    <row r="23" ht="25" customHeight="1" spans="1:6">
      <c r="A23" s="3" t="s">
        <v>120</v>
      </c>
      <c r="B23" s="3" t="s">
        <v>26</v>
      </c>
      <c r="C23" s="3">
        <v>5</v>
      </c>
      <c r="D23" s="3">
        <v>3</v>
      </c>
      <c r="E23" s="3"/>
    </row>
    <row r="24" ht="25" customHeight="1" spans="1:6">
      <c r="A24" s="3" t="s">
        <v>121</v>
      </c>
      <c r="B24" s="3" t="s">
        <v>26</v>
      </c>
      <c r="C24" s="3">
        <v>5</v>
      </c>
      <c r="D24" s="3">
        <v>3</v>
      </c>
      <c r="E24" s="3"/>
    </row>
    <row r="25" ht="25" customHeight="1" spans="1:6">
      <c r="A25" s="3" t="s">
        <v>43</v>
      </c>
      <c r="B25" s="3" t="s">
        <v>44</v>
      </c>
      <c r="C25" s="3">
        <v>11</v>
      </c>
      <c r="D25" s="3">
        <v>19</v>
      </c>
      <c r="E25" s="3"/>
    </row>
    <row r="26" ht="25" customHeight="1" spans="1:6">
      <c r="A26" s="3" t="s">
        <v>45</v>
      </c>
      <c r="B26" s="3" t="s">
        <v>44</v>
      </c>
      <c r="C26" s="3">
        <v>4</v>
      </c>
      <c r="D26" s="3">
        <v>16</v>
      </c>
      <c r="E26" s="3"/>
    </row>
    <row r="27" ht="25" customHeight="1" spans="1:6">
      <c r="A27" s="3" t="s">
        <v>65</v>
      </c>
      <c r="B27" s="3" t="s">
        <v>66</v>
      </c>
      <c r="C27" s="3">
        <v>1</v>
      </c>
      <c r="D27" s="3">
        <v>2</v>
      </c>
      <c r="E27" s="3"/>
    </row>
    <row r="28" ht="25" customHeight="1" spans="1:6">
      <c r="A28" s="3" t="s">
        <v>67</v>
      </c>
      <c r="B28" s="3" t="s">
        <v>66</v>
      </c>
      <c r="C28" s="3">
        <v>0</v>
      </c>
      <c r="D28" s="3">
        <v>0</v>
      </c>
      <c r="E28" s="3"/>
    </row>
    <row r="29" ht="25" customHeight="1" spans="1:6">
      <c r="A29" s="3" t="s">
        <v>68</v>
      </c>
      <c r="B29" s="3" t="s">
        <v>66</v>
      </c>
      <c r="C29" s="3">
        <v>1</v>
      </c>
      <c r="D29" s="3">
        <v>1</v>
      </c>
      <c r="E29" s="3"/>
    </row>
    <row r="30" ht="25" customHeight="1" spans="1:6">
      <c r="A30" s="3" t="s">
        <v>99</v>
      </c>
      <c r="B30" s="3" t="s">
        <v>73</v>
      </c>
      <c r="C30" s="10" t="s">
        <v>138</v>
      </c>
      <c r="D30" s="3"/>
      <c r="E30" s="3"/>
      <c r="F30" t="s">
        <v>101</v>
      </c>
    </row>
    <row r="31" customFormat="1" ht="25" customHeight="1" spans="1:6">
      <c r="A31" s="3" t="s">
        <v>102</v>
      </c>
      <c r="B31" s="3" t="s">
        <v>73</v>
      </c>
      <c r="C31" s="3" t="s">
        <v>73</v>
      </c>
      <c r="D31" s="3" t="s">
        <v>73</v>
      </c>
      <c r="E31" s="3"/>
      <c r="F31" t="s">
        <v>104</v>
      </c>
    </row>
    <row r="32" ht="21" customHeight="1"/>
    <row r="33" ht="330" customHeight="1" spans="1:5">
      <c r="A33" s="5" t="s">
        <v>122</v>
      </c>
      <c r="B33" s="6"/>
      <c r="C33" s="6"/>
      <c r="D33" s="6"/>
      <c r="E33" s="6"/>
    </row>
  </sheetData>
  <mergeCells count="1">
    <mergeCell ref="A33:E3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opLeftCell="A16" workbookViewId="0">
      <selection activeCell="E20" sqref="E20"/>
    </sheetView>
  </sheetViews>
  <sheetFormatPr defaultColWidth="8.72727272727273" defaultRowHeight="14" outlineLevelCol="5"/>
  <cols>
    <col min="1" max="5" width="22.6363636363636" customWidth="1"/>
    <col min="6" max="6" width="59" customWidth="1"/>
  </cols>
  <sheetData>
    <row r="1" ht="25" customHeight="1" spans="1:6">
      <c r="A1" s="1" t="s">
        <v>3</v>
      </c>
      <c r="B1" s="1" t="s">
        <v>4</v>
      </c>
      <c r="C1" s="2">
        <v>45962</v>
      </c>
      <c r="D1" s="2">
        <v>45597</v>
      </c>
      <c r="E1" s="1" t="s">
        <v>86</v>
      </c>
    </row>
    <row r="2" ht="25" customHeight="1" spans="1:6">
      <c r="A2" s="3" t="s">
        <v>87</v>
      </c>
      <c r="B2" s="3" t="s">
        <v>37</v>
      </c>
      <c r="C2" s="3">
        <v>9.65</v>
      </c>
      <c r="D2" s="3">
        <v>6.9</v>
      </c>
      <c r="E2" s="3"/>
    </row>
    <row r="3" ht="25" customHeight="1" spans="1:6">
      <c r="A3" s="3" t="s">
        <v>88</v>
      </c>
      <c r="B3" s="3" t="s">
        <v>51</v>
      </c>
      <c r="C3" s="3">
        <v>2657</v>
      </c>
      <c r="D3" s="3">
        <v>2065</v>
      </c>
      <c r="E3" s="3"/>
    </row>
    <row r="4" ht="25" customHeight="1" spans="1:6">
      <c r="A4" s="3" t="s">
        <v>79</v>
      </c>
      <c r="B4" s="3" t="s">
        <v>37</v>
      </c>
      <c r="C4" s="3">
        <v>3.0096</v>
      </c>
      <c r="D4" s="3">
        <v>0.2772</v>
      </c>
      <c r="E4" s="3"/>
    </row>
    <row r="5" ht="25" customHeight="1" spans="1:6">
      <c r="A5" s="3" t="s">
        <v>81</v>
      </c>
      <c r="B5" s="3" t="s">
        <v>51</v>
      </c>
      <c r="C5" s="3">
        <v>0</v>
      </c>
      <c r="D5" s="3">
        <v>0</v>
      </c>
      <c r="E5" s="3"/>
    </row>
    <row r="6" ht="25" customHeight="1" spans="1:6">
      <c r="A6" s="3" t="s">
        <v>17</v>
      </c>
      <c r="B6" s="3" t="s">
        <v>18</v>
      </c>
      <c r="C6" s="3">
        <v>235.81</v>
      </c>
      <c r="D6" s="3">
        <v>208.93</v>
      </c>
      <c r="E6" s="3"/>
    </row>
    <row r="7" ht="25" customHeight="1" spans="1:6">
      <c r="A7" s="3" t="s">
        <v>19</v>
      </c>
      <c r="B7" s="3" t="s">
        <v>18</v>
      </c>
      <c r="C7" s="9">
        <v>171.136846594786</v>
      </c>
      <c r="D7" s="9">
        <v>144.215</v>
      </c>
      <c r="E7" s="3"/>
    </row>
    <row r="8" ht="25" customHeight="1" spans="1:6">
      <c r="A8" s="3" t="s">
        <v>53</v>
      </c>
      <c r="B8" s="3" t="s">
        <v>18</v>
      </c>
      <c r="C8" s="3">
        <v>1001</v>
      </c>
      <c r="D8" s="3">
        <v>1018</v>
      </c>
      <c r="E8" s="3"/>
      <c r="F8" t="s">
        <v>136</v>
      </c>
    </row>
    <row r="9" ht="25" customHeight="1" spans="1:6">
      <c r="A9" s="3" t="s">
        <v>90</v>
      </c>
      <c r="B9" s="3" t="s">
        <v>18</v>
      </c>
      <c r="C9" s="3">
        <v>169</v>
      </c>
      <c r="D9" s="3">
        <v>161</v>
      </c>
      <c r="E9" s="3"/>
    </row>
    <row r="10" ht="25" customHeight="1" spans="1:6">
      <c r="A10" s="3" t="s">
        <v>137</v>
      </c>
      <c r="B10" s="3" t="s">
        <v>18</v>
      </c>
      <c r="C10" s="3">
        <v>832</v>
      </c>
      <c r="D10" s="3">
        <v>857</v>
      </c>
      <c r="E10" s="3"/>
    </row>
    <row r="11" ht="25" customHeight="1" spans="1:6">
      <c r="A11" s="3" t="s">
        <v>36</v>
      </c>
      <c r="B11" s="3" t="s">
        <v>37</v>
      </c>
      <c r="C11" s="3">
        <v>1.1177</v>
      </c>
      <c r="D11" s="3">
        <v>3.2032</v>
      </c>
      <c r="E11" s="3"/>
      <c r="F11" t="s">
        <v>136</v>
      </c>
    </row>
    <row r="12" ht="25" customHeight="1" spans="1:6">
      <c r="A12" s="3" t="s">
        <v>92</v>
      </c>
      <c r="B12" s="3" t="s">
        <v>37</v>
      </c>
      <c r="C12" s="3">
        <v>0</v>
      </c>
      <c r="D12" s="3">
        <v>2.5344</v>
      </c>
      <c r="E12" s="3"/>
    </row>
    <row r="13" ht="25" customHeight="1" spans="1:6">
      <c r="A13" s="3" t="s">
        <v>112</v>
      </c>
      <c r="B13" s="3" t="s">
        <v>37</v>
      </c>
      <c r="C13" s="10">
        <v>1.1177</v>
      </c>
      <c r="D13" s="3">
        <v>0.6688</v>
      </c>
      <c r="E13" s="3"/>
    </row>
    <row r="14" ht="25" customHeight="1" spans="1:6">
      <c r="A14" s="3" t="s">
        <v>94</v>
      </c>
      <c r="B14" s="3" t="s">
        <v>18</v>
      </c>
      <c r="C14" s="3">
        <v>0</v>
      </c>
      <c r="D14" s="3">
        <v>0</v>
      </c>
      <c r="E14" s="3"/>
    </row>
    <row r="15" ht="25" customHeight="1" spans="1:6">
      <c r="A15" s="3" t="s">
        <v>95</v>
      </c>
      <c r="B15" s="3" t="s">
        <v>18</v>
      </c>
      <c r="C15" s="3">
        <v>0</v>
      </c>
      <c r="D15" s="3">
        <v>0</v>
      </c>
      <c r="E15" s="3"/>
    </row>
    <row r="16" ht="25" customHeight="1" spans="1:6">
      <c r="A16" s="3" t="s">
        <v>96</v>
      </c>
      <c r="B16" s="3" t="s">
        <v>18</v>
      </c>
      <c r="C16" s="3">
        <v>0</v>
      </c>
      <c r="D16" s="3">
        <v>0</v>
      </c>
      <c r="E16" s="3"/>
    </row>
    <row r="17" ht="25" customHeight="1" spans="1:6">
      <c r="A17" s="3" t="s">
        <v>97</v>
      </c>
      <c r="B17" s="3" t="s">
        <v>18</v>
      </c>
      <c r="C17" s="3">
        <v>1.139</v>
      </c>
      <c r="D17" s="3">
        <v>4.347</v>
      </c>
      <c r="E17" s="3"/>
    </row>
    <row r="18" ht="25" customHeight="1" spans="1:6">
      <c r="A18" s="3" t="s">
        <v>139</v>
      </c>
      <c r="B18" s="3" t="s">
        <v>18</v>
      </c>
      <c r="C18" s="3">
        <v>11.87</v>
      </c>
      <c r="D18" s="3">
        <v>10.36</v>
      </c>
      <c r="E18" s="3"/>
    </row>
    <row r="19" ht="25" customHeight="1" spans="1:6">
      <c r="A19" s="3" t="s">
        <v>98</v>
      </c>
      <c r="B19" s="3" t="s">
        <v>18</v>
      </c>
      <c r="C19" s="3">
        <v>5.67</v>
      </c>
      <c r="D19" s="3">
        <v>7.34999999999999</v>
      </c>
      <c r="E19" s="3"/>
    </row>
    <row r="20" ht="25" customHeight="1" spans="1:6">
      <c r="A20" s="3" t="s">
        <v>116</v>
      </c>
      <c r="B20" s="3" t="s">
        <v>26</v>
      </c>
      <c r="C20" s="3">
        <v>0</v>
      </c>
      <c r="D20" s="3">
        <v>0</v>
      </c>
      <c r="E20" s="3"/>
    </row>
    <row r="21" ht="25" customHeight="1" spans="1:6">
      <c r="A21" s="3" t="s">
        <v>117</v>
      </c>
      <c r="B21" s="3" t="s">
        <v>26</v>
      </c>
      <c r="C21" s="3">
        <v>0</v>
      </c>
      <c r="D21" s="3">
        <v>0</v>
      </c>
      <c r="E21" s="3"/>
    </row>
    <row r="22" ht="25" customHeight="1" spans="1:6">
      <c r="A22" s="3" t="s">
        <v>118</v>
      </c>
      <c r="B22" s="3" t="s">
        <v>26</v>
      </c>
      <c r="C22" s="3">
        <v>0</v>
      </c>
      <c r="D22" s="3">
        <v>0</v>
      </c>
      <c r="E22" s="3"/>
    </row>
    <row r="23" ht="25" customHeight="1" spans="1:6">
      <c r="A23" s="3" t="s">
        <v>119</v>
      </c>
      <c r="B23" s="3" t="s">
        <v>26</v>
      </c>
      <c r="C23" s="3">
        <v>0</v>
      </c>
      <c r="D23" s="3">
        <v>0</v>
      </c>
      <c r="E23" s="3"/>
    </row>
    <row r="24" ht="25" customHeight="1" spans="1:6">
      <c r="A24" s="3" t="s">
        <v>120</v>
      </c>
      <c r="B24" s="3" t="s">
        <v>26</v>
      </c>
      <c r="C24" s="3">
        <v>0</v>
      </c>
      <c r="D24" s="3">
        <v>0</v>
      </c>
      <c r="E24" s="3"/>
    </row>
    <row r="25" ht="25" customHeight="1" spans="1:6">
      <c r="A25" s="3" t="s">
        <v>121</v>
      </c>
      <c r="B25" s="3" t="s">
        <v>26</v>
      </c>
      <c r="C25" s="3">
        <v>0</v>
      </c>
      <c r="D25" s="3">
        <v>0</v>
      </c>
      <c r="E25" s="3"/>
    </row>
    <row r="26" ht="25" customHeight="1" spans="1:6">
      <c r="A26" s="3" t="s">
        <v>43</v>
      </c>
      <c r="B26" s="3" t="s">
        <v>44</v>
      </c>
      <c r="C26" s="3">
        <v>15</v>
      </c>
      <c r="D26" s="3">
        <v>21</v>
      </c>
      <c r="E26" s="3"/>
    </row>
    <row r="27" ht="25" customHeight="1" spans="1:6">
      <c r="A27" s="3" t="s">
        <v>45</v>
      </c>
      <c r="B27" s="3" t="s">
        <v>44</v>
      </c>
      <c r="C27" s="3">
        <v>1</v>
      </c>
      <c r="D27" s="3">
        <v>7</v>
      </c>
      <c r="E27" s="3"/>
    </row>
    <row r="28" ht="25" customHeight="1" spans="1:6">
      <c r="A28" s="3" t="s">
        <v>65</v>
      </c>
      <c r="B28" s="3" t="s">
        <v>66</v>
      </c>
      <c r="C28" s="3">
        <v>1</v>
      </c>
      <c r="D28" s="3">
        <v>1</v>
      </c>
      <c r="E28" s="3"/>
    </row>
    <row r="29" ht="25" customHeight="1" spans="1:6">
      <c r="A29" s="3" t="s">
        <v>68</v>
      </c>
      <c r="B29" s="3" t="s">
        <v>66</v>
      </c>
      <c r="C29" s="3">
        <v>1</v>
      </c>
      <c r="D29" s="3">
        <v>1</v>
      </c>
      <c r="E29" s="3"/>
    </row>
    <row r="30" ht="25" customHeight="1" spans="1:6">
      <c r="A30" s="3" t="s">
        <v>99</v>
      </c>
      <c r="B30" s="3" t="s">
        <v>73</v>
      </c>
      <c r="C30" s="3"/>
      <c r="D30" s="3"/>
      <c r="E30" s="3"/>
      <c r="F30" t="s">
        <v>101</v>
      </c>
    </row>
    <row r="31" ht="25" customHeight="1" spans="1:6">
      <c r="A31" s="3" t="s">
        <v>102</v>
      </c>
      <c r="B31" s="3" t="s">
        <v>73</v>
      </c>
      <c r="C31" s="3"/>
      <c r="D31" s="3"/>
      <c r="E31" s="3"/>
      <c r="F31" t="s">
        <v>104</v>
      </c>
    </row>
    <row r="32" ht="21" customHeight="1"/>
    <row r="33" ht="330" customHeight="1" spans="1:5">
      <c r="A33" s="5" t="s">
        <v>122</v>
      </c>
      <c r="B33" s="6"/>
      <c r="C33" s="6"/>
      <c r="D33" s="6"/>
      <c r="E33" s="6"/>
    </row>
  </sheetData>
  <mergeCells count="1">
    <mergeCell ref="A33:E3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opLeftCell="A5" workbookViewId="0">
      <selection activeCell="E20" sqref="E20"/>
    </sheetView>
  </sheetViews>
  <sheetFormatPr defaultColWidth="8.72727272727273" defaultRowHeight="14" outlineLevelCol="5"/>
  <cols>
    <col min="1" max="5" width="22.6363636363636" customWidth="1"/>
    <col min="6" max="6" width="59" customWidth="1"/>
  </cols>
  <sheetData>
    <row r="1" ht="25" customHeight="1" spans="1:6">
      <c r="A1" s="1" t="s">
        <v>3</v>
      </c>
      <c r="B1" s="1" t="s">
        <v>4</v>
      </c>
      <c r="C1" s="2">
        <v>45962</v>
      </c>
      <c r="D1" s="2">
        <v>45597</v>
      </c>
      <c r="E1" s="1" t="s">
        <v>86</v>
      </c>
    </row>
    <row r="2" ht="25" customHeight="1" spans="1:6">
      <c r="A2" s="3" t="s">
        <v>88</v>
      </c>
      <c r="B2" s="3" t="s">
        <v>51</v>
      </c>
      <c r="C2" s="7">
        <v>1662.9241968</v>
      </c>
      <c r="D2" s="7">
        <v>278.808511268571</v>
      </c>
      <c r="E2" s="3"/>
    </row>
    <row r="3" ht="25" customHeight="1" spans="1:6">
      <c r="A3" s="3" t="s">
        <v>81</v>
      </c>
      <c r="B3" s="3" t="s">
        <v>51</v>
      </c>
      <c r="C3" s="7">
        <v>0</v>
      </c>
      <c r="D3" s="7">
        <v>0</v>
      </c>
      <c r="E3" s="3"/>
    </row>
    <row r="4" ht="25" customHeight="1" spans="1:6">
      <c r="A4" s="3" t="s">
        <v>17</v>
      </c>
      <c r="B4" s="3" t="s">
        <v>18</v>
      </c>
      <c r="C4" s="7">
        <v>137</v>
      </c>
      <c r="D4" s="7">
        <v>23</v>
      </c>
      <c r="E4" s="3"/>
    </row>
    <row r="5" ht="25" customHeight="1" spans="1:6">
      <c r="A5" s="3" t="s">
        <v>19</v>
      </c>
      <c r="B5" s="3" t="s">
        <v>18</v>
      </c>
      <c r="C5" s="7">
        <v>81.0565714285714</v>
      </c>
      <c r="D5" s="7">
        <v>13.4954285714286</v>
      </c>
      <c r="E5" s="3"/>
    </row>
    <row r="6" ht="25" customHeight="1" spans="1:6">
      <c r="A6" s="3" t="s">
        <v>53</v>
      </c>
      <c r="B6" s="3" t="s">
        <v>18</v>
      </c>
      <c r="C6" s="7">
        <v>1261</v>
      </c>
      <c r="D6" s="7">
        <v>781</v>
      </c>
      <c r="E6" s="3"/>
    </row>
    <row r="7" ht="25" customHeight="1" spans="1:6">
      <c r="A7" s="3" t="s">
        <v>137</v>
      </c>
      <c r="B7" s="3" t="s">
        <v>18</v>
      </c>
      <c r="C7" s="7">
        <v>1261</v>
      </c>
      <c r="D7" s="7">
        <v>781</v>
      </c>
      <c r="E7" s="3"/>
      <c r="F7" t="s">
        <v>140</v>
      </c>
    </row>
    <row r="8" ht="25" customHeight="1" spans="1:6">
      <c r="A8" s="3" t="s">
        <v>36</v>
      </c>
      <c r="B8" s="3" t="s">
        <v>37</v>
      </c>
      <c r="C8" s="7">
        <v>2.57093</v>
      </c>
      <c r="D8" s="7">
        <v>2.162</v>
      </c>
      <c r="E8" s="3"/>
    </row>
    <row r="9" ht="25" customHeight="1" spans="1:6">
      <c r="A9" s="3" t="s">
        <v>112</v>
      </c>
      <c r="B9" s="3" t="s">
        <v>37</v>
      </c>
      <c r="C9" s="7">
        <v>2.57093</v>
      </c>
      <c r="D9" s="7">
        <v>2.162</v>
      </c>
      <c r="E9" s="3"/>
      <c r="F9" t="s">
        <v>93</v>
      </c>
    </row>
    <row r="10" ht="25" customHeight="1" spans="1:6">
      <c r="A10" s="3" t="s">
        <v>141</v>
      </c>
      <c r="B10" s="3" t="s">
        <v>18</v>
      </c>
      <c r="C10" s="7">
        <v>0.05</v>
      </c>
      <c r="D10" s="7">
        <v>0.3</v>
      </c>
      <c r="E10" s="3"/>
    </row>
    <row r="11" ht="25" customHeight="1" spans="1:6">
      <c r="A11" s="3" t="s">
        <v>142</v>
      </c>
      <c r="B11" s="3" t="s">
        <v>18</v>
      </c>
      <c r="C11" s="7">
        <v>0</v>
      </c>
      <c r="D11" s="7">
        <v>0</v>
      </c>
      <c r="E11" s="3"/>
    </row>
    <row r="12" ht="25" customHeight="1" spans="1:6">
      <c r="A12" s="3" t="s">
        <v>116</v>
      </c>
      <c r="B12" s="3" t="s">
        <v>26</v>
      </c>
      <c r="C12" s="3">
        <v>0</v>
      </c>
      <c r="D12" s="3">
        <v>1</v>
      </c>
      <c r="E12" s="3"/>
    </row>
    <row r="13" ht="25" customHeight="1" spans="1:6">
      <c r="A13" s="3" t="s">
        <v>117</v>
      </c>
      <c r="B13" s="3" t="s">
        <v>26</v>
      </c>
      <c r="C13" s="3">
        <v>0</v>
      </c>
      <c r="D13" s="3">
        <v>0</v>
      </c>
      <c r="E13" s="3"/>
    </row>
    <row r="14" ht="25" customHeight="1" spans="1:6">
      <c r="A14" s="3" t="s">
        <v>118</v>
      </c>
      <c r="B14" s="3" t="s">
        <v>26</v>
      </c>
      <c r="C14" s="3">
        <v>0</v>
      </c>
      <c r="D14" s="3">
        <v>1</v>
      </c>
      <c r="E14" s="3"/>
    </row>
    <row r="15" ht="25" customHeight="1" spans="1:6">
      <c r="A15" s="3" t="s">
        <v>119</v>
      </c>
      <c r="B15" s="3" t="s">
        <v>26</v>
      </c>
      <c r="C15" s="3">
        <v>0</v>
      </c>
      <c r="D15" s="3">
        <v>0</v>
      </c>
      <c r="E15" s="3"/>
    </row>
    <row r="16" ht="25" customHeight="1" spans="1:6">
      <c r="A16" s="3" t="s">
        <v>120</v>
      </c>
      <c r="B16" s="3" t="s">
        <v>26</v>
      </c>
      <c r="C16" s="3">
        <v>0</v>
      </c>
      <c r="D16" s="3">
        <v>1</v>
      </c>
      <c r="E16" s="3"/>
    </row>
    <row r="17" ht="25" customHeight="1" spans="1:6">
      <c r="A17" s="3" t="s">
        <v>121</v>
      </c>
      <c r="B17" s="3" t="s">
        <v>26</v>
      </c>
      <c r="C17" s="3">
        <v>0</v>
      </c>
      <c r="D17" s="3">
        <v>1</v>
      </c>
      <c r="E17" s="3"/>
    </row>
    <row r="18" ht="25" customHeight="1" spans="1:6">
      <c r="A18" s="3" t="s">
        <v>43</v>
      </c>
      <c r="B18" s="3" t="s">
        <v>44</v>
      </c>
      <c r="C18" s="3">
        <v>16</v>
      </c>
      <c r="D18" s="3">
        <v>19</v>
      </c>
      <c r="E18" s="3"/>
    </row>
    <row r="19" ht="25" customHeight="1" spans="1:6">
      <c r="A19" s="3" t="s">
        <v>45</v>
      </c>
      <c r="B19" s="3" t="s">
        <v>44</v>
      </c>
      <c r="C19" s="3">
        <v>4</v>
      </c>
      <c r="D19" s="3">
        <v>9</v>
      </c>
      <c r="E19" s="3"/>
    </row>
    <row r="20" ht="25" customHeight="1" spans="1:6">
      <c r="A20" s="3" t="s">
        <v>69</v>
      </c>
      <c r="B20" s="3" t="s">
        <v>66</v>
      </c>
      <c r="C20" s="3">
        <v>6</v>
      </c>
      <c r="D20" s="3">
        <v>7</v>
      </c>
      <c r="E20" s="3"/>
    </row>
    <row r="21" ht="25" customHeight="1" spans="1:6">
      <c r="A21" s="3" t="s">
        <v>99</v>
      </c>
      <c r="B21" s="3" t="s">
        <v>73</v>
      </c>
      <c r="C21" s="3" t="s">
        <v>143</v>
      </c>
      <c r="D21" s="3" t="s">
        <v>144</v>
      </c>
      <c r="E21" s="3"/>
      <c r="F21" t="s">
        <v>101</v>
      </c>
    </row>
    <row r="22" ht="25" customHeight="1" spans="1:6">
      <c r="A22" s="3" t="s">
        <v>102</v>
      </c>
      <c r="B22" s="3" t="s">
        <v>73</v>
      </c>
      <c r="C22" s="3"/>
      <c r="D22" s="3"/>
      <c r="E22" s="3"/>
      <c r="F22" t="s">
        <v>104</v>
      </c>
    </row>
    <row r="23" ht="21" customHeight="1"/>
    <row r="24" ht="330" customHeight="1" spans="1:6">
      <c r="A24" s="5" t="s">
        <v>122</v>
      </c>
      <c r="B24" s="6"/>
      <c r="C24" s="6"/>
      <c r="D24" s="6"/>
      <c r="E24" s="6"/>
    </row>
  </sheetData>
  <mergeCells count="1">
    <mergeCell ref="A24:E24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E20" sqref="E20"/>
    </sheetView>
  </sheetViews>
  <sheetFormatPr defaultColWidth="8.72727272727273" defaultRowHeight="14" outlineLevelCol="5"/>
  <cols>
    <col min="1" max="5" width="22.6363636363636" customWidth="1"/>
    <col min="6" max="6" width="59" customWidth="1"/>
  </cols>
  <sheetData>
    <row r="1" ht="25" customHeight="1" spans="1:6">
      <c r="A1" s="1" t="s">
        <v>3</v>
      </c>
      <c r="B1" s="1" t="s">
        <v>4</v>
      </c>
      <c r="C1" s="2">
        <v>45962</v>
      </c>
      <c r="D1" s="2">
        <v>45597</v>
      </c>
      <c r="E1" s="1" t="s">
        <v>86</v>
      </c>
    </row>
    <row r="2" ht="25" customHeight="1" spans="1:6">
      <c r="A2" s="3" t="s">
        <v>88</v>
      </c>
      <c r="B2" s="3" t="s">
        <v>51</v>
      </c>
      <c r="C2" s="7">
        <f>2319+C4*29308*0.6/1000</f>
        <v>2368.413288</v>
      </c>
      <c r="D2" s="7">
        <v>999.469789714285</v>
      </c>
      <c r="E2" s="3"/>
    </row>
    <row r="3" ht="25" customHeight="1" spans="1:6">
      <c r="A3" s="3" t="s">
        <v>17</v>
      </c>
      <c r="B3" s="3" t="s">
        <v>18</v>
      </c>
      <c r="C3" s="7">
        <v>6</v>
      </c>
      <c r="D3" s="7">
        <v>62</v>
      </c>
      <c r="E3" s="3"/>
    </row>
    <row r="4" ht="25" customHeight="1" spans="1:6">
      <c r="A4" s="3" t="s">
        <v>19</v>
      </c>
      <c r="B4" s="3" t="s">
        <v>18</v>
      </c>
      <c r="C4" s="7">
        <v>2.81</v>
      </c>
      <c r="D4" s="7">
        <v>42.6278571428571</v>
      </c>
      <c r="E4" s="3"/>
    </row>
    <row r="5" ht="25" customHeight="1" spans="1:6">
      <c r="A5" s="3" t="s">
        <v>50</v>
      </c>
      <c r="B5" s="3" t="s">
        <v>18</v>
      </c>
      <c r="C5" s="7">
        <v>2319</v>
      </c>
      <c r="D5" s="7">
        <v>0</v>
      </c>
      <c r="E5" s="3"/>
    </row>
    <row r="6" ht="25" customHeight="1" spans="1:6">
      <c r="A6" s="3" t="s">
        <v>53</v>
      </c>
      <c r="B6" s="3" t="s">
        <v>18</v>
      </c>
      <c r="C6" s="7">
        <v>3185</v>
      </c>
      <c r="D6" s="7">
        <v>3240</v>
      </c>
      <c r="E6" s="3"/>
    </row>
    <row r="7" ht="25" customHeight="1" spans="1:6">
      <c r="A7" s="3" t="s">
        <v>137</v>
      </c>
      <c r="B7" s="3" t="s">
        <v>18</v>
      </c>
      <c r="C7" s="7">
        <f>C6</f>
        <v>3185</v>
      </c>
      <c r="D7" s="7">
        <f>D6</f>
        <v>3240</v>
      </c>
      <c r="E7" s="3"/>
      <c r="F7" t="s">
        <v>140</v>
      </c>
    </row>
    <row r="8" ht="25" customHeight="1" spans="1:6">
      <c r="A8" s="3" t="s">
        <v>36</v>
      </c>
      <c r="B8" s="3" t="s">
        <v>37</v>
      </c>
      <c r="C8" s="7">
        <v>2.16239500000003</v>
      </c>
      <c r="D8" s="7">
        <v>1.5817999999997</v>
      </c>
      <c r="E8" s="3"/>
    </row>
    <row r="9" ht="25" customHeight="1" spans="1:6">
      <c r="A9" s="3" t="s">
        <v>112</v>
      </c>
      <c r="B9" s="3" t="s">
        <v>37</v>
      </c>
      <c r="C9" s="7">
        <f>C8</f>
        <v>2.16239500000003</v>
      </c>
      <c r="D9" s="7">
        <f>D8</f>
        <v>1.5817999999997</v>
      </c>
      <c r="E9" s="3"/>
      <c r="F9" t="s">
        <v>93</v>
      </c>
    </row>
    <row r="10" ht="25" customHeight="1" spans="1:6">
      <c r="A10" s="3" t="s">
        <v>141</v>
      </c>
      <c r="B10" s="3" t="s">
        <v>18</v>
      </c>
      <c r="C10" s="7">
        <v>0</v>
      </c>
      <c r="D10" s="7">
        <v>0</v>
      </c>
      <c r="E10" s="3"/>
    </row>
    <row r="11" ht="25" customHeight="1" spans="1:6">
      <c r="A11" s="3" t="s">
        <v>142</v>
      </c>
      <c r="B11" s="3" t="s">
        <v>18</v>
      </c>
      <c r="C11" s="7">
        <v>0</v>
      </c>
      <c r="D11" s="7">
        <v>0</v>
      </c>
      <c r="E11" s="3"/>
    </row>
    <row r="12" ht="25" customHeight="1" spans="1:6">
      <c r="A12" s="3" t="s">
        <v>116</v>
      </c>
      <c r="B12" s="3" t="s">
        <v>26</v>
      </c>
      <c r="C12" s="8">
        <v>0</v>
      </c>
      <c r="D12" s="8">
        <v>1</v>
      </c>
      <c r="E12" s="3"/>
    </row>
    <row r="13" ht="25" customHeight="1" spans="1:6">
      <c r="A13" s="3" t="s">
        <v>117</v>
      </c>
      <c r="B13" s="3" t="s">
        <v>26</v>
      </c>
      <c r="C13" s="8">
        <v>0</v>
      </c>
      <c r="D13" s="8">
        <v>0</v>
      </c>
      <c r="E13" s="3"/>
    </row>
    <row r="14" ht="25" customHeight="1" spans="1:6">
      <c r="A14" s="3" t="s">
        <v>118</v>
      </c>
      <c r="B14" s="3" t="s">
        <v>26</v>
      </c>
      <c r="C14" s="8">
        <v>0</v>
      </c>
      <c r="D14" s="8">
        <v>0</v>
      </c>
      <c r="E14" s="3"/>
    </row>
    <row r="15" ht="25" customHeight="1" spans="1:6">
      <c r="A15" s="3" t="s">
        <v>119</v>
      </c>
      <c r="B15" s="3" t="s">
        <v>26</v>
      </c>
      <c r="C15" s="8">
        <v>0</v>
      </c>
      <c r="D15" s="8">
        <v>0</v>
      </c>
      <c r="E15" s="3"/>
    </row>
    <row r="16" ht="25" customHeight="1" spans="1:6">
      <c r="A16" s="3" t="s">
        <v>120</v>
      </c>
      <c r="B16" s="3" t="s">
        <v>26</v>
      </c>
      <c r="C16" s="8">
        <v>0</v>
      </c>
      <c r="D16" s="8">
        <v>0</v>
      </c>
      <c r="E16" s="3"/>
    </row>
    <row r="17" ht="25" customHeight="1" spans="1:6">
      <c r="A17" s="3" t="s">
        <v>121</v>
      </c>
      <c r="B17" s="3" t="s">
        <v>26</v>
      </c>
      <c r="C17" s="8">
        <v>0</v>
      </c>
      <c r="D17" s="8">
        <v>0</v>
      </c>
      <c r="E17" s="3"/>
    </row>
    <row r="18" ht="25" customHeight="1" spans="1:6">
      <c r="A18" s="3" t="s">
        <v>43</v>
      </c>
      <c r="B18" s="3" t="s">
        <v>44</v>
      </c>
      <c r="C18" s="7">
        <v>17</v>
      </c>
      <c r="D18" s="7">
        <v>19</v>
      </c>
      <c r="E18" s="3"/>
    </row>
    <row r="19" ht="25" customHeight="1" spans="1:6">
      <c r="A19" s="3" t="s">
        <v>45</v>
      </c>
      <c r="B19" s="3" t="s">
        <v>44</v>
      </c>
      <c r="C19" s="7">
        <v>-1</v>
      </c>
      <c r="D19" s="7">
        <v>7</v>
      </c>
      <c r="E19" s="3"/>
    </row>
    <row r="20" ht="25" customHeight="1" spans="1:6">
      <c r="A20" s="3" t="s">
        <v>69</v>
      </c>
      <c r="B20" s="3" t="s">
        <v>66</v>
      </c>
      <c r="C20" s="8">
        <v>1</v>
      </c>
      <c r="D20" s="8">
        <v>6</v>
      </c>
      <c r="E20" s="3"/>
    </row>
    <row r="21" ht="25" customHeight="1" spans="1:6">
      <c r="A21" s="3" t="s">
        <v>99</v>
      </c>
      <c r="B21" s="3" t="s">
        <v>73</v>
      </c>
      <c r="C21" s="8" t="s">
        <v>145</v>
      </c>
      <c r="D21" s="8" t="s">
        <v>146</v>
      </c>
      <c r="E21" s="3"/>
      <c r="F21" t="s">
        <v>101</v>
      </c>
    </row>
    <row r="22" ht="25" customHeight="1" spans="1:6">
      <c r="A22" s="3" t="s">
        <v>102</v>
      </c>
      <c r="B22" s="3" t="s">
        <v>73</v>
      </c>
      <c r="C22" s="8"/>
      <c r="D22" s="8"/>
      <c r="E22" s="3"/>
      <c r="F22" t="s">
        <v>104</v>
      </c>
    </row>
    <row r="23" ht="21" customHeight="1"/>
    <row r="24" ht="330" customHeight="1" spans="1:6">
      <c r="A24" s="5" t="s">
        <v>122</v>
      </c>
      <c r="B24" s="6"/>
      <c r="C24" s="6"/>
      <c r="D24" s="6"/>
      <c r="E24" s="6"/>
    </row>
  </sheetData>
  <mergeCells count="1">
    <mergeCell ref="A24:E24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20" sqref="A20:E20"/>
    </sheetView>
  </sheetViews>
  <sheetFormatPr defaultColWidth="8.72727272727273" defaultRowHeight="14" outlineLevelCol="5"/>
  <cols>
    <col min="1" max="5" width="22.6363636363636" customWidth="1"/>
    <col min="6" max="6" width="59" customWidth="1"/>
  </cols>
  <sheetData>
    <row r="1" ht="25" customHeight="1" spans="1:6">
      <c r="A1" s="1" t="s">
        <v>3</v>
      </c>
      <c r="B1" s="1" t="s">
        <v>4</v>
      </c>
      <c r="C1" s="2">
        <v>45962</v>
      </c>
      <c r="D1" s="2">
        <v>45597</v>
      </c>
      <c r="E1" s="1" t="s">
        <v>86</v>
      </c>
    </row>
    <row r="2" ht="25" customHeight="1" spans="1:6">
      <c r="A2" s="3" t="s">
        <v>88</v>
      </c>
      <c r="B2" s="3" t="s">
        <v>51</v>
      </c>
      <c r="C2" s="3"/>
      <c r="D2" s="3"/>
      <c r="E2" s="3"/>
    </row>
    <row r="3" ht="25" customHeight="1" spans="1:6">
      <c r="A3" s="3" t="s">
        <v>53</v>
      </c>
      <c r="B3" s="3" t="s">
        <v>18</v>
      </c>
      <c r="C3" s="3"/>
      <c r="D3" s="3"/>
      <c r="E3" s="3"/>
    </row>
    <row r="4" ht="25" customHeight="1" spans="1:6">
      <c r="A4" s="3" t="s">
        <v>137</v>
      </c>
      <c r="B4" s="3" t="s">
        <v>18</v>
      </c>
      <c r="C4" s="3"/>
      <c r="D4" s="3"/>
      <c r="E4" s="3"/>
      <c r="F4" t="s">
        <v>140</v>
      </c>
    </row>
    <row r="5" ht="25" customHeight="1" spans="1:6">
      <c r="A5" s="3" t="s">
        <v>36</v>
      </c>
      <c r="B5" s="3" t="s">
        <v>37</v>
      </c>
      <c r="C5" s="3"/>
      <c r="D5" s="3"/>
      <c r="E5" s="3"/>
    </row>
    <row r="6" ht="25" customHeight="1" spans="1:6">
      <c r="A6" s="3" t="s">
        <v>112</v>
      </c>
      <c r="B6" s="3" t="s">
        <v>37</v>
      </c>
      <c r="C6" s="3"/>
      <c r="D6" s="3"/>
      <c r="E6" s="3"/>
      <c r="F6" t="s">
        <v>93</v>
      </c>
    </row>
    <row r="7" ht="25" customHeight="1" spans="1:6">
      <c r="A7" s="3" t="s">
        <v>116</v>
      </c>
      <c r="B7" s="3" t="s">
        <v>26</v>
      </c>
      <c r="C7" s="3"/>
      <c r="D7" s="3"/>
      <c r="E7" s="3"/>
    </row>
    <row r="8" ht="25" customHeight="1" spans="1:6">
      <c r="A8" s="3" t="s">
        <v>117</v>
      </c>
      <c r="B8" s="3" t="s">
        <v>26</v>
      </c>
      <c r="C8" s="3"/>
      <c r="D8" s="3"/>
      <c r="E8" s="3"/>
    </row>
    <row r="9" ht="25" customHeight="1" spans="1:6">
      <c r="A9" s="3" t="s">
        <v>118</v>
      </c>
      <c r="B9" s="3" t="s">
        <v>26</v>
      </c>
      <c r="C9" s="3"/>
      <c r="D9" s="3"/>
      <c r="E9" s="3"/>
    </row>
    <row r="10" ht="25" customHeight="1" spans="1:6">
      <c r="A10" s="3" t="s">
        <v>119</v>
      </c>
      <c r="B10" s="3" t="s">
        <v>26</v>
      </c>
      <c r="C10" s="3"/>
      <c r="D10" s="3"/>
      <c r="E10" s="3"/>
    </row>
    <row r="11" ht="25" customHeight="1" spans="1:6">
      <c r="A11" s="3" t="s">
        <v>120</v>
      </c>
      <c r="B11" s="3" t="s">
        <v>26</v>
      </c>
      <c r="C11" s="3"/>
      <c r="D11" s="3"/>
      <c r="E11" s="3"/>
    </row>
    <row r="12" ht="25" customHeight="1" spans="1:6">
      <c r="A12" s="3" t="s">
        <v>121</v>
      </c>
      <c r="B12" s="3" t="s">
        <v>26</v>
      </c>
      <c r="C12" s="3"/>
      <c r="D12" s="3"/>
      <c r="E12" s="3"/>
    </row>
    <row r="13" ht="25" customHeight="1" spans="1:6">
      <c r="A13" s="3" t="s">
        <v>43</v>
      </c>
      <c r="B13" s="3" t="s">
        <v>44</v>
      </c>
      <c r="C13" s="3"/>
      <c r="D13" s="3"/>
      <c r="E13" s="3"/>
    </row>
    <row r="14" ht="25" customHeight="1" spans="1:6">
      <c r="A14" s="3" t="s">
        <v>45</v>
      </c>
      <c r="B14" s="3" t="s">
        <v>44</v>
      </c>
      <c r="C14" s="3"/>
      <c r="D14" s="3"/>
      <c r="E14" s="3"/>
    </row>
    <row r="15" ht="25" customHeight="1" spans="1:6">
      <c r="A15" s="3" t="s">
        <v>70</v>
      </c>
      <c r="B15" s="3" t="s">
        <v>66</v>
      </c>
      <c r="C15" s="3"/>
      <c r="D15" s="3"/>
      <c r="E15" s="3"/>
    </row>
    <row r="16" ht="25" customHeight="1" spans="1:6">
      <c r="A16" s="3" t="s">
        <v>71</v>
      </c>
      <c r="B16" s="3" t="s">
        <v>66</v>
      </c>
      <c r="C16" s="3"/>
      <c r="D16" s="3"/>
      <c r="E16" s="3"/>
    </row>
    <row r="17" ht="25" customHeight="1" spans="1:6">
      <c r="A17" s="3" t="s">
        <v>99</v>
      </c>
      <c r="B17" s="3" t="s">
        <v>73</v>
      </c>
      <c r="C17" s="3"/>
      <c r="D17" s="3"/>
      <c r="E17" s="3"/>
      <c r="F17" t="s">
        <v>101</v>
      </c>
    </row>
    <row r="18" ht="25" customHeight="1" spans="1:6">
      <c r="A18" s="3" t="s">
        <v>102</v>
      </c>
      <c r="B18" s="3" t="s">
        <v>73</v>
      </c>
      <c r="C18" s="3"/>
      <c r="D18" s="3"/>
      <c r="E18" s="3"/>
      <c r="F18" t="s">
        <v>104</v>
      </c>
    </row>
    <row r="19" ht="21" customHeight="1"/>
    <row r="20" ht="330" customHeight="1" spans="1:6">
      <c r="A20" s="5" t="s">
        <v>122</v>
      </c>
      <c r="B20" s="6"/>
      <c r="C20" s="6"/>
      <c r="D20" s="6"/>
      <c r="E20" s="6"/>
    </row>
  </sheetData>
  <mergeCells count="1">
    <mergeCell ref="A20:E20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20" sqref="A20:E20"/>
    </sheetView>
  </sheetViews>
  <sheetFormatPr defaultColWidth="8.72727272727273" defaultRowHeight="14" outlineLevelCol="6"/>
  <cols>
    <col min="1" max="7" width="22.6363636363636" customWidth="1"/>
  </cols>
  <sheetData>
    <row r="1" ht="25" customHeight="1" spans="1:7">
      <c r="A1" s="1" t="s">
        <v>3</v>
      </c>
      <c r="B1" s="1" t="s">
        <v>147</v>
      </c>
      <c r="C1" s="2" t="s">
        <v>4</v>
      </c>
      <c r="D1" s="2" t="s">
        <v>148</v>
      </c>
      <c r="E1" s="1" t="s">
        <v>149</v>
      </c>
      <c r="F1" s="1" t="s">
        <v>150</v>
      </c>
      <c r="G1" s="1" t="s">
        <v>151</v>
      </c>
    </row>
    <row r="2" ht="25" customHeight="1" spans="1:7">
      <c r="A2" s="3" t="s">
        <v>152</v>
      </c>
      <c r="B2" s="3" t="s">
        <v>153</v>
      </c>
      <c r="C2" s="3" t="s">
        <v>18</v>
      </c>
      <c r="D2" s="3"/>
      <c r="E2" s="3"/>
      <c r="F2" s="3">
        <v>203888.08</v>
      </c>
      <c r="G2" s="4" t="s">
        <v>154</v>
      </c>
    </row>
    <row r="3" ht="25" customHeight="1" spans="1:7">
      <c r="A3" s="3" t="s">
        <v>152</v>
      </c>
      <c r="B3" s="3" t="s">
        <v>155</v>
      </c>
      <c r="C3" s="3" t="s">
        <v>18</v>
      </c>
      <c r="D3" s="3">
        <v>14600</v>
      </c>
      <c r="E3" s="3"/>
      <c r="F3" s="3"/>
      <c r="G3" s="3"/>
    </row>
    <row r="4" ht="25" customHeight="1" spans="1:7">
      <c r="A4" s="3" t="s">
        <v>152</v>
      </c>
      <c r="B4" s="3" t="s">
        <v>156</v>
      </c>
      <c r="C4" s="3" t="s">
        <v>18</v>
      </c>
      <c r="D4" s="3"/>
      <c r="E4" s="3"/>
      <c r="F4" s="3"/>
      <c r="G4" s="3"/>
    </row>
    <row r="5" ht="25" customHeight="1" spans="1:7">
      <c r="A5" s="3" t="s">
        <v>157</v>
      </c>
      <c r="B5" s="3" t="s">
        <v>153</v>
      </c>
      <c r="C5" s="3" t="s">
        <v>18</v>
      </c>
      <c r="D5" s="3"/>
      <c r="E5" s="3">
        <v>28746.38</v>
      </c>
      <c r="F5" s="3">
        <v>10503.04</v>
      </c>
      <c r="G5" s="4" t="s">
        <v>158</v>
      </c>
    </row>
    <row r="6" ht="25" customHeight="1" spans="1:7">
      <c r="A6" s="3" t="s">
        <v>157</v>
      </c>
      <c r="B6" s="3" t="s">
        <v>155</v>
      </c>
      <c r="C6" s="3" t="s">
        <v>18</v>
      </c>
      <c r="D6" s="3">
        <v>34000</v>
      </c>
      <c r="E6" s="3"/>
      <c r="F6" s="3"/>
      <c r="G6" s="3"/>
    </row>
    <row r="7" ht="25" customHeight="1" spans="1:7">
      <c r="A7" s="3" t="s">
        <v>157</v>
      </c>
      <c r="B7" s="3" t="s">
        <v>156</v>
      </c>
      <c r="C7" s="3" t="s">
        <v>18</v>
      </c>
      <c r="D7" s="3"/>
      <c r="E7" s="3"/>
      <c r="F7" s="3"/>
      <c r="G7" s="3"/>
    </row>
    <row r="8" ht="25" customHeight="1" spans="1:7">
      <c r="A8" s="3" t="s">
        <v>31</v>
      </c>
      <c r="B8" s="3" t="s">
        <v>153</v>
      </c>
      <c r="C8" s="3" t="s">
        <v>18</v>
      </c>
      <c r="D8" s="3"/>
      <c r="E8" s="3"/>
      <c r="F8" s="3">
        <v>117411.92</v>
      </c>
      <c r="G8" s="3"/>
    </row>
    <row r="9" ht="25" customHeight="1" spans="1:7">
      <c r="A9" s="3" t="s">
        <v>31</v>
      </c>
      <c r="B9" s="3" t="s">
        <v>155</v>
      </c>
      <c r="C9" s="3" t="s">
        <v>18</v>
      </c>
      <c r="D9" s="3"/>
      <c r="E9" s="3"/>
      <c r="F9" s="3"/>
      <c r="G9" s="3"/>
    </row>
    <row r="10" ht="25" customHeight="1" spans="1:7">
      <c r="A10" s="3" t="s">
        <v>31</v>
      </c>
      <c r="B10" s="3" t="s">
        <v>156</v>
      </c>
      <c r="C10" s="3" t="s">
        <v>18</v>
      </c>
      <c r="D10" s="3"/>
      <c r="E10" s="3"/>
      <c r="F10" s="3"/>
      <c r="G10" s="3"/>
    </row>
    <row r="11" ht="25" customHeight="1" spans="1:7">
      <c r="A11" s="3" t="s">
        <v>32</v>
      </c>
      <c r="B11" s="3" t="s">
        <v>153</v>
      </c>
      <c r="C11" s="3" t="s">
        <v>18</v>
      </c>
      <c r="D11" s="3"/>
      <c r="E11" s="3"/>
      <c r="F11" s="3">
        <v>53064</v>
      </c>
      <c r="G11" s="3"/>
    </row>
    <row r="12" ht="25" customHeight="1" spans="1:7">
      <c r="A12" s="3" t="s">
        <v>32</v>
      </c>
      <c r="B12" s="3" t="s">
        <v>155</v>
      </c>
      <c r="C12" s="3" t="s">
        <v>18</v>
      </c>
      <c r="D12" s="3"/>
      <c r="E12" s="3"/>
      <c r="F12" s="3"/>
      <c r="G12" s="3"/>
    </row>
    <row r="13" ht="25" customHeight="1" spans="1:7">
      <c r="A13" s="3" t="s">
        <v>32</v>
      </c>
      <c r="B13" s="3" t="s">
        <v>156</v>
      </c>
      <c r="C13" s="3" t="s">
        <v>18</v>
      </c>
      <c r="D13" s="3"/>
      <c r="E13" s="3"/>
      <c r="F13" s="3"/>
      <c r="G13" s="3"/>
    </row>
    <row r="14" ht="25" customHeight="1" spans="1:7">
      <c r="A14" s="3" t="s">
        <v>159</v>
      </c>
      <c r="B14" s="3" t="s">
        <v>153</v>
      </c>
      <c r="C14" s="3" t="s">
        <v>18</v>
      </c>
      <c r="D14" s="3"/>
      <c r="E14" s="3"/>
      <c r="F14" s="3">
        <v>2358.08</v>
      </c>
      <c r="G14" s="3"/>
    </row>
    <row r="15" ht="25" customHeight="1" spans="1:7">
      <c r="A15" s="3" t="s">
        <v>159</v>
      </c>
      <c r="B15" s="3" t="s">
        <v>155</v>
      </c>
      <c r="C15" s="3" t="s">
        <v>18</v>
      </c>
      <c r="D15" s="3">
        <v>16400</v>
      </c>
      <c r="E15" s="3"/>
      <c r="F15" s="3">
        <v>3318</v>
      </c>
      <c r="G15" s="3"/>
    </row>
    <row r="16" ht="25" customHeight="1" spans="1:7">
      <c r="A16" s="3" t="s">
        <v>159</v>
      </c>
      <c r="B16" s="3" t="s">
        <v>156</v>
      </c>
      <c r="C16" s="3" t="s">
        <v>18</v>
      </c>
      <c r="D16" s="3"/>
      <c r="E16" s="3"/>
      <c r="F16" s="3"/>
      <c r="G16" s="3"/>
    </row>
    <row r="17" ht="25" customHeight="1" spans="1:7">
      <c r="A17" s="3" t="s">
        <v>34</v>
      </c>
      <c r="B17" s="3" t="s">
        <v>153</v>
      </c>
      <c r="C17" s="3" t="s">
        <v>18</v>
      </c>
      <c r="D17" s="3"/>
      <c r="E17" s="3"/>
      <c r="F17" s="3">
        <v>1202</v>
      </c>
      <c r="G17" s="3"/>
    </row>
    <row r="18" ht="25" customHeight="1" spans="1:7">
      <c r="A18" s="3" t="s">
        <v>34</v>
      </c>
      <c r="B18" s="3" t="s">
        <v>155</v>
      </c>
      <c r="C18" s="3" t="s">
        <v>18</v>
      </c>
      <c r="D18" s="3"/>
      <c r="E18" s="3"/>
      <c r="F18" s="3">
        <v>285</v>
      </c>
      <c r="G18" s="3"/>
    </row>
    <row r="19" customFormat="1" ht="25" customHeight="1" spans="1:7">
      <c r="A19" s="3" t="s">
        <v>34</v>
      </c>
      <c r="B19" s="3" t="s">
        <v>156</v>
      </c>
      <c r="C19" s="3" t="s">
        <v>18</v>
      </c>
      <c r="D19" s="3"/>
      <c r="E19" s="3"/>
      <c r="F19" s="3"/>
      <c r="G19" s="3"/>
    </row>
    <row r="20" ht="330" customHeight="1" spans="1:7">
      <c r="A20" s="5"/>
      <c r="B20" s="6"/>
      <c r="C20" s="6"/>
      <c r="D20" s="6"/>
      <c r="E20" s="6"/>
      <c r="F20" s="6"/>
      <c r="G20" s="6"/>
    </row>
  </sheetData>
  <mergeCells count="1">
    <mergeCell ref="A20:E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展示表1.集团全口径汇总表</vt:lpstr>
      <vt:lpstr>展示表2.分析简报</vt:lpstr>
      <vt:lpstr>展示表3.主城区汇总表</vt:lpstr>
      <vt:lpstr>1.北海热电厂（热电联产）表</vt:lpstr>
      <vt:lpstr>2.北海热电厂（水炉）表</vt:lpstr>
      <vt:lpstr>3.北海热电厂（天然气炉）表</vt:lpstr>
      <vt:lpstr>4.香海热电厂表</vt:lpstr>
      <vt:lpstr>5.供热公司表</vt:lpstr>
      <vt:lpstr>6.供热公司分中心明细表</vt:lpstr>
      <vt:lpstr>7.金州热电表</vt:lpstr>
      <vt:lpstr>8.北方热电表</vt:lpstr>
      <vt:lpstr>9.金普热电表</vt:lpstr>
      <vt:lpstr>10.庄河环海表</vt:lpstr>
      <vt:lpstr>11.研究院表</vt:lpstr>
      <vt:lpstr>12.售电公司表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</dc:creator>
  <cp:lastModifiedBy>王巍</cp:lastModifiedBy>
  <dcterms:created xsi:type="dcterms:W3CDTF">2025-11-01T23:15:00Z</dcterms:created>
  <dcterms:modified xsi:type="dcterms:W3CDTF">2025-11-06T02:51:01Z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4A89658FF6F7483D9390A8DFD8525527_11</vt:lpwstr>
  </property>
  <property fmtid="{D5CDD505-2E9C-101B-9397-08002B2CF9AE}" pid="3" name="KSOProductBuildVer">
    <vt:lpwstr>2052-12.1.0.23542</vt:lpwstr>
  </property>
</Properties>
</file>